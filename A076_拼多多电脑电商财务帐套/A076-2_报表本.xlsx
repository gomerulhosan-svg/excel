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页" sheetId="1" state="visible" r:id="rId1"/>
    <sheet xmlns:r="http://schemas.openxmlformats.org/officeDocument/2006/relationships" name="拼多多对账" sheetId="2" state="visible" r:id="rId2"/>
    <sheet xmlns:r="http://schemas.openxmlformats.org/officeDocument/2006/relationships" name="技术服务费核对" sheetId="3" state="visible" r:id="rId3"/>
    <sheet xmlns:r="http://schemas.openxmlformats.org/officeDocument/2006/relationships" name="库存" sheetId="4" state="visible" r:id="rId4"/>
    <sheet xmlns:r="http://schemas.openxmlformats.org/officeDocument/2006/relationships" name="往来" sheetId="5" state="visible" r:id="rId5"/>
    <sheet xmlns:r="http://schemas.openxmlformats.org/officeDocument/2006/relationships" name="费用统计" sheetId="6" state="visible" r:id="rId6"/>
    <sheet xmlns:r="http://schemas.openxmlformats.org/officeDocument/2006/relationships" name="利润表" sheetId="7" state="visible" r:id="rId7"/>
    <sheet xmlns:r="http://schemas.openxmlformats.org/officeDocument/2006/relationships" name="使用说明" sheetId="8" state="visible" r:id="rId8"/>
  </sheets>
  <externalReferences>
    <externalReference xmlns:r="http://schemas.openxmlformats.org/officeDocument/2006/relationships" r:id="rId9"/>
  </externalReferences>
  <definedNames>
    <definedName name="_xlnm._FilterDatabase" localSheetId="2" hidden="1">'技术服务费核对'!$A$28:$K$428</definedName>
    <definedName name="_xlnm._FilterDatabase" localSheetId="3" hidden="1">'库存'!$A$4:$L$305</definedName>
    <definedName name="_xlnm._FilterDatabase" localSheetId="4" hidden="1">'往来'!$A$4:$K$405</definedName>
  </definedNames>
  <calcPr calcId="191029" fullCalcOnLoad="0"/>
</workbook>
</file>

<file path=xl/styles.xml><?xml version="1.0" encoding="utf-8"?>
<styleSheet xmlns="http://schemas.openxmlformats.org/spreadsheetml/2006/main">
  <numFmts count="6">
    <numFmt numFmtId="164" formatCode="#,##0.00;[Red]-#,##0.00;&quot;-&quot;"/>
    <numFmt numFmtId="165" formatCode="yyyy-mm-dd"/>
    <numFmt numFmtId="166" formatCode="#,##0.##;[Red]-#,##0.##;&quot;-&quot;"/>
    <numFmt numFmtId="167" formatCode="yyyy-mm-dd hh:mm"/>
    <numFmt numFmtId="168" formatCode="yyyy-mm-dd h:mm:ss"/>
    <numFmt numFmtId="169" formatCode="0&quot;月&quot;"/>
  </numFmts>
  <fonts count="12">
    <font>
      <name val="Calibri"/>
      <family val="2"/>
      <color theme="1"/>
      <sz val="11"/>
      <scheme val="minor"/>
    </font>
    <font>
      <name val="微软雅黑"/>
      <b val="1"/>
      <color rgb="FFFFFFFF"/>
      <sz val="14"/>
    </font>
    <font>
      <name val="微软雅黑"/>
      <color rgb="FF7F6000"/>
      <sz val="9"/>
    </font>
    <font>
      <name val="微软雅黑"/>
      <b val="1"/>
      <color rgb="FF1F4E79"/>
      <sz val="11"/>
    </font>
    <font>
      <name val="微软雅黑"/>
      <b val="1"/>
      <color rgb="FFFFFFFF"/>
      <sz val="10"/>
    </font>
    <font>
      <name val="微软雅黑"/>
      <color rgb="FF808080"/>
      <sz val="8"/>
    </font>
    <font>
      <name val="微软雅黑"/>
      <sz val="10"/>
    </font>
    <font>
      <name val="微软雅黑"/>
      <color rgb="FF404040"/>
      <sz val="10"/>
    </font>
    <font>
      <name val="微软雅黑"/>
      <b val="1"/>
      <sz val="10"/>
    </font>
    <font>
      <name val="微软雅黑"/>
      <b val="1"/>
      <color rgb="FFC00000"/>
      <sz val="12"/>
    </font>
    <font>
      <name val="微软雅黑"/>
      <b val="1"/>
      <color rgb="FFC00000"/>
      <sz val="10"/>
    </font>
    <font>
      <name val="微软雅黑"/>
      <color rgb="FF0563C1"/>
      <sz val="10"/>
      <u val="single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E7E6E6"/>
      </patternFill>
    </fill>
    <fill>
      <patternFill patternType="solid">
        <fgColor rgb="FFFFF7E0"/>
      </patternFill>
    </fill>
    <fill>
      <patternFill patternType="solid">
        <fgColor rgb="FFF2F2F2"/>
      </patternFill>
    </fill>
    <fill>
      <patternFill patternType="solid">
        <fgColor rgb="FFFCE4D6"/>
      </patternFill>
    </fill>
  </fills>
  <borders count="7">
    <border>
      <left/>
      <right/>
      <top/>
      <bottom/>
      <diagonal/>
    </border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5">
    <xf numFmtId="0" fontId="0" fillId="0" borderId="0"/>
    <xf numFmtId="0" fontId="1" fillId="2" borderId="1" applyAlignment="1">
      <alignment vertical="center"/>
    </xf>
    <xf numFmtId="0" fontId="2" fillId="3" borderId="1" applyAlignment="1">
      <alignment vertical="center" wrapText="1"/>
    </xf>
    <xf numFmtId="0" fontId="3" fillId="0" borderId="1" applyAlignment="1">
      <alignment vertical="center"/>
    </xf>
    <xf numFmtId="0" fontId="4" fillId="4" borderId="2" applyAlignment="1">
      <alignment horizontal="center" vertical="center" wrapText="1"/>
    </xf>
    <xf numFmtId="0" fontId="5" fillId="5" borderId="2" applyAlignment="1">
      <alignment horizontal="center" vertical="center" wrapText="1"/>
    </xf>
    <xf numFmtId="0" fontId="6" fillId="6" borderId="2" applyAlignment="1">
      <alignment vertical="center"/>
    </xf>
    <xf numFmtId="164" fontId="6" fillId="6" borderId="2" applyAlignment="1">
      <alignment vertical="center"/>
    </xf>
    <xf numFmtId="165" fontId="6" fillId="6" borderId="2" applyAlignment="1">
      <alignment vertical="center"/>
    </xf>
    <xf numFmtId="166" fontId="6" fillId="6" borderId="2" applyAlignment="1">
      <alignment vertical="center"/>
    </xf>
    <xf numFmtId="49" fontId="6" fillId="6" borderId="2" applyAlignment="1">
      <alignment vertical="center"/>
    </xf>
    <xf numFmtId="0" fontId="7" fillId="7" borderId="2" applyAlignment="1">
      <alignment vertical="center"/>
    </xf>
    <xf numFmtId="164" fontId="7" fillId="7" borderId="2" applyAlignment="1">
      <alignment vertical="center"/>
    </xf>
    <xf numFmtId="165" fontId="7" fillId="7" borderId="2" applyAlignment="1">
      <alignment vertical="center"/>
    </xf>
    <xf numFmtId="167" fontId="7" fillId="7" borderId="2" applyAlignment="1">
      <alignment vertical="center"/>
    </xf>
    <xf numFmtId="166" fontId="7" fillId="7" borderId="2" applyAlignment="1">
      <alignment vertical="center"/>
    </xf>
    <xf numFmtId="1" fontId="7" fillId="7" borderId="2" applyAlignment="1">
      <alignment vertical="center"/>
    </xf>
    <xf numFmtId="0" fontId="8" fillId="8" borderId="2" applyAlignment="1">
      <alignment vertical="center"/>
    </xf>
    <xf numFmtId="164" fontId="8" fillId="8" borderId="2" applyAlignment="1">
      <alignment vertical="center"/>
    </xf>
    <xf numFmtId="0" fontId="6" fillId="0" borderId="2" applyAlignment="1">
      <alignment vertical="center"/>
    </xf>
    <xf numFmtId="0" fontId="6" fillId="0" borderId="2" applyAlignment="1">
      <alignment vertical="center" wrapText="1"/>
    </xf>
    <xf numFmtId="164" fontId="9" fillId="7" borderId="2" applyAlignment="1">
      <alignment vertical="center"/>
    </xf>
    <xf numFmtId="0" fontId="10" fillId="7" borderId="2" applyAlignment="1">
      <alignment vertical="center" wrapText="1"/>
    </xf>
    <xf numFmtId="0" fontId="11" fillId="0" borderId="1" applyAlignment="1">
      <alignment vertical="center"/>
    </xf>
    <xf numFmtId="0" fontId="6" fillId="0" borderId="1" applyAlignment="1">
      <alignment vertical="top" wrapText="1"/>
    </xf>
  </cellStyleXfs>
  <cellXfs count="23">
    <xf numFmtId="0" fontId="0" fillId="0" borderId="0" pivotButton="0" quotePrefix="0" xfId="0"/>
    <xf numFmtId="0" fontId="1" fillId="2" borderId="1" applyAlignment="1" pivotButton="0" quotePrefix="0" xfId="1">
      <alignment vertical="center"/>
    </xf>
    <xf numFmtId="0" fontId="6" fillId="0" borderId="2" applyAlignment="1" pivotButton="0" quotePrefix="0" xfId="19">
      <alignment vertical="center"/>
    </xf>
    <xf numFmtId="0" fontId="2" fillId="3" borderId="1" applyAlignment="1" pivotButton="0" quotePrefix="0" xfId="2">
      <alignment vertical="center" wrapText="1"/>
    </xf>
    <xf numFmtId="0" fontId="6" fillId="6" borderId="2" applyAlignment="1" pivotButton="0" quotePrefix="0" xfId="6">
      <alignment vertical="center"/>
    </xf>
    <xf numFmtId="0" fontId="4" fillId="4" borderId="2" applyAlignment="1" pivotButton="0" quotePrefix="0" xfId="4">
      <alignment horizontal="center" vertical="center" wrapText="1"/>
    </xf>
    <xf numFmtId="0" fontId="7" fillId="7" borderId="2" applyAlignment="1" pivotButton="0" quotePrefix="0" xfId="11">
      <alignment vertical="center"/>
    </xf>
    <xf numFmtId="164" fontId="9" fillId="7" borderId="2" applyAlignment="1" pivotButton="0" quotePrefix="0" xfId="21">
      <alignment vertical="center"/>
    </xf>
    <xf numFmtId="0" fontId="8" fillId="8" borderId="2" applyAlignment="1" pivotButton="0" quotePrefix="0" xfId="17">
      <alignment vertical="center"/>
    </xf>
    <xf numFmtId="164" fontId="8" fillId="8" borderId="2" applyAlignment="1" pivotButton="0" quotePrefix="0" xfId="18">
      <alignment vertical="center"/>
    </xf>
    <xf numFmtId="1" fontId="7" fillId="7" borderId="2" applyAlignment="1" pivotButton="0" quotePrefix="0" xfId="16">
      <alignment vertical="center"/>
    </xf>
    <xf numFmtId="164" fontId="7" fillId="7" borderId="2" applyAlignment="1" pivotButton="0" quotePrefix="0" xfId="12">
      <alignment vertical="center"/>
    </xf>
    <xf numFmtId="0" fontId="6" fillId="0" borderId="2" applyAlignment="1" pivotButton="0" quotePrefix="0" xfId="20">
      <alignment vertical="center" wrapText="1"/>
    </xf>
    <xf numFmtId="0" fontId="3" fillId="0" borderId="1" applyAlignment="1" pivotButton="0" quotePrefix="0" xfId="3">
      <alignment vertical="center"/>
    </xf>
    <xf numFmtId="0" fontId="11" fillId="0" borderId="1" applyAlignment="1" pivotButton="0" quotePrefix="0" xfId="23">
      <alignment vertical="center"/>
    </xf>
    <xf numFmtId="169" fontId="4" fillId="4" borderId="2" applyAlignment="1" pivotButton="0" quotePrefix="0" xfId="4">
      <alignment horizontal="center" vertical="center" wrapText="1"/>
    </xf>
    <xf numFmtId="167" fontId="7" fillId="7" borderId="2" applyAlignment="1" pivotButton="0" quotePrefix="0" xfId="14">
      <alignment vertical="center"/>
    </xf>
    <xf numFmtId="0" fontId="5" fillId="5" borderId="2" applyAlignment="1" pivotButton="0" quotePrefix="0" xfId="5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0" fillId="7" borderId="2" applyAlignment="1" pivotButton="0" quotePrefix="0" xfId="22">
      <alignment vertical="center" wrapText="1"/>
    </xf>
    <xf numFmtId="166" fontId="7" fillId="7" borderId="2" applyAlignment="1" pivotButton="0" quotePrefix="0" xfId="15">
      <alignment vertical="center"/>
    </xf>
    <xf numFmtId="0" fontId="6" fillId="0" borderId="1" applyAlignment="1" pivotButton="0" quotePrefix="0" xfId="24">
      <alignment vertical="top" wrapText="1"/>
    </xf>
  </cellXfs>
  <cellStyles count="25">
    <cellStyle name="Normal" xfId="0" builtinId="0" hidden="0"/>
    <cellStyle name="t" xfId="1" hidden="0"/>
    <cellStyle name="tip" xfId="2" hidden="0"/>
    <cellStyle name="sec" xfId="3" hidden="0"/>
    <cellStyle name="h" xfId="4" hidden="0"/>
    <cellStyle name="hh" xfId="5" hidden="0"/>
    <cellStyle name="i" xfId="6" hidden="0"/>
    <cellStyle name="im" xfId="7" hidden="0"/>
    <cellStyle name="id" xfId="8" hidden="0"/>
    <cellStyle name="in" xfId="9" hidden="0"/>
    <cellStyle name="it" xfId="10" hidden="0"/>
    <cellStyle name="a" xfId="11" hidden="0"/>
    <cellStyle name="am" xfId="12" hidden="0"/>
    <cellStyle name="ad" xfId="13" hidden="0"/>
    <cellStyle name="adt" xfId="14" hidden="0"/>
    <cellStyle name="an" xfId="15" hidden="0"/>
    <cellStyle name="ai" xfId="16" hidden="0"/>
    <cellStyle name="tot" xfId="17" hidden="0"/>
    <cellStyle name="totm" xfId="18" hidden="0"/>
    <cellStyle name="lb" xfId="19" hidden="0"/>
    <cellStyle name="lbw" xfId="20" hidden="0"/>
    <cellStyle name="kpi" xfId="21" hidden="0"/>
    <cellStyle name="warn" xfId="22" hidden="0"/>
    <cellStyle name="lnk" xfId="23" hidden="0"/>
    <cellStyle name="txt" xfId="24" hidden="0"/>
  </cellStyles>
  <dxfs count="2">
    <dxf>
      <font>
        <name val="微软雅黑"/>
        <b val="1"/>
        <color rgb="FFC00000"/>
      </font>
      <fill>
        <patternFill patternType="solid">
          <fgColor rgb="FFFFC7CE"/>
        </patternFill>
      </fill>
    </dxf>
    <dxf>
      <font>
        <name val="微软雅黑"/>
        <color rgb="FF006100"/>
      </font>
      <fill>
        <patternFill patternType="solid">
          <fgColor rgb="FF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A076-1_&#24405;&#20837;&#26412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基础资料"/>
      <sheetName val="资金台帐"/>
      <sheetName val="采购入库"/>
      <sheetName val="销售出库"/>
      <sheetName val="粘贴_账务明细"/>
      <sheetName val="粘贴_营销活动"/>
      <sheetName val="粘贴_服务费返还"/>
    </sheetNames>
    <sheetDataSet>
      <sheetData sheetId="0">
        <row r="4">
          <cell r="A4" t="str">
            <v>账户名称</v>
          </cell>
        </row>
        <row r="5">
          <cell r="A5" t="str">
            <v>招商银行</v>
          </cell>
          <cell r="D5">
            <v>100000</v>
          </cell>
          <cell r="G5" t="str">
            <v>房租</v>
          </cell>
          <cell r="I5" t="str">
            <v>智慧城娟娟音响广播大屏监控</v>
          </cell>
          <cell r="J5" t="str">
            <v>供应商</v>
          </cell>
          <cell r="P5" t="str">
            <v>华硕无双M3452UA8845 16+512银色（原封）</v>
          </cell>
          <cell r="Q5" t="str">
            <v>华硕</v>
          </cell>
          <cell r="S5">
            <v>8</v>
          </cell>
          <cell r="U5">
            <v>36560</v>
          </cell>
        </row>
        <row r="6">
          <cell r="A6" t="str">
            <v>微信</v>
          </cell>
          <cell r="D6">
            <v>0</v>
          </cell>
          <cell r="G6" t="str">
            <v>水电物业</v>
          </cell>
          <cell r="I6" t="str">
            <v>菲菲</v>
          </cell>
          <cell r="J6" t="str">
            <v>供应商</v>
          </cell>
          <cell r="P6" t="str">
            <v>S3652AA325 U5-325H 16 512 银-无畏16</v>
          </cell>
          <cell r="Q6" t="str">
            <v>华硕</v>
          </cell>
          <cell r="S6">
            <v>20</v>
          </cell>
          <cell r="U6">
            <v>104000</v>
          </cell>
        </row>
        <row r="7">
          <cell r="A7" t="str">
            <v>支付宝</v>
          </cell>
          <cell r="D7">
            <v>0</v>
          </cell>
          <cell r="G7" t="str">
            <v>工资</v>
          </cell>
          <cell r="I7" t="str">
            <v>新天地负一B10</v>
          </cell>
          <cell r="J7" t="str">
            <v>供应商</v>
          </cell>
          <cell r="P7" t="str">
            <v>联想小新Pro 16GT U5 338H 32+1T 灰</v>
          </cell>
          <cell r="Q7" t="str">
            <v>联想</v>
          </cell>
          <cell r="S7">
            <v>18</v>
          </cell>
          <cell r="U7">
            <v>162104.21</v>
          </cell>
        </row>
        <row r="8">
          <cell r="A8" t="str">
            <v>拼多多店铺余额</v>
          </cell>
          <cell r="C8">
            <v>0</v>
          </cell>
          <cell r="D8">
            <v>61390.86</v>
          </cell>
          <cell r="G8" t="str">
            <v>社保公积金</v>
          </cell>
          <cell r="I8" t="str">
            <v>3A37国王</v>
          </cell>
          <cell r="J8" t="str">
            <v>供应商</v>
          </cell>
          <cell r="P8" t="str">
            <v>联想平板拯救者Y700 五代 24G+1TB碳晶黑WIFI</v>
          </cell>
          <cell r="Q8" t="str">
            <v>平板</v>
          </cell>
          <cell r="S8">
            <v>80</v>
          </cell>
          <cell r="U8">
            <v>396195.12</v>
          </cell>
        </row>
        <row r="9">
          <cell r="G9" t="str">
            <v>快递物流</v>
          </cell>
          <cell r="I9" t="str">
            <v>新天地帅杰负一B08</v>
          </cell>
          <cell r="J9" t="str">
            <v>供应商</v>
          </cell>
          <cell r="P9" t="str">
            <v>小新Pro16 2026 Ultra7-356H/32GB/1TB</v>
          </cell>
          <cell r="Q9" t="str">
            <v>联想</v>
          </cell>
          <cell r="S9">
            <v>63</v>
          </cell>
          <cell r="U9">
            <v>512575.08</v>
          </cell>
        </row>
        <row r="10">
          <cell r="G10" t="str">
            <v>包装耗材</v>
          </cell>
          <cell r="I10" t="str">
            <v>鹏鑫</v>
          </cell>
          <cell r="J10" t="str">
            <v>供应商</v>
          </cell>
          <cell r="P10" t="str">
            <v>联想平板 拯救者Y900 13 极光紫16+512wifi</v>
          </cell>
          <cell r="Q10" t="str">
            <v>平板</v>
          </cell>
          <cell r="S10">
            <v>32</v>
          </cell>
          <cell r="U10">
            <v>106370.72</v>
          </cell>
        </row>
        <row r="11">
          <cell r="G11" t="str">
            <v>多多推广/广告</v>
          </cell>
          <cell r="I11" t="str">
            <v>新天地2A51</v>
          </cell>
          <cell r="J11" t="str">
            <v>供应商</v>
          </cell>
          <cell r="P11" t="str">
            <v>联想拯救者Y900 11 8+128WIFI碳晶黑</v>
          </cell>
          <cell r="Q11" t="str">
            <v>平板</v>
          </cell>
          <cell r="S11">
            <v>96</v>
          </cell>
          <cell r="U11">
            <v>181264.62</v>
          </cell>
        </row>
        <row r="12">
          <cell r="G12" t="str">
            <v>办公费</v>
          </cell>
          <cell r="I12" t="str">
            <v>散户</v>
          </cell>
          <cell r="J12" t="str">
            <v>供应商</v>
          </cell>
          <cell r="P12" t="str">
            <v>小新Pro16 Ultra5 135H 24GB 1TB</v>
          </cell>
          <cell r="Q12" t="str">
            <v>联想</v>
          </cell>
          <cell r="S12">
            <v>14</v>
          </cell>
          <cell r="U12">
            <v>88669</v>
          </cell>
        </row>
        <row r="13">
          <cell r="G13" t="str">
            <v>通讯网络</v>
          </cell>
          <cell r="I13" t="str">
            <v>韩宜僮</v>
          </cell>
          <cell r="J13" t="str">
            <v>供应商+客户</v>
          </cell>
          <cell r="K13" t="str">
            <v>线下</v>
          </cell>
          <cell r="P13" t="str">
            <v>联想Y900 11 12+512黑色WIFI</v>
          </cell>
          <cell r="Q13" t="str">
            <v>平板</v>
          </cell>
          <cell r="S13">
            <v>8</v>
          </cell>
          <cell r="U13">
            <v>19600</v>
          </cell>
        </row>
        <row r="14">
          <cell r="G14" t="str">
            <v>交通差旅</v>
          </cell>
          <cell r="I14" t="str">
            <v>乱搞</v>
          </cell>
          <cell r="J14" t="str">
            <v>供应商</v>
          </cell>
          <cell r="P14" t="str">
            <v>联想拯救者Y700 五代 12+512 WIFI碳晶黑</v>
          </cell>
          <cell r="Q14" t="str">
            <v>平板</v>
          </cell>
          <cell r="S14">
            <v>80</v>
          </cell>
          <cell r="U14">
            <v>272120</v>
          </cell>
        </row>
        <row r="15">
          <cell r="G15" t="str">
            <v>业务招待</v>
          </cell>
          <cell r="I15" t="str">
            <v>张铭泉（泉哥）</v>
          </cell>
          <cell r="J15" t="str">
            <v>供应商</v>
          </cell>
          <cell r="P15" t="str">
            <v>iPhone 17 Pro Max 256GB 星宇橙色</v>
          </cell>
          <cell r="Q15" t="str">
            <v>苹果</v>
          </cell>
          <cell r="S15">
            <v>120</v>
          </cell>
          <cell r="U15">
            <v>1068535</v>
          </cell>
        </row>
        <row r="16">
          <cell r="G16" t="str">
            <v>维修费</v>
          </cell>
          <cell r="I16" t="str">
            <v>负一楼A3-11龙康</v>
          </cell>
          <cell r="J16" t="str">
            <v>供应商</v>
          </cell>
          <cell r="P16" t="str">
            <v>iPhone17 Pro Max 512GB星宇橙色</v>
          </cell>
          <cell r="Q16" t="str">
            <v>苹果</v>
          </cell>
          <cell r="S16">
            <v>10</v>
          </cell>
          <cell r="U16">
            <v>106000</v>
          </cell>
        </row>
        <row r="17">
          <cell r="G17" t="str">
            <v>银行手续费</v>
          </cell>
          <cell r="I17" t="str">
            <v>新天地奕强A3-27</v>
          </cell>
          <cell r="J17" t="str">
            <v>供应商</v>
          </cell>
          <cell r="P17" t="str">
            <v>iPhone 17 Pro 256GB 银色</v>
          </cell>
          <cell r="Q17" t="str">
            <v>苹果</v>
          </cell>
          <cell r="S17">
            <v>10</v>
          </cell>
          <cell r="U17">
            <v>78700</v>
          </cell>
        </row>
        <row r="18">
          <cell r="G18" t="str">
            <v>税费</v>
          </cell>
          <cell r="I18" t="str">
            <v>郑州甜达姬艳恒</v>
          </cell>
          <cell r="J18" t="str">
            <v>供应商</v>
          </cell>
          <cell r="P18" t="str">
            <v>iPhone 17 Pro 256GB星宇橙色</v>
          </cell>
          <cell r="Q18" t="str">
            <v>苹果</v>
          </cell>
          <cell r="S18">
            <v>2</v>
          </cell>
          <cell r="U18">
            <v>15410</v>
          </cell>
        </row>
        <row r="19">
          <cell r="G19" t="str">
            <v>其他</v>
          </cell>
          <cell r="I19" t="str">
            <v>负一楼C07A帅康</v>
          </cell>
          <cell r="J19" t="str">
            <v>供应商</v>
          </cell>
          <cell r="P19" t="str">
            <v>iPhone 17 Pro Max 256GB 银色</v>
          </cell>
          <cell r="Q19" t="str">
            <v>苹果</v>
          </cell>
          <cell r="S19">
            <v>35</v>
          </cell>
          <cell r="U19">
            <v>312830</v>
          </cell>
        </row>
        <row r="20">
          <cell r="I20" t="str">
            <v>大冠2C08</v>
          </cell>
          <cell r="J20" t="str">
            <v>供应商</v>
          </cell>
          <cell r="P20" t="str">
            <v>荣耀平板X10 NDL2W09 6+128星空灰</v>
          </cell>
          <cell r="Q20" t="str">
            <v>平板</v>
          </cell>
          <cell r="S20">
            <v>30</v>
          </cell>
          <cell r="U20">
            <v>31392.29</v>
          </cell>
        </row>
        <row r="21">
          <cell r="I21" t="str">
            <v>晨晨</v>
          </cell>
          <cell r="J21" t="str">
            <v>供应商</v>
          </cell>
          <cell r="P21" t="str">
            <v>联想平板拯救者Y700 五代 12+256 星光紫WIFI</v>
          </cell>
          <cell r="Q21" t="str">
            <v>联想</v>
          </cell>
          <cell r="S21">
            <v>57</v>
          </cell>
          <cell r="U21">
            <v>171427.5</v>
          </cell>
        </row>
        <row r="22">
          <cell r="I22" t="str">
            <v>北京沙涛</v>
          </cell>
          <cell r="J22" t="str">
            <v>供应商</v>
          </cell>
          <cell r="P22" t="str">
            <v>联想平板拯救者Y700 五代 16+512 星光紫WIFI</v>
          </cell>
          <cell r="Q22" t="str">
            <v>联想</v>
          </cell>
          <cell r="S22">
            <v>20</v>
          </cell>
          <cell r="U22">
            <v>72600</v>
          </cell>
        </row>
        <row r="23">
          <cell r="I23" t="str">
            <v>祺鑫</v>
          </cell>
          <cell r="J23" t="str">
            <v>供应商</v>
          </cell>
          <cell r="P23" t="str">
            <v>联想平板拯救者Y700 五代世界杯 12+256 莱茵绿WIFI</v>
          </cell>
          <cell r="Q23" t="str">
            <v>联想</v>
          </cell>
          <cell r="S23">
            <v>87</v>
          </cell>
          <cell r="U23">
            <v>287100</v>
          </cell>
        </row>
        <row r="24">
          <cell r="I24" t="str">
            <v>郑州大富19栋1</v>
          </cell>
          <cell r="J24" t="str">
            <v>供应商</v>
          </cell>
          <cell r="P24" t="str">
            <v>联想平板拯救者Y700 DNF手游勇士版12+512</v>
          </cell>
          <cell r="Q24" t="str">
            <v>联想</v>
          </cell>
          <cell r="S24">
            <v>75</v>
          </cell>
          <cell r="U24">
            <v>257700</v>
          </cell>
        </row>
        <row r="25">
          <cell r="I25" t="str">
            <v>1C33烽火</v>
          </cell>
          <cell r="J25" t="str">
            <v>供应商</v>
          </cell>
          <cell r="P25" t="str">
            <v>联想平板拯救者Y700 五代世界杯 16+512 莱茵绿WIFI</v>
          </cell>
          <cell r="Q25" t="str">
            <v>联想</v>
          </cell>
          <cell r="S25">
            <v>85</v>
          </cell>
          <cell r="U25">
            <v>327250</v>
          </cell>
        </row>
        <row r="26">
          <cell r="I26" t="str">
            <v>安静365B15</v>
          </cell>
          <cell r="J26" t="str">
            <v>供应商</v>
          </cell>
          <cell r="P26" t="str">
            <v>联想平板拯救者Y900 11+手写笔+键盘套装12+512白色</v>
          </cell>
          <cell r="Q26" t="str">
            <v>联想</v>
          </cell>
          <cell r="S26">
            <v>21</v>
          </cell>
          <cell r="U26">
            <v>68599.99</v>
          </cell>
        </row>
        <row r="27">
          <cell r="I27" t="str">
            <v>大汉通讯A6-21</v>
          </cell>
          <cell r="J27" t="str">
            <v>供应商</v>
          </cell>
          <cell r="P27" t="str">
            <v>联想平板拯救者Y900 11+手写笔+键盘套装12+512黑色</v>
          </cell>
          <cell r="Q27" t="str">
            <v>联想</v>
          </cell>
          <cell r="S27">
            <v>40</v>
          </cell>
          <cell r="U27">
            <v>130558.14</v>
          </cell>
        </row>
        <row r="28">
          <cell r="I28" t="str">
            <v>贺培</v>
          </cell>
          <cell r="J28" t="str">
            <v>供应商</v>
          </cell>
          <cell r="P28" t="str">
            <v>联想平板拯救者Y900 11+手写笔+键盘套装12+256白色 WIFI</v>
          </cell>
          <cell r="Q28" t="str">
            <v>联想</v>
          </cell>
          <cell r="S28">
            <v>32</v>
          </cell>
          <cell r="U28">
            <v>92160</v>
          </cell>
        </row>
        <row r="29">
          <cell r="I29" t="str">
            <v>博伦通讯C40</v>
          </cell>
          <cell r="J29" t="str">
            <v>供应商</v>
          </cell>
          <cell r="P29" t="str">
            <v>联想平板拯救者Y900 11+手写笔+键盘套装12+256碳晶黑 WIFI</v>
          </cell>
          <cell r="Q29" t="str">
            <v>联想</v>
          </cell>
          <cell r="S29">
            <v>48</v>
          </cell>
          <cell r="U29">
            <v>138240</v>
          </cell>
        </row>
        <row r="30">
          <cell r="I30" t="str">
            <v>365-D08星扬李森洋</v>
          </cell>
          <cell r="J30" t="str">
            <v>供应商</v>
          </cell>
          <cell r="P30" t="str">
            <v>联想平板 拯救者Y900 13 16+512白 WIFI</v>
          </cell>
          <cell r="Q30" t="str">
            <v>联想</v>
          </cell>
          <cell r="S30">
            <v>53</v>
          </cell>
          <cell r="U30">
            <v>179140</v>
          </cell>
        </row>
        <row r="31">
          <cell r="I31" t="str">
            <v>月亮4D06</v>
          </cell>
          <cell r="J31" t="str">
            <v>供应商</v>
          </cell>
          <cell r="P31" t="str">
            <v>联想拯救者Y900 11 8+128WIFI白色</v>
          </cell>
          <cell r="Q31" t="str">
            <v>平板</v>
          </cell>
          <cell r="S31">
            <v>76</v>
          </cell>
          <cell r="U31">
            <v>143848.05</v>
          </cell>
        </row>
        <row r="32">
          <cell r="I32" t="str">
            <v>麦田 3110</v>
          </cell>
          <cell r="J32" t="str">
            <v>供应商</v>
          </cell>
          <cell r="P32" t="str">
            <v>联想小新Pad Pro（二代）8+128灰色</v>
          </cell>
          <cell r="Q32" t="str">
            <v>联想</v>
          </cell>
          <cell r="S32">
            <v>4</v>
          </cell>
          <cell r="U32">
            <v>4860</v>
          </cell>
        </row>
        <row r="33">
          <cell r="I33" t="str">
            <v>1B47无忧</v>
          </cell>
          <cell r="J33" t="str">
            <v>供应商</v>
          </cell>
          <cell r="P33" t="str">
            <v>联想拯救者Y700平板五代碳晶黑,12GB+256GB,Wifi版</v>
          </cell>
          <cell r="Q33" t="str">
            <v>平板</v>
          </cell>
          <cell r="S33">
            <v>288</v>
          </cell>
          <cell r="U33">
            <v>858119.56</v>
          </cell>
        </row>
        <row r="34">
          <cell r="I34" t="str">
            <v>A6-18 19 信畅</v>
          </cell>
          <cell r="J34" t="str">
            <v>供应商</v>
          </cell>
          <cell r="P34" t="str">
            <v>联想拯救者Y900电竞平板旗舰版白色 冰魄白,8GB+256GB,Wifi版</v>
          </cell>
          <cell r="Q34" t="str">
            <v>平板</v>
          </cell>
          <cell r="S34">
            <v>25</v>
          </cell>
          <cell r="U34">
            <v>60516.8</v>
          </cell>
        </row>
        <row r="35">
          <cell r="I35" t="str">
            <v>小东南</v>
          </cell>
          <cell r="J35" t="str">
            <v>供应商</v>
          </cell>
          <cell r="P35" t="str">
            <v>联想拯救者Y900电竞平板旗舰版深灰色 碳晶黑,8GB+256GB,Wifi版</v>
          </cell>
          <cell r="Q35" t="str">
            <v>平板</v>
          </cell>
          <cell r="S35">
            <v>16</v>
          </cell>
          <cell r="U35">
            <v>38778.18</v>
          </cell>
        </row>
        <row r="36">
          <cell r="I36" t="str">
            <v>拼多多买家</v>
          </cell>
          <cell r="J36" t="str">
            <v>客户</v>
          </cell>
          <cell r="K36" t="str">
            <v>线上</v>
          </cell>
          <cell r="P36" t="str">
            <v>联想拯救者Y700四代 8.8英寸AI游戏平板 骁龙8至尊版碳晶黑,16GB+512GB,Wifi版</v>
          </cell>
          <cell r="Q36" t="str">
            <v>联想</v>
          </cell>
          <cell r="S36">
            <v>116</v>
          </cell>
          <cell r="U36">
            <v>314472.71</v>
          </cell>
        </row>
        <row r="37">
          <cell r="I37" t="str">
            <v>北京联硕民（拼多多）</v>
          </cell>
          <cell r="J37" t="str">
            <v>客户</v>
          </cell>
          <cell r="K37" t="str">
            <v>线上</v>
          </cell>
          <cell r="P37" t="str">
            <v>联想拯救者Y700四代 8.8英寸AI游戏平板 骁龙8至尊版冰魄白,16GB+512GB,Wifi版</v>
          </cell>
          <cell r="Q37" t="str">
            <v>平板</v>
          </cell>
          <cell r="S37">
            <v>119</v>
          </cell>
          <cell r="U37">
            <v>319730.29</v>
          </cell>
        </row>
        <row r="38">
          <cell r="I38" t="str">
            <v>沈艳岗</v>
          </cell>
          <cell r="J38" t="str">
            <v>客户</v>
          </cell>
          <cell r="K38" t="str">
            <v>线下</v>
          </cell>
          <cell r="P38" t="str">
            <v>联想拯救Y700五代第五代骁龙8.8英寸16+512白wifi</v>
          </cell>
          <cell r="Q38" t="str">
            <v>平板</v>
          </cell>
          <cell r="S38">
            <v>28</v>
          </cell>
          <cell r="U38">
            <v>104160</v>
          </cell>
        </row>
        <row r="39">
          <cell r="I39" t="str">
            <v>铝镁3-2-1  党新华</v>
          </cell>
          <cell r="J39" t="str">
            <v>客户</v>
          </cell>
          <cell r="K39" t="str">
            <v>线下</v>
          </cell>
          <cell r="P39" t="str">
            <v>联想拯救Y700五代第五代骁龙8.8英寸12+256白wifi</v>
          </cell>
          <cell r="Q39" t="str">
            <v>平板</v>
          </cell>
          <cell r="S39">
            <v>101</v>
          </cell>
          <cell r="U39">
            <v>294263.14</v>
          </cell>
        </row>
        <row r="40">
          <cell r="I40" t="str">
            <v>白佳豪</v>
          </cell>
          <cell r="J40" t="str">
            <v>客户</v>
          </cell>
          <cell r="K40" t="str">
            <v>线下</v>
          </cell>
          <cell r="P40" t="str">
            <v>联想手写笔Pro（第二代）AP602U</v>
          </cell>
          <cell r="Q40" t="str">
            <v>配件</v>
          </cell>
          <cell r="S40">
            <v>196</v>
          </cell>
          <cell r="U40">
            <v>51719.52</v>
          </cell>
        </row>
        <row r="41">
          <cell r="I41" t="str">
            <v>硅谷广场五楼 c5-68 王毅 18037150215</v>
          </cell>
          <cell r="J41" t="str">
            <v>客户</v>
          </cell>
          <cell r="K41" t="str">
            <v>线下</v>
          </cell>
          <cell r="P41" t="str">
            <v>华硕主机内存条32G</v>
          </cell>
          <cell r="Q41" t="str">
            <v>配件</v>
          </cell>
          <cell r="S41">
            <v>4</v>
          </cell>
          <cell r="U41">
            <v>9200</v>
          </cell>
        </row>
        <row r="42">
          <cell r="I42" t="str">
            <v>刘林航</v>
          </cell>
          <cell r="J42" t="str">
            <v>客户</v>
          </cell>
          <cell r="K42" t="str">
            <v>线下</v>
          </cell>
          <cell r="P42" t="str">
            <v>华硕主机内存条16G</v>
          </cell>
          <cell r="Q42" t="str">
            <v>配件</v>
          </cell>
          <cell r="S42">
            <v>279</v>
          </cell>
          <cell r="U42">
            <v>320850</v>
          </cell>
        </row>
        <row r="43">
          <cell r="I43" t="str">
            <v>郑州誉忆商贸商行（个人独资）</v>
          </cell>
          <cell r="J43" t="str">
            <v>客户</v>
          </cell>
          <cell r="K43" t="str">
            <v>线下</v>
          </cell>
          <cell r="P43" t="str">
            <v>华硕主机破晓6X-S501SER</v>
          </cell>
          <cell r="Q43" t="str">
            <v>华硕</v>
          </cell>
          <cell r="S43">
            <v>147</v>
          </cell>
          <cell r="U43">
            <v>102900</v>
          </cell>
        </row>
        <row r="44">
          <cell r="I44" t="str">
            <v>2d23雯雯</v>
          </cell>
          <cell r="J44" t="str">
            <v>客户</v>
          </cell>
          <cell r="K44" t="str">
            <v>线下</v>
          </cell>
          <cell r="P44" t="str">
            <v>天选6Pro FX608LM235 U5-235HX-16G-512G-RTX5060-高色域1K屏幕-青</v>
          </cell>
          <cell r="Q44" t="str">
            <v>华硕</v>
          </cell>
          <cell r="S44">
            <v>72</v>
          </cell>
          <cell r="U44">
            <v>514781.13</v>
          </cell>
        </row>
        <row r="45">
          <cell r="I45" t="str">
            <v>通讯新天地2A12顾朝红136 1380 0915</v>
          </cell>
          <cell r="J45" t="str">
            <v>客户</v>
          </cell>
          <cell r="K45" t="str">
            <v>线下</v>
          </cell>
          <cell r="P45" t="str">
            <v>天选6Pro FX608LM235 U5-235HX-16G-512G-RTX5060-2.5K-灰</v>
          </cell>
          <cell r="Q45" t="str">
            <v>华硕</v>
          </cell>
          <cell r="S45">
            <v>8</v>
          </cell>
          <cell r="U45">
            <v>63950.4</v>
          </cell>
        </row>
        <row r="46">
          <cell r="I46" t="str">
            <v>郑州海俊电子（汇宝大厦1704）</v>
          </cell>
          <cell r="J46" t="str">
            <v>客户</v>
          </cell>
          <cell r="K46" t="str">
            <v>线下</v>
          </cell>
          <cell r="P46" t="str">
            <v>DJI OSMO MOBILE 7P 手机云台</v>
          </cell>
          <cell r="Q46" t="str">
            <v>大疆</v>
          </cell>
          <cell r="S46">
            <v>1944</v>
          </cell>
          <cell r="U46">
            <v>985192.57</v>
          </cell>
        </row>
        <row r="47">
          <cell r="B47" t="str">
            <v>订单收入</v>
          </cell>
          <cell r="C47" t="str">
            <v>店铺回款</v>
          </cell>
          <cell r="I47" t="str">
            <v>王元中</v>
          </cell>
          <cell r="J47" t="str">
            <v>客户</v>
          </cell>
          <cell r="K47" t="str">
            <v>线下</v>
          </cell>
          <cell r="P47" t="str">
            <v>华硕无畏16SE 2026款 C5-320-16+512 1K 144hz 2.5k银</v>
          </cell>
          <cell r="Q47" t="str">
            <v>华硕</v>
          </cell>
          <cell r="S47">
            <v>3</v>
          </cell>
          <cell r="U47">
            <v>13890</v>
          </cell>
        </row>
        <row r="48">
          <cell r="B48" t="str">
            <v>优惠券结算</v>
          </cell>
          <cell r="C48" t="str">
            <v>店铺回款</v>
          </cell>
          <cell r="I48" t="str">
            <v>郑州精宽商贸商行（个人独资）</v>
          </cell>
          <cell r="J48" t="str">
            <v>客户</v>
          </cell>
          <cell r="K48" t="str">
            <v>线下</v>
          </cell>
          <cell r="P48" t="str">
            <v>联想小新Air15 2026 Core5 320/16GB/512GB灰色</v>
          </cell>
          <cell r="Q48" t="str">
            <v>联想</v>
          </cell>
          <cell r="S48">
            <v>19</v>
          </cell>
          <cell r="U48">
            <v>87970</v>
          </cell>
        </row>
        <row r="49">
          <cell r="B49" t="str">
            <v>交易退款</v>
          </cell>
          <cell r="C49" t="str">
            <v>店铺回款</v>
          </cell>
          <cell r="I49" t="str">
            <v>郭群（山东）</v>
          </cell>
          <cell r="J49" t="str">
            <v>客户</v>
          </cell>
          <cell r="K49" t="str">
            <v>线下</v>
          </cell>
          <cell r="P49" t="str">
            <v>联想小新16 R7-255 16G 512  120Hz</v>
          </cell>
          <cell r="Q49" t="str">
            <v>联想</v>
          </cell>
          <cell r="S49">
            <v>31</v>
          </cell>
          <cell r="U49">
            <v>141812.42</v>
          </cell>
        </row>
        <row r="50">
          <cell r="B50" t="str">
            <v>退款扣优惠券</v>
          </cell>
          <cell r="C50" t="str">
            <v>店铺回款</v>
          </cell>
          <cell r="I50" t="str">
            <v>费德丽(北京）</v>
          </cell>
          <cell r="J50" t="str">
            <v>客户</v>
          </cell>
          <cell r="K50" t="str">
            <v>线下</v>
          </cell>
          <cell r="P50" t="str">
            <v>联想小新16 R7-255 16G 512  60Hz</v>
          </cell>
          <cell r="Q50" t="str">
            <v>联想</v>
          </cell>
          <cell r="S50">
            <v>43</v>
          </cell>
          <cell r="U50">
            <v>166054.43</v>
          </cell>
        </row>
        <row r="51">
          <cell r="B51" t="str">
            <v>基础技术服务费</v>
          </cell>
          <cell r="C51" t="str">
            <v>技术服务费</v>
          </cell>
          <cell r="I51" t="str">
            <v>A3-26锦淇通讯</v>
          </cell>
          <cell r="J51" t="str">
            <v>客户</v>
          </cell>
          <cell r="K51" t="str">
            <v>线下</v>
          </cell>
          <cell r="P51" t="str">
            <v>联想小新16C R7-8745Hs 16 512 灰色</v>
          </cell>
          <cell r="Q51" t="str">
            <v>联想</v>
          </cell>
          <cell r="S51">
            <v>7</v>
          </cell>
          <cell r="U51">
            <v>30180</v>
          </cell>
        </row>
        <row r="52">
          <cell r="B52" t="str">
            <v>百亿补贴技术服务费</v>
          </cell>
          <cell r="C52" t="str">
            <v>技术服务费</v>
          </cell>
          <cell r="I52" t="str">
            <v>负一楼a3-26</v>
          </cell>
          <cell r="J52" t="str">
            <v>客户</v>
          </cell>
          <cell r="K52" t="str">
            <v>线下</v>
          </cell>
          <cell r="P52" t="str">
            <v>联想小新Air14Ultra5-228V 120Hz 灰色,32GB,1TB SSD,官方标配</v>
          </cell>
          <cell r="Q52" t="str">
            <v>联想</v>
          </cell>
          <cell r="S52">
            <v>18</v>
          </cell>
          <cell r="U52">
            <v>124656</v>
          </cell>
        </row>
        <row r="53">
          <cell r="B53" t="str">
            <v>技术服务费返还</v>
          </cell>
          <cell r="C53" t="str">
            <v>技术服务费</v>
          </cell>
          <cell r="I53" t="str">
            <v>闲鱼散户</v>
          </cell>
          <cell r="J53" t="str">
            <v>客户</v>
          </cell>
          <cell r="K53" t="str">
            <v>线下</v>
          </cell>
          <cell r="P53" t="str">
            <v>联想小新Pro14 Ultra5-336H/32GB/1TB/集显</v>
          </cell>
          <cell r="Q53" t="str">
            <v>联想</v>
          </cell>
          <cell r="S53">
            <v>8</v>
          </cell>
          <cell r="U53">
            <v>58600</v>
          </cell>
        </row>
        <row r="54">
          <cell r="B54" t="str">
            <v>补贴汇入</v>
          </cell>
          <cell r="C54" t="str">
            <v>平台补贴</v>
          </cell>
          <cell r="I54" t="str">
            <v>硅谷广场二号门联想S046瑞达</v>
          </cell>
          <cell r="J54" t="str">
            <v>客户</v>
          </cell>
          <cell r="K54" t="str">
            <v>线下</v>
          </cell>
          <cell r="P54" t="str">
            <v>小新14C R7-8745Hs-16G-512G-灰色</v>
          </cell>
          <cell r="Q54" t="str">
            <v>联想</v>
          </cell>
          <cell r="S54">
            <v>15</v>
          </cell>
          <cell r="U54">
            <v>60707.14</v>
          </cell>
        </row>
        <row r="55">
          <cell r="B55" t="str">
            <v>消费者体验提升计划</v>
          </cell>
          <cell r="C55" t="str">
            <v>体验计划</v>
          </cell>
          <cell r="I55" t="str">
            <v>上海奕欣柯艺阳</v>
          </cell>
          <cell r="J55" t="str">
            <v>客户</v>
          </cell>
          <cell r="K55" t="str">
            <v>线下</v>
          </cell>
          <cell r="P55" t="str">
            <v>华硕主机固态硬盘1T</v>
          </cell>
          <cell r="Q55" t="str">
            <v>配件</v>
          </cell>
          <cell r="S55">
            <v>70</v>
          </cell>
          <cell r="U55">
            <v>61600</v>
          </cell>
        </row>
        <row r="56">
          <cell r="B56" t="str">
            <v>售后补偿</v>
          </cell>
          <cell r="C56" t="str">
            <v>售后补偿</v>
          </cell>
          <cell r="I56" t="str">
            <v>新延</v>
          </cell>
          <cell r="J56" t="str">
            <v>客户</v>
          </cell>
          <cell r="K56" t="str">
            <v>线下</v>
          </cell>
          <cell r="P56" t="str">
            <v>联想小新Pro16 GT 酷睿版 Ultra5 225H 32GB+1TB</v>
          </cell>
          <cell r="Q56" t="str">
            <v>联想</v>
          </cell>
          <cell r="S56">
            <v>18</v>
          </cell>
          <cell r="U56">
            <v>131324.21</v>
          </cell>
        </row>
        <row r="57">
          <cell r="B57" t="str">
            <v>申诉补回</v>
          </cell>
          <cell r="C57" t="str">
            <v>售后补偿</v>
          </cell>
          <cell r="I57" t="str">
            <v>张磊</v>
          </cell>
          <cell r="J57" t="str">
            <v>客户</v>
          </cell>
          <cell r="K57" t="str">
            <v>线下</v>
          </cell>
          <cell r="P57" t="str">
            <v>天选6 FA608UH260-锐龙7H260-16G-1T-RTX5050-青</v>
          </cell>
          <cell r="Q57" t="str">
            <v>华硕</v>
          </cell>
          <cell r="S57">
            <v>35</v>
          </cell>
          <cell r="U57">
            <v>231623.17</v>
          </cell>
        </row>
        <row r="58">
          <cell r="B58" t="str">
            <v>提现</v>
          </cell>
          <cell r="C58" t="str">
            <v>提现</v>
          </cell>
          <cell r="I58" t="str">
            <v>何龙</v>
          </cell>
          <cell r="J58" t="str">
            <v>客户</v>
          </cell>
          <cell r="K58" t="str">
            <v>线下</v>
          </cell>
          <cell r="P58" t="str">
            <v>天选6Pro FA608PM8940-锐龙9 R9-8940HX-16G-1T-RTX5060-2.5K-青</v>
          </cell>
          <cell r="Q58" t="str">
            <v>华硕</v>
          </cell>
          <cell r="S58">
            <v>136</v>
          </cell>
          <cell r="U58">
            <v>1037909.79</v>
          </cell>
        </row>
        <row r="59">
          <cell r="I59" t="str">
            <v>山东WoHi</v>
          </cell>
          <cell r="J59" t="str">
            <v>客户</v>
          </cell>
          <cell r="K59" t="str">
            <v>线下</v>
          </cell>
          <cell r="P59" t="str">
            <v>天选6Pro FX608JP13650 I7-13650HX-16G-1TB-5070-8G-灰165Hz</v>
          </cell>
          <cell r="Q59" t="str">
            <v>华硕</v>
          </cell>
          <cell r="S59">
            <v>16</v>
          </cell>
          <cell r="U59">
            <v>133543.53</v>
          </cell>
        </row>
        <row r="60">
          <cell r="I60" t="str">
            <v>成都泛海</v>
          </cell>
          <cell r="J60" t="str">
            <v>客户</v>
          </cell>
          <cell r="K60" t="str">
            <v>线下</v>
          </cell>
          <cell r="P60" t="str">
            <v>天选6 FA608UH260-锐龙7-16G-512G-RTX5050-高色域-灰</v>
          </cell>
          <cell r="Q60" t="str">
            <v>华硕</v>
          </cell>
          <cell r="S60">
            <v>87</v>
          </cell>
          <cell r="U60">
            <v>523018.92</v>
          </cell>
        </row>
        <row r="61">
          <cell r="I61" t="str">
            <v>联想&amp;华为批发裕晨王涛13223063127</v>
          </cell>
          <cell r="J61" t="str">
            <v>客户</v>
          </cell>
          <cell r="K61" t="str">
            <v>线下</v>
          </cell>
          <cell r="P61" t="str">
            <v>来酷斗战者-战7000P 锐龙9 R9-8940HX-16G-512G-RTX5060</v>
          </cell>
          <cell r="Q61" t="str">
            <v>联想</v>
          </cell>
          <cell r="S61">
            <v>8</v>
          </cell>
          <cell r="U61">
            <v>68610</v>
          </cell>
        </row>
        <row r="62">
          <cell r="I62" t="str">
            <v>2c56</v>
          </cell>
          <cell r="J62" t="str">
            <v>客户</v>
          </cell>
          <cell r="K62" t="str">
            <v>线下</v>
          </cell>
          <cell r="P62" t="str">
            <v>电脑配件</v>
          </cell>
          <cell r="U62">
            <v>0</v>
          </cell>
        </row>
        <row r="63">
          <cell r="I63" t="str">
            <v>365商务区212恒晟</v>
          </cell>
          <cell r="J63" t="str">
            <v>客户</v>
          </cell>
          <cell r="K63" t="str">
            <v>线下</v>
          </cell>
          <cell r="P63" t="str">
            <v>联想小新16c I5-13420H 16+512灰</v>
          </cell>
          <cell r="Q63" t="str">
            <v>联想</v>
          </cell>
          <cell r="U63">
            <v>0</v>
          </cell>
        </row>
        <row r="64">
          <cell r="I64" t="str">
            <v>2C56誉达</v>
          </cell>
          <cell r="J64" t="str">
            <v>客户</v>
          </cell>
          <cell r="K64" t="str">
            <v>线下</v>
          </cell>
          <cell r="P64" t="str">
            <v>联想Y7000P U7-255H-16G-1T-RTX5060黑色（一手）</v>
          </cell>
          <cell r="Q64" t="str">
            <v>联想</v>
          </cell>
          <cell r="U64">
            <v>0</v>
          </cell>
        </row>
        <row r="65">
          <cell r="I65" t="str">
            <v>1C26</v>
          </cell>
          <cell r="J65" t="str">
            <v>客户</v>
          </cell>
          <cell r="K65" t="str">
            <v>线下</v>
          </cell>
          <cell r="P65" t="str">
            <v>联想平板Y900 13 12+256紫色WIFI</v>
          </cell>
          <cell r="Q65" t="str">
            <v>平板</v>
          </cell>
          <cell r="U65">
            <v>0</v>
          </cell>
        </row>
        <row r="66">
          <cell r="I66" t="str">
            <v>4C37</v>
          </cell>
          <cell r="J66" t="str">
            <v>客户</v>
          </cell>
          <cell r="K66" t="str">
            <v>线下</v>
          </cell>
          <cell r="P66" t="str">
            <v>联想平板Y900 11 12+256紫色WIFI</v>
          </cell>
          <cell r="Q66" t="str">
            <v>平板</v>
          </cell>
          <cell r="U66">
            <v>0</v>
          </cell>
        </row>
        <row r="67">
          <cell r="I67" t="str">
            <v>3a40晨曦</v>
          </cell>
          <cell r="J67" t="str">
            <v>客户</v>
          </cell>
          <cell r="K67" t="str">
            <v>线下</v>
          </cell>
          <cell r="P67" t="str">
            <v>联想Y9000P U9-275H-32G-1T-RTX5060白色（原封）</v>
          </cell>
          <cell r="Q67" t="str">
            <v>联想</v>
          </cell>
          <cell r="U67">
            <v>0</v>
          </cell>
        </row>
        <row r="68">
          <cell r="P68" t="str">
            <v>联想平板Y900 13寸保护套</v>
          </cell>
          <cell r="U68">
            <v>0</v>
          </cell>
        </row>
        <row r="69">
          <cell r="P69" t="str">
            <v>联想Y700 五代 8.8寸保护套</v>
          </cell>
          <cell r="U69">
            <v>0</v>
          </cell>
        </row>
        <row r="70">
          <cell r="P70" t="str">
            <v>联想Y9000P 14900 16G 1TB 5060白色（原封）</v>
          </cell>
          <cell r="Q70" t="str">
            <v>联想</v>
          </cell>
          <cell r="U70">
            <v>0</v>
          </cell>
        </row>
        <row r="71">
          <cell r="P71" t="str">
            <v>联想Y9000P 14900 16G 1TB 5070黑色（原封）</v>
          </cell>
          <cell r="Q71" t="str">
            <v>联想</v>
          </cell>
          <cell r="U71">
            <v>0</v>
          </cell>
        </row>
        <row r="72">
          <cell r="P72" t="str">
            <v>联想Y7000P U7-255H-32G-1T-RTX5060黑色（一手）</v>
          </cell>
          <cell r="Q72" t="str">
            <v>联想</v>
          </cell>
          <cell r="U72">
            <v>0</v>
          </cell>
        </row>
        <row r="73">
          <cell r="P73" t="str">
            <v>联想Y900 11寸 12+256白色</v>
          </cell>
          <cell r="Q73" t="str">
            <v>联想</v>
          </cell>
          <cell r="U73">
            <v>0</v>
          </cell>
        </row>
        <row r="74">
          <cell r="P74" t="str">
            <v>联想Y900 11寸 12+256黑色</v>
          </cell>
          <cell r="Q74" t="str">
            <v>联想</v>
          </cell>
          <cell r="U74">
            <v>0</v>
          </cell>
        </row>
        <row r="75">
          <cell r="P75" t="str">
            <v>无畏16SE S3652MA320  CORE 5 320 16G 512G 银色</v>
          </cell>
          <cell r="U75">
            <v>0</v>
          </cell>
        </row>
      </sheetData>
      <sheetData sheetId="1">
        <row r="4">
          <cell r="B4" t="str">
            <v>拼多多店铺余额</v>
          </cell>
          <cell r="H4">
            <v>100000</v>
          </cell>
          <cell r="I4" t="str">
            <v>招商银行</v>
          </cell>
          <cell r="M4" t="str">
            <v>内部转账</v>
          </cell>
          <cell r="N4">
            <v>202609</v>
          </cell>
        </row>
      </sheetData>
      <sheetData sheetId="2">
        <row r="4">
          <cell r="D4" t="str">
            <v>智慧城娟娟音响广播大屏监控</v>
          </cell>
          <cell r="I4" t="str">
            <v>电脑配件</v>
          </cell>
          <cell r="U4">
            <v>194571.09</v>
          </cell>
          <cell r="V4">
            <v>2043</v>
          </cell>
        </row>
        <row r="5">
          <cell r="D5" t="str">
            <v>智慧城娟娟音响广播大屏监控</v>
          </cell>
          <cell r="I5" t="str">
            <v>电脑配件</v>
          </cell>
          <cell r="U5">
            <v>7730</v>
          </cell>
          <cell r="V5">
            <v>81.17</v>
          </cell>
        </row>
        <row r="6">
          <cell r="D6" t="str">
            <v>菲菲</v>
          </cell>
          <cell r="I6" t="str">
            <v>联想小新16c I5-13420H 16+512灰</v>
          </cell>
          <cell r="U6">
            <v>59</v>
          </cell>
          <cell r="V6">
            <v>295590</v>
          </cell>
        </row>
        <row r="7">
          <cell r="D7" t="str">
            <v>智慧城娟娟音响广播大屏监控</v>
          </cell>
          <cell r="I7" t="str">
            <v>电脑配件</v>
          </cell>
          <cell r="U7">
            <v>153048.85</v>
          </cell>
          <cell r="V7">
            <v>1607.01</v>
          </cell>
        </row>
        <row r="8">
          <cell r="D8" t="str">
            <v>智慧城娟娟音响广播大屏监控</v>
          </cell>
          <cell r="I8" t="str">
            <v>电脑配件</v>
          </cell>
          <cell r="U8">
            <v>14000</v>
          </cell>
          <cell r="V8">
            <v>161</v>
          </cell>
        </row>
        <row r="9">
          <cell r="D9" t="str">
            <v>新天地负一B10</v>
          </cell>
          <cell r="I9" t="str">
            <v>小新Pro16 2026 Ultra7-356H/32GB/1TB</v>
          </cell>
          <cell r="U9">
            <v>2</v>
          </cell>
          <cell r="V9">
            <v>16460</v>
          </cell>
        </row>
        <row r="10">
          <cell r="D10" t="str">
            <v>3A37国王</v>
          </cell>
          <cell r="I10" t="str">
            <v>小新Pro16 2026 Ultra7-356H/32GB/1TB</v>
          </cell>
          <cell r="U10">
            <v>1</v>
          </cell>
          <cell r="V10">
            <v>8220</v>
          </cell>
        </row>
        <row r="11">
          <cell r="D11" t="str">
            <v>新天地帅杰负一B08</v>
          </cell>
          <cell r="I11" t="str">
            <v>小新Pro16 2026 Ultra7-356H/32GB/1TB</v>
          </cell>
          <cell r="U11">
            <v>1</v>
          </cell>
          <cell r="V11">
            <v>8230</v>
          </cell>
        </row>
        <row r="12">
          <cell r="D12" t="str">
            <v>鹏鑫</v>
          </cell>
          <cell r="I12" t="str">
            <v>小新Pro16 2026 Ultra7-356H/32GB/1TB</v>
          </cell>
          <cell r="U12">
            <v>1</v>
          </cell>
          <cell r="V12">
            <v>8230</v>
          </cell>
        </row>
        <row r="13">
          <cell r="D13" t="str">
            <v>新天地2A51</v>
          </cell>
          <cell r="I13" t="str">
            <v>小新Pro16 2026 Ultra7-356H/32GB/1TB</v>
          </cell>
          <cell r="U13">
            <v>1</v>
          </cell>
          <cell r="V13">
            <v>8220</v>
          </cell>
        </row>
        <row r="14">
          <cell r="D14" t="str">
            <v>散户</v>
          </cell>
          <cell r="I14" t="str">
            <v>联想小新16 R7-255 16G 512  120Hz</v>
          </cell>
          <cell r="U14">
            <v>1</v>
          </cell>
          <cell r="V14">
            <v>5142</v>
          </cell>
        </row>
        <row r="15">
          <cell r="D15" t="str">
            <v>智慧城娟娟音响广播大屏监控</v>
          </cell>
          <cell r="I15" t="str">
            <v>电脑配件</v>
          </cell>
          <cell r="U15">
            <v>100165</v>
          </cell>
          <cell r="V15">
            <v>1051.73</v>
          </cell>
        </row>
        <row r="16">
          <cell r="D16" t="str">
            <v>韩宜僮</v>
          </cell>
          <cell r="I16" t="str">
            <v>联想小新16 R7-255 16G 512  120Hz</v>
          </cell>
          <cell r="U16">
            <v>2</v>
          </cell>
          <cell r="V16">
            <v>10484</v>
          </cell>
        </row>
        <row r="17">
          <cell r="D17" t="str">
            <v>智慧城娟娟音响广播大屏监控</v>
          </cell>
          <cell r="I17" t="str">
            <v>电脑配件</v>
          </cell>
          <cell r="U17">
            <v>52497</v>
          </cell>
          <cell r="V17">
            <v>551.22</v>
          </cell>
        </row>
        <row r="18">
          <cell r="D18" t="str">
            <v>智慧城娟娟音响广播大屏监控</v>
          </cell>
          <cell r="I18" t="str">
            <v>电脑配件</v>
          </cell>
          <cell r="U18">
            <v>139885</v>
          </cell>
          <cell r="V18">
            <v>1468.79</v>
          </cell>
        </row>
        <row r="19">
          <cell r="D19" t="str">
            <v>智慧城娟娟音响广播大屏监控</v>
          </cell>
          <cell r="I19" t="str">
            <v>电脑配件</v>
          </cell>
          <cell r="U19">
            <v>72445.01</v>
          </cell>
          <cell r="V19">
            <v>760.67</v>
          </cell>
        </row>
        <row r="20">
          <cell r="D20" t="str">
            <v>智慧城娟娟音响广播大屏监控</v>
          </cell>
          <cell r="I20" t="str">
            <v>电脑配件</v>
          </cell>
          <cell r="U20">
            <v>13100</v>
          </cell>
          <cell r="V20">
            <v>150.65</v>
          </cell>
        </row>
        <row r="21">
          <cell r="D21" t="str">
            <v>智慧城娟娟音响广播大屏监控</v>
          </cell>
          <cell r="I21" t="str">
            <v>电脑配件</v>
          </cell>
          <cell r="U21">
            <v>14500</v>
          </cell>
          <cell r="V21">
            <v>166.75</v>
          </cell>
        </row>
        <row r="22">
          <cell r="D22" t="str">
            <v>智慧城娟娟音响广播大屏监控</v>
          </cell>
          <cell r="I22" t="str">
            <v>电脑配件</v>
          </cell>
          <cell r="U22">
            <v>83571</v>
          </cell>
          <cell r="V22">
            <v>877.5</v>
          </cell>
        </row>
        <row r="23">
          <cell r="D23" t="str">
            <v>智慧城娟娟音响广播大屏监控</v>
          </cell>
          <cell r="I23" t="str">
            <v>电脑配件</v>
          </cell>
          <cell r="U23">
            <v>76858.5</v>
          </cell>
          <cell r="V23">
            <v>807.01</v>
          </cell>
        </row>
        <row r="24">
          <cell r="D24" t="str">
            <v>乱搞</v>
          </cell>
          <cell r="I24" t="str">
            <v>联想Y7000P U7-255H-16G-1T-RTX5060黑色（一手）</v>
          </cell>
          <cell r="U24">
            <v>53</v>
          </cell>
          <cell r="V24">
            <v>694300</v>
          </cell>
        </row>
        <row r="25">
          <cell r="D25" t="str">
            <v>张铭泉（泉哥）</v>
          </cell>
          <cell r="I25" t="str">
            <v>联想手写笔Pro（第二代）AP602U</v>
          </cell>
          <cell r="U25">
            <v>104</v>
          </cell>
          <cell r="V25">
            <v>28080</v>
          </cell>
        </row>
        <row r="26">
          <cell r="D26" t="str">
            <v>乱搞</v>
          </cell>
          <cell r="I26" t="str">
            <v>联想平板Y900 13 12+256紫色WIFI</v>
          </cell>
          <cell r="U26">
            <v>19</v>
          </cell>
          <cell r="V26">
            <v>49590</v>
          </cell>
        </row>
        <row r="27">
          <cell r="D27" t="str">
            <v>乱搞</v>
          </cell>
          <cell r="I27" t="str">
            <v>联想Y900 11 12+512黑色WIFI</v>
          </cell>
          <cell r="U27">
            <v>20</v>
          </cell>
          <cell r="V27">
            <v>49000</v>
          </cell>
        </row>
        <row r="28">
          <cell r="D28" t="str">
            <v>乱搞</v>
          </cell>
          <cell r="I28" t="str">
            <v>联想平板Y900 11 12+256紫色WIFI</v>
          </cell>
          <cell r="U28">
            <v>20</v>
          </cell>
          <cell r="V28">
            <v>46640</v>
          </cell>
        </row>
        <row r="29">
          <cell r="D29" t="str">
            <v>新天地帅杰负一B08</v>
          </cell>
          <cell r="I29" t="str">
            <v>联想小新Pro 16GT U5 338H 32+1T 灰</v>
          </cell>
          <cell r="U29">
            <v>1</v>
          </cell>
          <cell r="V29">
            <v>8800</v>
          </cell>
        </row>
        <row r="30">
          <cell r="D30" t="str">
            <v>负一楼A3-11龙康</v>
          </cell>
          <cell r="I30" t="str">
            <v>联想小新Pro 16GT U5 338H 32+1T 灰</v>
          </cell>
          <cell r="U30">
            <v>2</v>
          </cell>
          <cell r="V30">
            <v>18000</v>
          </cell>
        </row>
        <row r="31">
          <cell r="D31" t="str">
            <v>韩宜僮</v>
          </cell>
          <cell r="I31" t="str">
            <v>华硕无畏16SE 2026款 C5-320-16+512 1K 144hz 2.5k银</v>
          </cell>
          <cell r="U31">
            <v>3</v>
          </cell>
          <cell r="V31">
            <v>13890</v>
          </cell>
        </row>
        <row r="32">
          <cell r="D32" t="str">
            <v>乱搞</v>
          </cell>
          <cell r="I32" t="str">
            <v>联想Y9000P U9-275H-32G-1T-RTX5060白色（原封）</v>
          </cell>
          <cell r="U32">
            <v>14</v>
          </cell>
          <cell r="V32">
            <v>217000</v>
          </cell>
        </row>
        <row r="33">
          <cell r="D33" t="str">
            <v>乱搞</v>
          </cell>
          <cell r="I33" t="str">
            <v>联想拯救者Y700平板五代碳晶黑,12GB+256GB,Wifi版</v>
          </cell>
          <cell r="U33">
            <v>1</v>
          </cell>
          <cell r="V33">
            <v>3080</v>
          </cell>
        </row>
        <row r="34">
          <cell r="D34" t="str">
            <v>张铭泉（泉哥）</v>
          </cell>
          <cell r="I34" t="str">
            <v>联想拯救者Y900 11 8+128WIFI碳晶黑</v>
          </cell>
          <cell r="U34">
            <v>1</v>
          </cell>
          <cell r="V34">
            <v>1850</v>
          </cell>
        </row>
        <row r="35">
          <cell r="D35" t="str">
            <v>张铭泉（泉哥）</v>
          </cell>
          <cell r="I35" t="str">
            <v>联想拯救者Y900 11 8+128WIFI碳晶黑</v>
          </cell>
          <cell r="U35">
            <v>-1</v>
          </cell>
          <cell r="V35">
            <v>-1850</v>
          </cell>
        </row>
        <row r="36">
          <cell r="D36" t="str">
            <v>智慧城娟娟音响广播大屏监控</v>
          </cell>
          <cell r="I36" t="str">
            <v>电脑配件</v>
          </cell>
          <cell r="U36">
            <v>143796.42</v>
          </cell>
          <cell r="V36">
            <v>1509.86</v>
          </cell>
        </row>
        <row r="37">
          <cell r="D37" t="str">
            <v>智慧城娟娟音响广播大屏监控</v>
          </cell>
          <cell r="I37" t="str">
            <v>电脑配件</v>
          </cell>
          <cell r="U37">
            <v>13100</v>
          </cell>
          <cell r="V37">
            <v>137.55</v>
          </cell>
        </row>
        <row r="38">
          <cell r="D38" t="str">
            <v>新天地奕强A3-27</v>
          </cell>
          <cell r="I38" t="str">
            <v>联想小新Pro 16GT U5 338H 32+1T 灰</v>
          </cell>
          <cell r="U38">
            <v>1</v>
          </cell>
          <cell r="V38">
            <v>9030</v>
          </cell>
        </row>
        <row r="39">
          <cell r="D39" t="str">
            <v>郑州甜达姬艳恒</v>
          </cell>
          <cell r="I39" t="str">
            <v>联想小新Air14Ultra5-228V 120Hz 灰色,32GB,1TB SSD,官方标配</v>
          </cell>
          <cell r="U39">
            <v>2</v>
          </cell>
          <cell r="V39">
            <v>14600</v>
          </cell>
        </row>
        <row r="40">
          <cell r="D40" t="str">
            <v>智慧城娟娟音响广播大屏监控</v>
          </cell>
          <cell r="I40" t="str">
            <v>电脑配件</v>
          </cell>
          <cell r="U40">
            <v>265444.18</v>
          </cell>
          <cell r="V40">
            <v>2787.16</v>
          </cell>
        </row>
        <row r="41">
          <cell r="D41" t="str">
            <v>智慧城娟娟音响广播大屏监控</v>
          </cell>
          <cell r="I41" t="str">
            <v>电脑配件</v>
          </cell>
          <cell r="U41">
            <v>145166</v>
          </cell>
          <cell r="V41">
            <v>1524.24</v>
          </cell>
        </row>
        <row r="42">
          <cell r="D42" t="str">
            <v>散户</v>
          </cell>
          <cell r="I42" t="str">
            <v>联想平板Y900 13寸保护套</v>
          </cell>
          <cell r="U42">
            <v>17</v>
          </cell>
          <cell r="V42">
            <v>0.17</v>
          </cell>
        </row>
        <row r="43">
          <cell r="D43" t="str">
            <v>散户</v>
          </cell>
          <cell r="I43" t="str">
            <v>联想Y700 五代 8.8寸保护套</v>
          </cell>
          <cell r="U43">
            <v>71</v>
          </cell>
          <cell r="V43">
            <v>1562</v>
          </cell>
        </row>
        <row r="44">
          <cell r="D44" t="str">
            <v>负一楼C07A帅康</v>
          </cell>
          <cell r="I44" t="str">
            <v>联想小新Air14Ultra5-228V 120Hz 灰色,32GB,1TB SSD,官方标配</v>
          </cell>
          <cell r="U44">
            <v>1</v>
          </cell>
          <cell r="V44">
            <v>7280</v>
          </cell>
        </row>
        <row r="45">
          <cell r="D45" t="str">
            <v>负一楼A3-11龙康</v>
          </cell>
          <cell r="I45" t="str">
            <v>联想小新Pro 16GT U5 338H 32+1T 灰</v>
          </cell>
          <cell r="U45">
            <v>2</v>
          </cell>
          <cell r="V45">
            <v>18060</v>
          </cell>
        </row>
        <row r="46">
          <cell r="D46" t="str">
            <v>大冠2C08</v>
          </cell>
          <cell r="I46" t="str">
            <v>联想小新Air14Ultra5-228V 120Hz 灰色,32GB,1TB SSD,官方标配</v>
          </cell>
          <cell r="U46">
            <v>2</v>
          </cell>
          <cell r="V46">
            <v>14560</v>
          </cell>
        </row>
        <row r="47">
          <cell r="D47" t="str">
            <v>智慧城娟娟音响广播大屏监控</v>
          </cell>
          <cell r="I47" t="str">
            <v>电脑配件</v>
          </cell>
          <cell r="U47">
            <v>61600</v>
          </cell>
          <cell r="V47">
            <v>708.4</v>
          </cell>
        </row>
        <row r="48">
          <cell r="D48" t="str">
            <v>智慧城娟娟音响广播大屏监控</v>
          </cell>
          <cell r="I48" t="str">
            <v>电脑配件</v>
          </cell>
          <cell r="U48">
            <v>54000</v>
          </cell>
          <cell r="V48">
            <v>621</v>
          </cell>
        </row>
        <row r="49">
          <cell r="D49" t="str">
            <v>智慧城娟娟音响广播大屏监控</v>
          </cell>
          <cell r="I49" t="str">
            <v>电脑配件</v>
          </cell>
          <cell r="U49">
            <v>10888</v>
          </cell>
          <cell r="V49">
            <v>125.21</v>
          </cell>
        </row>
        <row r="50">
          <cell r="D50" t="str">
            <v>智慧城娟娟音响广播大屏监控</v>
          </cell>
          <cell r="I50" t="str">
            <v>电脑配件</v>
          </cell>
          <cell r="U50">
            <v>98028</v>
          </cell>
          <cell r="V50">
            <v>1029.29</v>
          </cell>
        </row>
        <row r="51">
          <cell r="D51" t="str">
            <v>乱搞</v>
          </cell>
          <cell r="I51" t="str">
            <v>联想手写笔Pro（第二代）AP602U</v>
          </cell>
          <cell r="U51">
            <v>110</v>
          </cell>
          <cell r="V51">
            <v>29700</v>
          </cell>
        </row>
        <row r="52">
          <cell r="D52" t="str">
            <v>智慧城娟娟音响广播大屏监控</v>
          </cell>
          <cell r="I52" t="str">
            <v>电脑配件</v>
          </cell>
          <cell r="U52">
            <v>12198</v>
          </cell>
          <cell r="V52">
            <v>140.28</v>
          </cell>
        </row>
        <row r="53">
          <cell r="D53" t="str">
            <v>智慧城娟娟音响广播大屏监控</v>
          </cell>
          <cell r="I53" t="str">
            <v>电脑配件</v>
          </cell>
          <cell r="U53">
            <v>122006</v>
          </cell>
          <cell r="V53">
            <v>1281.06</v>
          </cell>
        </row>
        <row r="54">
          <cell r="D54" t="str">
            <v>智慧城娟娟音响广播大屏监控</v>
          </cell>
          <cell r="I54" t="str">
            <v>电脑配件</v>
          </cell>
          <cell r="U54">
            <v>128580</v>
          </cell>
          <cell r="V54">
            <v>1350.09</v>
          </cell>
        </row>
        <row r="55">
          <cell r="D55" t="str">
            <v>负一楼A3-11龙康</v>
          </cell>
          <cell r="I55" t="str">
            <v>联想小新Pro 16GT U5 338H 32+1T 灰</v>
          </cell>
          <cell r="U55">
            <v>1</v>
          </cell>
          <cell r="V55">
            <v>9030</v>
          </cell>
        </row>
        <row r="56">
          <cell r="D56" t="str">
            <v>散户</v>
          </cell>
          <cell r="I56" t="str">
            <v>联想手写笔Pro（第二代）AP602U</v>
          </cell>
          <cell r="U56">
            <v>15</v>
          </cell>
          <cell r="V56">
            <v>3975</v>
          </cell>
        </row>
        <row r="57">
          <cell r="D57" t="str">
            <v>散户</v>
          </cell>
          <cell r="I57" t="str">
            <v>联想手写笔Pro（第二代）AP602U</v>
          </cell>
          <cell r="U57">
            <v>4</v>
          </cell>
          <cell r="V57">
            <v>1040</v>
          </cell>
        </row>
        <row r="58">
          <cell r="D58" t="str">
            <v>散户</v>
          </cell>
          <cell r="I58" t="str">
            <v>联想手写笔Pro（第二代）AP602U</v>
          </cell>
          <cell r="U58">
            <v>5</v>
          </cell>
          <cell r="V58">
            <v>1300</v>
          </cell>
        </row>
        <row r="59">
          <cell r="D59" t="str">
            <v>散户</v>
          </cell>
          <cell r="I59" t="str">
            <v>联想手写笔Pro（第二代）AP602U</v>
          </cell>
          <cell r="U59">
            <v>8</v>
          </cell>
          <cell r="V59">
            <v>2080</v>
          </cell>
        </row>
        <row r="60">
          <cell r="D60" t="str">
            <v>散户</v>
          </cell>
          <cell r="I60" t="str">
            <v>联想手写笔Pro（第二代）AP602U</v>
          </cell>
          <cell r="U60">
            <v>6</v>
          </cell>
          <cell r="V60">
            <v>1530</v>
          </cell>
        </row>
        <row r="61">
          <cell r="D61" t="str">
            <v>晨晨</v>
          </cell>
          <cell r="I61" t="str">
            <v>华硕无双M3452UA8845 16+512银色（原封）</v>
          </cell>
          <cell r="U61">
            <v>2</v>
          </cell>
          <cell r="V61">
            <v>9140</v>
          </cell>
        </row>
        <row r="62">
          <cell r="D62" t="str">
            <v>乱搞</v>
          </cell>
          <cell r="I62" t="str">
            <v>联想Y9000P U9-275H-32G-1T-RTX5060白色（原封）</v>
          </cell>
          <cell r="U62">
            <v>10</v>
          </cell>
          <cell r="V62">
            <v>163000</v>
          </cell>
        </row>
        <row r="63">
          <cell r="D63" t="str">
            <v>乱搞</v>
          </cell>
          <cell r="I63" t="str">
            <v>联想Y9000P 14900 16G 1TB 5060白色（原封）</v>
          </cell>
          <cell r="U63">
            <v>2</v>
          </cell>
          <cell r="V63">
            <v>30340</v>
          </cell>
        </row>
        <row r="64">
          <cell r="D64" t="str">
            <v>智慧城娟娟音响广播大屏监控</v>
          </cell>
          <cell r="I64" t="str">
            <v>电脑配件</v>
          </cell>
          <cell r="U64">
            <v>117926</v>
          </cell>
          <cell r="V64">
            <v>1238.22</v>
          </cell>
        </row>
        <row r="65">
          <cell r="D65" t="str">
            <v>智慧城娟娟音响广播大屏监控</v>
          </cell>
          <cell r="I65" t="str">
            <v>电脑配件</v>
          </cell>
          <cell r="U65">
            <v>128000</v>
          </cell>
          <cell r="V65">
            <v>1344</v>
          </cell>
        </row>
        <row r="66">
          <cell r="D66" t="str">
            <v>智慧城娟娟音响广播大屏监控</v>
          </cell>
          <cell r="I66" t="str">
            <v>电脑配件</v>
          </cell>
          <cell r="U66">
            <v>114101.64</v>
          </cell>
          <cell r="V66">
            <v>1198.07</v>
          </cell>
        </row>
        <row r="67">
          <cell r="D67" t="str">
            <v>晨晨</v>
          </cell>
          <cell r="I67" t="str">
            <v>华硕无双M3452UA8845 16+512银色（原封）</v>
          </cell>
          <cell r="U67">
            <v>6</v>
          </cell>
          <cell r="V67">
            <v>27420</v>
          </cell>
        </row>
        <row r="68">
          <cell r="D68" t="str">
            <v>乱搞</v>
          </cell>
          <cell r="I68" t="str">
            <v>联想平板Y900 11 12+256紫色WIFI</v>
          </cell>
          <cell r="U68">
            <v>10</v>
          </cell>
          <cell r="V68">
            <v>22040</v>
          </cell>
        </row>
        <row r="69">
          <cell r="D69" t="str">
            <v>智慧城娟娟音响广播大屏监控</v>
          </cell>
          <cell r="I69" t="str">
            <v>电脑配件</v>
          </cell>
          <cell r="U69">
            <v>15000</v>
          </cell>
          <cell r="V69">
            <v>172.5</v>
          </cell>
        </row>
        <row r="70">
          <cell r="D70" t="str">
            <v>晨晨</v>
          </cell>
          <cell r="I70" t="str">
            <v>华硕无双M3452UA8845 16+512银色（原封）</v>
          </cell>
          <cell r="U70">
            <v>10</v>
          </cell>
          <cell r="V70">
            <v>45700</v>
          </cell>
        </row>
        <row r="71">
          <cell r="D71" t="str">
            <v>散户</v>
          </cell>
          <cell r="I71" t="str">
            <v>联想手写笔Pro（第二代）AP602U</v>
          </cell>
          <cell r="U71">
            <v>4</v>
          </cell>
          <cell r="V71">
            <v>1020</v>
          </cell>
        </row>
        <row r="72">
          <cell r="D72" t="str">
            <v>散户</v>
          </cell>
          <cell r="I72" t="str">
            <v>联想手写笔Pro（第二代）AP602U</v>
          </cell>
          <cell r="U72">
            <v>1</v>
          </cell>
          <cell r="V72">
            <v>260</v>
          </cell>
        </row>
        <row r="73">
          <cell r="D73" t="str">
            <v>散户</v>
          </cell>
          <cell r="I73" t="str">
            <v>联想手写笔Pro（第二代）AP602U</v>
          </cell>
          <cell r="U73">
            <v>3</v>
          </cell>
          <cell r="V73">
            <v>780</v>
          </cell>
        </row>
        <row r="74">
          <cell r="D74" t="str">
            <v>散户</v>
          </cell>
          <cell r="I74" t="str">
            <v>联想手写笔Pro（第二代）AP602U</v>
          </cell>
          <cell r="U74">
            <v>10</v>
          </cell>
          <cell r="V74">
            <v>2550</v>
          </cell>
        </row>
        <row r="75">
          <cell r="D75" t="str">
            <v>北京沙涛</v>
          </cell>
          <cell r="I75" t="str">
            <v>联想拯救者Y700 五代 12+512 WIFI碳晶黑</v>
          </cell>
          <cell r="U75">
            <v>6</v>
          </cell>
          <cell r="V75">
            <v>20520</v>
          </cell>
        </row>
        <row r="76">
          <cell r="D76" t="str">
            <v>晨晨</v>
          </cell>
          <cell r="I76" t="str">
            <v>华硕无双M3452UA8845 16+512银色（原封）</v>
          </cell>
          <cell r="U76">
            <v>1</v>
          </cell>
          <cell r="V76">
            <v>4570</v>
          </cell>
        </row>
        <row r="77">
          <cell r="D77" t="str">
            <v>祺鑫</v>
          </cell>
          <cell r="I77" t="str">
            <v>联想小新Pro 16GT U5 338H 32+1T 灰</v>
          </cell>
          <cell r="U77">
            <v>1</v>
          </cell>
          <cell r="V77">
            <v>9030</v>
          </cell>
        </row>
        <row r="78">
          <cell r="D78" t="str">
            <v>郑州大富19栋1</v>
          </cell>
          <cell r="I78" t="str">
            <v>联想小新Pro 16GT U5 338H 32+1T 灰</v>
          </cell>
          <cell r="U78">
            <v>1</v>
          </cell>
          <cell r="V78">
            <v>9020</v>
          </cell>
        </row>
        <row r="79">
          <cell r="D79" t="str">
            <v>晨晨</v>
          </cell>
          <cell r="I79" t="str">
            <v>华硕无双M3452UA8845 16+512银色（原封）</v>
          </cell>
          <cell r="U79">
            <v>20</v>
          </cell>
          <cell r="V79">
            <v>91400</v>
          </cell>
        </row>
        <row r="80">
          <cell r="D80" t="str">
            <v>1C33烽火</v>
          </cell>
          <cell r="I80" t="str">
            <v>联想平板 拯救者Y900 13 极光紫16+512wifi</v>
          </cell>
          <cell r="U80">
            <v>4</v>
          </cell>
          <cell r="V80">
            <v>12400</v>
          </cell>
        </row>
        <row r="81">
          <cell r="D81" t="str">
            <v>安静365B15</v>
          </cell>
          <cell r="I81" t="str">
            <v>联想平板 拯救者Y900 13 极光紫16+512wifi</v>
          </cell>
          <cell r="U81">
            <v>1</v>
          </cell>
          <cell r="V81">
            <v>3100</v>
          </cell>
        </row>
        <row r="82">
          <cell r="D82" t="str">
            <v>大汉通讯A6-21</v>
          </cell>
          <cell r="I82" t="str">
            <v>联想平板 拯救者Y900 13 极光紫16+512wifi</v>
          </cell>
          <cell r="U82">
            <v>2</v>
          </cell>
          <cell r="V82">
            <v>6200</v>
          </cell>
        </row>
        <row r="83">
          <cell r="D83" t="str">
            <v>贺培</v>
          </cell>
          <cell r="I83" t="str">
            <v>联想平板 拯救者Y900 13 极光紫16+512wifi</v>
          </cell>
          <cell r="U83">
            <v>1</v>
          </cell>
          <cell r="V83">
            <v>3090</v>
          </cell>
        </row>
        <row r="84">
          <cell r="D84" t="str">
            <v>博伦通讯C40</v>
          </cell>
          <cell r="I84" t="str">
            <v>联想小新Pro 16GT U5 338H 32+1T 灰</v>
          </cell>
          <cell r="U84">
            <v>4</v>
          </cell>
          <cell r="V84">
            <v>35960</v>
          </cell>
        </row>
        <row r="85">
          <cell r="D85" t="str">
            <v>晨晨</v>
          </cell>
          <cell r="I85" t="str">
            <v>华硕无双M3452UA8845 16+512银色（原封）</v>
          </cell>
          <cell r="U85">
            <v>2</v>
          </cell>
          <cell r="V85">
            <v>9140</v>
          </cell>
        </row>
        <row r="86">
          <cell r="D86" t="str">
            <v>智慧城娟娟音响广播大屏监控</v>
          </cell>
          <cell r="I86" t="str">
            <v>电脑配件</v>
          </cell>
          <cell r="U86">
            <v>175665.82</v>
          </cell>
          <cell r="V86">
            <v>1844.49</v>
          </cell>
        </row>
        <row r="87">
          <cell r="D87" t="str">
            <v>智慧城娟娟音响广播大屏监控</v>
          </cell>
          <cell r="I87" t="str">
            <v>电脑配件</v>
          </cell>
          <cell r="U87">
            <v>5698</v>
          </cell>
          <cell r="V87">
            <v>59.83</v>
          </cell>
        </row>
        <row r="88">
          <cell r="D88" t="str">
            <v>智慧城娟娟音响广播大屏监控</v>
          </cell>
          <cell r="I88" t="str">
            <v>电脑配件</v>
          </cell>
          <cell r="U88">
            <v>10999</v>
          </cell>
          <cell r="V88">
            <v>115.49</v>
          </cell>
        </row>
        <row r="89">
          <cell r="D89" t="str">
            <v>智慧城娟娟音响广播大屏监控</v>
          </cell>
          <cell r="I89" t="str">
            <v>电脑配件</v>
          </cell>
          <cell r="U89">
            <v>38896</v>
          </cell>
          <cell r="V89">
            <v>408.41</v>
          </cell>
        </row>
        <row r="90">
          <cell r="D90" t="str">
            <v>乱搞</v>
          </cell>
          <cell r="I90" t="str">
            <v>联想手写笔Pro（第二代）AP602U</v>
          </cell>
          <cell r="U90">
            <v>10</v>
          </cell>
          <cell r="V90">
            <v>2500</v>
          </cell>
        </row>
        <row r="91">
          <cell r="D91" t="str">
            <v>乱搞</v>
          </cell>
          <cell r="I91" t="str">
            <v>联想Y9000P 14900 16G 1TB 5060白色（原封）</v>
          </cell>
          <cell r="U91">
            <v>1</v>
          </cell>
          <cell r="V91">
            <v>14110</v>
          </cell>
        </row>
        <row r="92">
          <cell r="D92" t="str">
            <v>乱搞</v>
          </cell>
          <cell r="I92" t="str">
            <v>联想Y9000P 14900 16G 1TB 5070黑色（原封）</v>
          </cell>
          <cell r="U92">
            <v>2</v>
          </cell>
          <cell r="V92">
            <v>31390</v>
          </cell>
        </row>
        <row r="93">
          <cell r="D93" t="str">
            <v>乱搞</v>
          </cell>
          <cell r="I93" t="str">
            <v>联想Y7000P U7-255H-32G-1T-RTX5060黑色（一手）</v>
          </cell>
          <cell r="U93">
            <v>4</v>
          </cell>
          <cell r="V93">
            <v>57660</v>
          </cell>
        </row>
        <row r="94">
          <cell r="D94" t="str">
            <v>乱搞</v>
          </cell>
          <cell r="I94" t="str">
            <v>联想Y9000P U9-275H-32G-1T-RTX5060白色（原封）</v>
          </cell>
          <cell r="U94">
            <v>11</v>
          </cell>
          <cell r="V94">
            <v>180070</v>
          </cell>
        </row>
        <row r="95">
          <cell r="D95" t="str">
            <v>乱搞</v>
          </cell>
          <cell r="I95" t="str">
            <v>联想平板拯救者Y700 五代 12+256 星光紫WIFI</v>
          </cell>
          <cell r="U95">
            <v>20</v>
          </cell>
          <cell r="V95">
            <v>61000</v>
          </cell>
        </row>
        <row r="96">
          <cell r="D96" t="str">
            <v>乱搞</v>
          </cell>
          <cell r="I96" t="str">
            <v>联想平板Y900 11 12+256紫色WIFI</v>
          </cell>
          <cell r="U96">
            <v>15</v>
          </cell>
          <cell r="V96">
            <v>33060</v>
          </cell>
        </row>
        <row r="97">
          <cell r="D97" t="str">
            <v>乱搞</v>
          </cell>
          <cell r="I97" t="str">
            <v>联想平板Y900 11 12+256紫色WIFI</v>
          </cell>
          <cell r="U97">
            <v>15</v>
          </cell>
          <cell r="V97">
            <v>32910</v>
          </cell>
        </row>
        <row r="98">
          <cell r="D98" t="str">
            <v>乱搞</v>
          </cell>
          <cell r="I98" t="str">
            <v>联想Y900 11寸 12+256白色</v>
          </cell>
          <cell r="U98">
            <v>10</v>
          </cell>
          <cell r="V98">
            <v>22200</v>
          </cell>
        </row>
        <row r="99">
          <cell r="D99" t="str">
            <v>乱搞</v>
          </cell>
          <cell r="I99" t="str">
            <v>联想平板 拯救者Y900 13 极光紫16+512wifi</v>
          </cell>
          <cell r="U99">
            <v>10</v>
          </cell>
          <cell r="V99">
            <v>31020</v>
          </cell>
        </row>
        <row r="100">
          <cell r="D100" t="str">
            <v>乱搞</v>
          </cell>
          <cell r="I100" t="str">
            <v>联想手写笔Pro（第二代）AP602U</v>
          </cell>
          <cell r="U100">
            <v>20</v>
          </cell>
          <cell r="V100">
            <v>5000</v>
          </cell>
        </row>
        <row r="101">
          <cell r="D101" t="str">
            <v>韩宜僮</v>
          </cell>
          <cell r="I101" t="str">
            <v>联想拯救者Y900 11 8+128WIFI碳晶黑</v>
          </cell>
          <cell r="U101">
            <v>2</v>
          </cell>
          <cell r="V101">
            <v>3560</v>
          </cell>
        </row>
        <row r="102">
          <cell r="D102" t="str">
            <v>365-D08星扬李森洋</v>
          </cell>
          <cell r="I102" t="str">
            <v>联想平板 拯救者Y900 13 极光紫16+512wifi</v>
          </cell>
          <cell r="U102">
            <v>10</v>
          </cell>
          <cell r="V102">
            <v>31400</v>
          </cell>
        </row>
        <row r="103">
          <cell r="D103" t="str">
            <v>博伦通讯C40</v>
          </cell>
          <cell r="I103" t="str">
            <v>联想小新Pro 16GT U5 338H 32+1T 灰</v>
          </cell>
          <cell r="U103">
            <v>2</v>
          </cell>
          <cell r="V103">
            <v>17980</v>
          </cell>
        </row>
        <row r="104">
          <cell r="D104" t="str">
            <v>月亮4D06</v>
          </cell>
          <cell r="I104" t="str">
            <v>联想手写笔Pro（第二代）AP602U</v>
          </cell>
          <cell r="U104">
            <v>1</v>
          </cell>
          <cell r="V104">
            <v>251</v>
          </cell>
        </row>
        <row r="105">
          <cell r="D105" t="str">
            <v>麦田 3110</v>
          </cell>
          <cell r="I105" t="str">
            <v>联想平板 拯救者Y900 13 极光紫16+512wifi</v>
          </cell>
          <cell r="U105">
            <v>1</v>
          </cell>
          <cell r="V105">
            <v>3110</v>
          </cell>
        </row>
        <row r="106">
          <cell r="D106" t="str">
            <v>1B47无忧</v>
          </cell>
          <cell r="I106" t="str">
            <v>联想小新Pro 16GT U5 338H 32+1T 灰</v>
          </cell>
          <cell r="U106">
            <v>1</v>
          </cell>
          <cell r="V106">
            <v>8940</v>
          </cell>
        </row>
        <row r="107">
          <cell r="D107" t="str">
            <v>3A37国王</v>
          </cell>
          <cell r="I107" t="str">
            <v>联想小新Pro 16GT U5 338H 32+1T 灰</v>
          </cell>
          <cell r="U107">
            <v>1</v>
          </cell>
          <cell r="V107">
            <v>8900</v>
          </cell>
        </row>
        <row r="108">
          <cell r="D108" t="str">
            <v>A6-18 19 信畅</v>
          </cell>
          <cell r="I108" t="str">
            <v>小新Pro16 2026 Ultra7-356H/32GB/1TB</v>
          </cell>
          <cell r="U108">
            <v>2</v>
          </cell>
          <cell r="V108">
            <v>17120</v>
          </cell>
        </row>
        <row r="109">
          <cell r="D109" t="str">
            <v>小东南</v>
          </cell>
          <cell r="I109" t="str">
            <v>小新Pro16 2026 Ultra7-356H/32GB/1TB</v>
          </cell>
          <cell r="U109">
            <v>1</v>
          </cell>
          <cell r="V109">
            <v>8560</v>
          </cell>
        </row>
        <row r="110">
          <cell r="D110" t="str">
            <v>乱搞</v>
          </cell>
          <cell r="I110" t="str">
            <v>联想拯救者Y900 11 8+128WIFI碳晶黑</v>
          </cell>
          <cell r="U110">
            <v>5</v>
          </cell>
          <cell r="V110">
            <v>8100</v>
          </cell>
        </row>
        <row r="111">
          <cell r="D111" t="str">
            <v>乱搞</v>
          </cell>
          <cell r="I111" t="str">
            <v>联想平板Y900 11 12+256紫色WIFI</v>
          </cell>
          <cell r="U111">
            <v>18</v>
          </cell>
          <cell r="V111">
            <v>39492</v>
          </cell>
        </row>
        <row r="112">
          <cell r="D112" t="str">
            <v>乱搞</v>
          </cell>
          <cell r="I112" t="str">
            <v>联想Y900 11寸 12+256白色</v>
          </cell>
          <cell r="U112">
            <v>22</v>
          </cell>
          <cell r="V112">
            <v>48840</v>
          </cell>
        </row>
        <row r="113">
          <cell r="D113" t="str">
            <v>乱搞</v>
          </cell>
          <cell r="I113" t="str">
            <v>联想Y900 11寸 12+256黑色</v>
          </cell>
          <cell r="U113">
            <v>1</v>
          </cell>
          <cell r="V113">
            <v>2220</v>
          </cell>
        </row>
        <row r="114">
          <cell r="D114" t="str">
            <v>晨晨</v>
          </cell>
          <cell r="I114" t="str">
            <v>华硕无双M3452UA8845 16+512银色（原封）</v>
          </cell>
          <cell r="U114">
            <v>1</v>
          </cell>
          <cell r="V114">
            <v>4570</v>
          </cell>
        </row>
        <row r="115">
          <cell r="D115" t="str">
            <v>1C33烽火</v>
          </cell>
          <cell r="I115" t="str">
            <v>联想平板 拯救者Y900 13 极光紫16+512wifi</v>
          </cell>
          <cell r="U115">
            <v>1</v>
          </cell>
          <cell r="V115">
            <v>3250</v>
          </cell>
        </row>
        <row r="116">
          <cell r="U116">
            <v>0</v>
          </cell>
          <cell r="V116">
            <v>0</v>
          </cell>
        </row>
        <row r="117">
          <cell r="U117">
            <v>0</v>
          </cell>
          <cell r="V117">
            <v>0</v>
          </cell>
        </row>
        <row r="118">
          <cell r="U118">
            <v>0</v>
          </cell>
          <cell r="V118">
            <v>0</v>
          </cell>
        </row>
        <row r="119">
          <cell r="U119">
            <v>0</v>
          </cell>
          <cell r="V119">
            <v>0</v>
          </cell>
        </row>
        <row r="120">
          <cell r="U120">
            <v>0</v>
          </cell>
          <cell r="V120">
            <v>0</v>
          </cell>
        </row>
        <row r="121">
          <cell r="U121">
            <v>0</v>
          </cell>
          <cell r="V121">
            <v>0</v>
          </cell>
        </row>
        <row r="122">
          <cell r="U122">
            <v>0</v>
          </cell>
          <cell r="V122">
            <v>0</v>
          </cell>
        </row>
        <row r="123">
          <cell r="U123">
            <v>0</v>
          </cell>
          <cell r="V123">
            <v>0</v>
          </cell>
        </row>
        <row r="124">
          <cell r="U124">
            <v>0</v>
          </cell>
          <cell r="V124">
            <v>0</v>
          </cell>
        </row>
        <row r="125">
          <cell r="U125">
            <v>0</v>
          </cell>
          <cell r="V125">
            <v>0</v>
          </cell>
        </row>
        <row r="126">
          <cell r="U126">
            <v>0</v>
          </cell>
          <cell r="V126">
            <v>0</v>
          </cell>
        </row>
        <row r="127">
          <cell r="U127">
            <v>0</v>
          </cell>
          <cell r="V127">
            <v>0</v>
          </cell>
        </row>
        <row r="128">
          <cell r="U128">
            <v>0</v>
          </cell>
          <cell r="V128">
            <v>0</v>
          </cell>
        </row>
        <row r="129">
          <cell r="U129">
            <v>0</v>
          </cell>
          <cell r="V129">
            <v>0</v>
          </cell>
        </row>
        <row r="130">
          <cell r="U130">
            <v>0</v>
          </cell>
          <cell r="V130">
            <v>0</v>
          </cell>
        </row>
        <row r="131">
          <cell r="U131">
            <v>0</v>
          </cell>
          <cell r="V131">
            <v>0</v>
          </cell>
        </row>
        <row r="132">
          <cell r="U132">
            <v>0</v>
          </cell>
          <cell r="V132">
            <v>0</v>
          </cell>
        </row>
        <row r="133">
          <cell r="U133">
            <v>0</v>
          </cell>
          <cell r="V133">
            <v>0</v>
          </cell>
        </row>
        <row r="134">
          <cell r="U134">
            <v>0</v>
          </cell>
          <cell r="V134">
            <v>0</v>
          </cell>
        </row>
        <row r="135">
          <cell r="U135">
            <v>0</v>
          </cell>
          <cell r="V135">
            <v>0</v>
          </cell>
        </row>
        <row r="136">
          <cell r="U136">
            <v>0</v>
          </cell>
          <cell r="V136">
            <v>0</v>
          </cell>
        </row>
        <row r="137">
          <cell r="U137">
            <v>0</v>
          </cell>
          <cell r="V137">
            <v>0</v>
          </cell>
        </row>
        <row r="138">
          <cell r="U138">
            <v>0</v>
          </cell>
          <cell r="V138">
            <v>0</v>
          </cell>
        </row>
        <row r="139">
          <cell r="U139">
            <v>0</v>
          </cell>
          <cell r="V139">
            <v>0</v>
          </cell>
        </row>
        <row r="140">
          <cell r="U140">
            <v>0</v>
          </cell>
          <cell r="V140">
            <v>0</v>
          </cell>
        </row>
        <row r="141">
          <cell r="U141">
            <v>0</v>
          </cell>
          <cell r="V141">
            <v>0</v>
          </cell>
        </row>
        <row r="142">
          <cell r="U142">
            <v>0</v>
          </cell>
          <cell r="V142">
            <v>0</v>
          </cell>
        </row>
        <row r="143">
          <cell r="U143">
            <v>0</v>
          </cell>
          <cell r="V143">
            <v>0</v>
          </cell>
        </row>
        <row r="144">
          <cell r="U144">
            <v>0</v>
          </cell>
          <cell r="V144">
            <v>0</v>
          </cell>
        </row>
        <row r="145">
          <cell r="U145">
            <v>0</v>
          </cell>
          <cell r="V145">
            <v>0</v>
          </cell>
        </row>
        <row r="146">
          <cell r="U146">
            <v>0</v>
          </cell>
          <cell r="V146">
            <v>0</v>
          </cell>
        </row>
        <row r="147">
          <cell r="U147">
            <v>0</v>
          </cell>
          <cell r="V147">
            <v>0</v>
          </cell>
        </row>
        <row r="148">
          <cell r="U148">
            <v>0</v>
          </cell>
          <cell r="V148">
            <v>0</v>
          </cell>
        </row>
        <row r="149">
          <cell r="U149">
            <v>0</v>
          </cell>
          <cell r="V149">
            <v>0</v>
          </cell>
        </row>
        <row r="150">
          <cell r="U150">
            <v>0</v>
          </cell>
          <cell r="V150">
            <v>0</v>
          </cell>
        </row>
        <row r="151">
          <cell r="U151">
            <v>0</v>
          </cell>
          <cell r="V151">
            <v>0</v>
          </cell>
        </row>
        <row r="152">
          <cell r="U152">
            <v>0</v>
          </cell>
          <cell r="V152">
            <v>0</v>
          </cell>
        </row>
        <row r="153">
          <cell r="U153">
            <v>0</v>
          </cell>
          <cell r="V153">
            <v>0</v>
          </cell>
        </row>
        <row r="154">
          <cell r="U154">
            <v>0</v>
          </cell>
          <cell r="V154">
            <v>0</v>
          </cell>
        </row>
        <row r="155">
          <cell r="U155">
            <v>0</v>
          </cell>
          <cell r="V155">
            <v>0</v>
          </cell>
        </row>
        <row r="156">
          <cell r="U156">
            <v>0</v>
          </cell>
          <cell r="V156">
            <v>0</v>
          </cell>
        </row>
        <row r="157">
          <cell r="U157">
            <v>0</v>
          </cell>
          <cell r="V157">
            <v>0</v>
          </cell>
        </row>
        <row r="158">
          <cell r="U158">
            <v>0</v>
          </cell>
          <cell r="V158">
            <v>0</v>
          </cell>
        </row>
        <row r="159">
          <cell r="U159">
            <v>0</v>
          </cell>
          <cell r="V159">
            <v>0</v>
          </cell>
        </row>
        <row r="160">
          <cell r="U160">
            <v>0</v>
          </cell>
          <cell r="V160">
            <v>0</v>
          </cell>
        </row>
        <row r="161">
          <cell r="U161">
            <v>0</v>
          </cell>
          <cell r="V161">
            <v>0</v>
          </cell>
        </row>
        <row r="162">
          <cell r="U162">
            <v>0</v>
          </cell>
          <cell r="V162">
            <v>0</v>
          </cell>
        </row>
        <row r="163">
          <cell r="U163">
            <v>0</v>
          </cell>
          <cell r="V163">
            <v>0</v>
          </cell>
        </row>
        <row r="164">
          <cell r="U164">
            <v>0</v>
          </cell>
          <cell r="V164">
            <v>0</v>
          </cell>
        </row>
        <row r="165">
          <cell r="U165">
            <v>0</v>
          </cell>
          <cell r="V165">
            <v>0</v>
          </cell>
        </row>
        <row r="166">
          <cell r="U166">
            <v>0</v>
          </cell>
          <cell r="V166">
            <v>0</v>
          </cell>
        </row>
        <row r="167">
          <cell r="U167">
            <v>0</v>
          </cell>
          <cell r="V167">
            <v>0</v>
          </cell>
        </row>
        <row r="168">
          <cell r="U168">
            <v>0</v>
          </cell>
          <cell r="V168">
            <v>0</v>
          </cell>
        </row>
        <row r="169">
          <cell r="U169">
            <v>0</v>
          </cell>
          <cell r="V169">
            <v>0</v>
          </cell>
        </row>
        <row r="170">
          <cell r="U170">
            <v>0</v>
          </cell>
          <cell r="V170">
            <v>0</v>
          </cell>
        </row>
        <row r="171">
          <cell r="U171">
            <v>0</v>
          </cell>
          <cell r="V171">
            <v>0</v>
          </cell>
        </row>
        <row r="172">
          <cell r="U172">
            <v>0</v>
          </cell>
          <cell r="V172">
            <v>0</v>
          </cell>
        </row>
        <row r="173">
          <cell r="U173">
            <v>0</v>
          </cell>
          <cell r="V173">
            <v>0</v>
          </cell>
        </row>
        <row r="174">
          <cell r="U174">
            <v>0</v>
          </cell>
          <cell r="V174">
            <v>0</v>
          </cell>
        </row>
        <row r="175">
          <cell r="U175">
            <v>0</v>
          </cell>
          <cell r="V175">
            <v>0</v>
          </cell>
        </row>
        <row r="176">
          <cell r="U176">
            <v>0</v>
          </cell>
          <cell r="V176">
            <v>0</v>
          </cell>
        </row>
        <row r="177">
          <cell r="U177">
            <v>0</v>
          </cell>
          <cell r="V177">
            <v>0</v>
          </cell>
        </row>
        <row r="178">
          <cell r="U178">
            <v>0</v>
          </cell>
          <cell r="V178">
            <v>0</v>
          </cell>
        </row>
        <row r="179">
          <cell r="U179">
            <v>0</v>
          </cell>
          <cell r="V179">
            <v>0</v>
          </cell>
        </row>
        <row r="180">
          <cell r="U180">
            <v>0</v>
          </cell>
          <cell r="V180">
            <v>0</v>
          </cell>
        </row>
        <row r="181">
          <cell r="U181">
            <v>0</v>
          </cell>
          <cell r="V181">
            <v>0</v>
          </cell>
        </row>
        <row r="182">
          <cell r="U182">
            <v>0</v>
          </cell>
          <cell r="V182">
            <v>0</v>
          </cell>
        </row>
        <row r="183">
          <cell r="U183">
            <v>0</v>
          </cell>
          <cell r="V183">
            <v>0</v>
          </cell>
        </row>
        <row r="184">
          <cell r="U184">
            <v>0</v>
          </cell>
          <cell r="V184">
            <v>0</v>
          </cell>
        </row>
        <row r="185">
          <cell r="U185">
            <v>0</v>
          </cell>
          <cell r="V185">
            <v>0</v>
          </cell>
        </row>
        <row r="186">
          <cell r="U186">
            <v>0</v>
          </cell>
          <cell r="V186">
            <v>0</v>
          </cell>
        </row>
        <row r="187">
          <cell r="U187">
            <v>0</v>
          </cell>
          <cell r="V187">
            <v>0</v>
          </cell>
        </row>
        <row r="188">
          <cell r="U188">
            <v>0</v>
          </cell>
          <cell r="V188">
            <v>0</v>
          </cell>
        </row>
        <row r="189">
          <cell r="U189">
            <v>0</v>
          </cell>
          <cell r="V189">
            <v>0</v>
          </cell>
        </row>
        <row r="190">
          <cell r="U190">
            <v>0</v>
          </cell>
          <cell r="V190">
            <v>0</v>
          </cell>
        </row>
        <row r="191">
          <cell r="U191">
            <v>0</v>
          </cell>
          <cell r="V191">
            <v>0</v>
          </cell>
        </row>
        <row r="192">
          <cell r="U192">
            <v>0</v>
          </cell>
          <cell r="V192">
            <v>0</v>
          </cell>
        </row>
        <row r="193">
          <cell r="U193">
            <v>0</v>
          </cell>
          <cell r="V193">
            <v>0</v>
          </cell>
        </row>
        <row r="194">
          <cell r="U194">
            <v>0</v>
          </cell>
          <cell r="V194">
            <v>0</v>
          </cell>
        </row>
        <row r="195">
          <cell r="U195">
            <v>0</v>
          </cell>
          <cell r="V195">
            <v>0</v>
          </cell>
        </row>
        <row r="196">
          <cell r="U196">
            <v>0</v>
          </cell>
          <cell r="V196">
            <v>0</v>
          </cell>
        </row>
        <row r="197">
          <cell r="U197">
            <v>0</v>
          </cell>
          <cell r="V197">
            <v>0</v>
          </cell>
        </row>
        <row r="198">
          <cell r="U198">
            <v>0</v>
          </cell>
          <cell r="V198">
            <v>0</v>
          </cell>
        </row>
        <row r="199">
          <cell r="U199">
            <v>0</v>
          </cell>
          <cell r="V199">
            <v>0</v>
          </cell>
        </row>
        <row r="200">
          <cell r="U200">
            <v>0</v>
          </cell>
          <cell r="V200">
            <v>0</v>
          </cell>
        </row>
        <row r="201">
          <cell r="U201">
            <v>0</v>
          </cell>
          <cell r="V201">
            <v>0</v>
          </cell>
        </row>
        <row r="202">
          <cell r="U202">
            <v>0</v>
          </cell>
          <cell r="V202">
            <v>0</v>
          </cell>
        </row>
        <row r="203">
          <cell r="U203">
            <v>0</v>
          </cell>
          <cell r="V203">
            <v>0</v>
          </cell>
        </row>
        <row r="204">
          <cell r="U204">
            <v>0</v>
          </cell>
          <cell r="V204">
            <v>0</v>
          </cell>
        </row>
        <row r="205">
          <cell r="U205">
            <v>0</v>
          </cell>
          <cell r="V205">
            <v>0</v>
          </cell>
        </row>
        <row r="206">
          <cell r="U206">
            <v>0</v>
          </cell>
          <cell r="V206">
            <v>0</v>
          </cell>
        </row>
        <row r="207">
          <cell r="U207">
            <v>0</v>
          </cell>
          <cell r="V207">
            <v>0</v>
          </cell>
        </row>
        <row r="208">
          <cell r="U208">
            <v>0</v>
          </cell>
          <cell r="V208">
            <v>0</v>
          </cell>
        </row>
        <row r="209">
          <cell r="U209">
            <v>0</v>
          </cell>
          <cell r="V209">
            <v>0</v>
          </cell>
        </row>
        <row r="210">
          <cell r="U210">
            <v>0</v>
          </cell>
          <cell r="V210">
            <v>0</v>
          </cell>
        </row>
        <row r="211">
          <cell r="U211">
            <v>0</v>
          </cell>
          <cell r="V211">
            <v>0</v>
          </cell>
        </row>
        <row r="212">
          <cell r="U212">
            <v>0</v>
          </cell>
          <cell r="V212">
            <v>0</v>
          </cell>
        </row>
        <row r="213">
          <cell r="U213">
            <v>0</v>
          </cell>
          <cell r="V213">
            <v>0</v>
          </cell>
        </row>
        <row r="214">
          <cell r="U214">
            <v>0</v>
          </cell>
          <cell r="V214">
            <v>0</v>
          </cell>
        </row>
        <row r="215">
          <cell r="U215">
            <v>0</v>
          </cell>
          <cell r="V215">
            <v>0</v>
          </cell>
        </row>
        <row r="216">
          <cell r="U216">
            <v>0</v>
          </cell>
          <cell r="V216">
            <v>0</v>
          </cell>
        </row>
        <row r="217">
          <cell r="U217">
            <v>0</v>
          </cell>
          <cell r="V217">
            <v>0</v>
          </cell>
        </row>
        <row r="218">
          <cell r="U218">
            <v>0</v>
          </cell>
          <cell r="V218">
            <v>0</v>
          </cell>
        </row>
        <row r="219">
          <cell r="U219">
            <v>0</v>
          </cell>
          <cell r="V219">
            <v>0</v>
          </cell>
        </row>
        <row r="220">
          <cell r="U220">
            <v>0</v>
          </cell>
          <cell r="V220">
            <v>0</v>
          </cell>
        </row>
        <row r="221">
          <cell r="U221">
            <v>0</v>
          </cell>
          <cell r="V221">
            <v>0</v>
          </cell>
        </row>
        <row r="222">
          <cell r="U222">
            <v>0</v>
          </cell>
          <cell r="V222">
            <v>0</v>
          </cell>
        </row>
        <row r="223">
          <cell r="U223">
            <v>0</v>
          </cell>
          <cell r="V223">
            <v>0</v>
          </cell>
        </row>
        <row r="224">
          <cell r="U224">
            <v>0</v>
          </cell>
          <cell r="V224">
            <v>0</v>
          </cell>
        </row>
        <row r="225">
          <cell r="U225">
            <v>0</v>
          </cell>
          <cell r="V225">
            <v>0</v>
          </cell>
        </row>
        <row r="226">
          <cell r="U226">
            <v>0</v>
          </cell>
          <cell r="V226">
            <v>0</v>
          </cell>
        </row>
        <row r="227">
          <cell r="U227">
            <v>0</v>
          </cell>
          <cell r="V227">
            <v>0</v>
          </cell>
        </row>
        <row r="228">
          <cell r="U228">
            <v>0</v>
          </cell>
          <cell r="V228">
            <v>0</v>
          </cell>
        </row>
        <row r="229">
          <cell r="U229">
            <v>0</v>
          </cell>
          <cell r="V229">
            <v>0</v>
          </cell>
        </row>
        <row r="230">
          <cell r="U230">
            <v>0</v>
          </cell>
          <cell r="V230">
            <v>0</v>
          </cell>
        </row>
        <row r="231">
          <cell r="U231">
            <v>0</v>
          </cell>
          <cell r="V231">
            <v>0</v>
          </cell>
        </row>
        <row r="232">
          <cell r="U232">
            <v>0</v>
          </cell>
          <cell r="V232">
            <v>0</v>
          </cell>
        </row>
        <row r="233">
          <cell r="U233">
            <v>0</v>
          </cell>
          <cell r="V233">
            <v>0</v>
          </cell>
        </row>
        <row r="234">
          <cell r="U234">
            <v>0</v>
          </cell>
          <cell r="V234">
            <v>0</v>
          </cell>
        </row>
        <row r="235">
          <cell r="U235">
            <v>0</v>
          </cell>
          <cell r="V235">
            <v>0</v>
          </cell>
        </row>
        <row r="236">
          <cell r="U236">
            <v>0</v>
          </cell>
          <cell r="V236">
            <v>0</v>
          </cell>
        </row>
        <row r="237">
          <cell r="U237">
            <v>0</v>
          </cell>
          <cell r="V237">
            <v>0</v>
          </cell>
        </row>
        <row r="238">
          <cell r="U238">
            <v>0</v>
          </cell>
          <cell r="V238">
            <v>0</v>
          </cell>
        </row>
        <row r="239">
          <cell r="U239">
            <v>0</v>
          </cell>
          <cell r="V239">
            <v>0</v>
          </cell>
        </row>
        <row r="240">
          <cell r="U240">
            <v>0</v>
          </cell>
          <cell r="V240">
            <v>0</v>
          </cell>
        </row>
        <row r="241">
          <cell r="U241">
            <v>0</v>
          </cell>
          <cell r="V241">
            <v>0</v>
          </cell>
        </row>
        <row r="242">
          <cell r="U242">
            <v>0</v>
          </cell>
          <cell r="V242">
            <v>0</v>
          </cell>
        </row>
        <row r="243">
          <cell r="U243">
            <v>0</v>
          </cell>
          <cell r="V243">
            <v>0</v>
          </cell>
        </row>
        <row r="244">
          <cell r="U244">
            <v>0</v>
          </cell>
          <cell r="V244">
            <v>0</v>
          </cell>
        </row>
        <row r="245">
          <cell r="U245">
            <v>0</v>
          </cell>
          <cell r="V245">
            <v>0</v>
          </cell>
        </row>
        <row r="246">
          <cell r="U246">
            <v>0</v>
          </cell>
          <cell r="V246">
            <v>0</v>
          </cell>
        </row>
        <row r="247">
          <cell r="U247">
            <v>0</v>
          </cell>
          <cell r="V247">
            <v>0</v>
          </cell>
        </row>
        <row r="248">
          <cell r="U248">
            <v>0</v>
          </cell>
          <cell r="V248">
            <v>0</v>
          </cell>
        </row>
        <row r="249">
          <cell r="U249">
            <v>0</v>
          </cell>
          <cell r="V249">
            <v>0</v>
          </cell>
        </row>
        <row r="250">
          <cell r="U250">
            <v>0</v>
          </cell>
          <cell r="V250">
            <v>0</v>
          </cell>
        </row>
        <row r="251">
          <cell r="U251">
            <v>0</v>
          </cell>
          <cell r="V251">
            <v>0</v>
          </cell>
        </row>
        <row r="252">
          <cell r="U252">
            <v>0</v>
          </cell>
          <cell r="V252">
            <v>0</v>
          </cell>
        </row>
        <row r="253">
          <cell r="U253">
            <v>0</v>
          </cell>
          <cell r="V253">
            <v>0</v>
          </cell>
        </row>
        <row r="254">
          <cell r="U254">
            <v>0</v>
          </cell>
          <cell r="V254">
            <v>0</v>
          </cell>
        </row>
        <row r="255">
          <cell r="U255">
            <v>0</v>
          </cell>
          <cell r="V255">
            <v>0</v>
          </cell>
        </row>
        <row r="256">
          <cell r="U256">
            <v>0</v>
          </cell>
          <cell r="V256">
            <v>0</v>
          </cell>
        </row>
        <row r="257">
          <cell r="U257">
            <v>0</v>
          </cell>
          <cell r="V257">
            <v>0</v>
          </cell>
        </row>
        <row r="258">
          <cell r="U258">
            <v>0</v>
          </cell>
          <cell r="V258">
            <v>0</v>
          </cell>
        </row>
        <row r="259">
          <cell r="U259">
            <v>0</v>
          </cell>
          <cell r="V259">
            <v>0</v>
          </cell>
        </row>
        <row r="260">
          <cell r="U260">
            <v>0</v>
          </cell>
          <cell r="V260">
            <v>0</v>
          </cell>
        </row>
        <row r="261">
          <cell r="U261">
            <v>0</v>
          </cell>
          <cell r="V261">
            <v>0</v>
          </cell>
        </row>
        <row r="262">
          <cell r="U262">
            <v>0</v>
          </cell>
          <cell r="V262">
            <v>0</v>
          </cell>
        </row>
        <row r="263">
          <cell r="U263">
            <v>0</v>
          </cell>
          <cell r="V263">
            <v>0</v>
          </cell>
        </row>
        <row r="264">
          <cell r="U264">
            <v>0</v>
          </cell>
          <cell r="V264">
            <v>0</v>
          </cell>
        </row>
        <row r="265">
          <cell r="U265">
            <v>0</v>
          </cell>
          <cell r="V265">
            <v>0</v>
          </cell>
        </row>
        <row r="266">
          <cell r="U266">
            <v>0</v>
          </cell>
          <cell r="V266">
            <v>0</v>
          </cell>
        </row>
        <row r="267">
          <cell r="U267">
            <v>0</v>
          </cell>
          <cell r="V267">
            <v>0</v>
          </cell>
        </row>
        <row r="268">
          <cell r="U268">
            <v>0</v>
          </cell>
          <cell r="V268">
            <v>0</v>
          </cell>
        </row>
        <row r="269">
          <cell r="U269">
            <v>0</v>
          </cell>
          <cell r="V269">
            <v>0</v>
          </cell>
        </row>
        <row r="270">
          <cell r="U270">
            <v>0</v>
          </cell>
          <cell r="V270">
            <v>0</v>
          </cell>
        </row>
        <row r="271">
          <cell r="U271">
            <v>0</v>
          </cell>
          <cell r="V271">
            <v>0</v>
          </cell>
        </row>
        <row r="272">
          <cell r="U272">
            <v>0</v>
          </cell>
          <cell r="V272">
            <v>0</v>
          </cell>
        </row>
        <row r="273">
          <cell r="U273">
            <v>0</v>
          </cell>
          <cell r="V273">
            <v>0</v>
          </cell>
        </row>
        <row r="274">
          <cell r="U274">
            <v>0</v>
          </cell>
          <cell r="V274">
            <v>0</v>
          </cell>
        </row>
        <row r="275">
          <cell r="U275">
            <v>0</v>
          </cell>
          <cell r="V275">
            <v>0</v>
          </cell>
        </row>
        <row r="276">
          <cell r="U276">
            <v>0</v>
          </cell>
          <cell r="V276">
            <v>0</v>
          </cell>
        </row>
        <row r="277">
          <cell r="U277">
            <v>0</v>
          </cell>
          <cell r="V277">
            <v>0</v>
          </cell>
        </row>
        <row r="278">
          <cell r="U278">
            <v>0</v>
          </cell>
          <cell r="V278">
            <v>0</v>
          </cell>
        </row>
        <row r="279">
          <cell r="U279">
            <v>0</v>
          </cell>
          <cell r="V279">
            <v>0</v>
          </cell>
        </row>
        <row r="280">
          <cell r="U280">
            <v>0</v>
          </cell>
          <cell r="V280">
            <v>0</v>
          </cell>
        </row>
        <row r="281">
          <cell r="U281">
            <v>0</v>
          </cell>
          <cell r="V281">
            <v>0</v>
          </cell>
        </row>
        <row r="282">
          <cell r="U282">
            <v>0</v>
          </cell>
          <cell r="V282">
            <v>0</v>
          </cell>
        </row>
        <row r="283">
          <cell r="U283">
            <v>0</v>
          </cell>
          <cell r="V283">
            <v>0</v>
          </cell>
        </row>
        <row r="284">
          <cell r="U284">
            <v>0</v>
          </cell>
          <cell r="V284">
            <v>0</v>
          </cell>
        </row>
        <row r="285">
          <cell r="U285">
            <v>0</v>
          </cell>
          <cell r="V285">
            <v>0</v>
          </cell>
        </row>
        <row r="286">
          <cell r="U286">
            <v>0</v>
          </cell>
          <cell r="V286">
            <v>0</v>
          </cell>
        </row>
        <row r="287">
          <cell r="U287">
            <v>0</v>
          </cell>
          <cell r="V287">
            <v>0</v>
          </cell>
        </row>
        <row r="288">
          <cell r="U288">
            <v>0</v>
          </cell>
          <cell r="V288">
            <v>0</v>
          </cell>
        </row>
        <row r="289">
          <cell r="U289">
            <v>0</v>
          </cell>
          <cell r="V289">
            <v>0</v>
          </cell>
        </row>
        <row r="290">
          <cell r="U290">
            <v>0</v>
          </cell>
          <cell r="V290">
            <v>0</v>
          </cell>
        </row>
        <row r="291">
          <cell r="U291">
            <v>0</v>
          </cell>
          <cell r="V291">
            <v>0</v>
          </cell>
        </row>
        <row r="292">
          <cell r="U292">
            <v>0</v>
          </cell>
          <cell r="V292">
            <v>0</v>
          </cell>
        </row>
        <row r="293">
          <cell r="U293">
            <v>0</v>
          </cell>
          <cell r="V293">
            <v>0</v>
          </cell>
        </row>
        <row r="294">
          <cell r="U294">
            <v>0</v>
          </cell>
          <cell r="V294">
            <v>0</v>
          </cell>
        </row>
        <row r="295">
          <cell r="U295">
            <v>0</v>
          </cell>
          <cell r="V295">
            <v>0</v>
          </cell>
        </row>
        <row r="296">
          <cell r="U296">
            <v>0</v>
          </cell>
          <cell r="V296">
            <v>0</v>
          </cell>
        </row>
        <row r="297">
          <cell r="U297">
            <v>0</v>
          </cell>
          <cell r="V297">
            <v>0</v>
          </cell>
        </row>
        <row r="298">
          <cell r="U298">
            <v>0</v>
          </cell>
          <cell r="V298">
            <v>0</v>
          </cell>
        </row>
        <row r="299">
          <cell r="U299">
            <v>0</v>
          </cell>
          <cell r="V299">
            <v>0</v>
          </cell>
        </row>
        <row r="300">
          <cell r="U300">
            <v>0</v>
          </cell>
          <cell r="V300">
            <v>0</v>
          </cell>
        </row>
        <row r="301">
          <cell r="U301">
            <v>0</v>
          </cell>
          <cell r="V301">
            <v>0</v>
          </cell>
        </row>
        <row r="302">
          <cell r="U302">
            <v>0</v>
          </cell>
          <cell r="V302">
            <v>0</v>
          </cell>
        </row>
        <row r="303">
          <cell r="U303">
            <v>0</v>
          </cell>
          <cell r="V303">
            <v>0</v>
          </cell>
        </row>
        <row r="304">
          <cell r="U304">
            <v>0</v>
          </cell>
          <cell r="V304">
            <v>0</v>
          </cell>
        </row>
        <row r="305">
          <cell r="U305">
            <v>0</v>
          </cell>
          <cell r="V305">
            <v>0</v>
          </cell>
        </row>
        <row r="306">
          <cell r="U306">
            <v>0</v>
          </cell>
          <cell r="V306">
            <v>0</v>
          </cell>
        </row>
        <row r="307">
          <cell r="U307">
            <v>0</v>
          </cell>
          <cell r="V307">
            <v>0</v>
          </cell>
        </row>
        <row r="308">
          <cell r="U308">
            <v>0</v>
          </cell>
          <cell r="V308">
            <v>0</v>
          </cell>
        </row>
        <row r="309">
          <cell r="U309">
            <v>0</v>
          </cell>
          <cell r="V309">
            <v>0</v>
          </cell>
        </row>
        <row r="310">
          <cell r="U310">
            <v>0</v>
          </cell>
          <cell r="V310">
            <v>0</v>
          </cell>
        </row>
        <row r="311">
          <cell r="U311">
            <v>0</v>
          </cell>
          <cell r="V311">
            <v>0</v>
          </cell>
        </row>
        <row r="312">
          <cell r="U312">
            <v>0</v>
          </cell>
          <cell r="V312">
            <v>0</v>
          </cell>
        </row>
        <row r="313">
          <cell r="U313">
            <v>0</v>
          </cell>
          <cell r="V313">
            <v>0</v>
          </cell>
        </row>
        <row r="314">
          <cell r="U314">
            <v>0</v>
          </cell>
          <cell r="V314">
            <v>0</v>
          </cell>
        </row>
        <row r="315">
          <cell r="U315">
            <v>0</v>
          </cell>
          <cell r="V315">
            <v>0</v>
          </cell>
        </row>
        <row r="316">
          <cell r="U316">
            <v>0</v>
          </cell>
          <cell r="V316">
            <v>0</v>
          </cell>
        </row>
        <row r="317">
          <cell r="U317">
            <v>0</v>
          </cell>
          <cell r="V317">
            <v>0</v>
          </cell>
        </row>
        <row r="318">
          <cell r="U318">
            <v>0</v>
          </cell>
          <cell r="V318">
            <v>0</v>
          </cell>
        </row>
        <row r="319">
          <cell r="U319">
            <v>0</v>
          </cell>
          <cell r="V319">
            <v>0</v>
          </cell>
        </row>
        <row r="320">
          <cell r="U320">
            <v>0</v>
          </cell>
          <cell r="V320">
            <v>0</v>
          </cell>
        </row>
        <row r="321">
          <cell r="U321">
            <v>0</v>
          </cell>
          <cell r="V321">
            <v>0</v>
          </cell>
        </row>
        <row r="322">
          <cell r="U322">
            <v>0</v>
          </cell>
          <cell r="V322">
            <v>0</v>
          </cell>
        </row>
        <row r="323">
          <cell r="U323">
            <v>0</v>
          </cell>
          <cell r="V323">
            <v>0</v>
          </cell>
        </row>
        <row r="324">
          <cell r="U324">
            <v>0</v>
          </cell>
          <cell r="V324">
            <v>0</v>
          </cell>
        </row>
        <row r="325">
          <cell r="U325">
            <v>0</v>
          </cell>
          <cell r="V325">
            <v>0</v>
          </cell>
        </row>
        <row r="326">
          <cell r="U326">
            <v>0</v>
          </cell>
          <cell r="V326">
            <v>0</v>
          </cell>
        </row>
        <row r="327">
          <cell r="U327">
            <v>0</v>
          </cell>
          <cell r="V327">
            <v>0</v>
          </cell>
        </row>
        <row r="328">
          <cell r="U328">
            <v>0</v>
          </cell>
          <cell r="V328">
            <v>0</v>
          </cell>
        </row>
        <row r="329">
          <cell r="U329">
            <v>0</v>
          </cell>
          <cell r="V329">
            <v>0</v>
          </cell>
        </row>
        <row r="330">
          <cell r="U330">
            <v>0</v>
          </cell>
          <cell r="V330">
            <v>0</v>
          </cell>
        </row>
        <row r="331">
          <cell r="U331">
            <v>0</v>
          </cell>
          <cell r="V331">
            <v>0</v>
          </cell>
        </row>
        <row r="332">
          <cell r="U332">
            <v>0</v>
          </cell>
          <cell r="V332">
            <v>0</v>
          </cell>
        </row>
        <row r="333">
          <cell r="U333">
            <v>0</v>
          </cell>
          <cell r="V333">
            <v>0</v>
          </cell>
        </row>
        <row r="334">
          <cell r="U334">
            <v>0</v>
          </cell>
          <cell r="V334">
            <v>0</v>
          </cell>
        </row>
        <row r="335">
          <cell r="U335">
            <v>0</v>
          </cell>
          <cell r="V335">
            <v>0</v>
          </cell>
        </row>
        <row r="336">
          <cell r="U336">
            <v>0</v>
          </cell>
          <cell r="V336">
            <v>0</v>
          </cell>
        </row>
        <row r="337">
          <cell r="U337">
            <v>0</v>
          </cell>
          <cell r="V337">
            <v>0</v>
          </cell>
        </row>
        <row r="338">
          <cell r="U338">
            <v>0</v>
          </cell>
          <cell r="V338">
            <v>0</v>
          </cell>
        </row>
        <row r="339">
          <cell r="U339">
            <v>0</v>
          </cell>
          <cell r="V339">
            <v>0</v>
          </cell>
        </row>
        <row r="340">
          <cell r="U340">
            <v>0</v>
          </cell>
          <cell r="V340">
            <v>0</v>
          </cell>
        </row>
        <row r="341">
          <cell r="U341">
            <v>0</v>
          </cell>
          <cell r="V341">
            <v>0</v>
          </cell>
        </row>
        <row r="342">
          <cell r="U342">
            <v>0</v>
          </cell>
          <cell r="V342">
            <v>0</v>
          </cell>
        </row>
        <row r="343">
          <cell r="U343">
            <v>0</v>
          </cell>
          <cell r="V343">
            <v>0</v>
          </cell>
        </row>
        <row r="344">
          <cell r="U344">
            <v>0</v>
          </cell>
          <cell r="V344">
            <v>0</v>
          </cell>
        </row>
        <row r="345">
          <cell r="U345">
            <v>0</v>
          </cell>
          <cell r="V345">
            <v>0</v>
          </cell>
        </row>
        <row r="346">
          <cell r="U346">
            <v>0</v>
          </cell>
          <cell r="V346">
            <v>0</v>
          </cell>
        </row>
        <row r="347">
          <cell r="U347">
            <v>0</v>
          </cell>
          <cell r="V347">
            <v>0</v>
          </cell>
        </row>
        <row r="348">
          <cell r="U348">
            <v>0</v>
          </cell>
          <cell r="V348">
            <v>0</v>
          </cell>
        </row>
        <row r="349">
          <cell r="U349">
            <v>0</v>
          </cell>
          <cell r="V349">
            <v>0</v>
          </cell>
        </row>
        <row r="350">
          <cell r="U350">
            <v>0</v>
          </cell>
          <cell r="V350">
            <v>0</v>
          </cell>
        </row>
        <row r="351">
          <cell r="U351">
            <v>0</v>
          </cell>
          <cell r="V351">
            <v>0</v>
          </cell>
        </row>
        <row r="352">
          <cell r="U352">
            <v>0</v>
          </cell>
          <cell r="V352">
            <v>0</v>
          </cell>
        </row>
        <row r="353">
          <cell r="U353">
            <v>0</v>
          </cell>
          <cell r="V353">
            <v>0</v>
          </cell>
        </row>
        <row r="354">
          <cell r="U354">
            <v>0</v>
          </cell>
          <cell r="V354">
            <v>0</v>
          </cell>
        </row>
        <row r="355">
          <cell r="U355">
            <v>0</v>
          </cell>
          <cell r="V355">
            <v>0</v>
          </cell>
        </row>
        <row r="356">
          <cell r="U356">
            <v>0</v>
          </cell>
          <cell r="V356">
            <v>0</v>
          </cell>
        </row>
        <row r="357">
          <cell r="U357">
            <v>0</v>
          </cell>
          <cell r="V357">
            <v>0</v>
          </cell>
        </row>
        <row r="358">
          <cell r="U358">
            <v>0</v>
          </cell>
          <cell r="V358">
            <v>0</v>
          </cell>
        </row>
        <row r="359">
          <cell r="U359">
            <v>0</v>
          </cell>
          <cell r="V359">
            <v>0</v>
          </cell>
        </row>
        <row r="360">
          <cell r="U360">
            <v>0</v>
          </cell>
          <cell r="V360">
            <v>0</v>
          </cell>
        </row>
        <row r="361">
          <cell r="U361">
            <v>0</v>
          </cell>
          <cell r="V361">
            <v>0</v>
          </cell>
        </row>
        <row r="362">
          <cell r="U362">
            <v>0</v>
          </cell>
          <cell r="V362">
            <v>0</v>
          </cell>
        </row>
        <row r="363">
          <cell r="U363">
            <v>0</v>
          </cell>
          <cell r="V363">
            <v>0</v>
          </cell>
        </row>
        <row r="364">
          <cell r="U364">
            <v>0</v>
          </cell>
          <cell r="V364">
            <v>0</v>
          </cell>
        </row>
        <row r="365">
          <cell r="U365">
            <v>0</v>
          </cell>
          <cell r="V365">
            <v>0</v>
          </cell>
        </row>
        <row r="366">
          <cell r="U366">
            <v>0</v>
          </cell>
          <cell r="V366">
            <v>0</v>
          </cell>
        </row>
        <row r="367">
          <cell r="U367">
            <v>0</v>
          </cell>
          <cell r="V367">
            <v>0</v>
          </cell>
        </row>
        <row r="368">
          <cell r="U368">
            <v>0</v>
          </cell>
          <cell r="V368">
            <v>0</v>
          </cell>
        </row>
        <row r="369">
          <cell r="U369">
            <v>0</v>
          </cell>
          <cell r="V369">
            <v>0</v>
          </cell>
        </row>
        <row r="370">
          <cell r="U370">
            <v>0</v>
          </cell>
          <cell r="V370">
            <v>0</v>
          </cell>
        </row>
        <row r="371">
          <cell r="U371">
            <v>0</v>
          </cell>
          <cell r="V371">
            <v>0</v>
          </cell>
        </row>
        <row r="372">
          <cell r="U372">
            <v>0</v>
          </cell>
          <cell r="V372">
            <v>0</v>
          </cell>
        </row>
        <row r="373">
          <cell r="U373">
            <v>0</v>
          </cell>
          <cell r="V373">
            <v>0</v>
          </cell>
        </row>
        <row r="374">
          <cell r="U374">
            <v>0</v>
          </cell>
          <cell r="V374">
            <v>0</v>
          </cell>
        </row>
        <row r="375">
          <cell r="U375">
            <v>0</v>
          </cell>
          <cell r="V375">
            <v>0</v>
          </cell>
        </row>
        <row r="376">
          <cell r="U376">
            <v>0</v>
          </cell>
          <cell r="V376">
            <v>0</v>
          </cell>
        </row>
        <row r="377">
          <cell r="U377">
            <v>0</v>
          </cell>
          <cell r="V377">
            <v>0</v>
          </cell>
        </row>
        <row r="378">
          <cell r="U378">
            <v>0</v>
          </cell>
          <cell r="V378">
            <v>0</v>
          </cell>
        </row>
        <row r="379">
          <cell r="U379">
            <v>0</v>
          </cell>
          <cell r="V379">
            <v>0</v>
          </cell>
        </row>
        <row r="380">
          <cell r="U380">
            <v>0</v>
          </cell>
          <cell r="V380">
            <v>0</v>
          </cell>
        </row>
        <row r="381">
          <cell r="U381">
            <v>0</v>
          </cell>
          <cell r="V381">
            <v>0</v>
          </cell>
        </row>
        <row r="382">
          <cell r="U382">
            <v>0</v>
          </cell>
          <cell r="V382">
            <v>0</v>
          </cell>
        </row>
        <row r="383">
          <cell r="U383">
            <v>0</v>
          </cell>
          <cell r="V383">
            <v>0</v>
          </cell>
        </row>
        <row r="384">
          <cell r="U384">
            <v>0</v>
          </cell>
          <cell r="V384">
            <v>0</v>
          </cell>
        </row>
        <row r="385">
          <cell r="U385">
            <v>0</v>
          </cell>
          <cell r="V385">
            <v>0</v>
          </cell>
        </row>
        <row r="386">
          <cell r="U386">
            <v>0</v>
          </cell>
          <cell r="V386">
            <v>0</v>
          </cell>
        </row>
        <row r="387">
          <cell r="U387">
            <v>0</v>
          </cell>
          <cell r="V387">
            <v>0</v>
          </cell>
        </row>
        <row r="388">
          <cell r="U388">
            <v>0</v>
          </cell>
          <cell r="V388">
            <v>0</v>
          </cell>
        </row>
        <row r="389">
          <cell r="U389">
            <v>0</v>
          </cell>
          <cell r="V389">
            <v>0</v>
          </cell>
        </row>
        <row r="390">
          <cell r="U390">
            <v>0</v>
          </cell>
          <cell r="V390">
            <v>0</v>
          </cell>
        </row>
        <row r="391">
          <cell r="U391">
            <v>0</v>
          </cell>
          <cell r="V391">
            <v>0</v>
          </cell>
        </row>
        <row r="392">
          <cell r="U392">
            <v>0</v>
          </cell>
          <cell r="V392">
            <v>0</v>
          </cell>
        </row>
        <row r="393">
          <cell r="U393">
            <v>0</v>
          </cell>
          <cell r="V393">
            <v>0</v>
          </cell>
        </row>
        <row r="394">
          <cell r="U394">
            <v>0</v>
          </cell>
          <cell r="V394">
            <v>0</v>
          </cell>
        </row>
        <row r="395">
          <cell r="U395">
            <v>0</v>
          </cell>
          <cell r="V395">
            <v>0</v>
          </cell>
        </row>
        <row r="396">
          <cell r="U396">
            <v>0</v>
          </cell>
          <cell r="V396">
            <v>0</v>
          </cell>
        </row>
        <row r="397">
          <cell r="U397">
            <v>0</v>
          </cell>
          <cell r="V397">
            <v>0</v>
          </cell>
        </row>
        <row r="398">
          <cell r="U398">
            <v>0</v>
          </cell>
          <cell r="V398">
            <v>0</v>
          </cell>
        </row>
        <row r="399">
          <cell r="U399">
            <v>0</v>
          </cell>
          <cell r="V399">
            <v>0</v>
          </cell>
        </row>
        <row r="400">
          <cell r="U400">
            <v>0</v>
          </cell>
          <cell r="V400">
            <v>0</v>
          </cell>
        </row>
        <row r="401">
          <cell r="U401">
            <v>0</v>
          </cell>
          <cell r="V401">
            <v>0</v>
          </cell>
        </row>
        <row r="402">
          <cell r="U402">
            <v>0</v>
          </cell>
          <cell r="V402">
            <v>0</v>
          </cell>
        </row>
        <row r="403">
          <cell r="U403">
            <v>0</v>
          </cell>
          <cell r="V403">
            <v>0</v>
          </cell>
        </row>
        <row r="404">
          <cell r="U404">
            <v>0</v>
          </cell>
          <cell r="V404">
            <v>0</v>
          </cell>
        </row>
        <row r="405">
          <cell r="U405">
            <v>0</v>
          </cell>
          <cell r="V405">
            <v>0</v>
          </cell>
        </row>
        <row r="406">
          <cell r="U406">
            <v>0</v>
          </cell>
          <cell r="V406">
            <v>0</v>
          </cell>
        </row>
        <row r="407">
          <cell r="U407">
            <v>0</v>
          </cell>
          <cell r="V407">
            <v>0</v>
          </cell>
        </row>
        <row r="408">
          <cell r="U408">
            <v>0</v>
          </cell>
          <cell r="V408">
            <v>0</v>
          </cell>
        </row>
        <row r="409">
          <cell r="U409">
            <v>0</v>
          </cell>
          <cell r="V409">
            <v>0</v>
          </cell>
        </row>
        <row r="410">
          <cell r="U410">
            <v>0</v>
          </cell>
          <cell r="V410">
            <v>0</v>
          </cell>
        </row>
        <row r="411">
          <cell r="U411">
            <v>0</v>
          </cell>
          <cell r="V411">
            <v>0</v>
          </cell>
        </row>
        <row r="412">
          <cell r="U412">
            <v>0</v>
          </cell>
          <cell r="V412">
            <v>0</v>
          </cell>
        </row>
        <row r="413">
          <cell r="U413">
            <v>0</v>
          </cell>
          <cell r="V413">
            <v>0</v>
          </cell>
        </row>
        <row r="414">
          <cell r="U414">
            <v>0</v>
          </cell>
          <cell r="V414">
            <v>0</v>
          </cell>
        </row>
        <row r="415">
          <cell r="U415">
            <v>0</v>
          </cell>
          <cell r="V415">
            <v>0</v>
          </cell>
        </row>
        <row r="416">
          <cell r="U416">
            <v>0</v>
          </cell>
          <cell r="V416">
            <v>0</v>
          </cell>
        </row>
        <row r="417">
          <cell r="U417">
            <v>0</v>
          </cell>
          <cell r="V417">
            <v>0</v>
          </cell>
        </row>
        <row r="418">
          <cell r="U418">
            <v>0</v>
          </cell>
          <cell r="V418">
            <v>0</v>
          </cell>
        </row>
        <row r="419">
          <cell r="U419">
            <v>0</v>
          </cell>
          <cell r="V419">
            <v>0</v>
          </cell>
        </row>
        <row r="420">
          <cell r="U420">
            <v>0</v>
          </cell>
          <cell r="V420">
            <v>0</v>
          </cell>
        </row>
        <row r="421">
          <cell r="U421">
            <v>0</v>
          </cell>
          <cell r="V421">
            <v>0</v>
          </cell>
        </row>
        <row r="422">
          <cell r="U422">
            <v>0</v>
          </cell>
          <cell r="V422">
            <v>0</v>
          </cell>
        </row>
        <row r="423">
          <cell r="U423">
            <v>0</v>
          </cell>
          <cell r="V423">
            <v>0</v>
          </cell>
        </row>
        <row r="424">
          <cell r="U424">
            <v>0</v>
          </cell>
          <cell r="V424">
            <v>0</v>
          </cell>
        </row>
        <row r="425">
          <cell r="U425">
            <v>0</v>
          </cell>
          <cell r="V425">
            <v>0</v>
          </cell>
        </row>
        <row r="426">
          <cell r="U426">
            <v>0</v>
          </cell>
          <cell r="V426">
            <v>0</v>
          </cell>
        </row>
        <row r="427">
          <cell r="U427">
            <v>0</v>
          </cell>
          <cell r="V427">
            <v>0</v>
          </cell>
        </row>
        <row r="428">
          <cell r="U428">
            <v>0</v>
          </cell>
          <cell r="V428">
            <v>0</v>
          </cell>
        </row>
        <row r="429">
          <cell r="U429">
            <v>0</v>
          </cell>
          <cell r="V429">
            <v>0</v>
          </cell>
        </row>
        <row r="430">
          <cell r="U430">
            <v>0</v>
          </cell>
          <cell r="V430">
            <v>0</v>
          </cell>
        </row>
        <row r="431">
          <cell r="U431">
            <v>0</v>
          </cell>
          <cell r="V431">
            <v>0</v>
          </cell>
        </row>
        <row r="432">
          <cell r="U432">
            <v>0</v>
          </cell>
          <cell r="V432">
            <v>0</v>
          </cell>
        </row>
        <row r="433">
          <cell r="U433">
            <v>0</v>
          </cell>
          <cell r="V433">
            <v>0</v>
          </cell>
        </row>
        <row r="434">
          <cell r="U434">
            <v>0</v>
          </cell>
          <cell r="V434">
            <v>0</v>
          </cell>
        </row>
        <row r="435">
          <cell r="U435">
            <v>0</v>
          </cell>
          <cell r="V435">
            <v>0</v>
          </cell>
        </row>
        <row r="436">
          <cell r="U436">
            <v>0</v>
          </cell>
          <cell r="V436">
            <v>0</v>
          </cell>
        </row>
        <row r="437">
          <cell r="U437">
            <v>0</v>
          </cell>
          <cell r="V437">
            <v>0</v>
          </cell>
        </row>
        <row r="438">
          <cell r="U438">
            <v>0</v>
          </cell>
          <cell r="V438">
            <v>0</v>
          </cell>
        </row>
        <row r="439">
          <cell r="U439">
            <v>0</v>
          </cell>
          <cell r="V439">
            <v>0</v>
          </cell>
        </row>
        <row r="440">
          <cell r="U440">
            <v>0</v>
          </cell>
          <cell r="V440">
            <v>0</v>
          </cell>
        </row>
        <row r="441">
          <cell r="U441">
            <v>0</v>
          </cell>
          <cell r="V441">
            <v>0</v>
          </cell>
        </row>
        <row r="442">
          <cell r="U442">
            <v>0</v>
          </cell>
          <cell r="V442">
            <v>0</v>
          </cell>
        </row>
        <row r="443">
          <cell r="U443">
            <v>0</v>
          </cell>
          <cell r="V443">
            <v>0</v>
          </cell>
        </row>
        <row r="444">
          <cell r="U444">
            <v>0</v>
          </cell>
          <cell r="V444">
            <v>0</v>
          </cell>
        </row>
        <row r="445">
          <cell r="U445">
            <v>0</v>
          </cell>
          <cell r="V445">
            <v>0</v>
          </cell>
        </row>
        <row r="446">
          <cell r="U446">
            <v>0</v>
          </cell>
          <cell r="V446">
            <v>0</v>
          </cell>
        </row>
        <row r="447">
          <cell r="U447">
            <v>0</v>
          </cell>
          <cell r="V447">
            <v>0</v>
          </cell>
        </row>
        <row r="448">
          <cell r="U448">
            <v>0</v>
          </cell>
          <cell r="V448">
            <v>0</v>
          </cell>
        </row>
        <row r="449">
          <cell r="U449">
            <v>0</v>
          </cell>
          <cell r="V449">
            <v>0</v>
          </cell>
        </row>
        <row r="450">
          <cell r="U450">
            <v>0</v>
          </cell>
          <cell r="V450">
            <v>0</v>
          </cell>
        </row>
        <row r="451">
          <cell r="U451">
            <v>0</v>
          </cell>
          <cell r="V451">
            <v>0</v>
          </cell>
        </row>
        <row r="452">
          <cell r="U452">
            <v>0</v>
          </cell>
          <cell r="V452">
            <v>0</v>
          </cell>
        </row>
        <row r="453">
          <cell r="U453">
            <v>0</v>
          </cell>
          <cell r="V453">
            <v>0</v>
          </cell>
        </row>
        <row r="454">
          <cell r="U454">
            <v>0</v>
          </cell>
          <cell r="V454">
            <v>0</v>
          </cell>
        </row>
        <row r="455">
          <cell r="U455">
            <v>0</v>
          </cell>
          <cell r="V455">
            <v>0</v>
          </cell>
        </row>
        <row r="456">
          <cell r="U456">
            <v>0</v>
          </cell>
          <cell r="V456">
            <v>0</v>
          </cell>
        </row>
        <row r="457">
          <cell r="U457">
            <v>0</v>
          </cell>
          <cell r="V457">
            <v>0</v>
          </cell>
        </row>
        <row r="458">
          <cell r="U458">
            <v>0</v>
          </cell>
          <cell r="V458">
            <v>0</v>
          </cell>
        </row>
        <row r="459">
          <cell r="U459">
            <v>0</v>
          </cell>
          <cell r="V459">
            <v>0</v>
          </cell>
        </row>
        <row r="460">
          <cell r="U460">
            <v>0</v>
          </cell>
          <cell r="V460">
            <v>0</v>
          </cell>
        </row>
        <row r="461">
          <cell r="U461">
            <v>0</v>
          </cell>
          <cell r="V461">
            <v>0</v>
          </cell>
        </row>
        <row r="462">
          <cell r="U462">
            <v>0</v>
          </cell>
          <cell r="V462">
            <v>0</v>
          </cell>
        </row>
        <row r="463">
          <cell r="U463">
            <v>0</v>
          </cell>
          <cell r="V463">
            <v>0</v>
          </cell>
        </row>
        <row r="464">
          <cell r="U464">
            <v>0</v>
          </cell>
          <cell r="V464">
            <v>0</v>
          </cell>
        </row>
        <row r="465">
          <cell r="U465">
            <v>0</v>
          </cell>
          <cell r="V465">
            <v>0</v>
          </cell>
        </row>
        <row r="466">
          <cell r="U466">
            <v>0</v>
          </cell>
          <cell r="V466">
            <v>0</v>
          </cell>
        </row>
        <row r="467">
          <cell r="U467">
            <v>0</v>
          </cell>
          <cell r="V467">
            <v>0</v>
          </cell>
        </row>
        <row r="468">
          <cell r="U468">
            <v>0</v>
          </cell>
          <cell r="V468">
            <v>0</v>
          </cell>
        </row>
        <row r="469">
          <cell r="U469">
            <v>0</v>
          </cell>
          <cell r="V469">
            <v>0</v>
          </cell>
        </row>
        <row r="470">
          <cell r="U470">
            <v>0</v>
          </cell>
          <cell r="V470">
            <v>0</v>
          </cell>
        </row>
        <row r="471">
          <cell r="U471">
            <v>0</v>
          </cell>
          <cell r="V471">
            <v>0</v>
          </cell>
        </row>
        <row r="472">
          <cell r="U472">
            <v>0</v>
          </cell>
          <cell r="V472">
            <v>0</v>
          </cell>
        </row>
        <row r="473">
          <cell r="U473">
            <v>0</v>
          </cell>
          <cell r="V473">
            <v>0</v>
          </cell>
        </row>
        <row r="474">
          <cell r="U474">
            <v>0</v>
          </cell>
          <cell r="V474">
            <v>0</v>
          </cell>
        </row>
        <row r="475">
          <cell r="U475">
            <v>0</v>
          </cell>
          <cell r="V475">
            <v>0</v>
          </cell>
        </row>
        <row r="476">
          <cell r="U476">
            <v>0</v>
          </cell>
          <cell r="V476">
            <v>0</v>
          </cell>
        </row>
        <row r="477">
          <cell r="U477">
            <v>0</v>
          </cell>
          <cell r="V477">
            <v>0</v>
          </cell>
        </row>
        <row r="478">
          <cell r="U478">
            <v>0</v>
          </cell>
          <cell r="V478">
            <v>0</v>
          </cell>
        </row>
        <row r="479">
          <cell r="U479">
            <v>0</v>
          </cell>
          <cell r="V479">
            <v>0</v>
          </cell>
        </row>
        <row r="480">
          <cell r="U480">
            <v>0</v>
          </cell>
          <cell r="V480">
            <v>0</v>
          </cell>
        </row>
        <row r="481">
          <cell r="U481">
            <v>0</v>
          </cell>
          <cell r="V481">
            <v>0</v>
          </cell>
        </row>
        <row r="482">
          <cell r="U482">
            <v>0</v>
          </cell>
          <cell r="V482">
            <v>0</v>
          </cell>
        </row>
        <row r="483">
          <cell r="U483">
            <v>0</v>
          </cell>
          <cell r="V483">
            <v>0</v>
          </cell>
        </row>
        <row r="484">
          <cell r="U484">
            <v>0</v>
          </cell>
          <cell r="V484">
            <v>0</v>
          </cell>
        </row>
        <row r="485">
          <cell r="U485">
            <v>0</v>
          </cell>
          <cell r="V485">
            <v>0</v>
          </cell>
        </row>
        <row r="486">
          <cell r="U486">
            <v>0</v>
          </cell>
          <cell r="V486">
            <v>0</v>
          </cell>
        </row>
        <row r="487">
          <cell r="U487">
            <v>0</v>
          </cell>
          <cell r="V487">
            <v>0</v>
          </cell>
        </row>
        <row r="488">
          <cell r="U488">
            <v>0</v>
          </cell>
          <cell r="V488">
            <v>0</v>
          </cell>
        </row>
        <row r="489">
          <cell r="U489">
            <v>0</v>
          </cell>
          <cell r="V489">
            <v>0</v>
          </cell>
        </row>
        <row r="490">
          <cell r="U490">
            <v>0</v>
          </cell>
          <cell r="V490">
            <v>0</v>
          </cell>
        </row>
        <row r="491">
          <cell r="U491">
            <v>0</v>
          </cell>
          <cell r="V491">
            <v>0</v>
          </cell>
        </row>
        <row r="492">
          <cell r="U492">
            <v>0</v>
          </cell>
          <cell r="V492">
            <v>0</v>
          </cell>
        </row>
        <row r="493">
          <cell r="U493">
            <v>0</v>
          </cell>
          <cell r="V493">
            <v>0</v>
          </cell>
        </row>
        <row r="494">
          <cell r="U494">
            <v>0</v>
          </cell>
          <cell r="V494">
            <v>0</v>
          </cell>
        </row>
        <row r="495">
          <cell r="U495">
            <v>0</v>
          </cell>
          <cell r="V495">
            <v>0</v>
          </cell>
        </row>
        <row r="496">
          <cell r="U496">
            <v>0</v>
          </cell>
          <cell r="V496">
            <v>0</v>
          </cell>
        </row>
        <row r="497">
          <cell r="U497">
            <v>0</v>
          </cell>
          <cell r="V497">
            <v>0</v>
          </cell>
        </row>
        <row r="498">
          <cell r="U498">
            <v>0</v>
          </cell>
          <cell r="V498">
            <v>0</v>
          </cell>
        </row>
        <row r="499">
          <cell r="U499">
            <v>0</v>
          </cell>
          <cell r="V499">
            <v>0</v>
          </cell>
        </row>
        <row r="500">
          <cell r="U500">
            <v>0</v>
          </cell>
          <cell r="V500">
            <v>0</v>
          </cell>
        </row>
        <row r="501">
          <cell r="U501">
            <v>0</v>
          </cell>
          <cell r="V501">
            <v>0</v>
          </cell>
        </row>
        <row r="502">
          <cell r="U502">
            <v>0</v>
          </cell>
          <cell r="V502">
            <v>0</v>
          </cell>
        </row>
        <row r="503">
          <cell r="U503">
            <v>0</v>
          </cell>
          <cell r="V503">
            <v>0</v>
          </cell>
        </row>
        <row r="504">
          <cell r="U504">
            <v>0</v>
          </cell>
          <cell r="V504">
            <v>0</v>
          </cell>
        </row>
        <row r="505">
          <cell r="U505">
            <v>0</v>
          </cell>
          <cell r="V505">
            <v>0</v>
          </cell>
        </row>
        <row r="506">
          <cell r="U506">
            <v>0</v>
          </cell>
          <cell r="V506">
            <v>0</v>
          </cell>
        </row>
        <row r="507">
          <cell r="U507">
            <v>0</v>
          </cell>
          <cell r="V507">
            <v>0</v>
          </cell>
        </row>
        <row r="508">
          <cell r="U508">
            <v>0</v>
          </cell>
          <cell r="V508">
            <v>0</v>
          </cell>
        </row>
        <row r="509">
          <cell r="U509">
            <v>0</v>
          </cell>
          <cell r="V509">
            <v>0</v>
          </cell>
        </row>
        <row r="510">
          <cell r="U510">
            <v>0</v>
          </cell>
          <cell r="V510">
            <v>0</v>
          </cell>
        </row>
        <row r="511">
          <cell r="U511">
            <v>0</v>
          </cell>
          <cell r="V511">
            <v>0</v>
          </cell>
        </row>
        <row r="512">
          <cell r="U512">
            <v>0</v>
          </cell>
          <cell r="V512">
            <v>0</v>
          </cell>
        </row>
        <row r="513">
          <cell r="U513">
            <v>0</v>
          </cell>
          <cell r="V513">
            <v>0</v>
          </cell>
        </row>
        <row r="514">
          <cell r="U514">
            <v>0</v>
          </cell>
          <cell r="V514">
            <v>0</v>
          </cell>
        </row>
        <row r="515">
          <cell r="U515">
            <v>0</v>
          </cell>
          <cell r="V515">
            <v>0</v>
          </cell>
        </row>
        <row r="516">
          <cell r="U516">
            <v>0</v>
          </cell>
          <cell r="V516">
            <v>0</v>
          </cell>
        </row>
        <row r="517">
          <cell r="U517">
            <v>0</v>
          </cell>
          <cell r="V517">
            <v>0</v>
          </cell>
        </row>
        <row r="518">
          <cell r="U518">
            <v>0</v>
          </cell>
          <cell r="V518">
            <v>0</v>
          </cell>
        </row>
        <row r="519">
          <cell r="U519">
            <v>0</v>
          </cell>
          <cell r="V519">
            <v>0</v>
          </cell>
        </row>
        <row r="520">
          <cell r="U520">
            <v>0</v>
          </cell>
          <cell r="V520">
            <v>0</v>
          </cell>
        </row>
        <row r="521">
          <cell r="U521">
            <v>0</v>
          </cell>
          <cell r="V521">
            <v>0</v>
          </cell>
        </row>
        <row r="522">
          <cell r="U522">
            <v>0</v>
          </cell>
          <cell r="V522">
            <v>0</v>
          </cell>
        </row>
        <row r="523">
          <cell r="U523">
            <v>0</v>
          </cell>
          <cell r="V523">
            <v>0</v>
          </cell>
        </row>
        <row r="524">
          <cell r="U524">
            <v>0</v>
          </cell>
          <cell r="V524">
            <v>0</v>
          </cell>
        </row>
        <row r="525">
          <cell r="U525">
            <v>0</v>
          </cell>
          <cell r="V525">
            <v>0</v>
          </cell>
        </row>
        <row r="526">
          <cell r="U526">
            <v>0</v>
          </cell>
          <cell r="V526">
            <v>0</v>
          </cell>
        </row>
        <row r="527">
          <cell r="U527">
            <v>0</v>
          </cell>
          <cell r="V527">
            <v>0</v>
          </cell>
        </row>
        <row r="528">
          <cell r="U528">
            <v>0</v>
          </cell>
          <cell r="V528">
            <v>0</v>
          </cell>
        </row>
        <row r="529">
          <cell r="U529">
            <v>0</v>
          </cell>
          <cell r="V529">
            <v>0</v>
          </cell>
        </row>
        <row r="530">
          <cell r="U530">
            <v>0</v>
          </cell>
          <cell r="V530">
            <v>0</v>
          </cell>
        </row>
        <row r="531">
          <cell r="U531">
            <v>0</v>
          </cell>
          <cell r="V531">
            <v>0</v>
          </cell>
        </row>
        <row r="532">
          <cell r="U532">
            <v>0</v>
          </cell>
          <cell r="V532">
            <v>0</v>
          </cell>
        </row>
        <row r="533">
          <cell r="U533">
            <v>0</v>
          </cell>
          <cell r="V533">
            <v>0</v>
          </cell>
        </row>
        <row r="534">
          <cell r="U534">
            <v>0</v>
          </cell>
          <cell r="V534">
            <v>0</v>
          </cell>
        </row>
        <row r="535">
          <cell r="U535">
            <v>0</v>
          </cell>
          <cell r="V535">
            <v>0</v>
          </cell>
        </row>
        <row r="536">
          <cell r="U536">
            <v>0</v>
          </cell>
          <cell r="V536">
            <v>0</v>
          </cell>
        </row>
        <row r="537">
          <cell r="U537">
            <v>0</v>
          </cell>
          <cell r="V537">
            <v>0</v>
          </cell>
        </row>
        <row r="538">
          <cell r="U538">
            <v>0</v>
          </cell>
          <cell r="V538">
            <v>0</v>
          </cell>
        </row>
        <row r="539">
          <cell r="U539">
            <v>0</v>
          </cell>
          <cell r="V539">
            <v>0</v>
          </cell>
        </row>
        <row r="540">
          <cell r="U540">
            <v>0</v>
          </cell>
          <cell r="V540">
            <v>0</v>
          </cell>
        </row>
        <row r="541">
          <cell r="U541">
            <v>0</v>
          </cell>
          <cell r="V541">
            <v>0</v>
          </cell>
        </row>
        <row r="542">
          <cell r="U542">
            <v>0</v>
          </cell>
          <cell r="V542">
            <v>0</v>
          </cell>
        </row>
        <row r="543">
          <cell r="U543">
            <v>0</v>
          </cell>
          <cell r="V543">
            <v>0</v>
          </cell>
        </row>
        <row r="544">
          <cell r="U544">
            <v>0</v>
          </cell>
          <cell r="V544">
            <v>0</v>
          </cell>
        </row>
        <row r="545">
          <cell r="U545">
            <v>0</v>
          </cell>
          <cell r="V545">
            <v>0</v>
          </cell>
        </row>
        <row r="546">
          <cell r="U546">
            <v>0</v>
          </cell>
          <cell r="V546">
            <v>0</v>
          </cell>
        </row>
        <row r="547">
          <cell r="U547">
            <v>0</v>
          </cell>
          <cell r="V547">
            <v>0</v>
          </cell>
        </row>
        <row r="548">
          <cell r="U548">
            <v>0</v>
          </cell>
          <cell r="V548">
            <v>0</v>
          </cell>
        </row>
        <row r="549">
          <cell r="U549">
            <v>0</v>
          </cell>
          <cell r="V549">
            <v>0</v>
          </cell>
        </row>
        <row r="550">
          <cell r="U550">
            <v>0</v>
          </cell>
          <cell r="V550">
            <v>0</v>
          </cell>
        </row>
        <row r="551">
          <cell r="U551">
            <v>0</v>
          </cell>
          <cell r="V551">
            <v>0</v>
          </cell>
        </row>
        <row r="552">
          <cell r="U552">
            <v>0</v>
          </cell>
          <cell r="V552">
            <v>0</v>
          </cell>
        </row>
        <row r="553">
          <cell r="U553">
            <v>0</v>
          </cell>
          <cell r="V553">
            <v>0</v>
          </cell>
        </row>
        <row r="554">
          <cell r="U554">
            <v>0</v>
          </cell>
          <cell r="V554">
            <v>0</v>
          </cell>
        </row>
        <row r="555">
          <cell r="U555">
            <v>0</v>
          </cell>
          <cell r="V555">
            <v>0</v>
          </cell>
        </row>
        <row r="556">
          <cell r="U556">
            <v>0</v>
          </cell>
          <cell r="V556">
            <v>0</v>
          </cell>
        </row>
        <row r="557">
          <cell r="U557">
            <v>0</v>
          </cell>
          <cell r="V557">
            <v>0</v>
          </cell>
        </row>
        <row r="558">
          <cell r="U558">
            <v>0</v>
          </cell>
          <cell r="V558">
            <v>0</v>
          </cell>
        </row>
        <row r="559">
          <cell r="U559">
            <v>0</v>
          </cell>
          <cell r="V559">
            <v>0</v>
          </cell>
        </row>
        <row r="560">
          <cell r="U560">
            <v>0</v>
          </cell>
          <cell r="V560">
            <v>0</v>
          </cell>
        </row>
        <row r="561">
          <cell r="U561">
            <v>0</v>
          </cell>
          <cell r="V561">
            <v>0</v>
          </cell>
        </row>
        <row r="562">
          <cell r="U562">
            <v>0</v>
          </cell>
          <cell r="V562">
            <v>0</v>
          </cell>
        </row>
        <row r="563">
          <cell r="U563">
            <v>0</v>
          </cell>
          <cell r="V563">
            <v>0</v>
          </cell>
        </row>
        <row r="564">
          <cell r="U564">
            <v>0</v>
          </cell>
          <cell r="V564">
            <v>0</v>
          </cell>
        </row>
        <row r="565">
          <cell r="U565">
            <v>0</v>
          </cell>
          <cell r="V565">
            <v>0</v>
          </cell>
        </row>
        <row r="566">
          <cell r="U566">
            <v>0</v>
          </cell>
          <cell r="V566">
            <v>0</v>
          </cell>
        </row>
        <row r="567">
          <cell r="U567">
            <v>0</v>
          </cell>
          <cell r="V567">
            <v>0</v>
          </cell>
        </row>
        <row r="568">
          <cell r="U568">
            <v>0</v>
          </cell>
          <cell r="V568">
            <v>0</v>
          </cell>
        </row>
        <row r="569">
          <cell r="U569">
            <v>0</v>
          </cell>
          <cell r="V569">
            <v>0</v>
          </cell>
        </row>
        <row r="570">
          <cell r="U570">
            <v>0</v>
          </cell>
          <cell r="V570">
            <v>0</v>
          </cell>
        </row>
        <row r="571">
          <cell r="U571">
            <v>0</v>
          </cell>
          <cell r="V571">
            <v>0</v>
          </cell>
        </row>
        <row r="572">
          <cell r="U572">
            <v>0</v>
          </cell>
          <cell r="V572">
            <v>0</v>
          </cell>
        </row>
        <row r="573">
          <cell r="U573">
            <v>0</v>
          </cell>
          <cell r="V573">
            <v>0</v>
          </cell>
        </row>
        <row r="574">
          <cell r="U574">
            <v>0</v>
          </cell>
          <cell r="V574">
            <v>0</v>
          </cell>
        </row>
        <row r="575">
          <cell r="U575">
            <v>0</v>
          </cell>
          <cell r="V575">
            <v>0</v>
          </cell>
        </row>
        <row r="576">
          <cell r="U576">
            <v>0</v>
          </cell>
          <cell r="V576">
            <v>0</v>
          </cell>
        </row>
        <row r="577">
          <cell r="U577">
            <v>0</v>
          </cell>
          <cell r="V577">
            <v>0</v>
          </cell>
        </row>
        <row r="578">
          <cell r="U578">
            <v>0</v>
          </cell>
          <cell r="V578">
            <v>0</v>
          </cell>
        </row>
        <row r="579">
          <cell r="U579">
            <v>0</v>
          </cell>
          <cell r="V579">
            <v>0</v>
          </cell>
        </row>
        <row r="580">
          <cell r="U580">
            <v>0</v>
          </cell>
          <cell r="V580">
            <v>0</v>
          </cell>
        </row>
        <row r="581">
          <cell r="U581">
            <v>0</v>
          </cell>
          <cell r="V581">
            <v>0</v>
          </cell>
        </row>
        <row r="582">
          <cell r="U582">
            <v>0</v>
          </cell>
          <cell r="V582">
            <v>0</v>
          </cell>
        </row>
        <row r="583">
          <cell r="U583">
            <v>0</v>
          </cell>
          <cell r="V583">
            <v>0</v>
          </cell>
        </row>
        <row r="584">
          <cell r="U584">
            <v>0</v>
          </cell>
          <cell r="V584">
            <v>0</v>
          </cell>
        </row>
        <row r="585">
          <cell r="U585">
            <v>0</v>
          </cell>
          <cell r="V585">
            <v>0</v>
          </cell>
        </row>
        <row r="586">
          <cell r="U586">
            <v>0</v>
          </cell>
          <cell r="V586">
            <v>0</v>
          </cell>
        </row>
        <row r="587">
          <cell r="U587">
            <v>0</v>
          </cell>
          <cell r="V587">
            <v>0</v>
          </cell>
        </row>
        <row r="588">
          <cell r="U588">
            <v>0</v>
          </cell>
          <cell r="V588">
            <v>0</v>
          </cell>
        </row>
        <row r="589">
          <cell r="U589">
            <v>0</v>
          </cell>
          <cell r="V589">
            <v>0</v>
          </cell>
        </row>
        <row r="590">
          <cell r="U590">
            <v>0</v>
          </cell>
          <cell r="V590">
            <v>0</v>
          </cell>
        </row>
        <row r="591">
          <cell r="U591">
            <v>0</v>
          </cell>
          <cell r="V591">
            <v>0</v>
          </cell>
        </row>
        <row r="592">
          <cell r="U592">
            <v>0</v>
          </cell>
          <cell r="V592">
            <v>0</v>
          </cell>
        </row>
        <row r="593">
          <cell r="U593">
            <v>0</v>
          </cell>
          <cell r="V593">
            <v>0</v>
          </cell>
        </row>
        <row r="594">
          <cell r="U594">
            <v>0</v>
          </cell>
          <cell r="V594">
            <v>0</v>
          </cell>
        </row>
        <row r="595">
          <cell r="U595">
            <v>0</v>
          </cell>
          <cell r="V595">
            <v>0</v>
          </cell>
        </row>
        <row r="596">
          <cell r="U596">
            <v>0</v>
          </cell>
          <cell r="V596">
            <v>0</v>
          </cell>
        </row>
        <row r="597">
          <cell r="U597">
            <v>0</v>
          </cell>
          <cell r="V597">
            <v>0</v>
          </cell>
        </row>
        <row r="598">
          <cell r="U598">
            <v>0</v>
          </cell>
          <cell r="V598">
            <v>0</v>
          </cell>
        </row>
        <row r="599">
          <cell r="U599">
            <v>0</v>
          </cell>
          <cell r="V599">
            <v>0</v>
          </cell>
        </row>
        <row r="600">
          <cell r="U600">
            <v>0</v>
          </cell>
          <cell r="V600">
            <v>0</v>
          </cell>
        </row>
        <row r="601">
          <cell r="U601">
            <v>0</v>
          </cell>
          <cell r="V601">
            <v>0</v>
          </cell>
        </row>
        <row r="602">
          <cell r="U602">
            <v>0</v>
          </cell>
          <cell r="V602">
            <v>0</v>
          </cell>
        </row>
        <row r="603">
          <cell r="U603">
            <v>0</v>
          </cell>
          <cell r="V603">
            <v>0</v>
          </cell>
        </row>
        <row r="604">
          <cell r="U604">
            <v>0</v>
          </cell>
          <cell r="V604">
            <v>0</v>
          </cell>
        </row>
        <row r="605">
          <cell r="U605">
            <v>0</v>
          </cell>
          <cell r="V605">
            <v>0</v>
          </cell>
        </row>
        <row r="606">
          <cell r="U606">
            <v>0</v>
          </cell>
          <cell r="V606">
            <v>0</v>
          </cell>
        </row>
        <row r="607">
          <cell r="U607">
            <v>0</v>
          </cell>
          <cell r="V607">
            <v>0</v>
          </cell>
        </row>
        <row r="608">
          <cell r="U608">
            <v>0</v>
          </cell>
          <cell r="V608">
            <v>0</v>
          </cell>
        </row>
        <row r="609">
          <cell r="U609">
            <v>0</v>
          </cell>
          <cell r="V609">
            <v>0</v>
          </cell>
        </row>
        <row r="610">
          <cell r="U610">
            <v>0</v>
          </cell>
          <cell r="V610">
            <v>0</v>
          </cell>
        </row>
        <row r="611">
          <cell r="U611">
            <v>0</v>
          </cell>
          <cell r="V611">
            <v>0</v>
          </cell>
        </row>
        <row r="612">
          <cell r="U612">
            <v>0</v>
          </cell>
          <cell r="V612">
            <v>0</v>
          </cell>
        </row>
        <row r="613">
          <cell r="U613">
            <v>0</v>
          </cell>
          <cell r="V613">
            <v>0</v>
          </cell>
        </row>
        <row r="614">
          <cell r="U614">
            <v>0</v>
          </cell>
          <cell r="V614">
            <v>0</v>
          </cell>
        </row>
        <row r="615">
          <cell r="U615">
            <v>0</v>
          </cell>
          <cell r="V615">
            <v>0</v>
          </cell>
        </row>
        <row r="616">
          <cell r="U616">
            <v>0</v>
          </cell>
          <cell r="V616">
            <v>0</v>
          </cell>
        </row>
        <row r="617">
          <cell r="U617">
            <v>0</v>
          </cell>
          <cell r="V617">
            <v>0</v>
          </cell>
        </row>
        <row r="618">
          <cell r="U618">
            <v>0</v>
          </cell>
          <cell r="V618">
            <v>0</v>
          </cell>
        </row>
        <row r="619">
          <cell r="U619">
            <v>0</v>
          </cell>
          <cell r="V619">
            <v>0</v>
          </cell>
        </row>
        <row r="620">
          <cell r="U620">
            <v>0</v>
          </cell>
          <cell r="V620">
            <v>0</v>
          </cell>
        </row>
        <row r="621">
          <cell r="U621">
            <v>0</v>
          </cell>
          <cell r="V621">
            <v>0</v>
          </cell>
        </row>
        <row r="622">
          <cell r="U622">
            <v>0</v>
          </cell>
          <cell r="V622">
            <v>0</v>
          </cell>
        </row>
        <row r="623">
          <cell r="U623">
            <v>0</v>
          </cell>
          <cell r="V623">
            <v>0</v>
          </cell>
        </row>
        <row r="624">
          <cell r="U624">
            <v>0</v>
          </cell>
          <cell r="V624">
            <v>0</v>
          </cell>
        </row>
        <row r="625">
          <cell r="U625">
            <v>0</v>
          </cell>
          <cell r="V625">
            <v>0</v>
          </cell>
        </row>
        <row r="626">
          <cell r="U626">
            <v>0</v>
          </cell>
          <cell r="V626">
            <v>0</v>
          </cell>
        </row>
        <row r="627">
          <cell r="U627">
            <v>0</v>
          </cell>
          <cell r="V627">
            <v>0</v>
          </cell>
        </row>
        <row r="628">
          <cell r="U628">
            <v>0</v>
          </cell>
          <cell r="V628">
            <v>0</v>
          </cell>
        </row>
        <row r="629">
          <cell r="U629">
            <v>0</v>
          </cell>
          <cell r="V629">
            <v>0</v>
          </cell>
        </row>
        <row r="630">
          <cell r="U630">
            <v>0</v>
          </cell>
          <cell r="V630">
            <v>0</v>
          </cell>
        </row>
        <row r="631">
          <cell r="U631">
            <v>0</v>
          </cell>
          <cell r="V631">
            <v>0</v>
          </cell>
        </row>
        <row r="632">
          <cell r="U632">
            <v>0</v>
          </cell>
          <cell r="V632">
            <v>0</v>
          </cell>
        </row>
        <row r="633">
          <cell r="U633">
            <v>0</v>
          </cell>
          <cell r="V633">
            <v>0</v>
          </cell>
        </row>
        <row r="634">
          <cell r="U634">
            <v>0</v>
          </cell>
          <cell r="V634">
            <v>0</v>
          </cell>
        </row>
        <row r="635">
          <cell r="U635">
            <v>0</v>
          </cell>
          <cell r="V635">
            <v>0</v>
          </cell>
        </row>
        <row r="636">
          <cell r="U636">
            <v>0</v>
          </cell>
          <cell r="V636">
            <v>0</v>
          </cell>
        </row>
        <row r="637">
          <cell r="U637">
            <v>0</v>
          </cell>
          <cell r="V637">
            <v>0</v>
          </cell>
        </row>
        <row r="638">
          <cell r="U638">
            <v>0</v>
          </cell>
          <cell r="V638">
            <v>0</v>
          </cell>
        </row>
        <row r="639">
          <cell r="U639">
            <v>0</v>
          </cell>
          <cell r="V639">
            <v>0</v>
          </cell>
        </row>
        <row r="640">
          <cell r="U640">
            <v>0</v>
          </cell>
          <cell r="V640">
            <v>0</v>
          </cell>
        </row>
        <row r="641">
          <cell r="U641">
            <v>0</v>
          </cell>
          <cell r="V641">
            <v>0</v>
          </cell>
        </row>
        <row r="642">
          <cell r="U642">
            <v>0</v>
          </cell>
          <cell r="V642">
            <v>0</v>
          </cell>
        </row>
        <row r="643">
          <cell r="U643">
            <v>0</v>
          </cell>
          <cell r="V643">
            <v>0</v>
          </cell>
        </row>
        <row r="644">
          <cell r="U644">
            <v>0</v>
          </cell>
          <cell r="V644">
            <v>0</v>
          </cell>
        </row>
        <row r="645">
          <cell r="U645">
            <v>0</v>
          </cell>
          <cell r="V645">
            <v>0</v>
          </cell>
        </row>
        <row r="646">
          <cell r="U646">
            <v>0</v>
          </cell>
          <cell r="V646">
            <v>0</v>
          </cell>
        </row>
        <row r="647">
          <cell r="U647">
            <v>0</v>
          </cell>
          <cell r="V647">
            <v>0</v>
          </cell>
        </row>
        <row r="648">
          <cell r="U648">
            <v>0</v>
          </cell>
          <cell r="V648">
            <v>0</v>
          </cell>
        </row>
        <row r="649">
          <cell r="U649">
            <v>0</v>
          </cell>
          <cell r="V649">
            <v>0</v>
          </cell>
        </row>
        <row r="650">
          <cell r="U650">
            <v>0</v>
          </cell>
          <cell r="V650">
            <v>0</v>
          </cell>
        </row>
        <row r="651">
          <cell r="U651">
            <v>0</v>
          </cell>
          <cell r="V651">
            <v>0</v>
          </cell>
        </row>
        <row r="652">
          <cell r="U652">
            <v>0</v>
          </cell>
          <cell r="V652">
            <v>0</v>
          </cell>
        </row>
        <row r="653">
          <cell r="U653">
            <v>0</v>
          </cell>
          <cell r="V653">
            <v>0</v>
          </cell>
        </row>
        <row r="654">
          <cell r="U654">
            <v>0</v>
          </cell>
          <cell r="V654">
            <v>0</v>
          </cell>
        </row>
        <row r="655">
          <cell r="U655">
            <v>0</v>
          </cell>
          <cell r="V655">
            <v>0</v>
          </cell>
        </row>
        <row r="656">
          <cell r="U656">
            <v>0</v>
          </cell>
          <cell r="V656">
            <v>0</v>
          </cell>
        </row>
        <row r="657">
          <cell r="U657">
            <v>0</v>
          </cell>
          <cell r="V657">
            <v>0</v>
          </cell>
        </row>
        <row r="658">
          <cell r="U658">
            <v>0</v>
          </cell>
          <cell r="V658">
            <v>0</v>
          </cell>
        </row>
        <row r="659">
          <cell r="U659">
            <v>0</v>
          </cell>
          <cell r="V659">
            <v>0</v>
          </cell>
        </row>
        <row r="660">
          <cell r="U660">
            <v>0</v>
          </cell>
          <cell r="V660">
            <v>0</v>
          </cell>
        </row>
        <row r="661">
          <cell r="U661">
            <v>0</v>
          </cell>
          <cell r="V661">
            <v>0</v>
          </cell>
        </row>
        <row r="662">
          <cell r="U662">
            <v>0</v>
          </cell>
          <cell r="V662">
            <v>0</v>
          </cell>
        </row>
        <row r="663">
          <cell r="U663">
            <v>0</v>
          </cell>
          <cell r="V663">
            <v>0</v>
          </cell>
        </row>
        <row r="664">
          <cell r="U664">
            <v>0</v>
          </cell>
          <cell r="V664">
            <v>0</v>
          </cell>
        </row>
        <row r="665">
          <cell r="U665">
            <v>0</v>
          </cell>
          <cell r="V665">
            <v>0</v>
          </cell>
        </row>
        <row r="666">
          <cell r="U666">
            <v>0</v>
          </cell>
          <cell r="V666">
            <v>0</v>
          </cell>
        </row>
        <row r="667">
          <cell r="U667">
            <v>0</v>
          </cell>
          <cell r="V667">
            <v>0</v>
          </cell>
        </row>
        <row r="668">
          <cell r="U668">
            <v>0</v>
          </cell>
          <cell r="V668">
            <v>0</v>
          </cell>
        </row>
        <row r="669">
          <cell r="U669">
            <v>0</v>
          </cell>
          <cell r="V669">
            <v>0</v>
          </cell>
        </row>
        <row r="670">
          <cell r="U670">
            <v>0</v>
          </cell>
          <cell r="V670">
            <v>0</v>
          </cell>
        </row>
        <row r="671">
          <cell r="U671">
            <v>0</v>
          </cell>
          <cell r="V671">
            <v>0</v>
          </cell>
        </row>
        <row r="672">
          <cell r="U672">
            <v>0</v>
          </cell>
          <cell r="V672">
            <v>0</v>
          </cell>
        </row>
        <row r="673">
          <cell r="U673">
            <v>0</v>
          </cell>
          <cell r="V673">
            <v>0</v>
          </cell>
        </row>
        <row r="674">
          <cell r="U674">
            <v>0</v>
          </cell>
          <cell r="V674">
            <v>0</v>
          </cell>
        </row>
        <row r="675">
          <cell r="U675">
            <v>0</v>
          </cell>
          <cell r="V675">
            <v>0</v>
          </cell>
        </row>
        <row r="676">
          <cell r="U676">
            <v>0</v>
          </cell>
          <cell r="V676">
            <v>0</v>
          </cell>
        </row>
        <row r="677">
          <cell r="U677">
            <v>0</v>
          </cell>
          <cell r="V677">
            <v>0</v>
          </cell>
        </row>
        <row r="678">
          <cell r="U678">
            <v>0</v>
          </cell>
          <cell r="V678">
            <v>0</v>
          </cell>
        </row>
        <row r="679">
          <cell r="U679">
            <v>0</v>
          </cell>
          <cell r="V679">
            <v>0</v>
          </cell>
        </row>
        <row r="680">
          <cell r="U680">
            <v>0</v>
          </cell>
          <cell r="V680">
            <v>0</v>
          </cell>
        </row>
        <row r="681">
          <cell r="U681">
            <v>0</v>
          </cell>
          <cell r="V681">
            <v>0</v>
          </cell>
        </row>
        <row r="682">
          <cell r="U682">
            <v>0</v>
          </cell>
          <cell r="V682">
            <v>0</v>
          </cell>
        </row>
        <row r="683">
          <cell r="U683">
            <v>0</v>
          </cell>
          <cell r="V683">
            <v>0</v>
          </cell>
        </row>
        <row r="684">
          <cell r="U684">
            <v>0</v>
          </cell>
          <cell r="V684">
            <v>0</v>
          </cell>
        </row>
        <row r="685">
          <cell r="U685">
            <v>0</v>
          </cell>
          <cell r="V685">
            <v>0</v>
          </cell>
        </row>
        <row r="686">
          <cell r="U686">
            <v>0</v>
          </cell>
          <cell r="V686">
            <v>0</v>
          </cell>
        </row>
        <row r="687">
          <cell r="U687">
            <v>0</v>
          </cell>
          <cell r="V687">
            <v>0</v>
          </cell>
        </row>
        <row r="688">
          <cell r="U688">
            <v>0</v>
          </cell>
          <cell r="V688">
            <v>0</v>
          </cell>
        </row>
        <row r="689">
          <cell r="U689">
            <v>0</v>
          </cell>
          <cell r="V689">
            <v>0</v>
          </cell>
        </row>
        <row r="690">
          <cell r="U690">
            <v>0</v>
          </cell>
          <cell r="V690">
            <v>0</v>
          </cell>
        </row>
        <row r="691">
          <cell r="U691">
            <v>0</v>
          </cell>
          <cell r="V691">
            <v>0</v>
          </cell>
        </row>
        <row r="692">
          <cell r="U692">
            <v>0</v>
          </cell>
          <cell r="V692">
            <v>0</v>
          </cell>
        </row>
        <row r="693">
          <cell r="U693">
            <v>0</v>
          </cell>
          <cell r="V693">
            <v>0</v>
          </cell>
        </row>
        <row r="694">
          <cell r="U694">
            <v>0</v>
          </cell>
          <cell r="V694">
            <v>0</v>
          </cell>
        </row>
        <row r="695">
          <cell r="U695">
            <v>0</v>
          </cell>
          <cell r="V695">
            <v>0</v>
          </cell>
        </row>
        <row r="696">
          <cell r="U696">
            <v>0</v>
          </cell>
          <cell r="V696">
            <v>0</v>
          </cell>
        </row>
        <row r="697">
          <cell r="U697">
            <v>0</v>
          </cell>
          <cell r="V697">
            <v>0</v>
          </cell>
        </row>
        <row r="698">
          <cell r="U698">
            <v>0</v>
          </cell>
          <cell r="V698">
            <v>0</v>
          </cell>
        </row>
        <row r="699">
          <cell r="U699">
            <v>0</v>
          </cell>
          <cell r="V699">
            <v>0</v>
          </cell>
        </row>
        <row r="700">
          <cell r="U700">
            <v>0</v>
          </cell>
          <cell r="V700">
            <v>0</v>
          </cell>
        </row>
        <row r="701">
          <cell r="U701">
            <v>0</v>
          </cell>
          <cell r="V701">
            <v>0</v>
          </cell>
        </row>
        <row r="702">
          <cell r="U702">
            <v>0</v>
          </cell>
          <cell r="V702">
            <v>0</v>
          </cell>
        </row>
        <row r="703">
          <cell r="U703">
            <v>0</v>
          </cell>
          <cell r="V703">
            <v>0</v>
          </cell>
        </row>
        <row r="704">
          <cell r="U704">
            <v>0</v>
          </cell>
          <cell r="V704">
            <v>0</v>
          </cell>
        </row>
        <row r="705">
          <cell r="U705">
            <v>0</v>
          </cell>
          <cell r="V705">
            <v>0</v>
          </cell>
        </row>
        <row r="706">
          <cell r="U706">
            <v>0</v>
          </cell>
          <cell r="V706">
            <v>0</v>
          </cell>
        </row>
        <row r="707">
          <cell r="U707">
            <v>0</v>
          </cell>
          <cell r="V707">
            <v>0</v>
          </cell>
        </row>
        <row r="708">
          <cell r="U708">
            <v>0</v>
          </cell>
          <cell r="V708">
            <v>0</v>
          </cell>
        </row>
        <row r="709">
          <cell r="U709">
            <v>0</v>
          </cell>
          <cell r="V709">
            <v>0</v>
          </cell>
        </row>
        <row r="710">
          <cell r="U710">
            <v>0</v>
          </cell>
          <cell r="V710">
            <v>0</v>
          </cell>
        </row>
        <row r="711">
          <cell r="U711">
            <v>0</v>
          </cell>
          <cell r="V711">
            <v>0</v>
          </cell>
        </row>
        <row r="712">
          <cell r="U712">
            <v>0</v>
          </cell>
          <cell r="V712">
            <v>0</v>
          </cell>
        </row>
        <row r="713">
          <cell r="U713">
            <v>0</v>
          </cell>
          <cell r="V713">
            <v>0</v>
          </cell>
        </row>
        <row r="714">
          <cell r="U714">
            <v>0</v>
          </cell>
          <cell r="V714">
            <v>0</v>
          </cell>
        </row>
        <row r="715">
          <cell r="U715">
            <v>0</v>
          </cell>
          <cell r="V715">
            <v>0</v>
          </cell>
        </row>
        <row r="716">
          <cell r="U716">
            <v>0</v>
          </cell>
          <cell r="V716">
            <v>0</v>
          </cell>
        </row>
        <row r="717">
          <cell r="U717">
            <v>0</v>
          </cell>
          <cell r="V717">
            <v>0</v>
          </cell>
        </row>
        <row r="718">
          <cell r="U718">
            <v>0</v>
          </cell>
          <cell r="V718">
            <v>0</v>
          </cell>
        </row>
        <row r="719">
          <cell r="U719">
            <v>0</v>
          </cell>
          <cell r="V719">
            <v>0</v>
          </cell>
        </row>
        <row r="720">
          <cell r="U720">
            <v>0</v>
          </cell>
          <cell r="V720">
            <v>0</v>
          </cell>
        </row>
        <row r="721">
          <cell r="U721">
            <v>0</v>
          </cell>
          <cell r="V721">
            <v>0</v>
          </cell>
        </row>
        <row r="722">
          <cell r="U722">
            <v>0</v>
          </cell>
          <cell r="V722">
            <v>0</v>
          </cell>
        </row>
        <row r="723">
          <cell r="U723">
            <v>0</v>
          </cell>
          <cell r="V723">
            <v>0</v>
          </cell>
        </row>
        <row r="724">
          <cell r="U724">
            <v>0</v>
          </cell>
          <cell r="V724">
            <v>0</v>
          </cell>
        </row>
        <row r="725">
          <cell r="U725">
            <v>0</v>
          </cell>
          <cell r="V725">
            <v>0</v>
          </cell>
        </row>
        <row r="726">
          <cell r="U726">
            <v>0</v>
          </cell>
          <cell r="V726">
            <v>0</v>
          </cell>
        </row>
        <row r="727">
          <cell r="U727">
            <v>0</v>
          </cell>
          <cell r="V727">
            <v>0</v>
          </cell>
        </row>
        <row r="728">
          <cell r="U728">
            <v>0</v>
          </cell>
          <cell r="V728">
            <v>0</v>
          </cell>
        </row>
        <row r="729">
          <cell r="U729">
            <v>0</v>
          </cell>
          <cell r="V729">
            <v>0</v>
          </cell>
        </row>
        <row r="730">
          <cell r="U730">
            <v>0</v>
          </cell>
          <cell r="V730">
            <v>0</v>
          </cell>
        </row>
        <row r="731">
          <cell r="U731">
            <v>0</v>
          </cell>
          <cell r="V731">
            <v>0</v>
          </cell>
        </row>
        <row r="732">
          <cell r="U732">
            <v>0</v>
          </cell>
          <cell r="V732">
            <v>0</v>
          </cell>
        </row>
        <row r="733">
          <cell r="U733">
            <v>0</v>
          </cell>
          <cell r="V733">
            <v>0</v>
          </cell>
        </row>
        <row r="734">
          <cell r="U734">
            <v>0</v>
          </cell>
          <cell r="V734">
            <v>0</v>
          </cell>
        </row>
        <row r="735">
          <cell r="U735">
            <v>0</v>
          </cell>
          <cell r="V735">
            <v>0</v>
          </cell>
        </row>
        <row r="736">
          <cell r="U736">
            <v>0</v>
          </cell>
          <cell r="V736">
            <v>0</v>
          </cell>
        </row>
        <row r="737">
          <cell r="U737">
            <v>0</v>
          </cell>
          <cell r="V737">
            <v>0</v>
          </cell>
        </row>
        <row r="738">
          <cell r="U738">
            <v>0</v>
          </cell>
          <cell r="V738">
            <v>0</v>
          </cell>
        </row>
        <row r="739">
          <cell r="U739">
            <v>0</v>
          </cell>
          <cell r="V739">
            <v>0</v>
          </cell>
        </row>
        <row r="740">
          <cell r="U740">
            <v>0</v>
          </cell>
          <cell r="V740">
            <v>0</v>
          </cell>
        </row>
        <row r="741">
          <cell r="U741">
            <v>0</v>
          </cell>
          <cell r="V741">
            <v>0</v>
          </cell>
        </row>
        <row r="742">
          <cell r="U742">
            <v>0</v>
          </cell>
          <cell r="V742">
            <v>0</v>
          </cell>
        </row>
        <row r="743">
          <cell r="U743">
            <v>0</v>
          </cell>
          <cell r="V743">
            <v>0</v>
          </cell>
        </row>
        <row r="744">
          <cell r="U744">
            <v>0</v>
          </cell>
          <cell r="V744">
            <v>0</v>
          </cell>
        </row>
        <row r="745">
          <cell r="U745">
            <v>0</v>
          </cell>
          <cell r="V745">
            <v>0</v>
          </cell>
        </row>
        <row r="746">
          <cell r="U746">
            <v>0</v>
          </cell>
          <cell r="V746">
            <v>0</v>
          </cell>
        </row>
        <row r="747">
          <cell r="U747">
            <v>0</v>
          </cell>
          <cell r="V747">
            <v>0</v>
          </cell>
        </row>
        <row r="748">
          <cell r="U748">
            <v>0</v>
          </cell>
          <cell r="V748">
            <v>0</v>
          </cell>
        </row>
        <row r="749">
          <cell r="U749">
            <v>0</v>
          </cell>
          <cell r="V749">
            <v>0</v>
          </cell>
        </row>
        <row r="750">
          <cell r="U750">
            <v>0</v>
          </cell>
          <cell r="V750">
            <v>0</v>
          </cell>
        </row>
        <row r="751">
          <cell r="U751">
            <v>0</v>
          </cell>
          <cell r="V751">
            <v>0</v>
          </cell>
        </row>
        <row r="752">
          <cell r="U752">
            <v>0</v>
          </cell>
          <cell r="V752">
            <v>0</v>
          </cell>
        </row>
        <row r="753">
          <cell r="U753">
            <v>0</v>
          </cell>
          <cell r="V753">
            <v>0</v>
          </cell>
        </row>
        <row r="754">
          <cell r="U754">
            <v>0</v>
          </cell>
          <cell r="V754">
            <v>0</v>
          </cell>
        </row>
        <row r="755">
          <cell r="U755">
            <v>0</v>
          </cell>
          <cell r="V755">
            <v>0</v>
          </cell>
        </row>
        <row r="756">
          <cell r="U756">
            <v>0</v>
          </cell>
          <cell r="V756">
            <v>0</v>
          </cell>
        </row>
        <row r="757">
          <cell r="U757">
            <v>0</v>
          </cell>
          <cell r="V757">
            <v>0</v>
          </cell>
        </row>
        <row r="758">
          <cell r="U758">
            <v>0</v>
          </cell>
          <cell r="V758">
            <v>0</v>
          </cell>
        </row>
        <row r="759">
          <cell r="U759">
            <v>0</v>
          </cell>
          <cell r="V759">
            <v>0</v>
          </cell>
        </row>
        <row r="760">
          <cell r="U760">
            <v>0</v>
          </cell>
          <cell r="V760">
            <v>0</v>
          </cell>
        </row>
        <row r="761">
          <cell r="U761">
            <v>0</v>
          </cell>
          <cell r="V761">
            <v>0</v>
          </cell>
        </row>
        <row r="762">
          <cell r="U762">
            <v>0</v>
          </cell>
          <cell r="V762">
            <v>0</v>
          </cell>
        </row>
        <row r="763">
          <cell r="U763">
            <v>0</v>
          </cell>
          <cell r="V763">
            <v>0</v>
          </cell>
        </row>
        <row r="764">
          <cell r="U764">
            <v>0</v>
          </cell>
          <cell r="V764">
            <v>0</v>
          </cell>
        </row>
        <row r="765">
          <cell r="U765">
            <v>0</v>
          </cell>
          <cell r="V765">
            <v>0</v>
          </cell>
        </row>
        <row r="766">
          <cell r="U766">
            <v>0</v>
          </cell>
          <cell r="V766">
            <v>0</v>
          </cell>
        </row>
        <row r="767">
          <cell r="U767">
            <v>0</v>
          </cell>
          <cell r="V767">
            <v>0</v>
          </cell>
        </row>
        <row r="768">
          <cell r="U768">
            <v>0</v>
          </cell>
          <cell r="V768">
            <v>0</v>
          </cell>
        </row>
        <row r="769">
          <cell r="U769">
            <v>0</v>
          </cell>
          <cell r="V769">
            <v>0</v>
          </cell>
        </row>
        <row r="770">
          <cell r="U770">
            <v>0</v>
          </cell>
          <cell r="V770">
            <v>0</v>
          </cell>
        </row>
        <row r="771">
          <cell r="U771">
            <v>0</v>
          </cell>
          <cell r="V771">
            <v>0</v>
          </cell>
        </row>
        <row r="772">
          <cell r="U772">
            <v>0</v>
          </cell>
          <cell r="V772">
            <v>0</v>
          </cell>
        </row>
        <row r="773">
          <cell r="U773">
            <v>0</v>
          </cell>
          <cell r="V773">
            <v>0</v>
          </cell>
        </row>
        <row r="774">
          <cell r="U774">
            <v>0</v>
          </cell>
          <cell r="V774">
            <v>0</v>
          </cell>
        </row>
        <row r="775">
          <cell r="U775">
            <v>0</v>
          </cell>
          <cell r="V775">
            <v>0</v>
          </cell>
        </row>
        <row r="776">
          <cell r="U776">
            <v>0</v>
          </cell>
          <cell r="V776">
            <v>0</v>
          </cell>
        </row>
        <row r="777">
          <cell r="U777">
            <v>0</v>
          </cell>
          <cell r="V777">
            <v>0</v>
          </cell>
        </row>
        <row r="778">
          <cell r="U778">
            <v>0</v>
          </cell>
          <cell r="V778">
            <v>0</v>
          </cell>
        </row>
        <row r="779">
          <cell r="U779">
            <v>0</v>
          </cell>
          <cell r="V779">
            <v>0</v>
          </cell>
        </row>
        <row r="780">
          <cell r="U780">
            <v>0</v>
          </cell>
          <cell r="V780">
            <v>0</v>
          </cell>
        </row>
        <row r="781">
          <cell r="U781">
            <v>0</v>
          </cell>
          <cell r="V781">
            <v>0</v>
          </cell>
        </row>
        <row r="782">
          <cell r="U782">
            <v>0</v>
          </cell>
          <cell r="V782">
            <v>0</v>
          </cell>
        </row>
        <row r="783">
          <cell r="U783">
            <v>0</v>
          </cell>
          <cell r="V783">
            <v>0</v>
          </cell>
        </row>
        <row r="784">
          <cell r="U784">
            <v>0</v>
          </cell>
          <cell r="V784">
            <v>0</v>
          </cell>
        </row>
        <row r="785">
          <cell r="U785">
            <v>0</v>
          </cell>
          <cell r="V785">
            <v>0</v>
          </cell>
        </row>
        <row r="786">
          <cell r="U786">
            <v>0</v>
          </cell>
          <cell r="V786">
            <v>0</v>
          </cell>
        </row>
        <row r="787">
          <cell r="U787">
            <v>0</v>
          </cell>
          <cell r="V787">
            <v>0</v>
          </cell>
        </row>
        <row r="788">
          <cell r="U788">
            <v>0</v>
          </cell>
          <cell r="V788">
            <v>0</v>
          </cell>
        </row>
        <row r="789">
          <cell r="U789">
            <v>0</v>
          </cell>
          <cell r="V789">
            <v>0</v>
          </cell>
        </row>
        <row r="790">
          <cell r="U790">
            <v>0</v>
          </cell>
          <cell r="V790">
            <v>0</v>
          </cell>
        </row>
        <row r="791">
          <cell r="U791">
            <v>0</v>
          </cell>
          <cell r="V791">
            <v>0</v>
          </cell>
        </row>
        <row r="792">
          <cell r="U792">
            <v>0</v>
          </cell>
          <cell r="V792">
            <v>0</v>
          </cell>
        </row>
        <row r="793">
          <cell r="U793">
            <v>0</v>
          </cell>
          <cell r="V793">
            <v>0</v>
          </cell>
        </row>
        <row r="794">
          <cell r="U794">
            <v>0</v>
          </cell>
          <cell r="V794">
            <v>0</v>
          </cell>
        </row>
        <row r="795">
          <cell r="U795">
            <v>0</v>
          </cell>
          <cell r="V795">
            <v>0</v>
          </cell>
        </row>
        <row r="796">
          <cell r="U796">
            <v>0</v>
          </cell>
          <cell r="V796">
            <v>0</v>
          </cell>
        </row>
        <row r="797">
          <cell r="U797">
            <v>0</v>
          </cell>
          <cell r="V797">
            <v>0</v>
          </cell>
        </row>
        <row r="798">
          <cell r="U798">
            <v>0</v>
          </cell>
          <cell r="V798">
            <v>0</v>
          </cell>
        </row>
        <row r="799">
          <cell r="U799">
            <v>0</v>
          </cell>
          <cell r="V799">
            <v>0</v>
          </cell>
        </row>
        <row r="800">
          <cell r="U800">
            <v>0</v>
          </cell>
          <cell r="V800">
            <v>0</v>
          </cell>
        </row>
        <row r="801">
          <cell r="U801">
            <v>0</v>
          </cell>
          <cell r="V801">
            <v>0</v>
          </cell>
        </row>
        <row r="802">
          <cell r="U802">
            <v>0</v>
          </cell>
          <cell r="V802">
            <v>0</v>
          </cell>
        </row>
        <row r="803">
          <cell r="U803">
            <v>0</v>
          </cell>
          <cell r="V803">
            <v>0</v>
          </cell>
        </row>
        <row r="804">
          <cell r="U804">
            <v>0</v>
          </cell>
          <cell r="V804">
            <v>0</v>
          </cell>
        </row>
        <row r="805">
          <cell r="U805">
            <v>0</v>
          </cell>
          <cell r="V805">
            <v>0</v>
          </cell>
        </row>
        <row r="806">
          <cell r="U806">
            <v>0</v>
          </cell>
          <cell r="V806">
            <v>0</v>
          </cell>
        </row>
        <row r="807">
          <cell r="U807">
            <v>0</v>
          </cell>
          <cell r="V807">
            <v>0</v>
          </cell>
        </row>
        <row r="808">
          <cell r="U808">
            <v>0</v>
          </cell>
          <cell r="V808">
            <v>0</v>
          </cell>
        </row>
        <row r="809">
          <cell r="U809">
            <v>0</v>
          </cell>
          <cell r="V809">
            <v>0</v>
          </cell>
        </row>
        <row r="810">
          <cell r="U810">
            <v>0</v>
          </cell>
          <cell r="V810">
            <v>0</v>
          </cell>
        </row>
        <row r="811">
          <cell r="U811">
            <v>0</v>
          </cell>
          <cell r="V811">
            <v>0</v>
          </cell>
        </row>
        <row r="812">
          <cell r="U812">
            <v>0</v>
          </cell>
          <cell r="V812">
            <v>0</v>
          </cell>
        </row>
        <row r="813">
          <cell r="U813">
            <v>0</v>
          </cell>
          <cell r="V813">
            <v>0</v>
          </cell>
        </row>
        <row r="814">
          <cell r="U814">
            <v>0</v>
          </cell>
          <cell r="V814">
            <v>0</v>
          </cell>
        </row>
        <row r="815">
          <cell r="U815">
            <v>0</v>
          </cell>
          <cell r="V815">
            <v>0</v>
          </cell>
        </row>
        <row r="816">
          <cell r="U816">
            <v>0</v>
          </cell>
          <cell r="V816">
            <v>0</v>
          </cell>
        </row>
        <row r="817">
          <cell r="U817">
            <v>0</v>
          </cell>
          <cell r="V817">
            <v>0</v>
          </cell>
        </row>
        <row r="818">
          <cell r="U818">
            <v>0</v>
          </cell>
          <cell r="V818">
            <v>0</v>
          </cell>
        </row>
        <row r="819">
          <cell r="U819">
            <v>0</v>
          </cell>
          <cell r="V819">
            <v>0</v>
          </cell>
        </row>
        <row r="820">
          <cell r="U820">
            <v>0</v>
          </cell>
          <cell r="V820">
            <v>0</v>
          </cell>
        </row>
        <row r="821">
          <cell r="U821">
            <v>0</v>
          </cell>
          <cell r="V821">
            <v>0</v>
          </cell>
        </row>
        <row r="822">
          <cell r="U822">
            <v>0</v>
          </cell>
          <cell r="V822">
            <v>0</v>
          </cell>
        </row>
        <row r="823">
          <cell r="U823">
            <v>0</v>
          </cell>
          <cell r="V823">
            <v>0</v>
          </cell>
        </row>
        <row r="824">
          <cell r="U824">
            <v>0</v>
          </cell>
          <cell r="V824">
            <v>0</v>
          </cell>
        </row>
        <row r="825">
          <cell r="U825">
            <v>0</v>
          </cell>
          <cell r="V825">
            <v>0</v>
          </cell>
        </row>
        <row r="826">
          <cell r="U826">
            <v>0</v>
          </cell>
          <cell r="V826">
            <v>0</v>
          </cell>
        </row>
        <row r="827">
          <cell r="U827">
            <v>0</v>
          </cell>
          <cell r="V827">
            <v>0</v>
          </cell>
        </row>
        <row r="828">
          <cell r="U828">
            <v>0</v>
          </cell>
          <cell r="V828">
            <v>0</v>
          </cell>
        </row>
        <row r="829">
          <cell r="U829">
            <v>0</v>
          </cell>
          <cell r="V829">
            <v>0</v>
          </cell>
        </row>
        <row r="830">
          <cell r="U830">
            <v>0</v>
          </cell>
          <cell r="V830">
            <v>0</v>
          </cell>
        </row>
        <row r="831">
          <cell r="U831">
            <v>0</v>
          </cell>
          <cell r="V831">
            <v>0</v>
          </cell>
        </row>
        <row r="832">
          <cell r="U832">
            <v>0</v>
          </cell>
          <cell r="V832">
            <v>0</v>
          </cell>
        </row>
        <row r="833">
          <cell r="U833">
            <v>0</v>
          </cell>
          <cell r="V833">
            <v>0</v>
          </cell>
        </row>
        <row r="834">
          <cell r="U834">
            <v>0</v>
          </cell>
          <cell r="V834">
            <v>0</v>
          </cell>
        </row>
        <row r="835">
          <cell r="U835">
            <v>0</v>
          </cell>
          <cell r="V835">
            <v>0</v>
          </cell>
        </row>
        <row r="836">
          <cell r="U836">
            <v>0</v>
          </cell>
          <cell r="V836">
            <v>0</v>
          </cell>
        </row>
        <row r="837">
          <cell r="U837">
            <v>0</v>
          </cell>
          <cell r="V837">
            <v>0</v>
          </cell>
        </row>
        <row r="838">
          <cell r="U838">
            <v>0</v>
          </cell>
          <cell r="V838">
            <v>0</v>
          </cell>
        </row>
        <row r="839">
          <cell r="U839">
            <v>0</v>
          </cell>
          <cell r="V839">
            <v>0</v>
          </cell>
        </row>
        <row r="840">
          <cell r="U840">
            <v>0</v>
          </cell>
          <cell r="V840">
            <v>0</v>
          </cell>
        </row>
        <row r="841">
          <cell r="U841">
            <v>0</v>
          </cell>
          <cell r="V841">
            <v>0</v>
          </cell>
        </row>
        <row r="842">
          <cell r="U842">
            <v>0</v>
          </cell>
          <cell r="V842">
            <v>0</v>
          </cell>
        </row>
        <row r="843">
          <cell r="U843">
            <v>0</v>
          </cell>
          <cell r="V843">
            <v>0</v>
          </cell>
        </row>
        <row r="844">
          <cell r="U844">
            <v>0</v>
          </cell>
          <cell r="V844">
            <v>0</v>
          </cell>
        </row>
        <row r="845">
          <cell r="U845">
            <v>0</v>
          </cell>
          <cell r="V845">
            <v>0</v>
          </cell>
        </row>
        <row r="846">
          <cell r="U846">
            <v>0</v>
          </cell>
          <cell r="V846">
            <v>0</v>
          </cell>
        </row>
        <row r="847">
          <cell r="U847">
            <v>0</v>
          </cell>
          <cell r="V847">
            <v>0</v>
          </cell>
        </row>
        <row r="848">
          <cell r="U848">
            <v>0</v>
          </cell>
          <cell r="V848">
            <v>0</v>
          </cell>
        </row>
        <row r="849">
          <cell r="U849">
            <v>0</v>
          </cell>
          <cell r="V849">
            <v>0</v>
          </cell>
        </row>
        <row r="850">
          <cell r="U850">
            <v>0</v>
          </cell>
          <cell r="V850">
            <v>0</v>
          </cell>
        </row>
        <row r="851">
          <cell r="U851">
            <v>0</v>
          </cell>
          <cell r="V851">
            <v>0</v>
          </cell>
        </row>
        <row r="852">
          <cell r="U852">
            <v>0</v>
          </cell>
          <cell r="V852">
            <v>0</v>
          </cell>
        </row>
        <row r="853">
          <cell r="U853">
            <v>0</v>
          </cell>
          <cell r="V853">
            <v>0</v>
          </cell>
        </row>
        <row r="854">
          <cell r="U854">
            <v>0</v>
          </cell>
          <cell r="V854">
            <v>0</v>
          </cell>
        </row>
        <row r="855">
          <cell r="U855">
            <v>0</v>
          </cell>
          <cell r="V855">
            <v>0</v>
          </cell>
        </row>
        <row r="856">
          <cell r="U856">
            <v>0</v>
          </cell>
          <cell r="V856">
            <v>0</v>
          </cell>
        </row>
        <row r="857">
          <cell r="U857">
            <v>0</v>
          </cell>
          <cell r="V857">
            <v>0</v>
          </cell>
        </row>
        <row r="858">
          <cell r="U858">
            <v>0</v>
          </cell>
          <cell r="V858">
            <v>0</v>
          </cell>
        </row>
        <row r="859">
          <cell r="U859">
            <v>0</v>
          </cell>
          <cell r="V859">
            <v>0</v>
          </cell>
        </row>
        <row r="860">
          <cell r="U860">
            <v>0</v>
          </cell>
          <cell r="V860">
            <v>0</v>
          </cell>
        </row>
        <row r="861">
          <cell r="U861">
            <v>0</v>
          </cell>
          <cell r="V861">
            <v>0</v>
          </cell>
        </row>
        <row r="862">
          <cell r="U862">
            <v>0</v>
          </cell>
          <cell r="V862">
            <v>0</v>
          </cell>
        </row>
        <row r="863">
          <cell r="U863">
            <v>0</v>
          </cell>
          <cell r="V863">
            <v>0</v>
          </cell>
        </row>
        <row r="864">
          <cell r="U864">
            <v>0</v>
          </cell>
          <cell r="V864">
            <v>0</v>
          </cell>
        </row>
        <row r="865">
          <cell r="U865">
            <v>0</v>
          </cell>
          <cell r="V865">
            <v>0</v>
          </cell>
        </row>
        <row r="866">
          <cell r="U866">
            <v>0</v>
          </cell>
          <cell r="V866">
            <v>0</v>
          </cell>
        </row>
        <row r="867">
          <cell r="U867">
            <v>0</v>
          </cell>
          <cell r="V867">
            <v>0</v>
          </cell>
        </row>
        <row r="868">
          <cell r="U868">
            <v>0</v>
          </cell>
          <cell r="V868">
            <v>0</v>
          </cell>
        </row>
        <row r="869">
          <cell r="U869">
            <v>0</v>
          </cell>
          <cell r="V869">
            <v>0</v>
          </cell>
        </row>
        <row r="870">
          <cell r="U870">
            <v>0</v>
          </cell>
          <cell r="V870">
            <v>0</v>
          </cell>
        </row>
        <row r="871">
          <cell r="U871">
            <v>0</v>
          </cell>
          <cell r="V871">
            <v>0</v>
          </cell>
        </row>
        <row r="872">
          <cell r="U872">
            <v>0</v>
          </cell>
          <cell r="V872">
            <v>0</v>
          </cell>
        </row>
        <row r="873">
          <cell r="U873">
            <v>0</v>
          </cell>
          <cell r="V873">
            <v>0</v>
          </cell>
        </row>
        <row r="874">
          <cell r="U874">
            <v>0</v>
          </cell>
          <cell r="V874">
            <v>0</v>
          </cell>
        </row>
        <row r="875">
          <cell r="U875">
            <v>0</v>
          </cell>
          <cell r="V875">
            <v>0</v>
          </cell>
        </row>
        <row r="876">
          <cell r="U876">
            <v>0</v>
          </cell>
          <cell r="V876">
            <v>0</v>
          </cell>
        </row>
        <row r="877">
          <cell r="U877">
            <v>0</v>
          </cell>
          <cell r="V877">
            <v>0</v>
          </cell>
        </row>
        <row r="878">
          <cell r="U878">
            <v>0</v>
          </cell>
          <cell r="V878">
            <v>0</v>
          </cell>
        </row>
        <row r="879">
          <cell r="U879">
            <v>0</v>
          </cell>
          <cell r="V879">
            <v>0</v>
          </cell>
        </row>
        <row r="880">
          <cell r="U880">
            <v>0</v>
          </cell>
          <cell r="V880">
            <v>0</v>
          </cell>
        </row>
        <row r="881">
          <cell r="U881">
            <v>0</v>
          </cell>
          <cell r="V881">
            <v>0</v>
          </cell>
        </row>
        <row r="882">
          <cell r="U882">
            <v>0</v>
          </cell>
          <cell r="V882">
            <v>0</v>
          </cell>
        </row>
        <row r="883">
          <cell r="U883">
            <v>0</v>
          </cell>
          <cell r="V883">
            <v>0</v>
          </cell>
        </row>
        <row r="884">
          <cell r="U884">
            <v>0</v>
          </cell>
          <cell r="V884">
            <v>0</v>
          </cell>
        </row>
        <row r="885">
          <cell r="U885">
            <v>0</v>
          </cell>
          <cell r="V885">
            <v>0</v>
          </cell>
        </row>
        <row r="886">
          <cell r="U886">
            <v>0</v>
          </cell>
          <cell r="V886">
            <v>0</v>
          </cell>
        </row>
        <row r="887">
          <cell r="U887">
            <v>0</v>
          </cell>
          <cell r="V887">
            <v>0</v>
          </cell>
        </row>
        <row r="888">
          <cell r="U888">
            <v>0</v>
          </cell>
          <cell r="V888">
            <v>0</v>
          </cell>
        </row>
        <row r="889">
          <cell r="U889">
            <v>0</v>
          </cell>
          <cell r="V889">
            <v>0</v>
          </cell>
        </row>
        <row r="890">
          <cell r="U890">
            <v>0</v>
          </cell>
          <cell r="V890">
            <v>0</v>
          </cell>
        </row>
        <row r="891">
          <cell r="U891">
            <v>0</v>
          </cell>
          <cell r="V891">
            <v>0</v>
          </cell>
        </row>
        <row r="892">
          <cell r="U892">
            <v>0</v>
          </cell>
          <cell r="V892">
            <v>0</v>
          </cell>
        </row>
        <row r="893">
          <cell r="U893">
            <v>0</v>
          </cell>
          <cell r="V893">
            <v>0</v>
          </cell>
        </row>
        <row r="894">
          <cell r="U894">
            <v>0</v>
          </cell>
          <cell r="V894">
            <v>0</v>
          </cell>
        </row>
        <row r="895">
          <cell r="U895">
            <v>0</v>
          </cell>
          <cell r="V895">
            <v>0</v>
          </cell>
        </row>
        <row r="896">
          <cell r="U896">
            <v>0</v>
          </cell>
          <cell r="V896">
            <v>0</v>
          </cell>
        </row>
        <row r="897">
          <cell r="U897">
            <v>0</v>
          </cell>
          <cell r="V897">
            <v>0</v>
          </cell>
        </row>
        <row r="898">
          <cell r="U898">
            <v>0</v>
          </cell>
          <cell r="V898">
            <v>0</v>
          </cell>
        </row>
        <row r="899">
          <cell r="U899">
            <v>0</v>
          </cell>
          <cell r="V899">
            <v>0</v>
          </cell>
        </row>
        <row r="900">
          <cell r="U900">
            <v>0</v>
          </cell>
          <cell r="V900">
            <v>0</v>
          </cell>
        </row>
        <row r="901">
          <cell r="U901">
            <v>0</v>
          </cell>
          <cell r="V901">
            <v>0</v>
          </cell>
        </row>
        <row r="902">
          <cell r="U902">
            <v>0</v>
          </cell>
          <cell r="V902">
            <v>0</v>
          </cell>
        </row>
        <row r="903">
          <cell r="U903">
            <v>0</v>
          </cell>
          <cell r="V903">
            <v>0</v>
          </cell>
        </row>
        <row r="904">
          <cell r="U904">
            <v>0</v>
          </cell>
          <cell r="V904">
            <v>0</v>
          </cell>
        </row>
        <row r="905">
          <cell r="U905">
            <v>0</v>
          </cell>
          <cell r="V905">
            <v>0</v>
          </cell>
        </row>
        <row r="906">
          <cell r="U906">
            <v>0</v>
          </cell>
          <cell r="V906">
            <v>0</v>
          </cell>
        </row>
        <row r="907">
          <cell r="U907">
            <v>0</v>
          </cell>
          <cell r="V907">
            <v>0</v>
          </cell>
        </row>
        <row r="908">
          <cell r="U908">
            <v>0</v>
          </cell>
          <cell r="V908">
            <v>0</v>
          </cell>
        </row>
        <row r="909">
          <cell r="U909">
            <v>0</v>
          </cell>
          <cell r="V909">
            <v>0</v>
          </cell>
        </row>
        <row r="910">
          <cell r="U910">
            <v>0</v>
          </cell>
          <cell r="V910">
            <v>0</v>
          </cell>
        </row>
        <row r="911">
          <cell r="U911">
            <v>0</v>
          </cell>
          <cell r="V911">
            <v>0</v>
          </cell>
        </row>
        <row r="912">
          <cell r="U912">
            <v>0</v>
          </cell>
          <cell r="V912">
            <v>0</v>
          </cell>
        </row>
        <row r="913">
          <cell r="U913">
            <v>0</v>
          </cell>
          <cell r="V913">
            <v>0</v>
          </cell>
        </row>
        <row r="914">
          <cell r="U914">
            <v>0</v>
          </cell>
          <cell r="V914">
            <v>0</v>
          </cell>
        </row>
        <row r="915">
          <cell r="U915">
            <v>0</v>
          </cell>
          <cell r="V915">
            <v>0</v>
          </cell>
        </row>
        <row r="916">
          <cell r="U916">
            <v>0</v>
          </cell>
          <cell r="V916">
            <v>0</v>
          </cell>
        </row>
        <row r="917">
          <cell r="U917">
            <v>0</v>
          </cell>
          <cell r="V917">
            <v>0</v>
          </cell>
        </row>
        <row r="918">
          <cell r="U918">
            <v>0</v>
          </cell>
          <cell r="V918">
            <v>0</v>
          </cell>
        </row>
        <row r="919">
          <cell r="U919">
            <v>0</v>
          </cell>
          <cell r="V919">
            <v>0</v>
          </cell>
        </row>
        <row r="920">
          <cell r="U920">
            <v>0</v>
          </cell>
          <cell r="V920">
            <v>0</v>
          </cell>
        </row>
        <row r="921">
          <cell r="U921">
            <v>0</v>
          </cell>
          <cell r="V921">
            <v>0</v>
          </cell>
        </row>
        <row r="922">
          <cell r="U922">
            <v>0</v>
          </cell>
          <cell r="V922">
            <v>0</v>
          </cell>
        </row>
        <row r="923">
          <cell r="U923">
            <v>0</v>
          </cell>
          <cell r="V923">
            <v>0</v>
          </cell>
        </row>
        <row r="924">
          <cell r="U924">
            <v>0</v>
          </cell>
          <cell r="V924">
            <v>0</v>
          </cell>
        </row>
        <row r="925">
          <cell r="U925">
            <v>0</v>
          </cell>
          <cell r="V925">
            <v>0</v>
          </cell>
        </row>
        <row r="926">
          <cell r="U926">
            <v>0</v>
          </cell>
          <cell r="V926">
            <v>0</v>
          </cell>
        </row>
        <row r="927">
          <cell r="U927">
            <v>0</v>
          </cell>
          <cell r="V927">
            <v>0</v>
          </cell>
        </row>
        <row r="928">
          <cell r="U928">
            <v>0</v>
          </cell>
          <cell r="V928">
            <v>0</v>
          </cell>
        </row>
        <row r="929">
          <cell r="U929">
            <v>0</v>
          </cell>
          <cell r="V929">
            <v>0</v>
          </cell>
        </row>
        <row r="930">
          <cell r="U930">
            <v>0</v>
          </cell>
          <cell r="V930">
            <v>0</v>
          </cell>
        </row>
        <row r="931">
          <cell r="U931">
            <v>0</v>
          </cell>
          <cell r="V931">
            <v>0</v>
          </cell>
        </row>
        <row r="932">
          <cell r="U932">
            <v>0</v>
          </cell>
          <cell r="V932">
            <v>0</v>
          </cell>
        </row>
        <row r="933">
          <cell r="U933">
            <v>0</v>
          </cell>
          <cell r="V933">
            <v>0</v>
          </cell>
        </row>
        <row r="934">
          <cell r="U934">
            <v>0</v>
          </cell>
          <cell r="V934">
            <v>0</v>
          </cell>
        </row>
        <row r="935">
          <cell r="U935">
            <v>0</v>
          </cell>
          <cell r="V935">
            <v>0</v>
          </cell>
        </row>
        <row r="936">
          <cell r="U936">
            <v>0</v>
          </cell>
          <cell r="V936">
            <v>0</v>
          </cell>
        </row>
        <row r="937">
          <cell r="U937">
            <v>0</v>
          </cell>
          <cell r="V937">
            <v>0</v>
          </cell>
        </row>
        <row r="938">
          <cell r="U938">
            <v>0</v>
          </cell>
          <cell r="V938">
            <v>0</v>
          </cell>
        </row>
        <row r="939">
          <cell r="U939">
            <v>0</v>
          </cell>
          <cell r="V939">
            <v>0</v>
          </cell>
        </row>
        <row r="940">
          <cell r="U940">
            <v>0</v>
          </cell>
          <cell r="V940">
            <v>0</v>
          </cell>
        </row>
        <row r="941">
          <cell r="U941">
            <v>0</v>
          </cell>
          <cell r="V941">
            <v>0</v>
          </cell>
        </row>
        <row r="942">
          <cell r="U942">
            <v>0</v>
          </cell>
          <cell r="V942">
            <v>0</v>
          </cell>
        </row>
        <row r="943">
          <cell r="U943">
            <v>0</v>
          </cell>
          <cell r="V943">
            <v>0</v>
          </cell>
        </row>
        <row r="944">
          <cell r="U944">
            <v>0</v>
          </cell>
          <cell r="V944">
            <v>0</v>
          </cell>
        </row>
        <row r="945">
          <cell r="U945">
            <v>0</v>
          </cell>
          <cell r="V945">
            <v>0</v>
          </cell>
        </row>
        <row r="946">
          <cell r="U946">
            <v>0</v>
          </cell>
          <cell r="V946">
            <v>0</v>
          </cell>
        </row>
        <row r="947">
          <cell r="U947">
            <v>0</v>
          </cell>
          <cell r="V947">
            <v>0</v>
          </cell>
        </row>
        <row r="948">
          <cell r="U948">
            <v>0</v>
          </cell>
          <cell r="V948">
            <v>0</v>
          </cell>
        </row>
        <row r="949">
          <cell r="U949">
            <v>0</v>
          </cell>
          <cell r="V949">
            <v>0</v>
          </cell>
        </row>
        <row r="950">
          <cell r="U950">
            <v>0</v>
          </cell>
          <cell r="V950">
            <v>0</v>
          </cell>
        </row>
        <row r="951">
          <cell r="U951">
            <v>0</v>
          </cell>
          <cell r="V951">
            <v>0</v>
          </cell>
        </row>
        <row r="952">
          <cell r="U952">
            <v>0</v>
          </cell>
          <cell r="V952">
            <v>0</v>
          </cell>
        </row>
        <row r="953">
          <cell r="U953">
            <v>0</v>
          </cell>
          <cell r="V953">
            <v>0</v>
          </cell>
        </row>
        <row r="954">
          <cell r="U954">
            <v>0</v>
          </cell>
          <cell r="V954">
            <v>0</v>
          </cell>
        </row>
        <row r="955">
          <cell r="U955">
            <v>0</v>
          </cell>
          <cell r="V955">
            <v>0</v>
          </cell>
        </row>
        <row r="956">
          <cell r="U956">
            <v>0</v>
          </cell>
          <cell r="V956">
            <v>0</v>
          </cell>
        </row>
        <row r="957">
          <cell r="U957">
            <v>0</v>
          </cell>
          <cell r="V957">
            <v>0</v>
          </cell>
        </row>
        <row r="958">
          <cell r="U958">
            <v>0</v>
          </cell>
          <cell r="V958">
            <v>0</v>
          </cell>
        </row>
        <row r="959">
          <cell r="U959">
            <v>0</v>
          </cell>
          <cell r="V959">
            <v>0</v>
          </cell>
        </row>
        <row r="960">
          <cell r="U960">
            <v>0</v>
          </cell>
          <cell r="V960">
            <v>0</v>
          </cell>
        </row>
        <row r="961">
          <cell r="U961">
            <v>0</v>
          </cell>
          <cell r="V961">
            <v>0</v>
          </cell>
        </row>
        <row r="962">
          <cell r="U962">
            <v>0</v>
          </cell>
          <cell r="V962">
            <v>0</v>
          </cell>
        </row>
        <row r="963">
          <cell r="U963">
            <v>0</v>
          </cell>
          <cell r="V963">
            <v>0</v>
          </cell>
        </row>
        <row r="964">
          <cell r="U964">
            <v>0</v>
          </cell>
          <cell r="V964">
            <v>0</v>
          </cell>
        </row>
        <row r="965">
          <cell r="U965">
            <v>0</v>
          </cell>
          <cell r="V965">
            <v>0</v>
          </cell>
        </row>
        <row r="966">
          <cell r="U966">
            <v>0</v>
          </cell>
          <cell r="V966">
            <v>0</v>
          </cell>
        </row>
        <row r="967">
          <cell r="U967">
            <v>0</v>
          </cell>
          <cell r="V967">
            <v>0</v>
          </cell>
        </row>
        <row r="968">
          <cell r="U968">
            <v>0</v>
          </cell>
          <cell r="V968">
            <v>0</v>
          </cell>
        </row>
        <row r="969">
          <cell r="U969">
            <v>0</v>
          </cell>
          <cell r="V969">
            <v>0</v>
          </cell>
        </row>
        <row r="970">
          <cell r="U970">
            <v>0</v>
          </cell>
          <cell r="V970">
            <v>0</v>
          </cell>
        </row>
        <row r="971">
          <cell r="U971">
            <v>0</v>
          </cell>
          <cell r="V971">
            <v>0</v>
          </cell>
        </row>
        <row r="972">
          <cell r="U972">
            <v>0</v>
          </cell>
          <cell r="V972">
            <v>0</v>
          </cell>
        </row>
        <row r="973">
          <cell r="U973">
            <v>0</v>
          </cell>
          <cell r="V973">
            <v>0</v>
          </cell>
        </row>
        <row r="974">
          <cell r="U974">
            <v>0</v>
          </cell>
          <cell r="V974">
            <v>0</v>
          </cell>
        </row>
        <row r="975">
          <cell r="U975">
            <v>0</v>
          </cell>
          <cell r="V975">
            <v>0</v>
          </cell>
        </row>
        <row r="976">
          <cell r="U976">
            <v>0</v>
          </cell>
          <cell r="V976">
            <v>0</v>
          </cell>
        </row>
        <row r="977">
          <cell r="U977">
            <v>0</v>
          </cell>
          <cell r="V977">
            <v>0</v>
          </cell>
        </row>
        <row r="978">
          <cell r="U978">
            <v>0</v>
          </cell>
          <cell r="V978">
            <v>0</v>
          </cell>
        </row>
        <row r="979">
          <cell r="U979">
            <v>0</v>
          </cell>
          <cell r="V979">
            <v>0</v>
          </cell>
        </row>
        <row r="980">
          <cell r="U980">
            <v>0</v>
          </cell>
          <cell r="V980">
            <v>0</v>
          </cell>
        </row>
        <row r="981">
          <cell r="U981">
            <v>0</v>
          </cell>
          <cell r="V981">
            <v>0</v>
          </cell>
        </row>
        <row r="982">
          <cell r="U982">
            <v>0</v>
          </cell>
          <cell r="V982">
            <v>0</v>
          </cell>
        </row>
        <row r="983">
          <cell r="U983">
            <v>0</v>
          </cell>
          <cell r="V983">
            <v>0</v>
          </cell>
        </row>
        <row r="984">
          <cell r="U984">
            <v>0</v>
          </cell>
          <cell r="V984">
            <v>0</v>
          </cell>
        </row>
        <row r="985">
          <cell r="U985">
            <v>0</v>
          </cell>
          <cell r="V985">
            <v>0</v>
          </cell>
        </row>
        <row r="986">
          <cell r="U986">
            <v>0</v>
          </cell>
          <cell r="V986">
            <v>0</v>
          </cell>
        </row>
        <row r="987">
          <cell r="U987">
            <v>0</v>
          </cell>
          <cell r="V987">
            <v>0</v>
          </cell>
        </row>
        <row r="988">
          <cell r="U988">
            <v>0</v>
          </cell>
          <cell r="V988">
            <v>0</v>
          </cell>
        </row>
        <row r="989">
          <cell r="U989">
            <v>0</v>
          </cell>
          <cell r="V989">
            <v>0</v>
          </cell>
        </row>
        <row r="990">
          <cell r="U990">
            <v>0</v>
          </cell>
          <cell r="V990">
            <v>0</v>
          </cell>
        </row>
        <row r="991">
          <cell r="U991">
            <v>0</v>
          </cell>
          <cell r="V991">
            <v>0</v>
          </cell>
        </row>
        <row r="992">
          <cell r="U992">
            <v>0</v>
          </cell>
          <cell r="V992">
            <v>0</v>
          </cell>
        </row>
        <row r="993">
          <cell r="U993">
            <v>0</v>
          </cell>
          <cell r="V993">
            <v>0</v>
          </cell>
        </row>
        <row r="994">
          <cell r="U994">
            <v>0</v>
          </cell>
          <cell r="V994">
            <v>0</v>
          </cell>
        </row>
        <row r="995">
          <cell r="U995">
            <v>0</v>
          </cell>
          <cell r="V995">
            <v>0</v>
          </cell>
        </row>
        <row r="996">
          <cell r="U996">
            <v>0</v>
          </cell>
          <cell r="V996">
            <v>0</v>
          </cell>
        </row>
        <row r="997">
          <cell r="U997">
            <v>0</v>
          </cell>
          <cell r="V997">
            <v>0</v>
          </cell>
        </row>
        <row r="998">
          <cell r="U998">
            <v>0</v>
          </cell>
          <cell r="V998">
            <v>0</v>
          </cell>
        </row>
        <row r="999">
          <cell r="U999">
            <v>0</v>
          </cell>
          <cell r="V999">
            <v>0</v>
          </cell>
        </row>
        <row r="1000">
          <cell r="U1000">
            <v>0</v>
          </cell>
          <cell r="V1000">
            <v>0</v>
          </cell>
        </row>
        <row r="1001">
          <cell r="U1001">
            <v>0</v>
          </cell>
          <cell r="V1001">
            <v>0</v>
          </cell>
        </row>
        <row r="1002">
          <cell r="U1002">
            <v>0</v>
          </cell>
          <cell r="V1002">
            <v>0</v>
          </cell>
        </row>
        <row r="1003">
          <cell r="U1003">
            <v>0</v>
          </cell>
          <cell r="V1003">
            <v>0</v>
          </cell>
        </row>
        <row r="1004">
          <cell r="U1004">
            <v>0</v>
          </cell>
          <cell r="V1004">
            <v>0</v>
          </cell>
        </row>
        <row r="1005">
          <cell r="U1005">
            <v>0</v>
          </cell>
          <cell r="V1005">
            <v>0</v>
          </cell>
        </row>
        <row r="1006">
          <cell r="U1006">
            <v>0</v>
          </cell>
          <cell r="V1006">
            <v>0</v>
          </cell>
        </row>
        <row r="1007">
          <cell r="U1007">
            <v>0</v>
          </cell>
          <cell r="V1007">
            <v>0</v>
          </cell>
        </row>
        <row r="1008">
          <cell r="U1008">
            <v>0</v>
          </cell>
          <cell r="V1008">
            <v>0</v>
          </cell>
        </row>
        <row r="1009">
          <cell r="U1009">
            <v>0</v>
          </cell>
          <cell r="V1009">
            <v>0</v>
          </cell>
        </row>
        <row r="1010">
          <cell r="U1010">
            <v>0</v>
          </cell>
          <cell r="V1010">
            <v>0</v>
          </cell>
        </row>
        <row r="1011">
          <cell r="U1011">
            <v>0</v>
          </cell>
          <cell r="V1011">
            <v>0</v>
          </cell>
        </row>
        <row r="1012">
          <cell r="U1012">
            <v>0</v>
          </cell>
          <cell r="V1012">
            <v>0</v>
          </cell>
        </row>
        <row r="1013">
          <cell r="U1013">
            <v>0</v>
          </cell>
          <cell r="V1013">
            <v>0</v>
          </cell>
        </row>
        <row r="1014">
          <cell r="U1014">
            <v>0</v>
          </cell>
          <cell r="V1014">
            <v>0</v>
          </cell>
        </row>
        <row r="1015">
          <cell r="U1015">
            <v>0</v>
          </cell>
          <cell r="V1015">
            <v>0</v>
          </cell>
        </row>
        <row r="1016">
          <cell r="U1016">
            <v>0</v>
          </cell>
          <cell r="V1016">
            <v>0</v>
          </cell>
        </row>
        <row r="1017">
          <cell r="U1017">
            <v>0</v>
          </cell>
          <cell r="V1017">
            <v>0</v>
          </cell>
        </row>
        <row r="1018">
          <cell r="U1018">
            <v>0</v>
          </cell>
          <cell r="V1018">
            <v>0</v>
          </cell>
        </row>
        <row r="1019">
          <cell r="U1019">
            <v>0</v>
          </cell>
          <cell r="V1019">
            <v>0</v>
          </cell>
        </row>
        <row r="1020">
          <cell r="U1020">
            <v>0</v>
          </cell>
          <cell r="V1020">
            <v>0</v>
          </cell>
        </row>
        <row r="1021">
          <cell r="U1021">
            <v>0</v>
          </cell>
          <cell r="V1021">
            <v>0</v>
          </cell>
        </row>
        <row r="1022">
          <cell r="U1022">
            <v>0</v>
          </cell>
          <cell r="V1022">
            <v>0</v>
          </cell>
        </row>
        <row r="1023">
          <cell r="U1023">
            <v>0</v>
          </cell>
          <cell r="V1023">
            <v>0</v>
          </cell>
        </row>
        <row r="1024">
          <cell r="U1024">
            <v>0</v>
          </cell>
          <cell r="V1024">
            <v>0</v>
          </cell>
        </row>
        <row r="1025">
          <cell r="U1025">
            <v>0</v>
          </cell>
          <cell r="V1025">
            <v>0</v>
          </cell>
        </row>
        <row r="1026">
          <cell r="U1026">
            <v>0</v>
          </cell>
          <cell r="V1026">
            <v>0</v>
          </cell>
        </row>
        <row r="1027">
          <cell r="U1027">
            <v>0</v>
          </cell>
          <cell r="V1027">
            <v>0</v>
          </cell>
        </row>
        <row r="1028">
          <cell r="U1028">
            <v>0</v>
          </cell>
          <cell r="V1028">
            <v>0</v>
          </cell>
        </row>
        <row r="1029">
          <cell r="U1029">
            <v>0</v>
          </cell>
          <cell r="V1029">
            <v>0</v>
          </cell>
        </row>
        <row r="1030">
          <cell r="U1030">
            <v>0</v>
          </cell>
          <cell r="V1030">
            <v>0</v>
          </cell>
        </row>
        <row r="1031">
          <cell r="U1031">
            <v>0</v>
          </cell>
          <cell r="V1031">
            <v>0</v>
          </cell>
        </row>
        <row r="1032">
          <cell r="U1032">
            <v>0</v>
          </cell>
          <cell r="V1032">
            <v>0</v>
          </cell>
        </row>
        <row r="1033">
          <cell r="U1033">
            <v>0</v>
          </cell>
          <cell r="V1033">
            <v>0</v>
          </cell>
        </row>
        <row r="1034">
          <cell r="U1034">
            <v>0</v>
          </cell>
          <cell r="V1034">
            <v>0</v>
          </cell>
        </row>
        <row r="1035">
          <cell r="U1035">
            <v>0</v>
          </cell>
          <cell r="V1035">
            <v>0</v>
          </cell>
        </row>
        <row r="1036">
          <cell r="U1036">
            <v>0</v>
          </cell>
          <cell r="V1036">
            <v>0</v>
          </cell>
        </row>
        <row r="1037">
          <cell r="U1037">
            <v>0</v>
          </cell>
          <cell r="V1037">
            <v>0</v>
          </cell>
        </row>
        <row r="1038">
          <cell r="U1038">
            <v>0</v>
          </cell>
          <cell r="V1038">
            <v>0</v>
          </cell>
        </row>
        <row r="1039">
          <cell r="U1039">
            <v>0</v>
          </cell>
          <cell r="V1039">
            <v>0</v>
          </cell>
        </row>
        <row r="1040">
          <cell r="U1040">
            <v>0</v>
          </cell>
          <cell r="V1040">
            <v>0</v>
          </cell>
        </row>
        <row r="1041">
          <cell r="U1041">
            <v>0</v>
          </cell>
          <cell r="V1041">
            <v>0</v>
          </cell>
        </row>
        <row r="1042">
          <cell r="U1042">
            <v>0</v>
          </cell>
          <cell r="V1042">
            <v>0</v>
          </cell>
        </row>
        <row r="1043">
          <cell r="U1043">
            <v>0</v>
          </cell>
          <cell r="V1043">
            <v>0</v>
          </cell>
        </row>
        <row r="1044">
          <cell r="U1044">
            <v>0</v>
          </cell>
          <cell r="V1044">
            <v>0</v>
          </cell>
        </row>
        <row r="1045">
          <cell r="U1045">
            <v>0</v>
          </cell>
          <cell r="V1045">
            <v>0</v>
          </cell>
        </row>
        <row r="1046">
          <cell r="U1046">
            <v>0</v>
          </cell>
          <cell r="V1046">
            <v>0</v>
          </cell>
        </row>
        <row r="1047">
          <cell r="U1047">
            <v>0</v>
          </cell>
          <cell r="V1047">
            <v>0</v>
          </cell>
        </row>
        <row r="1048">
          <cell r="U1048">
            <v>0</v>
          </cell>
          <cell r="V1048">
            <v>0</v>
          </cell>
        </row>
        <row r="1049">
          <cell r="U1049">
            <v>0</v>
          </cell>
          <cell r="V1049">
            <v>0</v>
          </cell>
        </row>
        <row r="1050">
          <cell r="U1050">
            <v>0</v>
          </cell>
          <cell r="V1050">
            <v>0</v>
          </cell>
        </row>
        <row r="1051">
          <cell r="U1051">
            <v>0</v>
          </cell>
          <cell r="V1051">
            <v>0</v>
          </cell>
        </row>
        <row r="1052">
          <cell r="U1052">
            <v>0</v>
          </cell>
          <cell r="V1052">
            <v>0</v>
          </cell>
        </row>
        <row r="1053">
          <cell r="U1053">
            <v>0</v>
          </cell>
          <cell r="V1053">
            <v>0</v>
          </cell>
        </row>
        <row r="1054">
          <cell r="U1054">
            <v>0</v>
          </cell>
          <cell r="V1054">
            <v>0</v>
          </cell>
        </row>
        <row r="1055">
          <cell r="U1055">
            <v>0</v>
          </cell>
          <cell r="V1055">
            <v>0</v>
          </cell>
        </row>
        <row r="1056">
          <cell r="U1056">
            <v>0</v>
          </cell>
          <cell r="V1056">
            <v>0</v>
          </cell>
        </row>
        <row r="1057">
          <cell r="U1057">
            <v>0</v>
          </cell>
          <cell r="V1057">
            <v>0</v>
          </cell>
        </row>
        <row r="1058">
          <cell r="U1058">
            <v>0</v>
          </cell>
          <cell r="V1058">
            <v>0</v>
          </cell>
        </row>
        <row r="1059">
          <cell r="U1059">
            <v>0</v>
          </cell>
          <cell r="V1059">
            <v>0</v>
          </cell>
        </row>
        <row r="1060">
          <cell r="U1060">
            <v>0</v>
          </cell>
          <cell r="V1060">
            <v>0</v>
          </cell>
        </row>
        <row r="1061">
          <cell r="U1061">
            <v>0</v>
          </cell>
          <cell r="V1061">
            <v>0</v>
          </cell>
        </row>
        <row r="1062">
          <cell r="U1062">
            <v>0</v>
          </cell>
          <cell r="V1062">
            <v>0</v>
          </cell>
        </row>
        <row r="1063">
          <cell r="U1063">
            <v>0</v>
          </cell>
          <cell r="V1063">
            <v>0</v>
          </cell>
        </row>
        <row r="1064">
          <cell r="U1064">
            <v>0</v>
          </cell>
          <cell r="V1064">
            <v>0</v>
          </cell>
        </row>
        <row r="1065">
          <cell r="U1065">
            <v>0</v>
          </cell>
          <cell r="V1065">
            <v>0</v>
          </cell>
        </row>
        <row r="1066">
          <cell r="U1066">
            <v>0</v>
          </cell>
          <cell r="V1066">
            <v>0</v>
          </cell>
        </row>
        <row r="1067">
          <cell r="U1067">
            <v>0</v>
          </cell>
          <cell r="V1067">
            <v>0</v>
          </cell>
        </row>
        <row r="1068">
          <cell r="U1068">
            <v>0</v>
          </cell>
          <cell r="V1068">
            <v>0</v>
          </cell>
        </row>
        <row r="1069">
          <cell r="U1069">
            <v>0</v>
          </cell>
          <cell r="V1069">
            <v>0</v>
          </cell>
        </row>
        <row r="1070">
          <cell r="U1070">
            <v>0</v>
          </cell>
          <cell r="V1070">
            <v>0</v>
          </cell>
        </row>
        <row r="1071">
          <cell r="U1071">
            <v>0</v>
          </cell>
          <cell r="V1071">
            <v>0</v>
          </cell>
        </row>
        <row r="1072">
          <cell r="U1072">
            <v>0</v>
          </cell>
          <cell r="V1072">
            <v>0</v>
          </cell>
        </row>
        <row r="1073">
          <cell r="U1073">
            <v>0</v>
          </cell>
          <cell r="V1073">
            <v>0</v>
          </cell>
        </row>
        <row r="1074">
          <cell r="U1074">
            <v>0</v>
          </cell>
          <cell r="V1074">
            <v>0</v>
          </cell>
        </row>
        <row r="1075">
          <cell r="U1075">
            <v>0</v>
          </cell>
          <cell r="V1075">
            <v>0</v>
          </cell>
        </row>
        <row r="1076">
          <cell r="U1076">
            <v>0</v>
          </cell>
          <cell r="V1076">
            <v>0</v>
          </cell>
        </row>
        <row r="1077">
          <cell r="U1077">
            <v>0</v>
          </cell>
          <cell r="V1077">
            <v>0</v>
          </cell>
        </row>
        <row r="1078">
          <cell r="U1078">
            <v>0</v>
          </cell>
          <cell r="V1078">
            <v>0</v>
          </cell>
        </row>
        <row r="1079">
          <cell r="U1079">
            <v>0</v>
          </cell>
          <cell r="V1079">
            <v>0</v>
          </cell>
        </row>
        <row r="1080">
          <cell r="U1080">
            <v>0</v>
          </cell>
          <cell r="V1080">
            <v>0</v>
          </cell>
        </row>
        <row r="1081">
          <cell r="U1081">
            <v>0</v>
          </cell>
          <cell r="V1081">
            <v>0</v>
          </cell>
        </row>
        <row r="1082">
          <cell r="U1082">
            <v>0</v>
          </cell>
          <cell r="V1082">
            <v>0</v>
          </cell>
        </row>
        <row r="1083">
          <cell r="U1083">
            <v>0</v>
          </cell>
          <cell r="V1083">
            <v>0</v>
          </cell>
        </row>
        <row r="1084">
          <cell r="U1084">
            <v>0</v>
          </cell>
          <cell r="V1084">
            <v>0</v>
          </cell>
        </row>
        <row r="1085">
          <cell r="U1085">
            <v>0</v>
          </cell>
          <cell r="V1085">
            <v>0</v>
          </cell>
        </row>
        <row r="1086">
          <cell r="U1086">
            <v>0</v>
          </cell>
          <cell r="V1086">
            <v>0</v>
          </cell>
        </row>
        <row r="1087">
          <cell r="U1087">
            <v>0</v>
          </cell>
          <cell r="V1087">
            <v>0</v>
          </cell>
        </row>
        <row r="1088">
          <cell r="U1088">
            <v>0</v>
          </cell>
          <cell r="V1088">
            <v>0</v>
          </cell>
        </row>
        <row r="1089">
          <cell r="U1089">
            <v>0</v>
          </cell>
          <cell r="V1089">
            <v>0</v>
          </cell>
        </row>
        <row r="1090">
          <cell r="U1090">
            <v>0</v>
          </cell>
          <cell r="V1090">
            <v>0</v>
          </cell>
        </row>
        <row r="1091">
          <cell r="U1091">
            <v>0</v>
          </cell>
          <cell r="V1091">
            <v>0</v>
          </cell>
        </row>
        <row r="1092">
          <cell r="U1092">
            <v>0</v>
          </cell>
          <cell r="V1092">
            <v>0</v>
          </cell>
        </row>
        <row r="1093">
          <cell r="U1093">
            <v>0</v>
          </cell>
          <cell r="V1093">
            <v>0</v>
          </cell>
        </row>
        <row r="1094">
          <cell r="U1094">
            <v>0</v>
          </cell>
          <cell r="V1094">
            <v>0</v>
          </cell>
        </row>
        <row r="1095">
          <cell r="U1095">
            <v>0</v>
          </cell>
          <cell r="V1095">
            <v>0</v>
          </cell>
        </row>
        <row r="1096">
          <cell r="U1096">
            <v>0</v>
          </cell>
          <cell r="V1096">
            <v>0</v>
          </cell>
        </row>
        <row r="1097">
          <cell r="U1097">
            <v>0</v>
          </cell>
          <cell r="V1097">
            <v>0</v>
          </cell>
        </row>
        <row r="1098">
          <cell r="U1098">
            <v>0</v>
          </cell>
          <cell r="V1098">
            <v>0</v>
          </cell>
        </row>
        <row r="1099">
          <cell r="U1099">
            <v>0</v>
          </cell>
          <cell r="V1099">
            <v>0</v>
          </cell>
        </row>
        <row r="1100">
          <cell r="U1100">
            <v>0</v>
          </cell>
          <cell r="V1100">
            <v>0</v>
          </cell>
        </row>
        <row r="1101">
          <cell r="U1101">
            <v>0</v>
          </cell>
          <cell r="V1101">
            <v>0</v>
          </cell>
        </row>
        <row r="1102">
          <cell r="U1102">
            <v>0</v>
          </cell>
          <cell r="V1102">
            <v>0</v>
          </cell>
        </row>
        <row r="1103">
          <cell r="U1103">
            <v>0</v>
          </cell>
          <cell r="V1103">
            <v>0</v>
          </cell>
        </row>
        <row r="1104">
          <cell r="U1104">
            <v>0</v>
          </cell>
          <cell r="V1104">
            <v>0</v>
          </cell>
        </row>
        <row r="1105">
          <cell r="U1105">
            <v>0</v>
          </cell>
          <cell r="V1105">
            <v>0</v>
          </cell>
        </row>
        <row r="1106">
          <cell r="U1106">
            <v>0</v>
          </cell>
          <cell r="V1106">
            <v>0</v>
          </cell>
        </row>
        <row r="1107">
          <cell r="U1107">
            <v>0</v>
          </cell>
          <cell r="V1107">
            <v>0</v>
          </cell>
        </row>
        <row r="1108">
          <cell r="U1108">
            <v>0</v>
          </cell>
          <cell r="V1108">
            <v>0</v>
          </cell>
        </row>
        <row r="1109">
          <cell r="U1109">
            <v>0</v>
          </cell>
          <cell r="V1109">
            <v>0</v>
          </cell>
        </row>
        <row r="1110">
          <cell r="U1110">
            <v>0</v>
          </cell>
          <cell r="V1110">
            <v>0</v>
          </cell>
        </row>
        <row r="1111">
          <cell r="U1111">
            <v>0</v>
          </cell>
          <cell r="V1111">
            <v>0</v>
          </cell>
        </row>
        <row r="1112">
          <cell r="U1112">
            <v>0</v>
          </cell>
          <cell r="V1112">
            <v>0</v>
          </cell>
        </row>
        <row r="1113">
          <cell r="U1113">
            <v>0</v>
          </cell>
          <cell r="V1113">
            <v>0</v>
          </cell>
        </row>
        <row r="1114">
          <cell r="U1114">
            <v>0</v>
          </cell>
          <cell r="V1114">
            <v>0</v>
          </cell>
        </row>
        <row r="1115">
          <cell r="U1115">
            <v>0</v>
          </cell>
          <cell r="V1115">
            <v>0</v>
          </cell>
        </row>
        <row r="1116">
          <cell r="U1116">
            <v>0</v>
          </cell>
          <cell r="V1116">
            <v>0</v>
          </cell>
        </row>
        <row r="1117">
          <cell r="U1117">
            <v>0</v>
          </cell>
          <cell r="V1117">
            <v>0</v>
          </cell>
        </row>
        <row r="1118">
          <cell r="U1118">
            <v>0</v>
          </cell>
          <cell r="V1118">
            <v>0</v>
          </cell>
        </row>
        <row r="1119">
          <cell r="U1119">
            <v>0</v>
          </cell>
          <cell r="V1119">
            <v>0</v>
          </cell>
        </row>
        <row r="1120">
          <cell r="U1120">
            <v>0</v>
          </cell>
          <cell r="V1120">
            <v>0</v>
          </cell>
        </row>
        <row r="1121">
          <cell r="U1121">
            <v>0</v>
          </cell>
          <cell r="V1121">
            <v>0</v>
          </cell>
        </row>
        <row r="1122">
          <cell r="U1122">
            <v>0</v>
          </cell>
          <cell r="V1122">
            <v>0</v>
          </cell>
        </row>
        <row r="1123">
          <cell r="U1123">
            <v>0</v>
          </cell>
          <cell r="V1123">
            <v>0</v>
          </cell>
        </row>
        <row r="1124">
          <cell r="U1124">
            <v>0</v>
          </cell>
          <cell r="V1124">
            <v>0</v>
          </cell>
        </row>
        <row r="1125">
          <cell r="U1125">
            <v>0</v>
          </cell>
          <cell r="V1125">
            <v>0</v>
          </cell>
        </row>
        <row r="1126">
          <cell r="U1126">
            <v>0</v>
          </cell>
          <cell r="V1126">
            <v>0</v>
          </cell>
        </row>
        <row r="1127">
          <cell r="U1127">
            <v>0</v>
          </cell>
          <cell r="V1127">
            <v>0</v>
          </cell>
        </row>
        <row r="1128">
          <cell r="U1128">
            <v>0</v>
          </cell>
          <cell r="V1128">
            <v>0</v>
          </cell>
        </row>
        <row r="1129">
          <cell r="U1129">
            <v>0</v>
          </cell>
          <cell r="V1129">
            <v>0</v>
          </cell>
        </row>
        <row r="1130">
          <cell r="U1130">
            <v>0</v>
          </cell>
          <cell r="V1130">
            <v>0</v>
          </cell>
        </row>
        <row r="1131">
          <cell r="U1131">
            <v>0</v>
          </cell>
          <cell r="V1131">
            <v>0</v>
          </cell>
        </row>
        <row r="1132">
          <cell r="U1132">
            <v>0</v>
          </cell>
          <cell r="V1132">
            <v>0</v>
          </cell>
        </row>
        <row r="1133">
          <cell r="U1133">
            <v>0</v>
          </cell>
          <cell r="V1133">
            <v>0</v>
          </cell>
        </row>
        <row r="1134">
          <cell r="U1134">
            <v>0</v>
          </cell>
          <cell r="V1134">
            <v>0</v>
          </cell>
        </row>
        <row r="1135">
          <cell r="U1135">
            <v>0</v>
          </cell>
          <cell r="V1135">
            <v>0</v>
          </cell>
        </row>
        <row r="1136">
          <cell r="U1136">
            <v>0</v>
          </cell>
          <cell r="V1136">
            <v>0</v>
          </cell>
        </row>
        <row r="1137">
          <cell r="U1137">
            <v>0</v>
          </cell>
          <cell r="V1137">
            <v>0</v>
          </cell>
        </row>
        <row r="1138">
          <cell r="U1138">
            <v>0</v>
          </cell>
          <cell r="V1138">
            <v>0</v>
          </cell>
        </row>
        <row r="1139">
          <cell r="U1139">
            <v>0</v>
          </cell>
          <cell r="V1139">
            <v>0</v>
          </cell>
        </row>
        <row r="1140">
          <cell r="U1140">
            <v>0</v>
          </cell>
          <cell r="V1140">
            <v>0</v>
          </cell>
        </row>
        <row r="1141">
          <cell r="U1141">
            <v>0</v>
          </cell>
          <cell r="V1141">
            <v>0</v>
          </cell>
        </row>
        <row r="1142">
          <cell r="U1142">
            <v>0</v>
          </cell>
          <cell r="V1142">
            <v>0</v>
          </cell>
        </row>
        <row r="1143">
          <cell r="U1143">
            <v>0</v>
          </cell>
          <cell r="V1143">
            <v>0</v>
          </cell>
        </row>
        <row r="1144">
          <cell r="U1144">
            <v>0</v>
          </cell>
          <cell r="V1144">
            <v>0</v>
          </cell>
        </row>
        <row r="1145">
          <cell r="U1145">
            <v>0</v>
          </cell>
          <cell r="V1145">
            <v>0</v>
          </cell>
        </row>
        <row r="1146">
          <cell r="U1146">
            <v>0</v>
          </cell>
          <cell r="V1146">
            <v>0</v>
          </cell>
        </row>
        <row r="1147">
          <cell r="U1147">
            <v>0</v>
          </cell>
          <cell r="V1147">
            <v>0</v>
          </cell>
        </row>
        <row r="1148">
          <cell r="U1148">
            <v>0</v>
          </cell>
          <cell r="V1148">
            <v>0</v>
          </cell>
        </row>
        <row r="1149">
          <cell r="U1149">
            <v>0</v>
          </cell>
          <cell r="V1149">
            <v>0</v>
          </cell>
        </row>
        <row r="1150">
          <cell r="U1150">
            <v>0</v>
          </cell>
          <cell r="V1150">
            <v>0</v>
          </cell>
        </row>
        <row r="1151">
          <cell r="U1151">
            <v>0</v>
          </cell>
          <cell r="V1151">
            <v>0</v>
          </cell>
        </row>
        <row r="1152">
          <cell r="U1152">
            <v>0</v>
          </cell>
          <cell r="V1152">
            <v>0</v>
          </cell>
        </row>
        <row r="1153">
          <cell r="U1153">
            <v>0</v>
          </cell>
          <cell r="V1153">
            <v>0</v>
          </cell>
        </row>
        <row r="1154">
          <cell r="U1154">
            <v>0</v>
          </cell>
          <cell r="V1154">
            <v>0</v>
          </cell>
        </row>
        <row r="1155">
          <cell r="U1155">
            <v>0</v>
          </cell>
          <cell r="V1155">
            <v>0</v>
          </cell>
        </row>
        <row r="1156">
          <cell r="U1156">
            <v>0</v>
          </cell>
          <cell r="V1156">
            <v>0</v>
          </cell>
        </row>
        <row r="1157">
          <cell r="U1157">
            <v>0</v>
          </cell>
          <cell r="V1157">
            <v>0</v>
          </cell>
        </row>
        <row r="1158">
          <cell r="U1158">
            <v>0</v>
          </cell>
          <cell r="V1158">
            <v>0</v>
          </cell>
        </row>
        <row r="1159">
          <cell r="U1159">
            <v>0</v>
          </cell>
          <cell r="V1159">
            <v>0</v>
          </cell>
        </row>
        <row r="1160">
          <cell r="U1160">
            <v>0</v>
          </cell>
          <cell r="V1160">
            <v>0</v>
          </cell>
        </row>
        <row r="1161">
          <cell r="U1161">
            <v>0</v>
          </cell>
          <cell r="V1161">
            <v>0</v>
          </cell>
        </row>
        <row r="1162">
          <cell r="U1162">
            <v>0</v>
          </cell>
          <cell r="V1162">
            <v>0</v>
          </cell>
        </row>
        <row r="1163">
          <cell r="U1163">
            <v>0</v>
          </cell>
          <cell r="V1163">
            <v>0</v>
          </cell>
        </row>
        <row r="1164">
          <cell r="U1164">
            <v>0</v>
          </cell>
          <cell r="V1164">
            <v>0</v>
          </cell>
        </row>
        <row r="1165">
          <cell r="U1165">
            <v>0</v>
          </cell>
          <cell r="V1165">
            <v>0</v>
          </cell>
        </row>
        <row r="1166">
          <cell r="U1166">
            <v>0</v>
          </cell>
          <cell r="V1166">
            <v>0</v>
          </cell>
        </row>
        <row r="1167">
          <cell r="U1167">
            <v>0</v>
          </cell>
          <cell r="V1167">
            <v>0</v>
          </cell>
        </row>
        <row r="1168">
          <cell r="U1168">
            <v>0</v>
          </cell>
          <cell r="V1168">
            <v>0</v>
          </cell>
        </row>
        <row r="1169">
          <cell r="U1169">
            <v>0</v>
          </cell>
          <cell r="V1169">
            <v>0</v>
          </cell>
        </row>
        <row r="1170">
          <cell r="U1170">
            <v>0</v>
          </cell>
          <cell r="V1170">
            <v>0</v>
          </cell>
        </row>
        <row r="1171">
          <cell r="U1171">
            <v>0</v>
          </cell>
          <cell r="V1171">
            <v>0</v>
          </cell>
        </row>
        <row r="1172">
          <cell r="U1172">
            <v>0</v>
          </cell>
          <cell r="V1172">
            <v>0</v>
          </cell>
        </row>
        <row r="1173">
          <cell r="U1173">
            <v>0</v>
          </cell>
          <cell r="V1173">
            <v>0</v>
          </cell>
        </row>
        <row r="1174">
          <cell r="U1174">
            <v>0</v>
          </cell>
          <cell r="V1174">
            <v>0</v>
          </cell>
        </row>
        <row r="1175">
          <cell r="U1175">
            <v>0</v>
          </cell>
          <cell r="V1175">
            <v>0</v>
          </cell>
        </row>
        <row r="1176">
          <cell r="U1176">
            <v>0</v>
          </cell>
          <cell r="V1176">
            <v>0</v>
          </cell>
        </row>
        <row r="1177">
          <cell r="U1177">
            <v>0</v>
          </cell>
          <cell r="V1177">
            <v>0</v>
          </cell>
        </row>
        <row r="1178">
          <cell r="U1178">
            <v>0</v>
          </cell>
          <cell r="V1178">
            <v>0</v>
          </cell>
        </row>
        <row r="1179">
          <cell r="U1179">
            <v>0</v>
          </cell>
          <cell r="V1179">
            <v>0</v>
          </cell>
        </row>
        <row r="1180">
          <cell r="U1180">
            <v>0</v>
          </cell>
          <cell r="V1180">
            <v>0</v>
          </cell>
        </row>
        <row r="1181">
          <cell r="U1181">
            <v>0</v>
          </cell>
          <cell r="V1181">
            <v>0</v>
          </cell>
        </row>
        <row r="1182">
          <cell r="U1182">
            <v>0</v>
          </cell>
          <cell r="V1182">
            <v>0</v>
          </cell>
        </row>
        <row r="1183">
          <cell r="U1183">
            <v>0</v>
          </cell>
          <cell r="V1183">
            <v>0</v>
          </cell>
        </row>
        <row r="1184">
          <cell r="U1184">
            <v>0</v>
          </cell>
          <cell r="V1184">
            <v>0</v>
          </cell>
        </row>
        <row r="1185">
          <cell r="U1185">
            <v>0</v>
          </cell>
          <cell r="V1185">
            <v>0</v>
          </cell>
        </row>
        <row r="1186">
          <cell r="U1186">
            <v>0</v>
          </cell>
          <cell r="V1186">
            <v>0</v>
          </cell>
        </row>
        <row r="1187">
          <cell r="U1187">
            <v>0</v>
          </cell>
          <cell r="V1187">
            <v>0</v>
          </cell>
        </row>
        <row r="1188">
          <cell r="U1188">
            <v>0</v>
          </cell>
          <cell r="V1188">
            <v>0</v>
          </cell>
        </row>
        <row r="1189">
          <cell r="U1189">
            <v>0</v>
          </cell>
          <cell r="V1189">
            <v>0</v>
          </cell>
        </row>
        <row r="1190">
          <cell r="U1190">
            <v>0</v>
          </cell>
          <cell r="V1190">
            <v>0</v>
          </cell>
        </row>
        <row r="1191">
          <cell r="U1191">
            <v>0</v>
          </cell>
          <cell r="V1191">
            <v>0</v>
          </cell>
        </row>
        <row r="1192">
          <cell r="U1192">
            <v>0</v>
          </cell>
          <cell r="V1192">
            <v>0</v>
          </cell>
        </row>
        <row r="1193">
          <cell r="U1193">
            <v>0</v>
          </cell>
          <cell r="V1193">
            <v>0</v>
          </cell>
        </row>
        <row r="1194">
          <cell r="U1194">
            <v>0</v>
          </cell>
          <cell r="V1194">
            <v>0</v>
          </cell>
        </row>
        <row r="1195">
          <cell r="U1195">
            <v>0</v>
          </cell>
          <cell r="V1195">
            <v>0</v>
          </cell>
        </row>
        <row r="1196">
          <cell r="U1196">
            <v>0</v>
          </cell>
          <cell r="V1196">
            <v>0</v>
          </cell>
        </row>
        <row r="1197">
          <cell r="U1197">
            <v>0</v>
          </cell>
          <cell r="V1197">
            <v>0</v>
          </cell>
        </row>
        <row r="1198">
          <cell r="U1198">
            <v>0</v>
          </cell>
          <cell r="V1198">
            <v>0</v>
          </cell>
        </row>
        <row r="1199">
          <cell r="U1199">
            <v>0</v>
          </cell>
          <cell r="V1199">
            <v>0</v>
          </cell>
        </row>
        <row r="1200">
          <cell r="U1200">
            <v>0</v>
          </cell>
          <cell r="V1200">
            <v>0</v>
          </cell>
        </row>
        <row r="1201">
          <cell r="U1201">
            <v>0</v>
          </cell>
          <cell r="V1201">
            <v>0</v>
          </cell>
        </row>
        <row r="1202">
          <cell r="U1202">
            <v>0</v>
          </cell>
          <cell r="V1202">
            <v>0</v>
          </cell>
        </row>
        <row r="1203">
          <cell r="U1203">
            <v>0</v>
          </cell>
          <cell r="V1203">
            <v>0</v>
          </cell>
        </row>
        <row r="1204">
          <cell r="U1204">
            <v>0</v>
          </cell>
          <cell r="V1204">
            <v>0</v>
          </cell>
        </row>
        <row r="1205">
          <cell r="U1205">
            <v>0</v>
          </cell>
          <cell r="V1205">
            <v>0</v>
          </cell>
        </row>
        <row r="1206">
          <cell r="U1206">
            <v>0</v>
          </cell>
          <cell r="V1206">
            <v>0</v>
          </cell>
        </row>
        <row r="1207">
          <cell r="U1207">
            <v>0</v>
          </cell>
          <cell r="V1207">
            <v>0</v>
          </cell>
        </row>
        <row r="1208">
          <cell r="U1208">
            <v>0</v>
          </cell>
          <cell r="V1208">
            <v>0</v>
          </cell>
        </row>
        <row r="1209">
          <cell r="U1209">
            <v>0</v>
          </cell>
          <cell r="V1209">
            <v>0</v>
          </cell>
        </row>
        <row r="1210">
          <cell r="U1210">
            <v>0</v>
          </cell>
          <cell r="V1210">
            <v>0</v>
          </cell>
        </row>
        <row r="1211">
          <cell r="U1211">
            <v>0</v>
          </cell>
          <cell r="V1211">
            <v>0</v>
          </cell>
        </row>
        <row r="1212">
          <cell r="U1212">
            <v>0</v>
          </cell>
          <cell r="V1212">
            <v>0</v>
          </cell>
        </row>
        <row r="1213">
          <cell r="U1213">
            <v>0</v>
          </cell>
          <cell r="V1213">
            <v>0</v>
          </cell>
        </row>
        <row r="1214">
          <cell r="U1214">
            <v>0</v>
          </cell>
          <cell r="V1214">
            <v>0</v>
          </cell>
        </row>
        <row r="1215">
          <cell r="U1215">
            <v>0</v>
          </cell>
          <cell r="V1215">
            <v>0</v>
          </cell>
        </row>
        <row r="1216">
          <cell r="U1216">
            <v>0</v>
          </cell>
          <cell r="V1216">
            <v>0</v>
          </cell>
        </row>
        <row r="1217">
          <cell r="U1217">
            <v>0</v>
          </cell>
          <cell r="V1217">
            <v>0</v>
          </cell>
        </row>
        <row r="1218">
          <cell r="U1218">
            <v>0</v>
          </cell>
          <cell r="V1218">
            <v>0</v>
          </cell>
        </row>
        <row r="1219">
          <cell r="U1219">
            <v>0</v>
          </cell>
          <cell r="V1219">
            <v>0</v>
          </cell>
        </row>
        <row r="1220">
          <cell r="U1220">
            <v>0</v>
          </cell>
          <cell r="V1220">
            <v>0</v>
          </cell>
        </row>
        <row r="1221">
          <cell r="U1221">
            <v>0</v>
          </cell>
          <cell r="V1221">
            <v>0</v>
          </cell>
        </row>
        <row r="1222">
          <cell r="U1222">
            <v>0</v>
          </cell>
          <cell r="V1222">
            <v>0</v>
          </cell>
        </row>
        <row r="1223">
          <cell r="U1223">
            <v>0</v>
          </cell>
          <cell r="V1223">
            <v>0</v>
          </cell>
        </row>
        <row r="1224">
          <cell r="U1224">
            <v>0</v>
          </cell>
          <cell r="V1224">
            <v>0</v>
          </cell>
        </row>
        <row r="1225">
          <cell r="U1225">
            <v>0</v>
          </cell>
          <cell r="V1225">
            <v>0</v>
          </cell>
        </row>
        <row r="1226">
          <cell r="U1226">
            <v>0</v>
          </cell>
          <cell r="V1226">
            <v>0</v>
          </cell>
        </row>
        <row r="1227">
          <cell r="U1227">
            <v>0</v>
          </cell>
          <cell r="V1227">
            <v>0</v>
          </cell>
        </row>
        <row r="1228">
          <cell r="U1228">
            <v>0</v>
          </cell>
          <cell r="V1228">
            <v>0</v>
          </cell>
        </row>
        <row r="1229">
          <cell r="U1229">
            <v>0</v>
          </cell>
          <cell r="V1229">
            <v>0</v>
          </cell>
        </row>
        <row r="1230">
          <cell r="U1230">
            <v>0</v>
          </cell>
          <cell r="V1230">
            <v>0</v>
          </cell>
        </row>
        <row r="1231">
          <cell r="U1231">
            <v>0</v>
          </cell>
          <cell r="V1231">
            <v>0</v>
          </cell>
        </row>
        <row r="1232">
          <cell r="U1232">
            <v>0</v>
          </cell>
          <cell r="V1232">
            <v>0</v>
          </cell>
        </row>
        <row r="1233">
          <cell r="U1233">
            <v>0</v>
          </cell>
          <cell r="V1233">
            <v>0</v>
          </cell>
        </row>
        <row r="1234">
          <cell r="U1234">
            <v>0</v>
          </cell>
          <cell r="V1234">
            <v>0</v>
          </cell>
        </row>
        <row r="1235">
          <cell r="U1235">
            <v>0</v>
          </cell>
          <cell r="V1235">
            <v>0</v>
          </cell>
        </row>
        <row r="1236">
          <cell r="U1236">
            <v>0</v>
          </cell>
          <cell r="V1236">
            <v>0</v>
          </cell>
        </row>
        <row r="1237">
          <cell r="U1237">
            <v>0</v>
          </cell>
          <cell r="V1237">
            <v>0</v>
          </cell>
        </row>
        <row r="1238">
          <cell r="U1238">
            <v>0</v>
          </cell>
          <cell r="V1238">
            <v>0</v>
          </cell>
        </row>
        <row r="1239">
          <cell r="U1239">
            <v>0</v>
          </cell>
          <cell r="V1239">
            <v>0</v>
          </cell>
        </row>
        <row r="1240">
          <cell r="U1240">
            <v>0</v>
          </cell>
          <cell r="V1240">
            <v>0</v>
          </cell>
        </row>
        <row r="1241">
          <cell r="U1241">
            <v>0</v>
          </cell>
          <cell r="V1241">
            <v>0</v>
          </cell>
        </row>
        <row r="1242">
          <cell r="U1242">
            <v>0</v>
          </cell>
          <cell r="V1242">
            <v>0</v>
          </cell>
        </row>
        <row r="1243">
          <cell r="U1243">
            <v>0</v>
          </cell>
          <cell r="V1243">
            <v>0</v>
          </cell>
        </row>
        <row r="1244">
          <cell r="U1244">
            <v>0</v>
          </cell>
          <cell r="V1244">
            <v>0</v>
          </cell>
        </row>
        <row r="1245">
          <cell r="U1245">
            <v>0</v>
          </cell>
          <cell r="V1245">
            <v>0</v>
          </cell>
        </row>
        <row r="1246">
          <cell r="U1246">
            <v>0</v>
          </cell>
          <cell r="V1246">
            <v>0</v>
          </cell>
        </row>
        <row r="1247">
          <cell r="U1247">
            <v>0</v>
          </cell>
          <cell r="V1247">
            <v>0</v>
          </cell>
        </row>
        <row r="1248">
          <cell r="U1248">
            <v>0</v>
          </cell>
          <cell r="V1248">
            <v>0</v>
          </cell>
        </row>
        <row r="1249">
          <cell r="U1249">
            <v>0</v>
          </cell>
          <cell r="V1249">
            <v>0</v>
          </cell>
        </row>
        <row r="1250">
          <cell r="U1250">
            <v>0</v>
          </cell>
          <cell r="V1250">
            <v>0</v>
          </cell>
        </row>
        <row r="1251">
          <cell r="U1251">
            <v>0</v>
          </cell>
          <cell r="V1251">
            <v>0</v>
          </cell>
        </row>
        <row r="1252">
          <cell r="U1252">
            <v>0</v>
          </cell>
          <cell r="V1252">
            <v>0</v>
          </cell>
        </row>
        <row r="1253">
          <cell r="U1253">
            <v>0</v>
          </cell>
          <cell r="V1253">
            <v>0</v>
          </cell>
        </row>
        <row r="1254">
          <cell r="U1254">
            <v>0</v>
          </cell>
          <cell r="V1254">
            <v>0</v>
          </cell>
        </row>
        <row r="1255">
          <cell r="U1255">
            <v>0</v>
          </cell>
          <cell r="V1255">
            <v>0</v>
          </cell>
        </row>
        <row r="1256">
          <cell r="U1256">
            <v>0</v>
          </cell>
          <cell r="V1256">
            <v>0</v>
          </cell>
        </row>
        <row r="1257">
          <cell r="U1257">
            <v>0</v>
          </cell>
          <cell r="V1257">
            <v>0</v>
          </cell>
        </row>
        <row r="1258">
          <cell r="U1258">
            <v>0</v>
          </cell>
          <cell r="V1258">
            <v>0</v>
          </cell>
        </row>
        <row r="1259">
          <cell r="U1259">
            <v>0</v>
          </cell>
          <cell r="V1259">
            <v>0</v>
          </cell>
        </row>
        <row r="1260">
          <cell r="U1260">
            <v>0</v>
          </cell>
          <cell r="V1260">
            <v>0</v>
          </cell>
        </row>
        <row r="1261">
          <cell r="U1261">
            <v>0</v>
          </cell>
          <cell r="V1261">
            <v>0</v>
          </cell>
        </row>
        <row r="1262">
          <cell r="U1262">
            <v>0</v>
          </cell>
          <cell r="V1262">
            <v>0</v>
          </cell>
        </row>
        <row r="1263">
          <cell r="U1263">
            <v>0</v>
          </cell>
          <cell r="V1263">
            <v>0</v>
          </cell>
        </row>
        <row r="1264">
          <cell r="U1264">
            <v>0</v>
          </cell>
          <cell r="V1264">
            <v>0</v>
          </cell>
        </row>
        <row r="1265">
          <cell r="U1265">
            <v>0</v>
          </cell>
          <cell r="V1265">
            <v>0</v>
          </cell>
        </row>
        <row r="1266">
          <cell r="U1266">
            <v>0</v>
          </cell>
          <cell r="V1266">
            <v>0</v>
          </cell>
        </row>
        <row r="1267">
          <cell r="U1267">
            <v>0</v>
          </cell>
          <cell r="V1267">
            <v>0</v>
          </cell>
        </row>
        <row r="1268">
          <cell r="U1268">
            <v>0</v>
          </cell>
          <cell r="V1268">
            <v>0</v>
          </cell>
        </row>
        <row r="1269">
          <cell r="U1269">
            <v>0</v>
          </cell>
          <cell r="V1269">
            <v>0</v>
          </cell>
        </row>
        <row r="1270">
          <cell r="U1270">
            <v>0</v>
          </cell>
          <cell r="V1270">
            <v>0</v>
          </cell>
        </row>
        <row r="1271">
          <cell r="U1271">
            <v>0</v>
          </cell>
          <cell r="V1271">
            <v>0</v>
          </cell>
        </row>
        <row r="1272">
          <cell r="U1272">
            <v>0</v>
          </cell>
          <cell r="V1272">
            <v>0</v>
          </cell>
        </row>
        <row r="1273">
          <cell r="U1273">
            <v>0</v>
          </cell>
          <cell r="V1273">
            <v>0</v>
          </cell>
        </row>
        <row r="1274">
          <cell r="U1274">
            <v>0</v>
          </cell>
          <cell r="V1274">
            <v>0</v>
          </cell>
        </row>
        <row r="1275">
          <cell r="U1275">
            <v>0</v>
          </cell>
          <cell r="V1275">
            <v>0</v>
          </cell>
        </row>
        <row r="1276">
          <cell r="U1276">
            <v>0</v>
          </cell>
          <cell r="V1276">
            <v>0</v>
          </cell>
        </row>
        <row r="1277">
          <cell r="U1277">
            <v>0</v>
          </cell>
          <cell r="V1277">
            <v>0</v>
          </cell>
        </row>
        <row r="1278">
          <cell r="U1278">
            <v>0</v>
          </cell>
          <cell r="V1278">
            <v>0</v>
          </cell>
        </row>
        <row r="1279">
          <cell r="U1279">
            <v>0</v>
          </cell>
          <cell r="V1279">
            <v>0</v>
          </cell>
        </row>
        <row r="1280">
          <cell r="U1280">
            <v>0</v>
          </cell>
          <cell r="V1280">
            <v>0</v>
          </cell>
        </row>
        <row r="1281">
          <cell r="U1281">
            <v>0</v>
          </cell>
          <cell r="V1281">
            <v>0</v>
          </cell>
        </row>
        <row r="1282">
          <cell r="U1282">
            <v>0</v>
          </cell>
          <cell r="V1282">
            <v>0</v>
          </cell>
        </row>
        <row r="1283">
          <cell r="U1283">
            <v>0</v>
          </cell>
          <cell r="V1283">
            <v>0</v>
          </cell>
        </row>
        <row r="1284">
          <cell r="U1284">
            <v>0</v>
          </cell>
          <cell r="V1284">
            <v>0</v>
          </cell>
        </row>
        <row r="1285">
          <cell r="U1285">
            <v>0</v>
          </cell>
          <cell r="V1285">
            <v>0</v>
          </cell>
        </row>
        <row r="1286">
          <cell r="U1286">
            <v>0</v>
          </cell>
          <cell r="V1286">
            <v>0</v>
          </cell>
        </row>
        <row r="1287">
          <cell r="U1287">
            <v>0</v>
          </cell>
          <cell r="V1287">
            <v>0</v>
          </cell>
        </row>
        <row r="1288">
          <cell r="U1288">
            <v>0</v>
          </cell>
          <cell r="V1288">
            <v>0</v>
          </cell>
        </row>
        <row r="1289">
          <cell r="U1289">
            <v>0</v>
          </cell>
          <cell r="V1289">
            <v>0</v>
          </cell>
        </row>
        <row r="1290">
          <cell r="U1290">
            <v>0</v>
          </cell>
          <cell r="V1290">
            <v>0</v>
          </cell>
        </row>
        <row r="1291">
          <cell r="U1291">
            <v>0</v>
          </cell>
          <cell r="V1291">
            <v>0</v>
          </cell>
        </row>
        <row r="1292">
          <cell r="U1292">
            <v>0</v>
          </cell>
          <cell r="V1292">
            <v>0</v>
          </cell>
        </row>
        <row r="1293">
          <cell r="U1293">
            <v>0</v>
          </cell>
          <cell r="V1293">
            <v>0</v>
          </cell>
        </row>
        <row r="1294">
          <cell r="U1294">
            <v>0</v>
          </cell>
          <cell r="V1294">
            <v>0</v>
          </cell>
        </row>
        <row r="1295">
          <cell r="U1295">
            <v>0</v>
          </cell>
          <cell r="V1295">
            <v>0</v>
          </cell>
        </row>
        <row r="1296">
          <cell r="U1296">
            <v>0</v>
          </cell>
          <cell r="V1296">
            <v>0</v>
          </cell>
        </row>
        <row r="1297">
          <cell r="U1297">
            <v>0</v>
          </cell>
          <cell r="V1297">
            <v>0</v>
          </cell>
        </row>
        <row r="1298">
          <cell r="U1298">
            <v>0</v>
          </cell>
          <cell r="V1298">
            <v>0</v>
          </cell>
        </row>
        <row r="1299">
          <cell r="U1299">
            <v>0</v>
          </cell>
          <cell r="V1299">
            <v>0</v>
          </cell>
        </row>
        <row r="1300">
          <cell r="U1300">
            <v>0</v>
          </cell>
          <cell r="V1300">
            <v>0</v>
          </cell>
        </row>
        <row r="1301">
          <cell r="U1301">
            <v>0</v>
          </cell>
          <cell r="V1301">
            <v>0</v>
          </cell>
        </row>
        <row r="1302">
          <cell r="U1302">
            <v>0</v>
          </cell>
          <cell r="V1302">
            <v>0</v>
          </cell>
        </row>
        <row r="1303">
          <cell r="U1303">
            <v>0</v>
          </cell>
          <cell r="V1303">
            <v>0</v>
          </cell>
        </row>
        <row r="1304">
          <cell r="U1304">
            <v>0</v>
          </cell>
          <cell r="V1304">
            <v>0</v>
          </cell>
        </row>
        <row r="1305">
          <cell r="U1305">
            <v>0</v>
          </cell>
          <cell r="V1305">
            <v>0</v>
          </cell>
        </row>
        <row r="1306">
          <cell r="U1306">
            <v>0</v>
          </cell>
          <cell r="V1306">
            <v>0</v>
          </cell>
        </row>
        <row r="1307">
          <cell r="U1307">
            <v>0</v>
          </cell>
          <cell r="V1307">
            <v>0</v>
          </cell>
        </row>
        <row r="1308">
          <cell r="U1308">
            <v>0</v>
          </cell>
          <cell r="V1308">
            <v>0</v>
          </cell>
        </row>
        <row r="1309">
          <cell r="U1309">
            <v>0</v>
          </cell>
          <cell r="V1309">
            <v>0</v>
          </cell>
        </row>
        <row r="1310">
          <cell r="U1310">
            <v>0</v>
          </cell>
          <cell r="V1310">
            <v>0</v>
          </cell>
        </row>
        <row r="1311">
          <cell r="U1311">
            <v>0</v>
          </cell>
          <cell r="V1311">
            <v>0</v>
          </cell>
        </row>
        <row r="1312">
          <cell r="U1312">
            <v>0</v>
          </cell>
          <cell r="V1312">
            <v>0</v>
          </cell>
        </row>
        <row r="1313">
          <cell r="U1313">
            <v>0</v>
          </cell>
          <cell r="V1313">
            <v>0</v>
          </cell>
        </row>
        <row r="1314">
          <cell r="U1314">
            <v>0</v>
          </cell>
          <cell r="V1314">
            <v>0</v>
          </cell>
        </row>
        <row r="1315">
          <cell r="U1315">
            <v>0</v>
          </cell>
          <cell r="V1315">
            <v>0</v>
          </cell>
        </row>
        <row r="1316">
          <cell r="U1316">
            <v>0</v>
          </cell>
          <cell r="V1316">
            <v>0</v>
          </cell>
        </row>
        <row r="1317">
          <cell r="U1317">
            <v>0</v>
          </cell>
          <cell r="V1317">
            <v>0</v>
          </cell>
        </row>
        <row r="1318">
          <cell r="U1318">
            <v>0</v>
          </cell>
          <cell r="V1318">
            <v>0</v>
          </cell>
        </row>
        <row r="1319">
          <cell r="U1319">
            <v>0</v>
          </cell>
          <cell r="V1319">
            <v>0</v>
          </cell>
        </row>
        <row r="1320">
          <cell r="U1320">
            <v>0</v>
          </cell>
          <cell r="V1320">
            <v>0</v>
          </cell>
        </row>
        <row r="1321">
          <cell r="U1321">
            <v>0</v>
          </cell>
          <cell r="V1321">
            <v>0</v>
          </cell>
        </row>
        <row r="1322">
          <cell r="U1322">
            <v>0</v>
          </cell>
          <cell r="V1322">
            <v>0</v>
          </cell>
        </row>
        <row r="1323">
          <cell r="U1323">
            <v>0</v>
          </cell>
          <cell r="V1323">
            <v>0</v>
          </cell>
        </row>
        <row r="1324">
          <cell r="U1324">
            <v>0</v>
          </cell>
          <cell r="V1324">
            <v>0</v>
          </cell>
        </row>
        <row r="1325">
          <cell r="U1325">
            <v>0</v>
          </cell>
          <cell r="V1325">
            <v>0</v>
          </cell>
        </row>
        <row r="1326">
          <cell r="U1326">
            <v>0</v>
          </cell>
          <cell r="V1326">
            <v>0</v>
          </cell>
        </row>
        <row r="1327">
          <cell r="U1327">
            <v>0</v>
          </cell>
          <cell r="V1327">
            <v>0</v>
          </cell>
        </row>
        <row r="1328">
          <cell r="U1328">
            <v>0</v>
          </cell>
          <cell r="V1328">
            <v>0</v>
          </cell>
        </row>
        <row r="1329">
          <cell r="U1329">
            <v>0</v>
          </cell>
          <cell r="V1329">
            <v>0</v>
          </cell>
        </row>
        <row r="1330">
          <cell r="U1330">
            <v>0</v>
          </cell>
          <cell r="V1330">
            <v>0</v>
          </cell>
        </row>
        <row r="1331">
          <cell r="U1331">
            <v>0</v>
          </cell>
          <cell r="V1331">
            <v>0</v>
          </cell>
        </row>
        <row r="1332">
          <cell r="U1332">
            <v>0</v>
          </cell>
          <cell r="V1332">
            <v>0</v>
          </cell>
        </row>
        <row r="1333">
          <cell r="U1333">
            <v>0</v>
          </cell>
          <cell r="V1333">
            <v>0</v>
          </cell>
        </row>
        <row r="1334">
          <cell r="U1334">
            <v>0</v>
          </cell>
          <cell r="V1334">
            <v>0</v>
          </cell>
        </row>
        <row r="1335">
          <cell r="U1335">
            <v>0</v>
          </cell>
          <cell r="V1335">
            <v>0</v>
          </cell>
        </row>
        <row r="1336">
          <cell r="U1336">
            <v>0</v>
          </cell>
          <cell r="V1336">
            <v>0</v>
          </cell>
        </row>
        <row r="1337">
          <cell r="U1337">
            <v>0</v>
          </cell>
          <cell r="V1337">
            <v>0</v>
          </cell>
        </row>
        <row r="1338">
          <cell r="U1338">
            <v>0</v>
          </cell>
          <cell r="V1338">
            <v>0</v>
          </cell>
        </row>
        <row r="1339">
          <cell r="U1339">
            <v>0</v>
          </cell>
          <cell r="V1339">
            <v>0</v>
          </cell>
        </row>
        <row r="1340">
          <cell r="U1340">
            <v>0</v>
          </cell>
          <cell r="V1340">
            <v>0</v>
          </cell>
        </row>
        <row r="1341">
          <cell r="U1341">
            <v>0</v>
          </cell>
          <cell r="V1341">
            <v>0</v>
          </cell>
        </row>
        <row r="1342">
          <cell r="U1342">
            <v>0</v>
          </cell>
          <cell r="V1342">
            <v>0</v>
          </cell>
        </row>
        <row r="1343">
          <cell r="U1343">
            <v>0</v>
          </cell>
          <cell r="V1343">
            <v>0</v>
          </cell>
        </row>
        <row r="1344">
          <cell r="U1344">
            <v>0</v>
          </cell>
          <cell r="V1344">
            <v>0</v>
          </cell>
        </row>
        <row r="1345">
          <cell r="U1345">
            <v>0</v>
          </cell>
          <cell r="V1345">
            <v>0</v>
          </cell>
        </row>
        <row r="1346">
          <cell r="U1346">
            <v>0</v>
          </cell>
          <cell r="V1346">
            <v>0</v>
          </cell>
        </row>
        <row r="1347">
          <cell r="U1347">
            <v>0</v>
          </cell>
          <cell r="V1347">
            <v>0</v>
          </cell>
        </row>
        <row r="1348">
          <cell r="U1348">
            <v>0</v>
          </cell>
          <cell r="V1348">
            <v>0</v>
          </cell>
        </row>
        <row r="1349">
          <cell r="U1349">
            <v>0</v>
          </cell>
          <cell r="V1349">
            <v>0</v>
          </cell>
        </row>
        <row r="1350">
          <cell r="U1350">
            <v>0</v>
          </cell>
          <cell r="V1350">
            <v>0</v>
          </cell>
        </row>
        <row r="1351">
          <cell r="U1351">
            <v>0</v>
          </cell>
          <cell r="V1351">
            <v>0</v>
          </cell>
        </row>
        <row r="1352">
          <cell r="U1352">
            <v>0</v>
          </cell>
          <cell r="V1352">
            <v>0</v>
          </cell>
        </row>
        <row r="1353">
          <cell r="U1353">
            <v>0</v>
          </cell>
          <cell r="V1353">
            <v>0</v>
          </cell>
        </row>
        <row r="1354">
          <cell r="U1354">
            <v>0</v>
          </cell>
          <cell r="V1354">
            <v>0</v>
          </cell>
        </row>
        <row r="1355">
          <cell r="U1355">
            <v>0</v>
          </cell>
          <cell r="V1355">
            <v>0</v>
          </cell>
        </row>
        <row r="1356">
          <cell r="U1356">
            <v>0</v>
          </cell>
          <cell r="V1356">
            <v>0</v>
          </cell>
        </row>
        <row r="1357">
          <cell r="U1357">
            <v>0</v>
          </cell>
          <cell r="V1357">
            <v>0</v>
          </cell>
        </row>
        <row r="1358">
          <cell r="U1358">
            <v>0</v>
          </cell>
          <cell r="V1358">
            <v>0</v>
          </cell>
        </row>
        <row r="1359">
          <cell r="U1359">
            <v>0</v>
          </cell>
          <cell r="V1359">
            <v>0</v>
          </cell>
        </row>
        <row r="1360">
          <cell r="U1360">
            <v>0</v>
          </cell>
          <cell r="V1360">
            <v>0</v>
          </cell>
        </row>
        <row r="1361">
          <cell r="U1361">
            <v>0</v>
          </cell>
          <cell r="V1361">
            <v>0</v>
          </cell>
        </row>
        <row r="1362">
          <cell r="U1362">
            <v>0</v>
          </cell>
          <cell r="V1362">
            <v>0</v>
          </cell>
        </row>
        <row r="1363">
          <cell r="U1363">
            <v>0</v>
          </cell>
          <cell r="V1363">
            <v>0</v>
          </cell>
        </row>
        <row r="1364">
          <cell r="U1364">
            <v>0</v>
          </cell>
          <cell r="V1364">
            <v>0</v>
          </cell>
        </row>
        <row r="1365">
          <cell r="U1365">
            <v>0</v>
          </cell>
          <cell r="V1365">
            <v>0</v>
          </cell>
        </row>
        <row r="1366">
          <cell r="U1366">
            <v>0</v>
          </cell>
          <cell r="V1366">
            <v>0</v>
          </cell>
        </row>
        <row r="1367">
          <cell r="U1367">
            <v>0</v>
          </cell>
          <cell r="V1367">
            <v>0</v>
          </cell>
        </row>
        <row r="1368">
          <cell r="U1368">
            <v>0</v>
          </cell>
          <cell r="V1368">
            <v>0</v>
          </cell>
        </row>
        <row r="1369">
          <cell r="U1369">
            <v>0</v>
          </cell>
          <cell r="V1369">
            <v>0</v>
          </cell>
        </row>
        <row r="1370">
          <cell r="U1370">
            <v>0</v>
          </cell>
          <cell r="V1370">
            <v>0</v>
          </cell>
        </row>
        <row r="1371">
          <cell r="U1371">
            <v>0</v>
          </cell>
          <cell r="V1371">
            <v>0</v>
          </cell>
        </row>
        <row r="1372">
          <cell r="U1372">
            <v>0</v>
          </cell>
          <cell r="V1372">
            <v>0</v>
          </cell>
        </row>
        <row r="1373">
          <cell r="U1373">
            <v>0</v>
          </cell>
          <cell r="V1373">
            <v>0</v>
          </cell>
        </row>
        <row r="1374">
          <cell r="U1374">
            <v>0</v>
          </cell>
          <cell r="V1374">
            <v>0</v>
          </cell>
        </row>
        <row r="1375">
          <cell r="U1375">
            <v>0</v>
          </cell>
          <cell r="V1375">
            <v>0</v>
          </cell>
        </row>
        <row r="1376">
          <cell r="U1376">
            <v>0</v>
          </cell>
          <cell r="V1376">
            <v>0</v>
          </cell>
        </row>
        <row r="1377">
          <cell r="U1377">
            <v>0</v>
          </cell>
          <cell r="V1377">
            <v>0</v>
          </cell>
        </row>
        <row r="1378">
          <cell r="U1378">
            <v>0</v>
          </cell>
          <cell r="V1378">
            <v>0</v>
          </cell>
        </row>
        <row r="1379">
          <cell r="U1379">
            <v>0</v>
          </cell>
          <cell r="V1379">
            <v>0</v>
          </cell>
        </row>
        <row r="1380">
          <cell r="U1380">
            <v>0</v>
          </cell>
          <cell r="V1380">
            <v>0</v>
          </cell>
        </row>
        <row r="1381">
          <cell r="U1381">
            <v>0</v>
          </cell>
          <cell r="V1381">
            <v>0</v>
          </cell>
        </row>
        <row r="1382">
          <cell r="U1382">
            <v>0</v>
          </cell>
          <cell r="V1382">
            <v>0</v>
          </cell>
        </row>
        <row r="1383">
          <cell r="U1383">
            <v>0</v>
          </cell>
          <cell r="V1383">
            <v>0</v>
          </cell>
        </row>
        <row r="1384">
          <cell r="U1384">
            <v>0</v>
          </cell>
          <cell r="V1384">
            <v>0</v>
          </cell>
        </row>
        <row r="1385">
          <cell r="U1385">
            <v>0</v>
          </cell>
          <cell r="V1385">
            <v>0</v>
          </cell>
        </row>
        <row r="1386">
          <cell r="U1386">
            <v>0</v>
          </cell>
          <cell r="V1386">
            <v>0</v>
          </cell>
        </row>
        <row r="1387">
          <cell r="U1387">
            <v>0</v>
          </cell>
          <cell r="V1387">
            <v>0</v>
          </cell>
        </row>
        <row r="1388">
          <cell r="U1388">
            <v>0</v>
          </cell>
          <cell r="V1388">
            <v>0</v>
          </cell>
        </row>
        <row r="1389">
          <cell r="U1389">
            <v>0</v>
          </cell>
          <cell r="V1389">
            <v>0</v>
          </cell>
        </row>
        <row r="1390">
          <cell r="U1390">
            <v>0</v>
          </cell>
          <cell r="V1390">
            <v>0</v>
          </cell>
        </row>
        <row r="1391">
          <cell r="U1391">
            <v>0</v>
          </cell>
          <cell r="V1391">
            <v>0</v>
          </cell>
        </row>
        <row r="1392">
          <cell r="U1392">
            <v>0</v>
          </cell>
          <cell r="V1392">
            <v>0</v>
          </cell>
        </row>
        <row r="1393">
          <cell r="U1393">
            <v>0</v>
          </cell>
          <cell r="V1393">
            <v>0</v>
          </cell>
        </row>
        <row r="1394">
          <cell r="U1394">
            <v>0</v>
          </cell>
          <cell r="V1394">
            <v>0</v>
          </cell>
        </row>
        <row r="1395">
          <cell r="U1395">
            <v>0</v>
          </cell>
          <cell r="V1395">
            <v>0</v>
          </cell>
        </row>
        <row r="1396">
          <cell r="U1396">
            <v>0</v>
          </cell>
          <cell r="V1396">
            <v>0</v>
          </cell>
        </row>
        <row r="1397">
          <cell r="U1397">
            <v>0</v>
          </cell>
          <cell r="V1397">
            <v>0</v>
          </cell>
        </row>
        <row r="1398">
          <cell r="U1398">
            <v>0</v>
          </cell>
          <cell r="V1398">
            <v>0</v>
          </cell>
        </row>
        <row r="1399">
          <cell r="U1399">
            <v>0</v>
          </cell>
          <cell r="V1399">
            <v>0</v>
          </cell>
        </row>
        <row r="1400">
          <cell r="U1400">
            <v>0</v>
          </cell>
          <cell r="V1400">
            <v>0</v>
          </cell>
        </row>
        <row r="1401">
          <cell r="U1401">
            <v>0</v>
          </cell>
          <cell r="V1401">
            <v>0</v>
          </cell>
        </row>
        <row r="1402">
          <cell r="U1402">
            <v>0</v>
          </cell>
          <cell r="V1402">
            <v>0</v>
          </cell>
        </row>
        <row r="1403">
          <cell r="U1403">
            <v>0</v>
          </cell>
          <cell r="V1403">
            <v>0</v>
          </cell>
        </row>
        <row r="1404">
          <cell r="U1404">
            <v>0</v>
          </cell>
          <cell r="V1404">
            <v>0</v>
          </cell>
        </row>
        <row r="1405">
          <cell r="U1405">
            <v>0</v>
          </cell>
          <cell r="V1405">
            <v>0</v>
          </cell>
        </row>
        <row r="1406">
          <cell r="U1406">
            <v>0</v>
          </cell>
          <cell r="V1406">
            <v>0</v>
          </cell>
        </row>
        <row r="1407">
          <cell r="U1407">
            <v>0</v>
          </cell>
          <cell r="V1407">
            <v>0</v>
          </cell>
        </row>
        <row r="1408">
          <cell r="U1408">
            <v>0</v>
          </cell>
          <cell r="V1408">
            <v>0</v>
          </cell>
        </row>
        <row r="1409">
          <cell r="U1409">
            <v>0</v>
          </cell>
          <cell r="V1409">
            <v>0</v>
          </cell>
        </row>
        <row r="1410">
          <cell r="U1410">
            <v>0</v>
          </cell>
          <cell r="V1410">
            <v>0</v>
          </cell>
        </row>
        <row r="1411">
          <cell r="U1411">
            <v>0</v>
          </cell>
          <cell r="V1411">
            <v>0</v>
          </cell>
        </row>
        <row r="1412">
          <cell r="U1412">
            <v>0</v>
          </cell>
          <cell r="V1412">
            <v>0</v>
          </cell>
        </row>
        <row r="1413">
          <cell r="U1413">
            <v>0</v>
          </cell>
          <cell r="V1413">
            <v>0</v>
          </cell>
        </row>
        <row r="1414">
          <cell r="U1414">
            <v>0</v>
          </cell>
          <cell r="V1414">
            <v>0</v>
          </cell>
        </row>
        <row r="1415">
          <cell r="U1415">
            <v>0</v>
          </cell>
          <cell r="V1415">
            <v>0</v>
          </cell>
        </row>
        <row r="1416">
          <cell r="U1416">
            <v>0</v>
          </cell>
          <cell r="V1416">
            <v>0</v>
          </cell>
        </row>
        <row r="1417">
          <cell r="U1417">
            <v>0</v>
          </cell>
          <cell r="V1417">
            <v>0</v>
          </cell>
        </row>
        <row r="1418">
          <cell r="U1418">
            <v>0</v>
          </cell>
          <cell r="V1418">
            <v>0</v>
          </cell>
        </row>
        <row r="1419">
          <cell r="U1419">
            <v>0</v>
          </cell>
          <cell r="V1419">
            <v>0</v>
          </cell>
        </row>
        <row r="1420">
          <cell r="U1420">
            <v>0</v>
          </cell>
          <cell r="V1420">
            <v>0</v>
          </cell>
        </row>
        <row r="1421">
          <cell r="U1421">
            <v>0</v>
          </cell>
          <cell r="V1421">
            <v>0</v>
          </cell>
        </row>
        <row r="1422">
          <cell r="U1422">
            <v>0</v>
          </cell>
          <cell r="V1422">
            <v>0</v>
          </cell>
        </row>
        <row r="1423">
          <cell r="U1423">
            <v>0</v>
          </cell>
          <cell r="V1423">
            <v>0</v>
          </cell>
        </row>
        <row r="1424">
          <cell r="U1424">
            <v>0</v>
          </cell>
          <cell r="V1424">
            <v>0</v>
          </cell>
        </row>
        <row r="1425">
          <cell r="U1425">
            <v>0</v>
          </cell>
          <cell r="V1425">
            <v>0</v>
          </cell>
        </row>
        <row r="1426">
          <cell r="U1426">
            <v>0</v>
          </cell>
          <cell r="V1426">
            <v>0</v>
          </cell>
        </row>
        <row r="1427">
          <cell r="U1427">
            <v>0</v>
          </cell>
          <cell r="V1427">
            <v>0</v>
          </cell>
        </row>
        <row r="1428">
          <cell r="U1428">
            <v>0</v>
          </cell>
          <cell r="V1428">
            <v>0</v>
          </cell>
        </row>
        <row r="1429">
          <cell r="U1429">
            <v>0</v>
          </cell>
          <cell r="V1429">
            <v>0</v>
          </cell>
        </row>
        <row r="1430">
          <cell r="U1430">
            <v>0</v>
          </cell>
          <cell r="V1430">
            <v>0</v>
          </cell>
        </row>
        <row r="1431">
          <cell r="U1431">
            <v>0</v>
          </cell>
          <cell r="V1431">
            <v>0</v>
          </cell>
        </row>
        <row r="1432">
          <cell r="U1432">
            <v>0</v>
          </cell>
          <cell r="V1432">
            <v>0</v>
          </cell>
        </row>
        <row r="1433">
          <cell r="U1433">
            <v>0</v>
          </cell>
          <cell r="V1433">
            <v>0</v>
          </cell>
        </row>
        <row r="1434">
          <cell r="U1434">
            <v>0</v>
          </cell>
          <cell r="V1434">
            <v>0</v>
          </cell>
        </row>
        <row r="1435">
          <cell r="U1435">
            <v>0</v>
          </cell>
          <cell r="V1435">
            <v>0</v>
          </cell>
        </row>
        <row r="1436">
          <cell r="U1436">
            <v>0</v>
          </cell>
          <cell r="V1436">
            <v>0</v>
          </cell>
        </row>
        <row r="1437">
          <cell r="U1437">
            <v>0</v>
          </cell>
          <cell r="V1437">
            <v>0</v>
          </cell>
        </row>
        <row r="1438">
          <cell r="U1438">
            <v>0</v>
          </cell>
          <cell r="V1438">
            <v>0</v>
          </cell>
        </row>
        <row r="1439">
          <cell r="U1439">
            <v>0</v>
          </cell>
          <cell r="V1439">
            <v>0</v>
          </cell>
        </row>
        <row r="1440">
          <cell r="U1440">
            <v>0</v>
          </cell>
          <cell r="V1440">
            <v>0</v>
          </cell>
        </row>
        <row r="1441">
          <cell r="U1441">
            <v>0</v>
          </cell>
          <cell r="V1441">
            <v>0</v>
          </cell>
        </row>
        <row r="1442">
          <cell r="U1442">
            <v>0</v>
          </cell>
          <cell r="V1442">
            <v>0</v>
          </cell>
        </row>
        <row r="1443">
          <cell r="U1443">
            <v>0</v>
          </cell>
          <cell r="V1443">
            <v>0</v>
          </cell>
        </row>
        <row r="1444">
          <cell r="U1444">
            <v>0</v>
          </cell>
          <cell r="V1444">
            <v>0</v>
          </cell>
        </row>
        <row r="1445">
          <cell r="U1445">
            <v>0</v>
          </cell>
          <cell r="V1445">
            <v>0</v>
          </cell>
        </row>
        <row r="1446">
          <cell r="U1446">
            <v>0</v>
          </cell>
          <cell r="V1446">
            <v>0</v>
          </cell>
        </row>
        <row r="1447">
          <cell r="U1447">
            <v>0</v>
          </cell>
          <cell r="V1447">
            <v>0</v>
          </cell>
        </row>
        <row r="1448">
          <cell r="U1448">
            <v>0</v>
          </cell>
          <cell r="V1448">
            <v>0</v>
          </cell>
        </row>
        <row r="1449">
          <cell r="U1449">
            <v>0</v>
          </cell>
          <cell r="V1449">
            <v>0</v>
          </cell>
        </row>
        <row r="1450">
          <cell r="U1450">
            <v>0</v>
          </cell>
          <cell r="V1450">
            <v>0</v>
          </cell>
        </row>
        <row r="1451">
          <cell r="U1451">
            <v>0</v>
          </cell>
          <cell r="V1451">
            <v>0</v>
          </cell>
        </row>
        <row r="1452">
          <cell r="U1452">
            <v>0</v>
          </cell>
          <cell r="V1452">
            <v>0</v>
          </cell>
        </row>
        <row r="1453">
          <cell r="U1453">
            <v>0</v>
          </cell>
          <cell r="V1453">
            <v>0</v>
          </cell>
        </row>
        <row r="1454">
          <cell r="U1454">
            <v>0</v>
          </cell>
          <cell r="V1454">
            <v>0</v>
          </cell>
        </row>
        <row r="1455">
          <cell r="U1455">
            <v>0</v>
          </cell>
          <cell r="V1455">
            <v>0</v>
          </cell>
        </row>
        <row r="1456">
          <cell r="U1456">
            <v>0</v>
          </cell>
          <cell r="V1456">
            <v>0</v>
          </cell>
        </row>
        <row r="1457">
          <cell r="U1457">
            <v>0</v>
          </cell>
          <cell r="V1457">
            <v>0</v>
          </cell>
        </row>
        <row r="1458">
          <cell r="U1458">
            <v>0</v>
          </cell>
          <cell r="V1458">
            <v>0</v>
          </cell>
        </row>
        <row r="1459">
          <cell r="U1459">
            <v>0</v>
          </cell>
          <cell r="V1459">
            <v>0</v>
          </cell>
        </row>
        <row r="1460">
          <cell r="U1460">
            <v>0</v>
          </cell>
          <cell r="V1460">
            <v>0</v>
          </cell>
        </row>
        <row r="1461">
          <cell r="U1461">
            <v>0</v>
          </cell>
          <cell r="V1461">
            <v>0</v>
          </cell>
        </row>
        <row r="1462">
          <cell r="U1462">
            <v>0</v>
          </cell>
          <cell r="V1462">
            <v>0</v>
          </cell>
        </row>
        <row r="1463">
          <cell r="U1463">
            <v>0</v>
          </cell>
          <cell r="V1463">
            <v>0</v>
          </cell>
        </row>
        <row r="1464">
          <cell r="U1464">
            <v>0</v>
          </cell>
          <cell r="V1464">
            <v>0</v>
          </cell>
        </row>
        <row r="1465">
          <cell r="U1465">
            <v>0</v>
          </cell>
          <cell r="V1465">
            <v>0</v>
          </cell>
        </row>
        <row r="1466">
          <cell r="U1466">
            <v>0</v>
          </cell>
          <cell r="V1466">
            <v>0</v>
          </cell>
        </row>
        <row r="1467">
          <cell r="U1467">
            <v>0</v>
          </cell>
          <cell r="V1467">
            <v>0</v>
          </cell>
        </row>
        <row r="1468">
          <cell r="U1468">
            <v>0</v>
          </cell>
          <cell r="V1468">
            <v>0</v>
          </cell>
        </row>
        <row r="1469">
          <cell r="U1469">
            <v>0</v>
          </cell>
          <cell r="V1469">
            <v>0</v>
          </cell>
        </row>
        <row r="1470">
          <cell r="U1470">
            <v>0</v>
          </cell>
          <cell r="V1470">
            <v>0</v>
          </cell>
        </row>
        <row r="1471">
          <cell r="U1471">
            <v>0</v>
          </cell>
          <cell r="V1471">
            <v>0</v>
          </cell>
        </row>
        <row r="1472">
          <cell r="U1472">
            <v>0</v>
          </cell>
          <cell r="V1472">
            <v>0</v>
          </cell>
        </row>
        <row r="1473">
          <cell r="U1473">
            <v>0</v>
          </cell>
          <cell r="V1473">
            <v>0</v>
          </cell>
        </row>
        <row r="1474">
          <cell r="U1474">
            <v>0</v>
          </cell>
          <cell r="V1474">
            <v>0</v>
          </cell>
        </row>
        <row r="1475">
          <cell r="U1475">
            <v>0</v>
          </cell>
          <cell r="V1475">
            <v>0</v>
          </cell>
        </row>
        <row r="1476">
          <cell r="U1476">
            <v>0</v>
          </cell>
          <cell r="V1476">
            <v>0</v>
          </cell>
        </row>
        <row r="1477">
          <cell r="U1477">
            <v>0</v>
          </cell>
          <cell r="V1477">
            <v>0</v>
          </cell>
        </row>
        <row r="1478">
          <cell r="U1478">
            <v>0</v>
          </cell>
          <cell r="V1478">
            <v>0</v>
          </cell>
        </row>
        <row r="1479">
          <cell r="U1479">
            <v>0</v>
          </cell>
          <cell r="V1479">
            <v>0</v>
          </cell>
        </row>
        <row r="1480">
          <cell r="U1480">
            <v>0</v>
          </cell>
          <cell r="V1480">
            <v>0</v>
          </cell>
        </row>
        <row r="1481">
          <cell r="U1481">
            <v>0</v>
          </cell>
          <cell r="V1481">
            <v>0</v>
          </cell>
        </row>
        <row r="1482">
          <cell r="U1482">
            <v>0</v>
          </cell>
          <cell r="V1482">
            <v>0</v>
          </cell>
        </row>
        <row r="1483">
          <cell r="U1483">
            <v>0</v>
          </cell>
          <cell r="V1483">
            <v>0</v>
          </cell>
        </row>
        <row r="1484">
          <cell r="U1484">
            <v>0</v>
          </cell>
          <cell r="V1484">
            <v>0</v>
          </cell>
        </row>
        <row r="1485">
          <cell r="U1485">
            <v>0</v>
          </cell>
          <cell r="V1485">
            <v>0</v>
          </cell>
        </row>
        <row r="1486">
          <cell r="U1486">
            <v>0</v>
          </cell>
          <cell r="V1486">
            <v>0</v>
          </cell>
        </row>
        <row r="1487">
          <cell r="U1487">
            <v>0</v>
          </cell>
          <cell r="V1487">
            <v>0</v>
          </cell>
        </row>
        <row r="1488">
          <cell r="U1488">
            <v>0</v>
          </cell>
          <cell r="V1488">
            <v>0</v>
          </cell>
        </row>
        <row r="1489">
          <cell r="U1489">
            <v>0</v>
          </cell>
          <cell r="V1489">
            <v>0</v>
          </cell>
        </row>
        <row r="1490">
          <cell r="U1490">
            <v>0</v>
          </cell>
          <cell r="V1490">
            <v>0</v>
          </cell>
        </row>
        <row r="1491">
          <cell r="U1491">
            <v>0</v>
          </cell>
          <cell r="V1491">
            <v>0</v>
          </cell>
        </row>
        <row r="1492">
          <cell r="U1492">
            <v>0</v>
          </cell>
          <cell r="V1492">
            <v>0</v>
          </cell>
        </row>
        <row r="1493">
          <cell r="U1493">
            <v>0</v>
          </cell>
          <cell r="V1493">
            <v>0</v>
          </cell>
        </row>
        <row r="1494">
          <cell r="U1494">
            <v>0</v>
          </cell>
          <cell r="V1494">
            <v>0</v>
          </cell>
        </row>
        <row r="1495">
          <cell r="U1495">
            <v>0</v>
          </cell>
          <cell r="V1495">
            <v>0</v>
          </cell>
        </row>
        <row r="1496">
          <cell r="U1496">
            <v>0</v>
          </cell>
          <cell r="V1496">
            <v>0</v>
          </cell>
        </row>
        <row r="1497">
          <cell r="U1497">
            <v>0</v>
          </cell>
          <cell r="V1497">
            <v>0</v>
          </cell>
        </row>
        <row r="1498">
          <cell r="U1498">
            <v>0</v>
          </cell>
          <cell r="V1498">
            <v>0</v>
          </cell>
        </row>
        <row r="1499">
          <cell r="U1499">
            <v>0</v>
          </cell>
          <cell r="V1499">
            <v>0</v>
          </cell>
        </row>
        <row r="1500">
          <cell r="U1500">
            <v>0</v>
          </cell>
          <cell r="V1500">
            <v>0</v>
          </cell>
        </row>
        <row r="1501">
          <cell r="U1501">
            <v>0</v>
          </cell>
          <cell r="V1501">
            <v>0</v>
          </cell>
        </row>
        <row r="1502">
          <cell r="U1502">
            <v>0</v>
          </cell>
          <cell r="V1502">
            <v>0</v>
          </cell>
        </row>
        <row r="1503">
          <cell r="U1503">
            <v>0</v>
          </cell>
          <cell r="V1503">
            <v>0</v>
          </cell>
        </row>
        <row r="1504">
          <cell r="U1504">
            <v>0</v>
          </cell>
          <cell r="V1504">
            <v>0</v>
          </cell>
        </row>
        <row r="1505">
          <cell r="U1505">
            <v>0</v>
          </cell>
          <cell r="V1505">
            <v>0</v>
          </cell>
        </row>
        <row r="1506">
          <cell r="U1506">
            <v>0</v>
          </cell>
          <cell r="V1506">
            <v>0</v>
          </cell>
        </row>
        <row r="1507">
          <cell r="U1507">
            <v>0</v>
          </cell>
          <cell r="V1507">
            <v>0</v>
          </cell>
        </row>
        <row r="1508">
          <cell r="U1508">
            <v>0</v>
          </cell>
          <cell r="V1508">
            <v>0</v>
          </cell>
        </row>
        <row r="1509">
          <cell r="U1509">
            <v>0</v>
          </cell>
          <cell r="V1509">
            <v>0</v>
          </cell>
        </row>
        <row r="1510">
          <cell r="U1510">
            <v>0</v>
          </cell>
          <cell r="V1510">
            <v>0</v>
          </cell>
        </row>
        <row r="1511">
          <cell r="U1511">
            <v>0</v>
          </cell>
          <cell r="V1511">
            <v>0</v>
          </cell>
        </row>
        <row r="1512">
          <cell r="U1512">
            <v>0</v>
          </cell>
          <cell r="V1512">
            <v>0</v>
          </cell>
        </row>
        <row r="1513">
          <cell r="U1513">
            <v>0</v>
          </cell>
          <cell r="V1513">
            <v>0</v>
          </cell>
        </row>
        <row r="1514">
          <cell r="U1514">
            <v>0</v>
          </cell>
          <cell r="V1514">
            <v>0</v>
          </cell>
        </row>
        <row r="1515">
          <cell r="U1515">
            <v>0</v>
          </cell>
          <cell r="V1515">
            <v>0</v>
          </cell>
        </row>
        <row r="1516">
          <cell r="U1516">
            <v>0</v>
          </cell>
          <cell r="V1516">
            <v>0</v>
          </cell>
        </row>
        <row r="1517">
          <cell r="U1517">
            <v>0</v>
          </cell>
          <cell r="V1517">
            <v>0</v>
          </cell>
        </row>
        <row r="1518">
          <cell r="U1518">
            <v>0</v>
          </cell>
          <cell r="V1518">
            <v>0</v>
          </cell>
        </row>
        <row r="1519">
          <cell r="U1519">
            <v>0</v>
          </cell>
          <cell r="V1519">
            <v>0</v>
          </cell>
        </row>
        <row r="1520">
          <cell r="U1520">
            <v>0</v>
          </cell>
          <cell r="V1520">
            <v>0</v>
          </cell>
        </row>
        <row r="1521">
          <cell r="U1521">
            <v>0</v>
          </cell>
          <cell r="V1521">
            <v>0</v>
          </cell>
        </row>
        <row r="1522">
          <cell r="U1522">
            <v>0</v>
          </cell>
          <cell r="V1522">
            <v>0</v>
          </cell>
        </row>
        <row r="1523">
          <cell r="U1523">
            <v>0</v>
          </cell>
          <cell r="V1523">
            <v>0</v>
          </cell>
        </row>
        <row r="1524">
          <cell r="U1524">
            <v>0</v>
          </cell>
          <cell r="V1524">
            <v>0</v>
          </cell>
        </row>
        <row r="1525">
          <cell r="U1525">
            <v>0</v>
          </cell>
          <cell r="V1525">
            <v>0</v>
          </cell>
        </row>
        <row r="1526">
          <cell r="U1526">
            <v>0</v>
          </cell>
          <cell r="V1526">
            <v>0</v>
          </cell>
        </row>
        <row r="1527">
          <cell r="U1527">
            <v>0</v>
          </cell>
          <cell r="V1527">
            <v>0</v>
          </cell>
        </row>
        <row r="1528">
          <cell r="U1528">
            <v>0</v>
          </cell>
          <cell r="V1528">
            <v>0</v>
          </cell>
        </row>
        <row r="1529">
          <cell r="U1529">
            <v>0</v>
          </cell>
          <cell r="V1529">
            <v>0</v>
          </cell>
        </row>
        <row r="1530">
          <cell r="U1530">
            <v>0</v>
          </cell>
          <cell r="V1530">
            <v>0</v>
          </cell>
        </row>
        <row r="1531">
          <cell r="U1531">
            <v>0</v>
          </cell>
          <cell r="V1531">
            <v>0</v>
          </cell>
        </row>
        <row r="1532">
          <cell r="U1532">
            <v>0</v>
          </cell>
          <cell r="V1532">
            <v>0</v>
          </cell>
        </row>
        <row r="1533">
          <cell r="U1533">
            <v>0</v>
          </cell>
          <cell r="V1533">
            <v>0</v>
          </cell>
        </row>
        <row r="1534">
          <cell r="U1534">
            <v>0</v>
          </cell>
          <cell r="V1534">
            <v>0</v>
          </cell>
        </row>
        <row r="1535">
          <cell r="U1535">
            <v>0</v>
          </cell>
          <cell r="V1535">
            <v>0</v>
          </cell>
        </row>
        <row r="1536">
          <cell r="U1536">
            <v>0</v>
          </cell>
          <cell r="V1536">
            <v>0</v>
          </cell>
        </row>
        <row r="1537">
          <cell r="U1537">
            <v>0</v>
          </cell>
          <cell r="V1537">
            <v>0</v>
          </cell>
        </row>
        <row r="1538">
          <cell r="U1538">
            <v>0</v>
          </cell>
          <cell r="V1538">
            <v>0</v>
          </cell>
        </row>
        <row r="1539">
          <cell r="U1539">
            <v>0</v>
          </cell>
          <cell r="V1539">
            <v>0</v>
          </cell>
        </row>
        <row r="1540">
          <cell r="U1540">
            <v>0</v>
          </cell>
          <cell r="V1540">
            <v>0</v>
          </cell>
        </row>
        <row r="1541">
          <cell r="U1541">
            <v>0</v>
          </cell>
          <cell r="V1541">
            <v>0</v>
          </cell>
        </row>
        <row r="1542">
          <cell r="U1542">
            <v>0</v>
          </cell>
          <cell r="V1542">
            <v>0</v>
          </cell>
        </row>
        <row r="1543">
          <cell r="U1543">
            <v>0</v>
          </cell>
          <cell r="V1543">
            <v>0</v>
          </cell>
        </row>
        <row r="1544">
          <cell r="U1544">
            <v>0</v>
          </cell>
          <cell r="V1544">
            <v>0</v>
          </cell>
        </row>
        <row r="1545">
          <cell r="U1545">
            <v>0</v>
          </cell>
          <cell r="V1545">
            <v>0</v>
          </cell>
        </row>
        <row r="1546">
          <cell r="U1546">
            <v>0</v>
          </cell>
          <cell r="V1546">
            <v>0</v>
          </cell>
        </row>
        <row r="1547">
          <cell r="U1547">
            <v>0</v>
          </cell>
          <cell r="V1547">
            <v>0</v>
          </cell>
        </row>
        <row r="1548">
          <cell r="U1548">
            <v>0</v>
          </cell>
          <cell r="V1548">
            <v>0</v>
          </cell>
        </row>
        <row r="1549">
          <cell r="U1549">
            <v>0</v>
          </cell>
          <cell r="V1549">
            <v>0</v>
          </cell>
        </row>
        <row r="1550">
          <cell r="U1550">
            <v>0</v>
          </cell>
          <cell r="V1550">
            <v>0</v>
          </cell>
        </row>
        <row r="1551">
          <cell r="U1551">
            <v>0</v>
          </cell>
          <cell r="V1551">
            <v>0</v>
          </cell>
        </row>
        <row r="1552">
          <cell r="U1552">
            <v>0</v>
          </cell>
          <cell r="V1552">
            <v>0</v>
          </cell>
        </row>
        <row r="1553">
          <cell r="U1553">
            <v>0</v>
          </cell>
          <cell r="V1553">
            <v>0</v>
          </cell>
        </row>
        <row r="1554">
          <cell r="U1554">
            <v>0</v>
          </cell>
          <cell r="V1554">
            <v>0</v>
          </cell>
        </row>
        <row r="1555">
          <cell r="U1555">
            <v>0</v>
          </cell>
          <cell r="V1555">
            <v>0</v>
          </cell>
        </row>
        <row r="1556">
          <cell r="U1556">
            <v>0</v>
          </cell>
          <cell r="V1556">
            <v>0</v>
          </cell>
        </row>
        <row r="1557">
          <cell r="U1557">
            <v>0</v>
          </cell>
          <cell r="V1557">
            <v>0</v>
          </cell>
        </row>
        <row r="1558">
          <cell r="U1558">
            <v>0</v>
          </cell>
          <cell r="V1558">
            <v>0</v>
          </cell>
        </row>
        <row r="1559">
          <cell r="U1559">
            <v>0</v>
          </cell>
          <cell r="V1559">
            <v>0</v>
          </cell>
        </row>
        <row r="1560">
          <cell r="U1560">
            <v>0</v>
          </cell>
          <cell r="V1560">
            <v>0</v>
          </cell>
        </row>
        <row r="1561">
          <cell r="U1561">
            <v>0</v>
          </cell>
          <cell r="V1561">
            <v>0</v>
          </cell>
        </row>
        <row r="1562">
          <cell r="U1562">
            <v>0</v>
          </cell>
          <cell r="V1562">
            <v>0</v>
          </cell>
        </row>
        <row r="1563">
          <cell r="U1563">
            <v>0</v>
          </cell>
          <cell r="V1563">
            <v>0</v>
          </cell>
        </row>
        <row r="1564">
          <cell r="U1564">
            <v>0</v>
          </cell>
          <cell r="V1564">
            <v>0</v>
          </cell>
        </row>
        <row r="1565">
          <cell r="U1565">
            <v>0</v>
          </cell>
          <cell r="V1565">
            <v>0</v>
          </cell>
        </row>
        <row r="1566">
          <cell r="U1566">
            <v>0</v>
          </cell>
          <cell r="V1566">
            <v>0</v>
          </cell>
        </row>
        <row r="1567">
          <cell r="U1567">
            <v>0</v>
          </cell>
          <cell r="V1567">
            <v>0</v>
          </cell>
        </row>
        <row r="1568">
          <cell r="U1568">
            <v>0</v>
          </cell>
          <cell r="V1568">
            <v>0</v>
          </cell>
        </row>
        <row r="1569">
          <cell r="U1569">
            <v>0</v>
          </cell>
          <cell r="V1569">
            <v>0</v>
          </cell>
        </row>
        <row r="1570">
          <cell r="U1570">
            <v>0</v>
          </cell>
          <cell r="V1570">
            <v>0</v>
          </cell>
        </row>
        <row r="1571">
          <cell r="U1571">
            <v>0</v>
          </cell>
          <cell r="V1571">
            <v>0</v>
          </cell>
        </row>
        <row r="1572">
          <cell r="U1572">
            <v>0</v>
          </cell>
          <cell r="V1572">
            <v>0</v>
          </cell>
        </row>
        <row r="1573">
          <cell r="U1573">
            <v>0</v>
          </cell>
          <cell r="V1573">
            <v>0</v>
          </cell>
        </row>
        <row r="1574">
          <cell r="U1574">
            <v>0</v>
          </cell>
          <cell r="V1574">
            <v>0</v>
          </cell>
        </row>
        <row r="1575">
          <cell r="U1575">
            <v>0</v>
          </cell>
          <cell r="V1575">
            <v>0</v>
          </cell>
        </row>
        <row r="1576">
          <cell r="U1576">
            <v>0</v>
          </cell>
          <cell r="V1576">
            <v>0</v>
          </cell>
        </row>
        <row r="1577">
          <cell r="U1577">
            <v>0</v>
          </cell>
          <cell r="V1577">
            <v>0</v>
          </cell>
        </row>
        <row r="1578">
          <cell r="U1578">
            <v>0</v>
          </cell>
          <cell r="V1578">
            <v>0</v>
          </cell>
        </row>
        <row r="1579">
          <cell r="U1579">
            <v>0</v>
          </cell>
          <cell r="V1579">
            <v>0</v>
          </cell>
        </row>
        <row r="1580">
          <cell r="U1580">
            <v>0</v>
          </cell>
          <cell r="V1580">
            <v>0</v>
          </cell>
        </row>
        <row r="1581">
          <cell r="U1581">
            <v>0</v>
          </cell>
          <cell r="V1581">
            <v>0</v>
          </cell>
        </row>
        <row r="1582">
          <cell r="U1582">
            <v>0</v>
          </cell>
          <cell r="V1582">
            <v>0</v>
          </cell>
        </row>
        <row r="1583">
          <cell r="U1583">
            <v>0</v>
          </cell>
          <cell r="V1583">
            <v>0</v>
          </cell>
        </row>
        <row r="1584">
          <cell r="U1584">
            <v>0</v>
          </cell>
          <cell r="V1584">
            <v>0</v>
          </cell>
        </row>
        <row r="1585">
          <cell r="U1585">
            <v>0</v>
          </cell>
          <cell r="V1585">
            <v>0</v>
          </cell>
        </row>
        <row r="1586">
          <cell r="U1586">
            <v>0</v>
          </cell>
          <cell r="V1586">
            <v>0</v>
          </cell>
        </row>
        <row r="1587">
          <cell r="U1587">
            <v>0</v>
          </cell>
          <cell r="V1587">
            <v>0</v>
          </cell>
        </row>
        <row r="1588">
          <cell r="U1588">
            <v>0</v>
          </cell>
          <cell r="V1588">
            <v>0</v>
          </cell>
        </row>
        <row r="1589">
          <cell r="U1589">
            <v>0</v>
          </cell>
          <cell r="V1589">
            <v>0</v>
          </cell>
        </row>
        <row r="1590">
          <cell r="U1590">
            <v>0</v>
          </cell>
          <cell r="V1590">
            <v>0</v>
          </cell>
        </row>
        <row r="1591">
          <cell r="U1591">
            <v>0</v>
          </cell>
          <cell r="V1591">
            <v>0</v>
          </cell>
        </row>
        <row r="1592">
          <cell r="U1592">
            <v>0</v>
          </cell>
          <cell r="V1592">
            <v>0</v>
          </cell>
        </row>
        <row r="1593">
          <cell r="U1593">
            <v>0</v>
          </cell>
          <cell r="V1593">
            <v>0</v>
          </cell>
        </row>
        <row r="1594">
          <cell r="U1594">
            <v>0</v>
          </cell>
          <cell r="V1594">
            <v>0</v>
          </cell>
        </row>
        <row r="1595">
          <cell r="U1595">
            <v>0</v>
          </cell>
          <cell r="V1595">
            <v>0</v>
          </cell>
        </row>
        <row r="1596">
          <cell r="U1596">
            <v>0</v>
          </cell>
          <cell r="V1596">
            <v>0</v>
          </cell>
        </row>
        <row r="1597">
          <cell r="U1597">
            <v>0</v>
          </cell>
          <cell r="V1597">
            <v>0</v>
          </cell>
        </row>
        <row r="1598">
          <cell r="U1598">
            <v>0</v>
          </cell>
          <cell r="V1598">
            <v>0</v>
          </cell>
        </row>
        <row r="1599">
          <cell r="U1599">
            <v>0</v>
          </cell>
          <cell r="V1599">
            <v>0</v>
          </cell>
        </row>
        <row r="1600">
          <cell r="U1600">
            <v>0</v>
          </cell>
          <cell r="V1600">
            <v>0</v>
          </cell>
        </row>
        <row r="1601">
          <cell r="U1601">
            <v>0</v>
          </cell>
          <cell r="V1601">
            <v>0</v>
          </cell>
        </row>
        <row r="1602">
          <cell r="U1602">
            <v>0</v>
          </cell>
          <cell r="V1602">
            <v>0</v>
          </cell>
        </row>
        <row r="1603">
          <cell r="U1603">
            <v>0</v>
          </cell>
          <cell r="V1603">
            <v>0</v>
          </cell>
        </row>
        <row r="1604">
          <cell r="U1604">
            <v>0</v>
          </cell>
          <cell r="V1604">
            <v>0</v>
          </cell>
        </row>
        <row r="1605">
          <cell r="U1605">
            <v>0</v>
          </cell>
          <cell r="V1605">
            <v>0</v>
          </cell>
        </row>
        <row r="1606">
          <cell r="U1606">
            <v>0</v>
          </cell>
          <cell r="V1606">
            <v>0</v>
          </cell>
        </row>
        <row r="1607">
          <cell r="U1607">
            <v>0</v>
          </cell>
          <cell r="V1607">
            <v>0</v>
          </cell>
        </row>
        <row r="1608">
          <cell r="U1608">
            <v>0</v>
          </cell>
          <cell r="V1608">
            <v>0</v>
          </cell>
        </row>
        <row r="1609">
          <cell r="U1609">
            <v>0</v>
          </cell>
          <cell r="V1609">
            <v>0</v>
          </cell>
        </row>
        <row r="1610">
          <cell r="U1610">
            <v>0</v>
          </cell>
          <cell r="V1610">
            <v>0</v>
          </cell>
        </row>
        <row r="1611">
          <cell r="U1611">
            <v>0</v>
          </cell>
          <cell r="V1611">
            <v>0</v>
          </cell>
        </row>
        <row r="1612">
          <cell r="U1612">
            <v>0</v>
          </cell>
          <cell r="V1612">
            <v>0</v>
          </cell>
        </row>
        <row r="1613">
          <cell r="U1613">
            <v>0</v>
          </cell>
          <cell r="V1613">
            <v>0</v>
          </cell>
        </row>
        <row r="1614">
          <cell r="U1614">
            <v>0</v>
          </cell>
          <cell r="V1614">
            <v>0</v>
          </cell>
        </row>
        <row r="1615">
          <cell r="U1615">
            <v>0</v>
          </cell>
          <cell r="V1615">
            <v>0</v>
          </cell>
        </row>
        <row r="1616">
          <cell r="U1616">
            <v>0</v>
          </cell>
          <cell r="V1616">
            <v>0</v>
          </cell>
        </row>
        <row r="1617">
          <cell r="U1617">
            <v>0</v>
          </cell>
          <cell r="V1617">
            <v>0</v>
          </cell>
        </row>
        <row r="1618">
          <cell r="U1618">
            <v>0</v>
          </cell>
          <cell r="V1618">
            <v>0</v>
          </cell>
        </row>
        <row r="1619">
          <cell r="U1619">
            <v>0</v>
          </cell>
          <cell r="V1619">
            <v>0</v>
          </cell>
        </row>
        <row r="1620">
          <cell r="U1620">
            <v>0</v>
          </cell>
          <cell r="V1620">
            <v>0</v>
          </cell>
        </row>
        <row r="1621">
          <cell r="U1621">
            <v>0</v>
          </cell>
          <cell r="V1621">
            <v>0</v>
          </cell>
        </row>
        <row r="1622">
          <cell r="U1622">
            <v>0</v>
          </cell>
          <cell r="V1622">
            <v>0</v>
          </cell>
        </row>
        <row r="1623">
          <cell r="U1623">
            <v>0</v>
          </cell>
          <cell r="V1623">
            <v>0</v>
          </cell>
        </row>
        <row r="1624">
          <cell r="U1624">
            <v>0</v>
          </cell>
          <cell r="V1624">
            <v>0</v>
          </cell>
        </row>
        <row r="1625">
          <cell r="U1625">
            <v>0</v>
          </cell>
          <cell r="V1625">
            <v>0</v>
          </cell>
        </row>
        <row r="1626">
          <cell r="U1626">
            <v>0</v>
          </cell>
          <cell r="V1626">
            <v>0</v>
          </cell>
        </row>
        <row r="1627">
          <cell r="U1627">
            <v>0</v>
          </cell>
          <cell r="V1627">
            <v>0</v>
          </cell>
        </row>
        <row r="1628">
          <cell r="U1628">
            <v>0</v>
          </cell>
          <cell r="V1628">
            <v>0</v>
          </cell>
        </row>
        <row r="1629">
          <cell r="U1629">
            <v>0</v>
          </cell>
          <cell r="V1629">
            <v>0</v>
          </cell>
        </row>
        <row r="1630">
          <cell r="U1630">
            <v>0</v>
          </cell>
          <cell r="V1630">
            <v>0</v>
          </cell>
        </row>
        <row r="1631">
          <cell r="U1631">
            <v>0</v>
          </cell>
          <cell r="V1631">
            <v>0</v>
          </cell>
        </row>
        <row r="1632">
          <cell r="U1632">
            <v>0</v>
          </cell>
          <cell r="V1632">
            <v>0</v>
          </cell>
        </row>
        <row r="1633">
          <cell r="U1633">
            <v>0</v>
          </cell>
          <cell r="V1633">
            <v>0</v>
          </cell>
        </row>
        <row r="1634">
          <cell r="U1634">
            <v>0</v>
          </cell>
          <cell r="V1634">
            <v>0</v>
          </cell>
        </row>
        <row r="1635">
          <cell r="U1635">
            <v>0</v>
          </cell>
          <cell r="V1635">
            <v>0</v>
          </cell>
        </row>
        <row r="1636">
          <cell r="U1636">
            <v>0</v>
          </cell>
          <cell r="V1636">
            <v>0</v>
          </cell>
        </row>
        <row r="1637">
          <cell r="U1637">
            <v>0</v>
          </cell>
          <cell r="V1637">
            <v>0</v>
          </cell>
        </row>
        <row r="1638">
          <cell r="U1638">
            <v>0</v>
          </cell>
          <cell r="V1638">
            <v>0</v>
          </cell>
        </row>
        <row r="1639">
          <cell r="U1639">
            <v>0</v>
          </cell>
          <cell r="V1639">
            <v>0</v>
          </cell>
        </row>
        <row r="1640">
          <cell r="U1640">
            <v>0</v>
          </cell>
          <cell r="V1640">
            <v>0</v>
          </cell>
        </row>
        <row r="1641">
          <cell r="U1641">
            <v>0</v>
          </cell>
          <cell r="V1641">
            <v>0</v>
          </cell>
        </row>
        <row r="1642">
          <cell r="U1642">
            <v>0</v>
          </cell>
          <cell r="V1642">
            <v>0</v>
          </cell>
        </row>
        <row r="1643">
          <cell r="U1643">
            <v>0</v>
          </cell>
          <cell r="V1643">
            <v>0</v>
          </cell>
        </row>
        <row r="1644">
          <cell r="U1644">
            <v>0</v>
          </cell>
          <cell r="V1644">
            <v>0</v>
          </cell>
        </row>
        <row r="1645">
          <cell r="U1645">
            <v>0</v>
          </cell>
          <cell r="V1645">
            <v>0</v>
          </cell>
        </row>
        <row r="1646">
          <cell r="U1646">
            <v>0</v>
          </cell>
          <cell r="V1646">
            <v>0</v>
          </cell>
        </row>
        <row r="1647">
          <cell r="U1647">
            <v>0</v>
          </cell>
          <cell r="V1647">
            <v>0</v>
          </cell>
        </row>
        <row r="1648">
          <cell r="U1648">
            <v>0</v>
          </cell>
          <cell r="V1648">
            <v>0</v>
          </cell>
        </row>
        <row r="1649">
          <cell r="U1649">
            <v>0</v>
          </cell>
          <cell r="V1649">
            <v>0</v>
          </cell>
        </row>
        <row r="1650">
          <cell r="U1650">
            <v>0</v>
          </cell>
          <cell r="V1650">
            <v>0</v>
          </cell>
        </row>
        <row r="1651">
          <cell r="U1651">
            <v>0</v>
          </cell>
          <cell r="V1651">
            <v>0</v>
          </cell>
        </row>
        <row r="1652">
          <cell r="U1652">
            <v>0</v>
          </cell>
          <cell r="V1652">
            <v>0</v>
          </cell>
        </row>
        <row r="1653">
          <cell r="U1653">
            <v>0</v>
          </cell>
          <cell r="V1653">
            <v>0</v>
          </cell>
        </row>
        <row r="1654">
          <cell r="U1654">
            <v>0</v>
          </cell>
          <cell r="V1654">
            <v>0</v>
          </cell>
        </row>
        <row r="1655">
          <cell r="U1655">
            <v>0</v>
          </cell>
          <cell r="V1655">
            <v>0</v>
          </cell>
        </row>
        <row r="1656">
          <cell r="U1656">
            <v>0</v>
          </cell>
          <cell r="V1656">
            <v>0</v>
          </cell>
        </row>
        <row r="1657">
          <cell r="U1657">
            <v>0</v>
          </cell>
          <cell r="V1657">
            <v>0</v>
          </cell>
        </row>
        <row r="1658">
          <cell r="U1658">
            <v>0</v>
          </cell>
          <cell r="V1658">
            <v>0</v>
          </cell>
        </row>
        <row r="1659">
          <cell r="U1659">
            <v>0</v>
          </cell>
          <cell r="V1659">
            <v>0</v>
          </cell>
        </row>
        <row r="1660">
          <cell r="U1660">
            <v>0</v>
          </cell>
          <cell r="V1660">
            <v>0</v>
          </cell>
        </row>
        <row r="1661">
          <cell r="U1661">
            <v>0</v>
          </cell>
          <cell r="V1661">
            <v>0</v>
          </cell>
        </row>
        <row r="1662">
          <cell r="U1662">
            <v>0</v>
          </cell>
          <cell r="V1662">
            <v>0</v>
          </cell>
        </row>
        <row r="1663">
          <cell r="U1663">
            <v>0</v>
          </cell>
          <cell r="V1663">
            <v>0</v>
          </cell>
        </row>
        <row r="1664">
          <cell r="U1664">
            <v>0</v>
          </cell>
          <cell r="V1664">
            <v>0</v>
          </cell>
        </row>
        <row r="1665">
          <cell r="U1665">
            <v>0</v>
          </cell>
          <cell r="V1665">
            <v>0</v>
          </cell>
        </row>
        <row r="1666">
          <cell r="U1666">
            <v>0</v>
          </cell>
          <cell r="V1666">
            <v>0</v>
          </cell>
        </row>
        <row r="1667">
          <cell r="U1667">
            <v>0</v>
          </cell>
          <cell r="V1667">
            <v>0</v>
          </cell>
        </row>
        <row r="1668">
          <cell r="U1668">
            <v>0</v>
          </cell>
          <cell r="V1668">
            <v>0</v>
          </cell>
        </row>
        <row r="1669">
          <cell r="U1669">
            <v>0</v>
          </cell>
          <cell r="V1669">
            <v>0</v>
          </cell>
        </row>
        <row r="1670">
          <cell r="U1670">
            <v>0</v>
          </cell>
          <cell r="V1670">
            <v>0</v>
          </cell>
        </row>
        <row r="1671">
          <cell r="U1671">
            <v>0</v>
          </cell>
          <cell r="V1671">
            <v>0</v>
          </cell>
        </row>
        <row r="1672">
          <cell r="U1672">
            <v>0</v>
          </cell>
          <cell r="V1672">
            <v>0</v>
          </cell>
        </row>
        <row r="1673">
          <cell r="U1673">
            <v>0</v>
          </cell>
          <cell r="V1673">
            <v>0</v>
          </cell>
        </row>
        <row r="1674">
          <cell r="U1674">
            <v>0</v>
          </cell>
          <cell r="V1674">
            <v>0</v>
          </cell>
        </row>
        <row r="1675">
          <cell r="U1675">
            <v>0</v>
          </cell>
          <cell r="V1675">
            <v>0</v>
          </cell>
        </row>
        <row r="1676">
          <cell r="U1676">
            <v>0</v>
          </cell>
          <cell r="V1676">
            <v>0</v>
          </cell>
        </row>
        <row r="1677">
          <cell r="U1677">
            <v>0</v>
          </cell>
          <cell r="V1677">
            <v>0</v>
          </cell>
        </row>
        <row r="1678">
          <cell r="U1678">
            <v>0</v>
          </cell>
          <cell r="V1678">
            <v>0</v>
          </cell>
        </row>
        <row r="1679">
          <cell r="U1679">
            <v>0</v>
          </cell>
          <cell r="V1679">
            <v>0</v>
          </cell>
        </row>
        <row r="1680">
          <cell r="U1680">
            <v>0</v>
          </cell>
          <cell r="V1680">
            <v>0</v>
          </cell>
        </row>
        <row r="1681">
          <cell r="U1681">
            <v>0</v>
          </cell>
          <cell r="V1681">
            <v>0</v>
          </cell>
        </row>
        <row r="1682">
          <cell r="U1682">
            <v>0</v>
          </cell>
          <cell r="V1682">
            <v>0</v>
          </cell>
        </row>
        <row r="1683">
          <cell r="U1683">
            <v>0</v>
          </cell>
          <cell r="V1683">
            <v>0</v>
          </cell>
        </row>
        <row r="1684">
          <cell r="U1684">
            <v>0</v>
          </cell>
          <cell r="V1684">
            <v>0</v>
          </cell>
        </row>
        <row r="1685">
          <cell r="U1685">
            <v>0</v>
          </cell>
          <cell r="V1685">
            <v>0</v>
          </cell>
        </row>
        <row r="1686">
          <cell r="U1686">
            <v>0</v>
          </cell>
          <cell r="V1686">
            <v>0</v>
          </cell>
        </row>
        <row r="1687">
          <cell r="U1687">
            <v>0</v>
          </cell>
          <cell r="V1687">
            <v>0</v>
          </cell>
        </row>
        <row r="1688">
          <cell r="U1688">
            <v>0</v>
          </cell>
          <cell r="V1688">
            <v>0</v>
          </cell>
        </row>
        <row r="1689">
          <cell r="U1689">
            <v>0</v>
          </cell>
          <cell r="V1689">
            <v>0</v>
          </cell>
        </row>
        <row r="1690">
          <cell r="U1690">
            <v>0</v>
          </cell>
          <cell r="V1690">
            <v>0</v>
          </cell>
        </row>
        <row r="1691">
          <cell r="U1691">
            <v>0</v>
          </cell>
          <cell r="V1691">
            <v>0</v>
          </cell>
        </row>
        <row r="1692">
          <cell r="U1692">
            <v>0</v>
          </cell>
          <cell r="V1692">
            <v>0</v>
          </cell>
        </row>
        <row r="1693">
          <cell r="U1693">
            <v>0</v>
          </cell>
          <cell r="V1693">
            <v>0</v>
          </cell>
        </row>
        <row r="1694">
          <cell r="U1694">
            <v>0</v>
          </cell>
          <cell r="V1694">
            <v>0</v>
          </cell>
        </row>
        <row r="1695">
          <cell r="U1695">
            <v>0</v>
          </cell>
          <cell r="V1695">
            <v>0</v>
          </cell>
        </row>
        <row r="1696">
          <cell r="U1696">
            <v>0</v>
          </cell>
          <cell r="V1696">
            <v>0</v>
          </cell>
        </row>
        <row r="1697">
          <cell r="U1697">
            <v>0</v>
          </cell>
          <cell r="V1697">
            <v>0</v>
          </cell>
        </row>
        <row r="1698">
          <cell r="U1698">
            <v>0</v>
          </cell>
          <cell r="V1698">
            <v>0</v>
          </cell>
        </row>
        <row r="1699">
          <cell r="U1699">
            <v>0</v>
          </cell>
          <cell r="V1699">
            <v>0</v>
          </cell>
        </row>
        <row r="1700">
          <cell r="U1700">
            <v>0</v>
          </cell>
          <cell r="V1700">
            <v>0</v>
          </cell>
        </row>
        <row r="1701">
          <cell r="U1701">
            <v>0</v>
          </cell>
          <cell r="V1701">
            <v>0</v>
          </cell>
        </row>
        <row r="1702">
          <cell r="U1702">
            <v>0</v>
          </cell>
          <cell r="V1702">
            <v>0</v>
          </cell>
        </row>
        <row r="1703">
          <cell r="U1703">
            <v>0</v>
          </cell>
          <cell r="V1703">
            <v>0</v>
          </cell>
        </row>
        <row r="1704">
          <cell r="U1704">
            <v>0</v>
          </cell>
          <cell r="V1704">
            <v>0</v>
          </cell>
        </row>
        <row r="1705">
          <cell r="U1705">
            <v>0</v>
          </cell>
          <cell r="V1705">
            <v>0</v>
          </cell>
        </row>
        <row r="1706">
          <cell r="U1706">
            <v>0</v>
          </cell>
          <cell r="V1706">
            <v>0</v>
          </cell>
        </row>
        <row r="1707">
          <cell r="U1707">
            <v>0</v>
          </cell>
          <cell r="V1707">
            <v>0</v>
          </cell>
        </row>
        <row r="1708">
          <cell r="U1708">
            <v>0</v>
          </cell>
          <cell r="V1708">
            <v>0</v>
          </cell>
        </row>
        <row r="1709">
          <cell r="U1709">
            <v>0</v>
          </cell>
          <cell r="V1709">
            <v>0</v>
          </cell>
        </row>
        <row r="1710">
          <cell r="U1710">
            <v>0</v>
          </cell>
          <cell r="V1710">
            <v>0</v>
          </cell>
        </row>
        <row r="1711">
          <cell r="U1711">
            <v>0</v>
          </cell>
          <cell r="V1711">
            <v>0</v>
          </cell>
        </row>
        <row r="1712">
          <cell r="U1712">
            <v>0</v>
          </cell>
          <cell r="V1712">
            <v>0</v>
          </cell>
        </row>
        <row r="1713">
          <cell r="U1713">
            <v>0</v>
          </cell>
          <cell r="V1713">
            <v>0</v>
          </cell>
        </row>
        <row r="1714">
          <cell r="U1714">
            <v>0</v>
          </cell>
          <cell r="V1714">
            <v>0</v>
          </cell>
        </row>
        <row r="1715">
          <cell r="U1715">
            <v>0</v>
          </cell>
          <cell r="V1715">
            <v>0</v>
          </cell>
        </row>
        <row r="1716">
          <cell r="U1716">
            <v>0</v>
          </cell>
          <cell r="V1716">
            <v>0</v>
          </cell>
        </row>
        <row r="1717">
          <cell r="U1717">
            <v>0</v>
          </cell>
          <cell r="V1717">
            <v>0</v>
          </cell>
        </row>
        <row r="1718">
          <cell r="U1718">
            <v>0</v>
          </cell>
          <cell r="V1718">
            <v>0</v>
          </cell>
        </row>
        <row r="1719">
          <cell r="U1719">
            <v>0</v>
          </cell>
          <cell r="V1719">
            <v>0</v>
          </cell>
        </row>
        <row r="1720">
          <cell r="U1720">
            <v>0</v>
          </cell>
          <cell r="V1720">
            <v>0</v>
          </cell>
        </row>
        <row r="1721">
          <cell r="U1721">
            <v>0</v>
          </cell>
          <cell r="V1721">
            <v>0</v>
          </cell>
        </row>
        <row r="1722">
          <cell r="U1722">
            <v>0</v>
          </cell>
          <cell r="V1722">
            <v>0</v>
          </cell>
        </row>
        <row r="1723">
          <cell r="U1723">
            <v>0</v>
          </cell>
          <cell r="V1723">
            <v>0</v>
          </cell>
        </row>
        <row r="1724">
          <cell r="U1724">
            <v>0</v>
          </cell>
          <cell r="V1724">
            <v>0</v>
          </cell>
        </row>
        <row r="1725">
          <cell r="U1725">
            <v>0</v>
          </cell>
          <cell r="V1725">
            <v>0</v>
          </cell>
        </row>
        <row r="1726">
          <cell r="U1726">
            <v>0</v>
          </cell>
          <cell r="V1726">
            <v>0</v>
          </cell>
        </row>
        <row r="1727">
          <cell r="U1727">
            <v>0</v>
          </cell>
          <cell r="V1727">
            <v>0</v>
          </cell>
        </row>
        <row r="1728">
          <cell r="U1728">
            <v>0</v>
          </cell>
          <cell r="V1728">
            <v>0</v>
          </cell>
        </row>
        <row r="1729">
          <cell r="U1729">
            <v>0</v>
          </cell>
          <cell r="V1729">
            <v>0</v>
          </cell>
        </row>
        <row r="1730">
          <cell r="U1730">
            <v>0</v>
          </cell>
          <cell r="V1730">
            <v>0</v>
          </cell>
        </row>
        <row r="1731">
          <cell r="U1731">
            <v>0</v>
          </cell>
          <cell r="V1731">
            <v>0</v>
          </cell>
        </row>
        <row r="1732">
          <cell r="U1732">
            <v>0</v>
          </cell>
          <cell r="V1732">
            <v>0</v>
          </cell>
        </row>
        <row r="1733">
          <cell r="U1733">
            <v>0</v>
          </cell>
          <cell r="V1733">
            <v>0</v>
          </cell>
        </row>
        <row r="1734">
          <cell r="U1734">
            <v>0</v>
          </cell>
          <cell r="V1734">
            <v>0</v>
          </cell>
        </row>
        <row r="1735">
          <cell r="U1735">
            <v>0</v>
          </cell>
          <cell r="V1735">
            <v>0</v>
          </cell>
        </row>
        <row r="1736">
          <cell r="U1736">
            <v>0</v>
          </cell>
          <cell r="V1736">
            <v>0</v>
          </cell>
        </row>
        <row r="1737">
          <cell r="U1737">
            <v>0</v>
          </cell>
          <cell r="V1737">
            <v>0</v>
          </cell>
        </row>
        <row r="1738">
          <cell r="U1738">
            <v>0</v>
          </cell>
          <cell r="V1738">
            <v>0</v>
          </cell>
        </row>
        <row r="1739">
          <cell r="U1739">
            <v>0</v>
          </cell>
          <cell r="V1739">
            <v>0</v>
          </cell>
        </row>
        <row r="1740">
          <cell r="U1740">
            <v>0</v>
          </cell>
          <cell r="V1740">
            <v>0</v>
          </cell>
        </row>
        <row r="1741">
          <cell r="U1741">
            <v>0</v>
          </cell>
          <cell r="V1741">
            <v>0</v>
          </cell>
        </row>
        <row r="1742">
          <cell r="U1742">
            <v>0</v>
          </cell>
          <cell r="V1742">
            <v>0</v>
          </cell>
        </row>
        <row r="1743">
          <cell r="U1743">
            <v>0</v>
          </cell>
          <cell r="V1743">
            <v>0</v>
          </cell>
        </row>
        <row r="1744">
          <cell r="U1744">
            <v>0</v>
          </cell>
          <cell r="V1744">
            <v>0</v>
          </cell>
        </row>
        <row r="1745">
          <cell r="U1745">
            <v>0</v>
          </cell>
          <cell r="V1745">
            <v>0</v>
          </cell>
        </row>
        <row r="1746">
          <cell r="U1746">
            <v>0</v>
          </cell>
          <cell r="V1746">
            <v>0</v>
          </cell>
        </row>
        <row r="1747">
          <cell r="U1747">
            <v>0</v>
          </cell>
          <cell r="V1747">
            <v>0</v>
          </cell>
        </row>
        <row r="1748">
          <cell r="U1748">
            <v>0</v>
          </cell>
          <cell r="V1748">
            <v>0</v>
          </cell>
        </row>
        <row r="1749">
          <cell r="U1749">
            <v>0</v>
          </cell>
          <cell r="V1749">
            <v>0</v>
          </cell>
        </row>
        <row r="1750">
          <cell r="U1750">
            <v>0</v>
          </cell>
          <cell r="V1750">
            <v>0</v>
          </cell>
        </row>
        <row r="1751">
          <cell r="U1751">
            <v>0</v>
          </cell>
          <cell r="V1751">
            <v>0</v>
          </cell>
        </row>
        <row r="1752">
          <cell r="U1752">
            <v>0</v>
          </cell>
          <cell r="V1752">
            <v>0</v>
          </cell>
        </row>
        <row r="1753">
          <cell r="U1753">
            <v>0</v>
          </cell>
          <cell r="V1753">
            <v>0</v>
          </cell>
        </row>
        <row r="1754">
          <cell r="U1754">
            <v>0</v>
          </cell>
          <cell r="V1754">
            <v>0</v>
          </cell>
        </row>
        <row r="1755">
          <cell r="U1755">
            <v>0</v>
          </cell>
          <cell r="V1755">
            <v>0</v>
          </cell>
        </row>
        <row r="1756">
          <cell r="U1756">
            <v>0</v>
          </cell>
          <cell r="V1756">
            <v>0</v>
          </cell>
        </row>
        <row r="1757">
          <cell r="U1757">
            <v>0</v>
          </cell>
          <cell r="V1757">
            <v>0</v>
          </cell>
        </row>
        <row r="1758">
          <cell r="U1758">
            <v>0</v>
          </cell>
          <cell r="V1758">
            <v>0</v>
          </cell>
        </row>
        <row r="1759">
          <cell r="U1759">
            <v>0</v>
          </cell>
          <cell r="V1759">
            <v>0</v>
          </cell>
        </row>
        <row r="1760">
          <cell r="U1760">
            <v>0</v>
          </cell>
          <cell r="V1760">
            <v>0</v>
          </cell>
        </row>
        <row r="1761">
          <cell r="U1761">
            <v>0</v>
          </cell>
          <cell r="V1761">
            <v>0</v>
          </cell>
        </row>
        <row r="1762">
          <cell r="U1762">
            <v>0</v>
          </cell>
          <cell r="V1762">
            <v>0</v>
          </cell>
        </row>
        <row r="1763">
          <cell r="U1763">
            <v>0</v>
          </cell>
          <cell r="V1763">
            <v>0</v>
          </cell>
        </row>
        <row r="1764">
          <cell r="U1764">
            <v>0</v>
          </cell>
          <cell r="V1764">
            <v>0</v>
          </cell>
        </row>
        <row r="1765">
          <cell r="U1765">
            <v>0</v>
          </cell>
          <cell r="V1765">
            <v>0</v>
          </cell>
        </row>
        <row r="1766">
          <cell r="U1766">
            <v>0</v>
          </cell>
          <cell r="V1766">
            <v>0</v>
          </cell>
        </row>
        <row r="1767">
          <cell r="U1767">
            <v>0</v>
          </cell>
          <cell r="V1767">
            <v>0</v>
          </cell>
        </row>
        <row r="1768">
          <cell r="U1768">
            <v>0</v>
          </cell>
          <cell r="V1768">
            <v>0</v>
          </cell>
        </row>
        <row r="1769">
          <cell r="U1769">
            <v>0</v>
          </cell>
          <cell r="V1769">
            <v>0</v>
          </cell>
        </row>
        <row r="1770">
          <cell r="U1770">
            <v>0</v>
          </cell>
          <cell r="V1770">
            <v>0</v>
          </cell>
        </row>
        <row r="1771">
          <cell r="U1771">
            <v>0</v>
          </cell>
          <cell r="V1771">
            <v>0</v>
          </cell>
        </row>
        <row r="1772">
          <cell r="U1772">
            <v>0</v>
          </cell>
          <cell r="V1772">
            <v>0</v>
          </cell>
        </row>
        <row r="1773">
          <cell r="U1773">
            <v>0</v>
          </cell>
          <cell r="V1773">
            <v>0</v>
          </cell>
        </row>
        <row r="1774">
          <cell r="U1774">
            <v>0</v>
          </cell>
          <cell r="V1774">
            <v>0</v>
          </cell>
        </row>
        <row r="1775">
          <cell r="U1775">
            <v>0</v>
          </cell>
          <cell r="V1775">
            <v>0</v>
          </cell>
        </row>
        <row r="1776">
          <cell r="U1776">
            <v>0</v>
          </cell>
          <cell r="V1776">
            <v>0</v>
          </cell>
        </row>
        <row r="1777">
          <cell r="U1777">
            <v>0</v>
          </cell>
          <cell r="V1777">
            <v>0</v>
          </cell>
        </row>
        <row r="1778">
          <cell r="U1778">
            <v>0</v>
          </cell>
          <cell r="V1778">
            <v>0</v>
          </cell>
        </row>
        <row r="1779">
          <cell r="U1779">
            <v>0</v>
          </cell>
          <cell r="V1779">
            <v>0</v>
          </cell>
        </row>
        <row r="1780">
          <cell r="U1780">
            <v>0</v>
          </cell>
          <cell r="V1780">
            <v>0</v>
          </cell>
        </row>
        <row r="1781">
          <cell r="U1781">
            <v>0</v>
          </cell>
          <cell r="V1781">
            <v>0</v>
          </cell>
        </row>
        <row r="1782">
          <cell r="U1782">
            <v>0</v>
          </cell>
          <cell r="V1782">
            <v>0</v>
          </cell>
        </row>
        <row r="1783">
          <cell r="U1783">
            <v>0</v>
          </cell>
          <cell r="V1783">
            <v>0</v>
          </cell>
        </row>
        <row r="1784">
          <cell r="U1784">
            <v>0</v>
          </cell>
          <cell r="V1784">
            <v>0</v>
          </cell>
        </row>
        <row r="1785">
          <cell r="U1785">
            <v>0</v>
          </cell>
          <cell r="V1785">
            <v>0</v>
          </cell>
        </row>
        <row r="1786">
          <cell r="U1786">
            <v>0</v>
          </cell>
          <cell r="V1786">
            <v>0</v>
          </cell>
        </row>
        <row r="1787">
          <cell r="U1787">
            <v>0</v>
          </cell>
          <cell r="V1787">
            <v>0</v>
          </cell>
        </row>
        <row r="1788">
          <cell r="U1788">
            <v>0</v>
          </cell>
          <cell r="V1788">
            <v>0</v>
          </cell>
        </row>
        <row r="1789">
          <cell r="U1789">
            <v>0</v>
          </cell>
          <cell r="V1789">
            <v>0</v>
          </cell>
        </row>
        <row r="1790">
          <cell r="U1790">
            <v>0</v>
          </cell>
          <cell r="V1790">
            <v>0</v>
          </cell>
        </row>
        <row r="1791">
          <cell r="U1791">
            <v>0</v>
          </cell>
          <cell r="V1791">
            <v>0</v>
          </cell>
        </row>
        <row r="1792">
          <cell r="U1792">
            <v>0</v>
          </cell>
          <cell r="V1792">
            <v>0</v>
          </cell>
        </row>
        <row r="1793">
          <cell r="U1793">
            <v>0</v>
          </cell>
          <cell r="V1793">
            <v>0</v>
          </cell>
        </row>
        <row r="1794">
          <cell r="U1794">
            <v>0</v>
          </cell>
          <cell r="V1794">
            <v>0</v>
          </cell>
        </row>
        <row r="1795">
          <cell r="U1795">
            <v>0</v>
          </cell>
          <cell r="V1795">
            <v>0</v>
          </cell>
        </row>
        <row r="1796">
          <cell r="U1796">
            <v>0</v>
          </cell>
          <cell r="V1796">
            <v>0</v>
          </cell>
        </row>
        <row r="1797">
          <cell r="U1797">
            <v>0</v>
          </cell>
          <cell r="V1797">
            <v>0</v>
          </cell>
        </row>
        <row r="1798">
          <cell r="U1798">
            <v>0</v>
          </cell>
          <cell r="V1798">
            <v>0</v>
          </cell>
        </row>
        <row r="1799">
          <cell r="U1799">
            <v>0</v>
          </cell>
          <cell r="V1799">
            <v>0</v>
          </cell>
        </row>
        <row r="1800">
          <cell r="U1800">
            <v>0</v>
          </cell>
          <cell r="V1800">
            <v>0</v>
          </cell>
        </row>
        <row r="1801">
          <cell r="U1801">
            <v>0</v>
          </cell>
          <cell r="V1801">
            <v>0</v>
          </cell>
        </row>
        <row r="1802">
          <cell r="U1802">
            <v>0</v>
          </cell>
          <cell r="V1802">
            <v>0</v>
          </cell>
        </row>
        <row r="1803">
          <cell r="U1803">
            <v>0</v>
          </cell>
          <cell r="V1803">
            <v>0</v>
          </cell>
        </row>
        <row r="1804">
          <cell r="U1804">
            <v>0</v>
          </cell>
          <cell r="V1804">
            <v>0</v>
          </cell>
        </row>
        <row r="1805">
          <cell r="U1805">
            <v>0</v>
          </cell>
          <cell r="V1805">
            <v>0</v>
          </cell>
        </row>
        <row r="1806">
          <cell r="U1806">
            <v>0</v>
          </cell>
          <cell r="V1806">
            <v>0</v>
          </cell>
        </row>
        <row r="1807">
          <cell r="U1807">
            <v>0</v>
          </cell>
          <cell r="V1807">
            <v>0</v>
          </cell>
        </row>
        <row r="1808">
          <cell r="U1808">
            <v>0</v>
          </cell>
          <cell r="V1808">
            <v>0</v>
          </cell>
        </row>
        <row r="1809">
          <cell r="U1809">
            <v>0</v>
          </cell>
          <cell r="V1809">
            <v>0</v>
          </cell>
        </row>
        <row r="1810">
          <cell r="U1810">
            <v>0</v>
          </cell>
          <cell r="V1810">
            <v>0</v>
          </cell>
        </row>
        <row r="1811">
          <cell r="U1811">
            <v>0</v>
          </cell>
          <cell r="V1811">
            <v>0</v>
          </cell>
        </row>
        <row r="1812">
          <cell r="U1812">
            <v>0</v>
          </cell>
          <cell r="V1812">
            <v>0</v>
          </cell>
        </row>
        <row r="1813">
          <cell r="U1813">
            <v>0</v>
          </cell>
          <cell r="V1813">
            <v>0</v>
          </cell>
        </row>
        <row r="1814">
          <cell r="U1814">
            <v>0</v>
          </cell>
          <cell r="V1814">
            <v>0</v>
          </cell>
        </row>
        <row r="1815">
          <cell r="U1815">
            <v>0</v>
          </cell>
          <cell r="V1815">
            <v>0</v>
          </cell>
        </row>
        <row r="1816">
          <cell r="U1816">
            <v>0</v>
          </cell>
          <cell r="V1816">
            <v>0</v>
          </cell>
        </row>
        <row r="1817">
          <cell r="U1817">
            <v>0</v>
          </cell>
          <cell r="V1817">
            <v>0</v>
          </cell>
        </row>
        <row r="1818">
          <cell r="U1818">
            <v>0</v>
          </cell>
          <cell r="V1818">
            <v>0</v>
          </cell>
        </row>
        <row r="1819">
          <cell r="U1819">
            <v>0</v>
          </cell>
          <cell r="V1819">
            <v>0</v>
          </cell>
        </row>
        <row r="1820">
          <cell r="U1820">
            <v>0</v>
          </cell>
          <cell r="V1820">
            <v>0</v>
          </cell>
        </row>
        <row r="1821">
          <cell r="U1821">
            <v>0</v>
          </cell>
          <cell r="V1821">
            <v>0</v>
          </cell>
        </row>
        <row r="1822">
          <cell r="U1822">
            <v>0</v>
          </cell>
          <cell r="V1822">
            <v>0</v>
          </cell>
        </row>
        <row r="1823">
          <cell r="U1823">
            <v>0</v>
          </cell>
          <cell r="V1823">
            <v>0</v>
          </cell>
        </row>
        <row r="1824">
          <cell r="U1824">
            <v>0</v>
          </cell>
          <cell r="V1824">
            <v>0</v>
          </cell>
        </row>
        <row r="1825">
          <cell r="U1825">
            <v>0</v>
          </cell>
          <cell r="V1825">
            <v>0</v>
          </cell>
        </row>
        <row r="1826">
          <cell r="U1826">
            <v>0</v>
          </cell>
          <cell r="V1826">
            <v>0</v>
          </cell>
        </row>
        <row r="1827">
          <cell r="U1827">
            <v>0</v>
          </cell>
          <cell r="V1827">
            <v>0</v>
          </cell>
        </row>
        <row r="1828">
          <cell r="U1828">
            <v>0</v>
          </cell>
          <cell r="V1828">
            <v>0</v>
          </cell>
        </row>
        <row r="1829">
          <cell r="U1829">
            <v>0</v>
          </cell>
          <cell r="V1829">
            <v>0</v>
          </cell>
        </row>
        <row r="1830">
          <cell r="U1830">
            <v>0</v>
          </cell>
          <cell r="V1830">
            <v>0</v>
          </cell>
        </row>
        <row r="1831">
          <cell r="U1831">
            <v>0</v>
          </cell>
          <cell r="V1831">
            <v>0</v>
          </cell>
        </row>
        <row r="1832">
          <cell r="U1832">
            <v>0</v>
          </cell>
          <cell r="V1832">
            <v>0</v>
          </cell>
        </row>
        <row r="1833">
          <cell r="U1833">
            <v>0</v>
          </cell>
          <cell r="V1833">
            <v>0</v>
          </cell>
        </row>
        <row r="1834">
          <cell r="U1834">
            <v>0</v>
          </cell>
          <cell r="V1834">
            <v>0</v>
          </cell>
        </row>
        <row r="1835">
          <cell r="U1835">
            <v>0</v>
          </cell>
          <cell r="V1835">
            <v>0</v>
          </cell>
        </row>
        <row r="1836">
          <cell r="U1836">
            <v>0</v>
          </cell>
          <cell r="V1836">
            <v>0</v>
          </cell>
        </row>
        <row r="1837">
          <cell r="U1837">
            <v>0</v>
          </cell>
          <cell r="V1837">
            <v>0</v>
          </cell>
        </row>
        <row r="1838">
          <cell r="U1838">
            <v>0</v>
          </cell>
          <cell r="V1838">
            <v>0</v>
          </cell>
        </row>
        <row r="1839">
          <cell r="U1839">
            <v>0</v>
          </cell>
          <cell r="V1839">
            <v>0</v>
          </cell>
        </row>
        <row r="1840">
          <cell r="U1840">
            <v>0</v>
          </cell>
          <cell r="V1840">
            <v>0</v>
          </cell>
        </row>
        <row r="1841">
          <cell r="U1841">
            <v>0</v>
          </cell>
          <cell r="V1841">
            <v>0</v>
          </cell>
        </row>
        <row r="1842">
          <cell r="U1842">
            <v>0</v>
          </cell>
          <cell r="V1842">
            <v>0</v>
          </cell>
        </row>
        <row r="1843">
          <cell r="U1843">
            <v>0</v>
          </cell>
          <cell r="V1843">
            <v>0</v>
          </cell>
        </row>
        <row r="1844">
          <cell r="U1844">
            <v>0</v>
          </cell>
          <cell r="V1844">
            <v>0</v>
          </cell>
        </row>
        <row r="1845">
          <cell r="U1845">
            <v>0</v>
          </cell>
          <cell r="V1845">
            <v>0</v>
          </cell>
        </row>
        <row r="1846">
          <cell r="U1846">
            <v>0</v>
          </cell>
          <cell r="V1846">
            <v>0</v>
          </cell>
        </row>
        <row r="1847">
          <cell r="U1847">
            <v>0</v>
          </cell>
          <cell r="V1847">
            <v>0</v>
          </cell>
        </row>
        <row r="1848">
          <cell r="U1848">
            <v>0</v>
          </cell>
          <cell r="V1848">
            <v>0</v>
          </cell>
        </row>
        <row r="1849">
          <cell r="U1849">
            <v>0</v>
          </cell>
          <cell r="V1849">
            <v>0</v>
          </cell>
        </row>
        <row r="1850">
          <cell r="U1850">
            <v>0</v>
          </cell>
          <cell r="V1850">
            <v>0</v>
          </cell>
        </row>
        <row r="1851">
          <cell r="U1851">
            <v>0</v>
          </cell>
          <cell r="V1851">
            <v>0</v>
          </cell>
        </row>
        <row r="1852">
          <cell r="U1852">
            <v>0</v>
          </cell>
          <cell r="V1852">
            <v>0</v>
          </cell>
        </row>
        <row r="1853">
          <cell r="U1853">
            <v>0</v>
          </cell>
          <cell r="V1853">
            <v>0</v>
          </cell>
        </row>
        <row r="1854">
          <cell r="U1854">
            <v>0</v>
          </cell>
          <cell r="V1854">
            <v>0</v>
          </cell>
        </row>
        <row r="1855">
          <cell r="U1855">
            <v>0</v>
          </cell>
          <cell r="V1855">
            <v>0</v>
          </cell>
        </row>
        <row r="1856">
          <cell r="U1856">
            <v>0</v>
          </cell>
          <cell r="V1856">
            <v>0</v>
          </cell>
        </row>
        <row r="1857">
          <cell r="U1857">
            <v>0</v>
          </cell>
          <cell r="V1857">
            <v>0</v>
          </cell>
        </row>
        <row r="1858">
          <cell r="U1858">
            <v>0</v>
          </cell>
          <cell r="V1858">
            <v>0</v>
          </cell>
        </row>
        <row r="1859">
          <cell r="U1859">
            <v>0</v>
          </cell>
          <cell r="V1859">
            <v>0</v>
          </cell>
        </row>
        <row r="1860">
          <cell r="U1860">
            <v>0</v>
          </cell>
          <cell r="V1860">
            <v>0</v>
          </cell>
        </row>
        <row r="1861">
          <cell r="U1861">
            <v>0</v>
          </cell>
          <cell r="V1861">
            <v>0</v>
          </cell>
        </row>
        <row r="1862">
          <cell r="U1862">
            <v>0</v>
          </cell>
          <cell r="V1862">
            <v>0</v>
          </cell>
        </row>
        <row r="1863">
          <cell r="U1863">
            <v>0</v>
          </cell>
          <cell r="V1863">
            <v>0</v>
          </cell>
        </row>
        <row r="1864">
          <cell r="U1864">
            <v>0</v>
          </cell>
          <cell r="V1864">
            <v>0</v>
          </cell>
        </row>
        <row r="1865">
          <cell r="U1865">
            <v>0</v>
          </cell>
          <cell r="V1865">
            <v>0</v>
          </cell>
        </row>
        <row r="1866">
          <cell r="U1866">
            <v>0</v>
          </cell>
          <cell r="V1866">
            <v>0</v>
          </cell>
        </row>
        <row r="1867">
          <cell r="U1867">
            <v>0</v>
          </cell>
          <cell r="V1867">
            <v>0</v>
          </cell>
        </row>
        <row r="1868">
          <cell r="U1868">
            <v>0</v>
          </cell>
          <cell r="V1868">
            <v>0</v>
          </cell>
        </row>
        <row r="1869">
          <cell r="U1869">
            <v>0</v>
          </cell>
          <cell r="V1869">
            <v>0</v>
          </cell>
        </row>
        <row r="1870">
          <cell r="U1870">
            <v>0</v>
          </cell>
          <cell r="V1870">
            <v>0</v>
          </cell>
        </row>
        <row r="1871">
          <cell r="U1871">
            <v>0</v>
          </cell>
          <cell r="V1871">
            <v>0</v>
          </cell>
        </row>
        <row r="1872">
          <cell r="U1872">
            <v>0</v>
          </cell>
          <cell r="V1872">
            <v>0</v>
          </cell>
        </row>
        <row r="1873">
          <cell r="U1873">
            <v>0</v>
          </cell>
          <cell r="V1873">
            <v>0</v>
          </cell>
        </row>
        <row r="1874">
          <cell r="U1874">
            <v>0</v>
          </cell>
          <cell r="V1874">
            <v>0</v>
          </cell>
        </row>
        <row r="1875">
          <cell r="U1875">
            <v>0</v>
          </cell>
          <cell r="V1875">
            <v>0</v>
          </cell>
        </row>
        <row r="1876">
          <cell r="U1876">
            <v>0</v>
          </cell>
          <cell r="V1876">
            <v>0</v>
          </cell>
        </row>
        <row r="1877">
          <cell r="U1877">
            <v>0</v>
          </cell>
          <cell r="V1877">
            <v>0</v>
          </cell>
        </row>
        <row r="1878">
          <cell r="U1878">
            <v>0</v>
          </cell>
          <cell r="V1878">
            <v>0</v>
          </cell>
        </row>
        <row r="1879">
          <cell r="U1879">
            <v>0</v>
          </cell>
          <cell r="V1879">
            <v>0</v>
          </cell>
        </row>
        <row r="1880">
          <cell r="U1880">
            <v>0</v>
          </cell>
          <cell r="V1880">
            <v>0</v>
          </cell>
        </row>
        <row r="1881">
          <cell r="U1881">
            <v>0</v>
          </cell>
          <cell r="V1881">
            <v>0</v>
          </cell>
        </row>
        <row r="1882">
          <cell r="U1882">
            <v>0</v>
          </cell>
          <cell r="V1882">
            <v>0</v>
          </cell>
        </row>
        <row r="1883">
          <cell r="U1883">
            <v>0</v>
          </cell>
          <cell r="V1883">
            <v>0</v>
          </cell>
        </row>
        <row r="1884">
          <cell r="U1884">
            <v>0</v>
          </cell>
          <cell r="V1884">
            <v>0</v>
          </cell>
        </row>
        <row r="1885">
          <cell r="U1885">
            <v>0</v>
          </cell>
          <cell r="V1885">
            <v>0</v>
          </cell>
        </row>
        <row r="1886">
          <cell r="U1886">
            <v>0</v>
          </cell>
          <cell r="V1886">
            <v>0</v>
          </cell>
        </row>
        <row r="1887">
          <cell r="U1887">
            <v>0</v>
          </cell>
          <cell r="V1887">
            <v>0</v>
          </cell>
        </row>
        <row r="1888">
          <cell r="U1888">
            <v>0</v>
          </cell>
          <cell r="V1888">
            <v>0</v>
          </cell>
        </row>
        <row r="1889">
          <cell r="U1889">
            <v>0</v>
          </cell>
          <cell r="V1889">
            <v>0</v>
          </cell>
        </row>
        <row r="1890">
          <cell r="U1890">
            <v>0</v>
          </cell>
          <cell r="V1890">
            <v>0</v>
          </cell>
        </row>
        <row r="1891">
          <cell r="U1891">
            <v>0</v>
          </cell>
          <cell r="V1891">
            <v>0</v>
          </cell>
        </row>
        <row r="1892">
          <cell r="U1892">
            <v>0</v>
          </cell>
          <cell r="V1892">
            <v>0</v>
          </cell>
        </row>
        <row r="1893">
          <cell r="U1893">
            <v>0</v>
          </cell>
          <cell r="V1893">
            <v>0</v>
          </cell>
        </row>
        <row r="1894">
          <cell r="U1894">
            <v>0</v>
          </cell>
          <cell r="V1894">
            <v>0</v>
          </cell>
        </row>
        <row r="1895">
          <cell r="U1895">
            <v>0</v>
          </cell>
          <cell r="V1895">
            <v>0</v>
          </cell>
        </row>
        <row r="1896">
          <cell r="U1896">
            <v>0</v>
          </cell>
          <cell r="V1896">
            <v>0</v>
          </cell>
        </row>
        <row r="1897">
          <cell r="U1897">
            <v>0</v>
          </cell>
          <cell r="V1897">
            <v>0</v>
          </cell>
        </row>
        <row r="1898">
          <cell r="U1898">
            <v>0</v>
          </cell>
          <cell r="V1898">
            <v>0</v>
          </cell>
        </row>
        <row r="1899">
          <cell r="U1899">
            <v>0</v>
          </cell>
          <cell r="V1899">
            <v>0</v>
          </cell>
        </row>
        <row r="1900">
          <cell r="U1900">
            <v>0</v>
          </cell>
          <cell r="V1900">
            <v>0</v>
          </cell>
        </row>
        <row r="1901">
          <cell r="U1901">
            <v>0</v>
          </cell>
          <cell r="V1901">
            <v>0</v>
          </cell>
        </row>
        <row r="1902">
          <cell r="U1902">
            <v>0</v>
          </cell>
          <cell r="V1902">
            <v>0</v>
          </cell>
        </row>
        <row r="1903">
          <cell r="U1903">
            <v>0</v>
          </cell>
          <cell r="V1903">
            <v>0</v>
          </cell>
        </row>
        <row r="1904">
          <cell r="U1904">
            <v>0</v>
          </cell>
          <cell r="V1904">
            <v>0</v>
          </cell>
        </row>
        <row r="1905">
          <cell r="U1905">
            <v>0</v>
          </cell>
          <cell r="V1905">
            <v>0</v>
          </cell>
        </row>
        <row r="1906">
          <cell r="U1906">
            <v>0</v>
          </cell>
          <cell r="V1906">
            <v>0</v>
          </cell>
        </row>
        <row r="1907">
          <cell r="U1907">
            <v>0</v>
          </cell>
          <cell r="V1907">
            <v>0</v>
          </cell>
        </row>
        <row r="1908">
          <cell r="U1908">
            <v>0</v>
          </cell>
          <cell r="V1908">
            <v>0</v>
          </cell>
        </row>
        <row r="1909">
          <cell r="U1909">
            <v>0</v>
          </cell>
          <cell r="V1909">
            <v>0</v>
          </cell>
        </row>
        <row r="1910">
          <cell r="U1910">
            <v>0</v>
          </cell>
          <cell r="V1910">
            <v>0</v>
          </cell>
        </row>
        <row r="1911">
          <cell r="U1911">
            <v>0</v>
          </cell>
          <cell r="V1911">
            <v>0</v>
          </cell>
        </row>
        <row r="1912">
          <cell r="U1912">
            <v>0</v>
          </cell>
          <cell r="V1912">
            <v>0</v>
          </cell>
        </row>
        <row r="1913">
          <cell r="U1913">
            <v>0</v>
          </cell>
          <cell r="V1913">
            <v>0</v>
          </cell>
        </row>
        <row r="1914">
          <cell r="U1914">
            <v>0</v>
          </cell>
          <cell r="V1914">
            <v>0</v>
          </cell>
        </row>
        <row r="1915">
          <cell r="U1915">
            <v>0</v>
          </cell>
          <cell r="V1915">
            <v>0</v>
          </cell>
        </row>
        <row r="1916">
          <cell r="U1916">
            <v>0</v>
          </cell>
          <cell r="V1916">
            <v>0</v>
          </cell>
        </row>
        <row r="1917">
          <cell r="U1917">
            <v>0</v>
          </cell>
          <cell r="V1917">
            <v>0</v>
          </cell>
        </row>
        <row r="1918">
          <cell r="U1918">
            <v>0</v>
          </cell>
          <cell r="V1918">
            <v>0</v>
          </cell>
        </row>
        <row r="1919">
          <cell r="U1919">
            <v>0</v>
          </cell>
          <cell r="V1919">
            <v>0</v>
          </cell>
        </row>
        <row r="1920">
          <cell r="U1920">
            <v>0</v>
          </cell>
          <cell r="V1920">
            <v>0</v>
          </cell>
        </row>
        <row r="1921">
          <cell r="U1921">
            <v>0</v>
          </cell>
          <cell r="V1921">
            <v>0</v>
          </cell>
        </row>
        <row r="1922">
          <cell r="U1922">
            <v>0</v>
          </cell>
          <cell r="V1922">
            <v>0</v>
          </cell>
        </row>
        <row r="1923">
          <cell r="U1923">
            <v>0</v>
          </cell>
          <cell r="V1923">
            <v>0</v>
          </cell>
        </row>
        <row r="1924">
          <cell r="U1924">
            <v>0</v>
          </cell>
          <cell r="V1924">
            <v>0</v>
          </cell>
        </row>
        <row r="1925">
          <cell r="U1925">
            <v>0</v>
          </cell>
          <cell r="V1925">
            <v>0</v>
          </cell>
        </row>
        <row r="1926">
          <cell r="U1926">
            <v>0</v>
          </cell>
          <cell r="V1926">
            <v>0</v>
          </cell>
        </row>
        <row r="1927">
          <cell r="U1927">
            <v>0</v>
          </cell>
          <cell r="V1927">
            <v>0</v>
          </cell>
        </row>
        <row r="1928">
          <cell r="U1928">
            <v>0</v>
          </cell>
          <cell r="V1928">
            <v>0</v>
          </cell>
        </row>
        <row r="1929">
          <cell r="U1929">
            <v>0</v>
          </cell>
          <cell r="V1929">
            <v>0</v>
          </cell>
        </row>
        <row r="1930">
          <cell r="U1930">
            <v>0</v>
          </cell>
          <cell r="V1930">
            <v>0</v>
          </cell>
        </row>
        <row r="1931">
          <cell r="U1931">
            <v>0</v>
          </cell>
          <cell r="V1931">
            <v>0</v>
          </cell>
        </row>
        <row r="1932">
          <cell r="U1932">
            <v>0</v>
          </cell>
          <cell r="V1932">
            <v>0</v>
          </cell>
        </row>
        <row r="1933">
          <cell r="U1933">
            <v>0</v>
          </cell>
          <cell r="V1933">
            <v>0</v>
          </cell>
        </row>
        <row r="1934">
          <cell r="U1934">
            <v>0</v>
          </cell>
          <cell r="V1934">
            <v>0</v>
          </cell>
        </row>
        <row r="1935">
          <cell r="U1935">
            <v>0</v>
          </cell>
          <cell r="V1935">
            <v>0</v>
          </cell>
        </row>
        <row r="1936">
          <cell r="U1936">
            <v>0</v>
          </cell>
          <cell r="V1936">
            <v>0</v>
          </cell>
        </row>
        <row r="1937">
          <cell r="U1937">
            <v>0</v>
          </cell>
          <cell r="V1937">
            <v>0</v>
          </cell>
        </row>
        <row r="1938">
          <cell r="U1938">
            <v>0</v>
          </cell>
          <cell r="V1938">
            <v>0</v>
          </cell>
        </row>
        <row r="1939">
          <cell r="U1939">
            <v>0</v>
          </cell>
          <cell r="V1939">
            <v>0</v>
          </cell>
        </row>
        <row r="1940">
          <cell r="U1940">
            <v>0</v>
          </cell>
          <cell r="V1940">
            <v>0</v>
          </cell>
        </row>
        <row r="1941">
          <cell r="U1941">
            <v>0</v>
          </cell>
          <cell r="V1941">
            <v>0</v>
          </cell>
        </row>
        <row r="1942">
          <cell r="U1942">
            <v>0</v>
          </cell>
          <cell r="V1942">
            <v>0</v>
          </cell>
        </row>
        <row r="1943">
          <cell r="U1943">
            <v>0</v>
          </cell>
          <cell r="V1943">
            <v>0</v>
          </cell>
        </row>
        <row r="1944">
          <cell r="U1944">
            <v>0</v>
          </cell>
          <cell r="V1944">
            <v>0</v>
          </cell>
        </row>
        <row r="1945">
          <cell r="U1945">
            <v>0</v>
          </cell>
          <cell r="V1945">
            <v>0</v>
          </cell>
        </row>
        <row r="1946">
          <cell r="U1946">
            <v>0</v>
          </cell>
          <cell r="V1946">
            <v>0</v>
          </cell>
        </row>
        <row r="1947">
          <cell r="U1947">
            <v>0</v>
          </cell>
          <cell r="V1947">
            <v>0</v>
          </cell>
        </row>
        <row r="1948">
          <cell r="U1948">
            <v>0</v>
          </cell>
          <cell r="V1948">
            <v>0</v>
          </cell>
        </row>
        <row r="1949">
          <cell r="U1949">
            <v>0</v>
          </cell>
          <cell r="V1949">
            <v>0</v>
          </cell>
        </row>
        <row r="1950">
          <cell r="U1950">
            <v>0</v>
          </cell>
          <cell r="V1950">
            <v>0</v>
          </cell>
        </row>
        <row r="1951">
          <cell r="U1951">
            <v>0</v>
          </cell>
          <cell r="V1951">
            <v>0</v>
          </cell>
        </row>
        <row r="1952">
          <cell r="U1952">
            <v>0</v>
          </cell>
          <cell r="V1952">
            <v>0</v>
          </cell>
        </row>
        <row r="1953">
          <cell r="U1953">
            <v>0</v>
          </cell>
          <cell r="V1953">
            <v>0</v>
          </cell>
        </row>
        <row r="1954">
          <cell r="U1954">
            <v>0</v>
          </cell>
          <cell r="V1954">
            <v>0</v>
          </cell>
        </row>
        <row r="1955">
          <cell r="U1955">
            <v>0</v>
          </cell>
          <cell r="V1955">
            <v>0</v>
          </cell>
        </row>
        <row r="1956">
          <cell r="U1956">
            <v>0</v>
          </cell>
          <cell r="V1956">
            <v>0</v>
          </cell>
        </row>
        <row r="1957">
          <cell r="U1957">
            <v>0</v>
          </cell>
          <cell r="V1957">
            <v>0</v>
          </cell>
        </row>
        <row r="1958">
          <cell r="U1958">
            <v>0</v>
          </cell>
          <cell r="V1958">
            <v>0</v>
          </cell>
        </row>
        <row r="1959">
          <cell r="U1959">
            <v>0</v>
          </cell>
          <cell r="V1959">
            <v>0</v>
          </cell>
        </row>
        <row r="1960">
          <cell r="U1960">
            <v>0</v>
          </cell>
          <cell r="V1960">
            <v>0</v>
          </cell>
        </row>
        <row r="1961">
          <cell r="U1961">
            <v>0</v>
          </cell>
          <cell r="V1961">
            <v>0</v>
          </cell>
        </row>
        <row r="1962">
          <cell r="U1962">
            <v>0</v>
          </cell>
          <cell r="V1962">
            <v>0</v>
          </cell>
        </row>
        <row r="1963">
          <cell r="U1963">
            <v>0</v>
          </cell>
          <cell r="V1963">
            <v>0</v>
          </cell>
        </row>
        <row r="1964">
          <cell r="U1964">
            <v>0</v>
          </cell>
          <cell r="V1964">
            <v>0</v>
          </cell>
        </row>
        <row r="1965">
          <cell r="U1965">
            <v>0</v>
          </cell>
          <cell r="V1965">
            <v>0</v>
          </cell>
        </row>
        <row r="1966">
          <cell r="U1966">
            <v>0</v>
          </cell>
          <cell r="V1966">
            <v>0</v>
          </cell>
        </row>
        <row r="1967">
          <cell r="U1967">
            <v>0</v>
          </cell>
          <cell r="V1967">
            <v>0</v>
          </cell>
        </row>
        <row r="1968">
          <cell r="U1968">
            <v>0</v>
          </cell>
          <cell r="V1968">
            <v>0</v>
          </cell>
        </row>
        <row r="1969">
          <cell r="U1969">
            <v>0</v>
          </cell>
          <cell r="V1969">
            <v>0</v>
          </cell>
        </row>
        <row r="1970">
          <cell r="U1970">
            <v>0</v>
          </cell>
          <cell r="V1970">
            <v>0</v>
          </cell>
        </row>
        <row r="1971">
          <cell r="U1971">
            <v>0</v>
          </cell>
          <cell r="V1971">
            <v>0</v>
          </cell>
        </row>
        <row r="1972">
          <cell r="U1972">
            <v>0</v>
          </cell>
          <cell r="V1972">
            <v>0</v>
          </cell>
        </row>
        <row r="1973">
          <cell r="U1973">
            <v>0</v>
          </cell>
          <cell r="V1973">
            <v>0</v>
          </cell>
        </row>
        <row r="1974">
          <cell r="U1974">
            <v>0</v>
          </cell>
          <cell r="V1974">
            <v>0</v>
          </cell>
        </row>
        <row r="1975">
          <cell r="U1975">
            <v>0</v>
          </cell>
          <cell r="V1975">
            <v>0</v>
          </cell>
        </row>
        <row r="1976">
          <cell r="U1976">
            <v>0</v>
          </cell>
          <cell r="V1976">
            <v>0</v>
          </cell>
        </row>
        <row r="1977">
          <cell r="U1977">
            <v>0</v>
          </cell>
          <cell r="V1977">
            <v>0</v>
          </cell>
        </row>
        <row r="1978">
          <cell r="U1978">
            <v>0</v>
          </cell>
          <cell r="V1978">
            <v>0</v>
          </cell>
        </row>
        <row r="1979">
          <cell r="U1979">
            <v>0</v>
          </cell>
          <cell r="V1979">
            <v>0</v>
          </cell>
        </row>
        <row r="1980">
          <cell r="U1980">
            <v>0</v>
          </cell>
          <cell r="V1980">
            <v>0</v>
          </cell>
        </row>
        <row r="1981">
          <cell r="U1981">
            <v>0</v>
          </cell>
          <cell r="V1981">
            <v>0</v>
          </cell>
        </row>
        <row r="1982">
          <cell r="U1982">
            <v>0</v>
          </cell>
          <cell r="V1982">
            <v>0</v>
          </cell>
        </row>
        <row r="1983">
          <cell r="U1983">
            <v>0</v>
          </cell>
          <cell r="V1983">
            <v>0</v>
          </cell>
        </row>
        <row r="1984">
          <cell r="U1984">
            <v>0</v>
          </cell>
          <cell r="V1984">
            <v>0</v>
          </cell>
        </row>
        <row r="1985">
          <cell r="U1985">
            <v>0</v>
          </cell>
          <cell r="V1985">
            <v>0</v>
          </cell>
        </row>
        <row r="1986">
          <cell r="U1986">
            <v>0</v>
          </cell>
          <cell r="V1986">
            <v>0</v>
          </cell>
        </row>
        <row r="1987">
          <cell r="U1987">
            <v>0</v>
          </cell>
          <cell r="V1987">
            <v>0</v>
          </cell>
        </row>
        <row r="1988">
          <cell r="U1988">
            <v>0</v>
          </cell>
          <cell r="V1988">
            <v>0</v>
          </cell>
        </row>
        <row r="1989">
          <cell r="U1989">
            <v>0</v>
          </cell>
          <cell r="V1989">
            <v>0</v>
          </cell>
        </row>
        <row r="1990">
          <cell r="U1990">
            <v>0</v>
          </cell>
          <cell r="V1990">
            <v>0</v>
          </cell>
        </row>
        <row r="1991">
          <cell r="U1991">
            <v>0</v>
          </cell>
          <cell r="V1991">
            <v>0</v>
          </cell>
        </row>
        <row r="1992">
          <cell r="U1992">
            <v>0</v>
          </cell>
          <cell r="V1992">
            <v>0</v>
          </cell>
        </row>
        <row r="1993">
          <cell r="U1993">
            <v>0</v>
          </cell>
          <cell r="V1993">
            <v>0</v>
          </cell>
        </row>
        <row r="1994">
          <cell r="U1994">
            <v>0</v>
          </cell>
          <cell r="V1994">
            <v>0</v>
          </cell>
        </row>
        <row r="1995">
          <cell r="U1995">
            <v>0</v>
          </cell>
          <cell r="V1995">
            <v>0</v>
          </cell>
        </row>
        <row r="1996">
          <cell r="U1996">
            <v>0</v>
          </cell>
          <cell r="V1996">
            <v>0</v>
          </cell>
        </row>
        <row r="1997">
          <cell r="U1997">
            <v>0</v>
          </cell>
          <cell r="V1997">
            <v>0</v>
          </cell>
        </row>
        <row r="1998">
          <cell r="U1998">
            <v>0</v>
          </cell>
          <cell r="V1998">
            <v>0</v>
          </cell>
        </row>
        <row r="1999">
          <cell r="U1999">
            <v>0</v>
          </cell>
          <cell r="V1999">
            <v>0</v>
          </cell>
        </row>
        <row r="2000">
          <cell r="U2000">
            <v>0</v>
          </cell>
          <cell r="V2000">
            <v>0</v>
          </cell>
        </row>
        <row r="2001">
          <cell r="U2001">
            <v>0</v>
          </cell>
          <cell r="V2001">
            <v>0</v>
          </cell>
        </row>
        <row r="2002">
          <cell r="U2002">
            <v>0</v>
          </cell>
          <cell r="V2002">
            <v>0</v>
          </cell>
        </row>
        <row r="2003">
          <cell r="U2003">
            <v>0</v>
          </cell>
          <cell r="V2003">
            <v>0</v>
          </cell>
        </row>
      </sheetData>
      <sheetData sheetId="3">
        <row r="4">
          <cell r="B4" t="str">
            <v>北京联硕民（拼多多）</v>
          </cell>
          <cell r="H4" t="str">
            <v>电脑配件</v>
          </cell>
          <cell r="O4" t="str">
            <v>拼多多</v>
          </cell>
          <cell r="Q4">
            <v>202609</v>
          </cell>
          <cell r="R4">
            <v>194571.09</v>
          </cell>
          <cell r="S4">
            <v>2918.57</v>
          </cell>
        </row>
        <row r="5">
          <cell r="B5" t="str">
            <v>北京联硕民（拼多多）</v>
          </cell>
          <cell r="H5" t="str">
            <v>电脑配件</v>
          </cell>
          <cell r="O5" t="str">
            <v>拼多多</v>
          </cell>
          <cell r="Q5">
            <v>202609</v>
          </cell>
          <cell r="R5">
            <v>7730</v>
          </cell>
          <cell r="S5">
            <v>115.95</v>
          </cell>
        </row>
        <row r="6">
          <cell r="B6" t="str">
            <v>沈艳岗</v>
          </cell>
          <cell r="H6" t="str">
            <v>电脑配件</v>
          </cell>
          <cell r="O6" t="str">
            <v>线下</v>
          </cell>
          <cell r="Q6">
            <v>202609</v>
          </cell>
          <cell r="R6">
            <v>14000</v>
          </cell>
          <cell r="S6">
            <v>210</v>
          </cell>
        </row>
        <row r="7">
          <cell r="B7" t="str">
            <v>北京联硕民（拼多多）</v>
          </cell>
          <cell r="H7" t="str">
            <v>电脑配件</v>
          </cell>
          <cell r="O7" t="str">
            <v>拼多多</v>
          </cell>
          <cell r="Q7">
            <v>202609</v>
          </cell>
          <cell r="R7">
            <v>153048.85</v>
          </cell>
          <cell r="S7">
            <v>2295.73</v>
          </cell>
        </row>
        <row r="8">
          <cell r="B8" t="str">
            <v>铝镁3-2-1  党新华</v>
          </cell>
          <cell r="H8" t="str">
            <v>小新Pro16 2026 Ultra7-356H/32GB/1TB</v>
          </cell>
          <cell r="O8" t="str">
            <v>线下</v>
          </cell>
          <cell r="Q8">
            <v>202609</v>
          </cell>
          <cell r="R8">
            <v>1</v>
          </cell>
          <cell r="S8">
            <v>8210</v>
          </cell>
        </row>
        <row r="9">
          <cell r="B9" t="str">
            <v>白佳豪</v>
          </cell>
          <cell r="H9" t="str">
            <v>联想小新16c I5-13420H 16+512灰</v>
          </cell>
          <cell r="O9" t="str">
            <v>线下</v>
          </cell>
          <cell r="Q9">
            <v>202609</v>
          </cell>
          <cell r="R9">
            <v>186</v>
          </cell>
          <cell r="S9">
            <v>944880</v>
          </cell>
        </row>
        <row r="10">
          <cell r="B10" t="str">
            <v>北京联硕民（拼多多）</v>
          </cell>
          <cell r="H10" t="str">
            <v>电脑配件</v>
          </cell>
          <cell r="O10" t="str">
            <v>拼多多</v>
          </cell>
          <cell r="Q10">
            <v>202609</v>
          </cell>
          <cell r="R10">
            <v>100165</v>
          </cell>
          <cell r="S10">
            <v>1502.48</v>
          </cell>
        </row>
        <row r="11">
          <cell r="B11" t="str">
            <v>硅谷广场五楼 c5-68 王毅 18037150215</v>
          </cell>
          <cell r="H11" t="str">
            <v>小新14C R7-8745Hs-16G-512G-灰色</v>
          </cell>
          <cell r="O11" t="str">
            <v>线下</v>
          </cell>
          <cell r="Q11">
            <v>202609</v>
          </cell>
          <cell r="R11">
            <v>5</v>
          </cell>
          <cell r="S11">
            <v>23250</v>
          </cell>
        </row>
        <row r="12">
          <cell r="B12" t="str">
            <v>韩宜僮</v>
          </cell>
          <cell r="H12" t="str">
            <v>联想Y900 11 12+512黑色WIFI</v>
          </cell>
          <cell r="O12" t="str">
            <v>线下</v>
          </cell>
          <cell r="Q12">
            <v>202609</v>
          </cell>
          <cell r="R12">
            <v>1</v>
          </cell>
          <cell r="S12">
            <v>2690</v>
          </cell>
        </row>
        <row r="13">
          <cell r="B13" t="str">
            <v>刘林航</v>
          </cell>
          <cell r="H13" t="str">
            <v>电脑配件</v>
          </cell>
          <cell r="O13" t="str">
            <v>线下</v>
          </cell>
          <cell r="Q13">
            <v>202609</v>
          </cell>
          <cell r="R13">
            <v>52497</v>
          </cell>
          <cell r="S13">
            <v>787.46</v>
          </cell>
        </row>
        <row r="14">
          <cell r="B14" t="str">
            <v>北京联硕民（拼多多）</v>
          </cell>
          <cell r="H14" t="str">
            <v>电脑配件</v>
          </cell>
          <cell r="O14" t="str">
            <v>拼多多</v>
          </cell>
          <cell r="Q14">
            <v>202609</v>
          </cell>
          <cell r="R14">
            <v>139885</v>
          </cell>
          <cell r="S14">
            <v>2098.28</v>
          </cell>
        </row>
        <row r="15">
          <cell r="B15" t="str">
            <v>郑州誉忆商贸商行（个人独资）</v>
          </cell>
          <cell r="H15" t="str">
            <v>电脑配件</v>
          </cell>
          <cell r="O15" t="str">
            <v>线下</v>
          </cell>
          <cell r="Q15">
            <v>202609</v>
          </cell>
          <cell r="R15">
            <v>72445.01</v>
          </cell>
          <cell r="S15">
            <v>1086.68</v>
          </cell>
        </row>
        <row r="16">
          <cell r="B16" t="str">
            <v>白佳豪</v>
          </cell>
          <cell r="H16" t="str">
            <v>联想Y7000P U7-255H-16G-1T-RTX5060黑色（一手）</v>
          </cell>
          <cell r="O16" t="str">
            <v>线下</v>
          </cell>
          <cell r="Q16">
            <v>202609</v>
          </cell>
          <cell r="R16">
            <v>25</v>
          </cell>
          <cell r="S16">
            <v>327500</v>
          </cell>
        </row>
        <row r="17">
          <cell r="B17" t="str">
            <v>白佳豪</v>
          </cell>
          <cell r="H17" t="str">
            <v>联想Y7000P U7-255H-16G-1T-RTX5060黑色（一手）</v>
          </cell>
          <cell r="O17" t="str">
            <v>线下</v>
          </cell>
          <cell r="Q17">
            <v>202609</v>
          </cell>
          <cell r="R17">
            <v>28</v>
          </cell>
          <cell r="S17">
            <v>369600</v>
          </cell>
        </row>
        <row r="18">
          <cell r="B18" t="str">
            <v>白佳豪</v>
          </cell>
          <cell r="H18" t="str">
            <v>联想小新16 R7-255 16G 512  120Hz</v>
          </cell>
          <cell r="O18" t="str">
            <v>线下</v>
          </cell>
          <cell r="Q18">
            <v>202609</v>
          </cell>
          <cell r="R18">
            <v>3</v>
          </cell>
          <cell r="S18">
            <v>16350</v>
          </cell>
        </row>
        <row r="19">
          <cell r="B19" t="str">
            <v>2d23雯雯</v>
          </cell>
          <cell r="H19" t="str">
            <v>联想手写笔Pro（第二代）AP602U</v>
          </cell>
          <cell r="O19" t="str">
            <v>线下</v>
          </cell>
          <cell r="Q19">
            <v>202609</v>
          </cell>
          <cell r="R19">
            <v>104</v>
          </cell>
          <cell r="S19">
            <v>31720</v>
          </cell>
        </row>
        <row r="20">
          <cell r="B20" t="str">
            <v>2d23雯雯</v>
          </cell>
          <cell r="H20" t="str">
            <v>联想平板Y900 11 12+256紫色WIFI</v>
          </cell>
          <cell r="O20" t="str">
            <v>线下</v>
          </cell>
          <cell r="Q20">
            <v>202609</v>
          </cell>
          <cell r="R20">
            <v>20</v>
          </cell>
          <cell r="S20">
            <v>46600</v>
          </cell>
        </row>
        <row r="21">
          <cell r="B21" t="str">
            <v>硅谷广场五楼 c5-68 王毅 18037150215</v>
          </cell>
          <cell r="H21" t="str">
            <v>小新Pro16 Ultra5 135H 24GB 1TB</v>
          </cell>
          <cell r="O21" t="str">
            <v>线下</v>
          </cell>
          <cell r="Q21">
            <v>202609</v>
          </cell>
          <cell r="R21">
            <v>2</v>
          </cell>
          <cell r="S21">
            <v>14460</v>
          </cell>
        </row>
        <row r="22">
          <cell r="B22" t="str">
            <v>通讯新天地2A12顾朝红136 1380 0915</v>
          </cell>
          <cell r="H22" t="str">
            <v>荣耀平板X10 NDL2W09 6+128星空灰</v>
          </cell>
          <cell r="O22" t="str">
            <v>线下</v>
          </cell>
          <cell r="Q22">
            <v>202609</v>
          </cell>
          <cell r="R22">
            <v>10</v>
          </cell>
          <cell r="S22">
            <v>11300</v>
          </cell>
        </row>
        <row r="23">
          <cell r="B23" t="str">
            <v>北京联硕民（拼多多）</v>
          </cell>
          <cell r="H23" t="str">
            <v>电脑配件</v>
          </cell>
          <cell r="O23" t="str">
            <v>拼多多</v>
          </cell>
          <cell r="Q23">
            <v>202609</v>
          </cell>
          <cell r="R23">
            <v>76858.5</v>
          </cell>
          <cell r="S23">
            <v>1152.88</v>
          </cell>
        </row>
        <row r="24">
          <cell r="B24" t="str">
            <v>北京联硕民（拼多多）</v>
          </cell>
          <cell r="H24" t="str">
            <v>电脑配件</v>
          </cell>
          <cell r="O24" t="str">
            <v>拼多多</v>
          </cell>
          <cell r="Q24">
            <v>202609</v>
          </cell>
          <cell r="R24">
            <v>83571</v>
          </cell>
          <cell r="S24">
            <v>1253.57</v>
          </cell>
        </row>
        <row r="25">
          <cell r="B25" t="str">
            <v>白佳豪</v>
          </cell>
          <cell r="H25" t="str">
            <v>联想Y9000P U9-275H-32G-1T-RTX5060白色（原封）</v>
          </cell>
          <cell r="O25" t="str">
            <v>线下</v>
          </cell>
          <cell r="Q25">
            <v>202609</v>
          </cell>
          <cell r="R25">
            <v>14</v>
          </cell>
          <cell r="S25">
            <v>222600</v>
          </cell>
        </row>
        <row r="26">
          <cell r="B26" t="str">
            <v>北京联硕民（拼多多）</v>
          </cell>
          <cell r="H26" t="str">
            <v>电脑配件</v>
          </cell>
          <cell r="O26" t="str">
            <v>拼多多</v>
          </cell>
          <cell r="Q26">
            <v>202609</v>
          </cell>
          <cell r="R26">
            <v>143796.42</v>
          </cell>
          <cell r="S26">
            <v>2156.95</v>
          </cell>
        </row>
        <row r="27">
          <cell r="B27" t="str">
            <v>沈艳岗</v>
          </cell>
          <cell r="H27" t="str">
            <v>电脑配件</v>
          </cell>
          <cell r="O27" t="str">
            <v>线下</v>
          </cell>
          <cell r="Q27">
            <v>202609</v>
          </cell>
          <cell r="R27">
            <v>13100</v>
          </cell>
          <cell r="S27">
            <v>196.5</v>
          </cell>
        </row>
        <row r="28">
          <cell r="B28" t="str">
            <v>郑州海俊电子（汇宝大厦1704）</v>
          </cell>
          <cell r="H28" t="str">
            <v>联想Y700 五代 8.8寸保护套</v>
          </cell>
          <cell r="O28" t="str">
            <v>线下</v>
          </cell>
          <cell r="Q28">
            <v>202609</v>
          </cell>
          <cell r="R28">
            <v>70</v>
          </cell>
          <cell r="S28">
            <v>2450</v>
          </cell>
        </row>
        <row r="29">
          <cell r="B29" t="str">
            <v>郑州海俊电子（汇宝大厦1704）</v>
          </cell>
          <cell r="H29" t="str">
            <v>联想平板Y900 13寸保护套</v>
          </cell>
          <cell r="O29" t="str">
            <v>线下</v>
          </cell>
          <cell r="Q29">
            <v>202609</v>
          </cell>
          <cell r="R29">
            <v>17</v>
          </cell>
          <cell r="S29">
            <v>680</v>
          </cell>
        </row>
        <row r="30">
          <cell r="B30" t="str">
            <v>郑州海俊电子（汇宝大厦1704）</v>
          </cell>
          <cell r="H30" t="str">
            <v>联想Y700 五代 8.8寸保护套</v>
          </cell>
          <cell r="O30" t="str">
            <v>线下</v>
          </cell>
          <cell r="Q30">
            <v>202609</v>
          </cell>
          <cell r="R30">
            <v>1</v>
          </cell>
          <cell r="S30">
            <v>20</v>
          </cell>
        </row>
        <row r="31">
          <cell r="B31" t="str">
            <v>王元中</v>
          </cell>
          <cell r="H31" t="str">
            <v>无畏16SE S3652MA320  CORE 5 320 16G 512G 银色</v>
          </cell>
          <cell r="O31" t="str">
            <v>线下</v>
          </cell>
          <cell r="Q31">
            <v>202609</v>
          </cell>
          <cell r="R31">
            <v>9</v>
          </cell>
          <cell r="S31">
            <v>42300</v>
          </cell>
        </row>
        <row r="32">
          <cell r="B32" t="str">
            <v>北京联硕民（拼多多）</v>
          </cell>
          <cell r="H32" t="str">
            <v>电脑配件</v>
          </cell>
          <cell r="O32" t="str">
            <v>拼多多</v>
          </cell>
          <cell r="Q32">
            <v>202609</v>
          </cell>
          <cell r="R32">
            <v>145166</v>
          </cell>
          <cell r="S32">
            <v>2177.49</v>
          </cell>
        </row>
        <row r="33">
          <cell r="B33" t="str">
            <v>郑州精宽商贸商行（个人独资）</v>
          </cell>
          <cell r="H33" t="str">
            <v>电脑配件</v>
          </cell>
          <cell r="O33" t="str">
            <v>线下</v>
          </cell>
          <cell r="Q33">
            <v>202609</v>
          </cell>
          <cell r="R33">
            <v>265444.18</v>
          </cell>
          <cell r="S33">
            <v>3981.66</v>
          </cell>
        </row>
        <row r="34">
          <cell r="B34" t="str">
            <v>沈艳岗</v>
          </cell>
          <cell r="H34" t="str">
            <v>电脑配件</v>
          </cell>
          <cell r="O34" t="str">
            <v>线下</v>
          </cell>
          <cell r="Q34">
            <v>202609</v>
          </cell>
          <cell r="R34">
            <v>61600</v>
          </cell>
          <cell r="S34">
            <v>924</v>
          </cell>
        </row>
        <row r="35">
          <cell r="B35" t="str">
            <v>沈艳岗</v>
          </cell>
          <cell r="H35" t="str">
            <v>电脑配件</v>
          </cell>
          <cell r="O35" t="str">
            <v>线下</v>
          </cell>
          <cell r="Q35">
            <v>202609</v>
          </cell>
          <cell r="R35">
            <v>54000</v>
          </cell>
          <cell r="S35">
            <v>810</v>
          </cell>
        </row>
        <row r="36">
          <cell r="B36" t="str">
            <v>沈艳岗</v>
          </cell>
          <cell r="H36" t="str">
            <v>电脑配件</v>
          </cell>
          <cell r="O36" t="str">
            <v>线下</v>
          </cell>
          <cell r="Q36">
            <v>202609</v>
          </cell>
          <cell r="R36">
            <v>10888</v>
          </cell>
          <cell r="S36">
            <v>163.32</v>
          </cell>
        </row>
        <row r="37">
          <cell r="B37" t="str">
            <v>郑州誉忆商贸商行（个人独资）</v>
          </cell>
          <cell r="H37" t="str">
            <v>电脑配件</v>
          </cell>
          <cell r="O37" t="str">
            <v>线下</v>
          </cell>
          <cell r="Q37">
            <v>202609</v>
          </cell>
          <cell r="R37">
            <v>98028</v>
          </cell>
          <cell r="S37">
            <v>1470.42</v>
          </cell>
        </row>
        <row r="38">
          <cell r="B38" t="str">
            <v>沈艳岗</v>
          </cell>
          <cell r="H38" t="str">
            <v>电脑配件</v>
          </cell>
          <cell r="O38" t="str">
            <v>线下</v>
          </cell>
          <cell r="Q38">
            <v>202609</v>
          </cell>
          <cell r="R38">
            <v>12198</v>
          </cell>
          <cell r="S38">
            <v>182.97</v>
          </cell>
        </row>
        <row r="39">
          <cell r="B39" t="str">
            <v>北京联硕民（拼多多）</v>
          </cell>
          <cell r="H39" t="str">
            <v>电脑配件</v>
          </cell>
          <cell r="O39" t="str">
            <v>拼多多</v>
          </cell>
          <cell r="Q39">
            <v>202609</v>
          </cell>
          <cell r="R39">
            <v>122006</v>
          </cell>
          <cell r="S39">
            <v>1830.09</v>
          </cell>
        </row>
        <row r="40">
          <cell r="B40" t="str">
            <v>郭群（山东）</v>
          </cell>
          <cell r="H40" t="str">
            <v>小新Pro16 Ultra5 135H 24GB 1TB</v>
          </cell>
          <cell r="O40" t="str">
            <v>线下</v>
          </cell>
          <cell r="Q40">
            <v>202609</v>
          </cell>
          <cell r="R40">
            <v>4</v>
          </cell>
          <cell r="S40">
            <v>29200</v>
          </cell>
        </row>
        <row r="41">
          <cell r="B41" t="str">
            <v>费德丽(北京）</v>
          </cell>
          <cell r="H41" t="str">
            <v>联想平板拯救者Y900 11+手写笔+键盘套装12+512黑色</v>
          </cell>
          <cell r="O41" t="str">
            <v>线下</v>
          </cell>
          <cell r="Q41">
            <v>202609</v>
          </cell>
          <cell r="R41">
            <v>2</v>
          </cell>
          <cell r="S41">
            <v>6960</v>
          </cell>
        </row>
        <row r="42">
          <cell r="B42" t="str">
            <v>费德丽(北京）</v>
          </cell>
          <cell r="H42" t="str">
            <v>联想平板拯救者Y900 11+手写笔+键盘套装12+512白色</v>
          </cell>
          <cell r="O42" t="str">
            <v>线下</v>
          </cell>
          <cell r="Q42">
            <v>202609</v>
          </cell>
          <cell r="R42">
            <v>1</v>
          </cell>
          <cell r="S42">
            <v>3480</v>
          </cell>
        </row>
        <row r="43">
          <cell r="B43" t="str">
            <v>A3-26锦淇通讯</v>
          </cell>
          <cell r="H43" t="str">
            <v>联想平板拯救者Y700 五代 24G+1TB碳晶黑WIFI</v>
          </cell>
          <cell r="O43" t="str">
            <v>线下</v>
          </cell>
          <cell r="Q43">
            <v>202609</v>
          </cell>
          <cell r="R43">
            <v>1</v>
          </cell>
          <cell r="S43">
            <v>5180</v>
          </cell>
        </row>
        <row r="44">
          <cell r="B44" t="str">
            <v>北京联硕民（拼多多）</v>
          </cell>
          <cell r="H44" t="str">
            <v>电脑配件</v>
          </cell>
          <cell r="O44" t="str">
            <v>拼多多</v>
          </cell>
          <cell r="Q44">
            <v>202609</v>
          </cell>
          <cell r="R44">
            <v>128580</v>
          </cell>
          <cell r="S44">
            <v>1928.7</v>
          </cell>
        </row>
        <row r="45">
          <cell r="B45" t="str">
            <v>白佳豪</v>
          </cell>
          <cell r="H45" t="str">
            <v>联想Y9000P 14900 16G 1TB 5060白色（原封）</v>
          </cell>
          <cell r="O45" t="str">
            <v>线下</v>
          </cell>
          <cell r="Q45">
            <v>202609</v>
          </cell>
          <cell r="R45">
            <v>2</v>
          </cell>
          <cell r="S45">
            <v>30800</v>
          </cell>
        </row>
        <row r="46">
          <cell r="B46" t="str">
            <v>沈艳岗</v>
          </cell>
          <cell r="H46" t="str">
            <v>电脑配件</v>
          </cell>
          <cell r="O46" t="str">
            <v>线下</v>
          </cell>
          <cell r="Q46">
            <v>202609</v>
          </cell>
          <cell r="R46">
            <v>128000</v>
          </cell>
          <cell r="S46">
            <v>1920</v>
          </cell>
        </row>
        <row r="47">
          <cell r="B47" t="str">
            <v>郑州誉忆商贸商行（个人独资）</v>
          </cell>
          <cell r="H47" t="str">
            <v>电脑配件</v>
          </cell>
          <cell r="O47" t="str">
            <v>线下</v>
          </cell>
          <cell r="Q47">
            <v>202609</v>
          </cell>
          <cell r="R47">
            <v>114101.64</v>
          </cell>
          <cell r="S47">
            <v>1711.52</v>
          </cell>
        </row>
        <row r="48">
          <cell r="B48" t="str">
            <v>负一楼a3-26</v>
          </cell>
          <cell r="H48" t="str">
            <v>联想平板Y900 11 12+256紫色WIFI</v>
          </cell>
          <cell r="O48" t="str">
            <v>线下</v>
          </cell>
          <cell r="Q48">
            <v>202609</v>
          </cell>
          <cell r="R48">
            <v>1</v>
          </cell>
          <cell r="S48">
            <v>2370</v>
          </cell>
        </row>
        <row r="49">
          <cell r="B49" t="str">
            <v>郑州精宽商贸商行（个人独资）</v>
          </cell>
          <cell r="H49" t="str">
            <v>电脑配件</v>
          </cell>
          <cell r="O49" t="str">
            <v>线下</v>
          </cell>
          <cell r="Q49">
            <v>202609</v>
          </cell>
          <cell r="R49">
            <v>117926</v>
          </cell>
          <cell r="S49">
            <v>1768.89</v>
          </cell>
        </row>
        <row r="50">
          <cell r="B50" t="str">
            <v>闲鱼散户</v>
          </cell>
          <cell r="H50" t="str">
            <v>DJI OSMO MOBILE 7P 手机云台</v>
          </cell>
          <cell r="O50" t="str">
            <v>线下</v>
          </cell>
          <cell r="Q50">
            <v>202609</v>
          </cell>
          <cell r="R50">
            <v>1</v>
          </cell>
          <cell r="S50">
            <v>308</v>
          </cell>
        </row>
        <row r="51">
          <cell r="B51" t="str">
            <v>硅谷广场二号门联想S046瑞达</v>
          </cell>
          <cell r="H51" t="str">
            <v>联想平板拯救者Y900 11+手写笔+键盘套装12+512白色</v>
          </cell>
          <cell r="O51" t="str">
            <v>线下</v>
          </cell>
          <cell r="Q51">
            <v>202609</v>
          </cell>
          <cell r="R51">
            <v>1</v>
          </cell>
          <cell r="S51">
            <v>3400</v>
          </cell>
        </row>
        <row r="52">
          <cell r="B52" t="str">
            <v>沈艳岗</v>
          </cell>
          <cell r="H52" t="str">
            <v>电脑配件</v>
          </cell>
          <cell r="O52" t="str">
            <v>线下</v>
          </cell>
          <cell r="Q52">
            <v>202609</v>
          </cell>
          <cell r="R52">
            <v>13100</v>
          </cell>
          <cell r="S52">
            <v>196.5</v>
          </cell>
        </row>
        <row r="53">
          <cell r="B53" t="str">
            <v>沈艳岗</v>
          </cell>
          <cell r="H53" t="str">
            <v>电脑配件</v>
          </cell>
          <cell r="O53" t="str">
            <v>线下</v>
          </cell>
          <cell r="Q53">
            <v>202609</v>
          </cell>
          <cell r="R53">
            <v>14500</v>
          </cell>
          <cell r="S53">
            <v>217.5</v>
          </cell>
        </row>
        <row r="54">
          <cell r="B54" t="str">
            <v>沈艳岗</v>
          </cell>
          <cell r="H54" t="str">
            <v>电脑配件</v>
          </cell>
          <cell r="O54" t="str">
            <v>线下</v>
          </cell>
          <cell r="Q54">
            <v>202609</v>
          </cell>
          <cell r="R54">
            <v>15000</v>
          </cell>
          <cell r="S54">
            <v>225</v>
          </cell>
        </row>
        <row r="55">
          <cell r="B55" t="str">
            <v>上海奕欣柯艺阳</v>
          </cell>
          <cell r="H55" t="str">
            <v>联想Y900 11 12+512黑色WIFI</v>
          </cell>
          <cell r="O55" t="str">
            <v>线下</v>
          </cell>
          <cell r="Q55">
            <v>202609</v>
          </cell>
          <cell r="R55">
            <v>1</v>
          </cell>
          <cell r="S55">
            <v>2620</v>
          </cell>
        </row>
        <row r="56">
          <cell r="B56" t="str">
            <v>上海奕欣柯艺阳</v>
          </cell>
          <cell r="H56" t="str">
            <v>联想手写笔Pro（第二代）AP602U</v>
          </cell>
          <cell r="O56" t="str">
            <v>线下</v>
          </cell>
          <cell r="Q56">
            <v>202609</v>
          </cell>
          <cell r="R56">
            <v>1</v>
          </cell>
          <cell r="S56">
            <v>270</v>
          </cell>
        </row>
        <row r="57">
          <cell r="B57" t="str">
            <v>新延</v>
          </cell>
          <cell r="H57" t="str">
            <v>联想Y900 11 12+512黑色WIFI</v>
          </cell>
          <cell r="O57" t="str">
            <v>线下</v>
          </cell>
          <cell r="Q57">
            <v>202609</v>
          </cell>
          <cell r="R57">
            <v>1</v>
          </cell>
          <cell r="S57">
            <v>2625</v>
          </cell>
        </row>
        <row r="58">
          <cell r="B58" t="str">
            <v>张磊</v>
          </cell>
          <cell r="H58" t="str">
            <v>联想Y9000P U9-275H-32G-1T-RTX5060白色（原封）</v>
          </cell>
          <cell r="O58" t="str">
            <v>线下</v>
          </cell>
          <cell r="Q58">
            <v>202609</v>
          </cell>
          <cell r="R58">
            <v>1</v>
          </cell>
          <cell r="S58">
            <v>16540</v>
          </cell>
        </row>
        <row r="59">
          <cell r="B59" t="str">
            <v>何龙</v>
          </cell>
          <cell r="H59" t="str">
            <v>华硕无双M3452UA8845 16+512银色（原封）</v>
          </cell>
          <cell r="O59" t="str">
            <v>线下</v>
          </cell>
          <cell r="Q59">
            <v>202609</v>
          </cell>
          <cell r="R59">
            <v>19</v>
          </cell>
          <cell r="S59">
            <v>91200</v>
          </cell>
        </row>
        <row r="60">
          <cell r="B60" t="str">
            <v>闲鱼散户</v>
          </cell>
          <cell r="H60" t="str">
            <v>DJI OSMO MOBILE 7P 手机云台</v>
          </cell>
          <cell r="O60" t="str">
            <v>线下</v>
          </cell>
          <cell r="Q60">
            <v>202609</v>
          </cell>
          <cell r="R60">
            <v>1</v>
          </cell>
          <cell r="S60">
            <v>318</v>
          </cell>
        </row>
        <row r="61">
          <cell r="B61" t="str">
            <v>何龙</v>
          </cell>
          <cell r="H61" t="str">
            <v>华硕无双M3452UA8845 16+512银色（原封）</v>
          </cell>
          <cell r="O61" t="str">
            <v>线下</v>
          </cell>
          <cell r="Q61">
            <v>202609</v>
          </cell>
          <cell r="R61">
            <v>15</v>
          </cell>
          <cell r="S61">
            <v>72000</v>
          </cell>
        </row>
        <row r="62">
          <cell r="B62" t="str">
            <v>闲鱼散户</v>
          </cell>
          <cell r="H62" t="str">
            <v>DJI OSMO MOBILE 7P 手机云台</v>
          </cell>
          <cell r="O62" t="str">
            <v>线下</v>
          </cell>
          <cell r="Q62">
            <v>202609</v>
          </cell>
          <cell r="R62">
            <v>2</v>
          </cell>
          <cell r="S62">
            <v>636</v>
          </cell>
        </row>
        <row r="63">
          <cell r="B63" t="str">
            <v>闲鱼散户</v>
          </cell>
          <cell r="H63" t="str">
            <v>DJI OSMO MOBILE 7P 手机云台</v>
          </cell>
          <cell r="O63" t="str">
            <v>线下</v>
          </cell>
          <cell r="Q63">
            <v>202609</v>
          </cell>
          <cell r="R63">
            <v>2</v>
          </cell>
          <cell r="S63">
            <v>636</v>
          </cell>
        </row>
        <row r="64">
          <cell r="B64" t="str">
            <v>闲鱼散户</v>
          </cell>
          <cell r="H64" t="str">
            <v>DJI OSMO MOBILE 7P 手机云台</v>
          </cell>
          <cell r="O64" t="str">
            <v>线下</v>
          </cell>
          <cell r="Q64">
            <v>202609</v>
          </cell>
          <cell r="R64">
            <v>1</v>
          </cell>
          <cell r="S64">
            <v>318</v>
          </cell>
        </row>
        <row r="65">
          <cell r="B65" t="str">
            <v>北京联硕民（拼多多）</v>
          </cell>
          <cell r="H65" t="str">
            <v>电脑配件</v>
          </cell>
          <cell r="O65" t="str">
            <v>拼多多</v>
          </cell>
          <cell r="Q65">
            <v>202609</v>
          </cell>
          <cell r="R65">
            <v>175665.82</v>
          </cell>
          <cell r="S65">
            <v>2634.99</v>
          </cell>
        </row>
        <row r="66">
          <cell r="B66" t="str">
            <v>北京联硕民（拼多多）</v>
          </cell>
          <cell r="H66" t="str">
            <v>电脑配件</v>
          </cell>
          <cell r="O66" t="str">
            <v>拼多多</v>
          </cell>
          <cell r="Q66">
            <v>202609</v>
          </cell>
          <cell r="R66">
            <v>5698</v>
          </cell>
          <cell r="S66">
            <v>85.47</v>
          </cell>
        </row>
        <row r="67">
          <cell r="B67" t="str">
            <v>北京联硕民（拼多多）</v>
          </cell>
          <cell r="H67" t="str">
            <v>电脑配件</v>
          </cell>
          <cell r="O67" t="str">
            <v>拼多多</v>
          </cell>
          <cell r="Q67">
            <v>202609</v>
          </cell>
          <cell r="R67">
            <v>10999</v>
          </cell>
          <cell r="S67">
            <v>164.99</v>
          </cell>
        </row>
        <row r="68">
          <cell r="B68" t="str">
            <v>北京联硕民（拼多多）</v>
          </cell>
          <cell r="H68" t="str">
            <v>电脑配件</v>
          </cell>
          <cell r="O68" t="str">
            <v>拼多多</v>
          </cell>
          <cell r="Q68">
            <v>202609</v>
          </cell>
          <cell r="R68">
            <v>38896</v>
          </cell>
          <cell r="S68">
            <v>583.44</v>
          </cell>
        </row>
        <row r="69">
          <cell r="B69" t="str">
            <v>白佳豪</v>
          </cell>
          <cell r="H69" t="str">
            <v>联想Y9000P 14900 16G 1TB 5060白色（原封）</v>
          </cell>
          <cell r="O69" t="str">
            <v>线下</v>
          </cell>
          <cell r="Q69">
            <v>202609</v>
          </cell>
          <cell r="R69">
            <v>1</v>
          </cell>
          <cell r="S69">
            <v>14500</v>
          </cell>
        </row>
        <row r="70">
          <cell r="B70" t="str">
            <v>白佳豪</v>
          </cell>
          <cell r="H70" t="str">
            <v>联想Y9000P 14900 16G 1TB 5070黑色（原封）</v>
          </cell>
          <cell r="O70" t="str">
            <v>线下</v>
          </cell>
          <cell r="Q70">
            <v>202609</v>
          </cell>
          <cell r="R70">
            <v>2</v>
          </cell>
          <cell r="S70">
            <v>32000</v>
          </cell>
        </row>
        <row r="71">
          <cell r="B71" t="str">
            <v>白佳豪</v>
          </cell>
          <cell r="H71" t="str">
            <v>联想Y7000P U7-255H-32G-1T-RTX5060黑色（一手）</v>
          </cell>
          <cell r="O71" t="str">
            <v>线下</v>
          </cell>
          <cell r="Q71">
            <v>202609</v>
          </cell>
          <cell r="R71">
            <v>4</v>
          </cell>
          <cell r="S71">
            <v>58400</v>
          </cell>
        </row>
        <row r="72">
          <cell r="B72" t="str">
            <v>白佳豪</v>
          </cell>
          <cell r="H72" t="str">
            <v>联想Y9000P U9-275H-32G-1T-RTX5060白色（原封）</v>
          </cell>
          <cell r="O72" t="str">
            <v>线下</v>
          </cell>
          <cell r="Q72">
            <v>202609</v>
          </cell>
          <cell r="R72">
            <v>20</v>
          </cell>
          <cell r="S72">
            <v>330000</v>
          </cell>
        </row>
        <row r="73">
          <cell r="B73" t="str">
            <v>闲鱼散户</v>
          </cell>
          <cell r="H73" t="str">
            <v>DJI OSMO MOBILE 7P 手机云台</v>
          </cell>
          <cell r="O73" t="str">
            <v>线下</v>
          </cell>
          <cell r="Q73">
            <v>202610</v>
          </cell>
          <cell r="R73">
            <v>1</v>
          </cell>
          <cell r="S73">
            <v>318</v>
          </cell>
        </row>
        <row r="74">
          <cell r="B74" t="str">
            <v>闲鱼散户</v>
          </cell>
          <cell r="H74" t="str">
            <v>DJI OSMO MOBILE 7P 手机云台</v>
          </cell>
          <cell r="O74" t="str">
            <v>线下</v>
          </cell>
          <cell r="Q74">
            <v>202610</v>
          </cell>
          <cell r="R74">
            <v>1</v>
          </cell>
          <cell r="S74">
            <v>318</v>
          </cell>
        </row>
        <row r="75">
          <cell r="B75" t="str">
            <v>闲鱼散户</v>
          </cell>
          <cell r="H75" t="str">
            <v>DJI OSMO MOBILE 7P 手机云台</v>
          </cell>
          <cell r="O75" t="str">
            <v>线下</v>
          </cell>
          <cell r="Q75">
            <v>202610</v>
          </cell>
          <cell r="R75">
            <v>4</v>
          </cell>
          <cell r="S75">
            <v>1272</v>
          </cell>
        </row>
        <row r="76">
          <cell r="B76" t="str">
            <v>闲鱼散户</v>
          </cell>
          <cell r="H76" t="str">
            <v>DJI OSMO MOBILE 7P 手机云台</v>
          </cell>
          <cell r="O76" t="str">
            <v>线下</v>
          </cell>
          <cell r="Q76">
            <v>202610</v>
          </cell>
          <cell r="R76">
            <v>5</v>
          </cell>
          <cell r="S76">
            <v>1575</v>
          </cell>
        </row>
        <row r="77">
          <cell r="B77" t="str">
            <v>山东WoHi</v>
          </cell>
          <cell r="H77" t="str">
            <v>联想Y900 11寸 12+256白色</v>
          </cell>
          <cell r="O77" t="str">
            <v>线下</v>
          </cell>
          <cell r="Q77">
            <v>202610</v>
          </cell>
          <cell r="R77">
            <v>1</v>
          </cell>
          <cell r="S77">
            <v>2400</v>
          </cell>
        </row>
        <row r="78">
          <cell r="B78" t="str">
            <v>韩宜僮</v>
          </cell>
          <cell r="H78" t="str">
            <v>联想平板拯救者Y900 11+手写笔+键盘套装12+512白色</v>
          </cell>
          <cell r="O78" t="str">
            <v>线下</v>
          </cell>
          <cell r="Q78">
            <v>202610</v>
          </cell>
          <cell r="R78">
            <v>1</v>
          </cell>
          <cell r="S78">
            <v>3320</v>
          </cell>
        </row>
        <row r="79">
          <cell r="B79" t="str">
            <v>韩宜僮</v>
          </cell>
          <cell r="H79" t="str">
            <v>联想平板Y900 13 12+256紫色WIFI</v>
          </cell>
          <cell r="O79" t="str">
            <v>线下</v>
          </cell>
          <cell r="Q79">
            <v>202610</v>
          </cell>
          <cell r="R79">
            <v>1</v>
          </cell>
          <cell r="S79">
            <v>2720</v>
          </cell>
        </row>
        <row r="80">
          <cell r="B80" t="str">
            <v>2d23雯雯</v>
          </cell>
          <cell r="H80" t="str">
            <v>联想Y900 11寸 12+256白色</v>
          </cell>
          <cell r="O80" t="str">
            <v>线下</v>
          </cell>
          <cell r="Q80">
            <v>202610</v>
          </cell>
          <cell r="R80">
            <v>9</v>
          </cell>
          <cell r="S80">
            <v>20880</v>
          </cell>
        </row>
        <row r="81">
          <cell r="B81" t="str">
            <v>2d23雯雯</v>
          </cell>
          <cell r="H81" t="str">
            <v>联想平板Y900 11 12+256紫色WIFI</v>
          </cell>
          <cell r="O81" t="str">
            <v>线下</v>
          </cell>
          <cell r="Q81">
            <v>202610</v>
          </cell>
          <cell r="R81">
            <v>15</v>
          </cell>
          <cell r="S81">
            <v>33900</v>
          </cell>
        </row>
        <row r="82">
          <cell r="B82" t="str">
            <v>成都泛海</v>
          </cell>
          <cell r="H82" t="str">
            <v>联想平板 拯救者Y900 13 极光紫16+512wifi</v>
          </cell>
          <cell r="O82" t="str">
            <v>线下</v>
          </cell>
          <cell r="Q82">
            <v>202610</v>
          </cell>
          <cell r="R82">
            <v>1</v>
          </cell>
          <cell r="S82">
            <v>3240</v>
          </cell>
        </row>
        <row r="83">
          <cell r="B83" t="str">
            <v>2d23雯雯</v>
          </cell>
          <cell r="H83" t="str">
            <v>联想平板Y900 11 12+256紫色WIFI</v>
          </cell>
          <cell r="O83" t="str">
            <v>线下</v>
          </cell>
          <cell r="Q83">
            <v>202610</v>
          </cell>
          <cell r="R83">
            <v>24</v>
          </cell>
          <cell r="S83">
            <v>55200</v>
          </cell>
        </row>
        <row r="84">
          <cell r="B84" t="str">
            <v>A3-26锦淇通讯</v>
          </cell>
          <cell r="H84" t="str">
            <v>联想平板拯救者Y700 五代 24G+1TB碳晶黑WIFI</v>
          </cell>
          <cell r="O84" t="str">
            <v>线下</v>
          </cell>
          <cell r="Q84">
            <v>202610</v>
          </cell>
          <cell r="R84">
            <v>1</v>
          </cell>
          <cell r="S84">
            <v>4950</v>
          </cell>
        </row>
        <row r="85">
          <cell r="B85" t="str">
            <v>韩宜僮</v>
          </cell>
          <cell r="H85" t="str">
            <v>联想平板拯救者Y900 11+手写笔+键盘套装12+512白色</v>
          </cell>
          <cell r="O85" t="str">
            <v>线下</v>
          </cell>
          <cell r="Q85">
            <v>202610</v>
          </cell>
          <cell r="R85">
            <v>6</v>
          </cell>
          <cell r="S85">
            <v>19920</v>
          </cell>
        </row>
        <row r="86">
          <cell r="B86" t="str">
            <v>闲鱼散户</v>
          </cell>
          <cell r="H86" t="str">
            <v>DJI OSMO MOBILE 7P 手机云台</v>
          </cell>
          <cell r="O86" t="str">
            <v>线下</v>
          </cell>
          <cell r="Q86">
            <v>202610</v>
          </cell>
          <cell r="R86">
            <v>1</v>
          </cell>
          <cell r="S86">
            <v>328</v>
          </cell>
        </row>
        <row r="87">
          <cell r="B87" t="str">
            <v>闲鱼散户</v>
          </cell>
          <cell r="H87" t="str">
            <v>DJI OSMO MOBILE 7P 手机云台</v>
          </cell>
          <cell r="O87" t="str">
            <v>线下</v>
          </cell>
          <cell r="Q87">
            <v>202610</v>
          </cell>
          <cell r="R87">
            <v>1</v>
          </cell>
          <cell r="S87">
            <v>333</v>
          </cell>
        </row>
        <row r="88">
          <cell r="B88" t="str">
            <v>联想&amp;华为批发裕晨王涛13223063127</v>
          </cell>
          <cell r="H88" t="str">
            <v>联想小新Pro 16GT U5 338H 32+1T 灰</v>
          </cell>
          <cell r="O88" t="str">
            <v>线下</v>
          </cell>
          <cell r="Q88">
            <v>202610</v>
          </cell>
          <cell r="R88">
            <v>1</v>
          </cell>
          <cell r="S88">
            <v>8950</v>
          </cell>
        </row>
        <row r="89">
          <cell r="B89" t="str">
            <v>2d23雯雯</v>
          </cell>
          <cell r="H89" t="str">
            <v>联想Y900 11 12+512黑色WIFI</v>
          </cell>
          <cell r="O89" t="str">
            <v>线下</v>
          </cell>
          <cell r="Q89">
            <v>202610</v>
          </cell>
          <cell r="R89">
            <v>10</v>
          </cell>
          <cell r="S89">
            <v>25100</v>
          </cell>
        </row>
        <row r="90">
          <cell r="B90" t="str">
            <v>2d23雯雯</v>
          </cell>
          <cell r="H90" t="str">
            <v>联想平板Y900 13 12+256紫色WIFI</v>
          </cell>
          <cell r="O90" t="str">
            <v>线下</v>
          </cell>
          <cell r="Q90">
            <v>202610</v>
          </cell>
          <cell r="R90">
            <v>18</v>
          </cell>
          <cell r="S90">
            <v>48240</v>
          </cell>
        </row>
        <row r="91">
          <cell r="B91" t="str">
            <v>2d23雯雯</v>
          </cell>
          <cell r="H91" t="str">
            <v>联想平板 拯救者Y900 13 极光紫16+512wifi</v>
          </cell>
          <cell r="O91" t="str">
            <v>线下</v>
          </cell>
          <cell r="Q91">
            <v>202610</v>
          </cell>
          <cell r="R91">
            <v>20</v>
          </cell>
          <cell r="S91">
            <v>64000</v>
          </cell>
        </row>
        <row r="92">
          <cell r="B92" t="str">
            <v>2c56</v>
          </cell>
          <cell r="H92" t="str">
            <v>联想平板 拯救者Y900 13 极光紫16+512wifi</v>
          </cell>
          <cell r="O92" t="str">
            <v>线下</v>
          </cell>
          <cell r="Q92">
            <v>202610</v>
          </cell>
          <cell r="R92">
            <v>3</v>
          </cell>
          <cell r="S92">
            <v>9600</v>
          </cell>
        </row>
        <row r="93">
          <cell r="B93" t="str">
            <v>韩宜僮</v>
          </cell>
          <cell r="H93" t="str">
            <v>联想拯救者Y900 11 8+128WIFI白色</v>
          </cell>
          <cell r="O93" t="str">
            <v>线下</v>
          </cell>
          <cell r="Q93">
            <v>202610</v>
          </cell>
          <cell r="R93">
            <v>4</v>
          </cell>
          <cell r="S93">
            <v>7084</v>
          </cell>
        </row>
        <row r="94">
          <cell r="B94" t="str">
            <v>365商务区212恒晟</v>
          </cell>
          <cell r="H94" t="str">
            <v>联想Y900 11寸 12+256白色</v>
          </cell>
          <cell r="O94" t="str">
            <v>线下</v>
          </cell>
          <cell r="Q94">
            <v>202610</v>
          </cell>
          <cell r="R94">
            <v>10</v>
          </cell>
          <cell r="S94">
            <v>23350</v>
          </cell>
        </row>
        <row r="95">
          <cell r="B95" t="str">
            <v>2C56誉达</v>
          </cell>
          <cell r="H95" t="str">
            <v>联想Y900 11寸 12+256黑色</v>
          </cell>
          <cell r="O95" t="str">
            <v>线下</v>
          </cell>
          <cell r="Q95">
            <v>202610</v>
          </cell>
          <cell r="R95">
            <v>1</v>
          </cell>
          <cell r="S95">
            <v>2320</v>
          </cell>
        </row>
        <row r="96">
          <cell r="B96" t="str">
            <v>2C56誉达</v>
          </cell>
          <cell r="H96" t="str">
            <v>联想Y900 11寸 12+256白色</v>
          </cell>
          <cell r="O96" t="str">
            <v>线下</v>
          </cell>
          <cell r="Q96">
            <v>202610</v>
          </cell>
          <cell r="R96">
            <v>8</v>
          </cell>
          <cell r="S96">
            <v>18560</v>
          </cell>
        </row>
        <row r="97">
          <cell r="B97" t="str">
            <v>2C56誉达</v>
          </cell>
          <cell r="H97" t="str">
            <v>联想平板拯救者Y700 五代 12+256 星光紫WIFI</v>
          </cell>
          <cell r="O97" t="str">
            <v>线下</v>
          </cell>
          <cell r="Q97">
            <v>202610</v>
          </cell>
          <cell r="R97">
            <v>13</v>
          </cell>
          <cell r="S97">
            <v>40040</v>
          </cell>
        </row>
        <row r="98">
          <cell r="B98" t="str">
            <v>2d23雯雯</v>
          </cell>
          <cell r="H98" t="str">
            <v>联想平板Y900 11 12+256紫色WIFI</v>
          </cell>
          <cell r="O98" t="str">
            <v>线下</v>
          </cell>
          <cell r="Q98">
            <v>202610</v>
          </cell>
          <cell r="R98">
            <v>18</v>
          </cell>
          <cell r="S98">
            <v>40860</v>
          </cell>
        </row>
        <row r="99">
          <cell r="B99" t="str">
            <v>韩宜僮</v>
          </cell>
          <cell r="H99" t="str">
            <v>联想Y900 11寸 12+256白色</v>
          </cell>
          <cell r="O99" t="str">
            <v>线下</v>
          </cell>
          <cell r="Q99">
            <v>202610</v>
          </cell>
          <cell r="R99">
            <v>2</v>
          </cell>
          <cell r="S99">
            <v>4640</v>
          </cell>
        </row>
        <row r="100">
          <cell r="B100" t="str">
            <v>1C26</v>
          </cell>
          <cell r="H100" t="str">
            <v>联想Y900 11寸 12+256白色</v>
          </cell>
          <cell r="O100" t="str">
            <v>线下</v>
          </cell>
          <cell r="Q100">
            <v>202610</v>
          </cell>
          <cell r="R100">
            <v>2</v>
          </cell>
          <cell r="S100">
            <v>4670</v>
          </cell>
        </row>
        <row r="101">
          <cell r="B101" t="str">
            <v>韩宜僮</v>
          </cell>
          <cell r="H101" t="str">
            <v>联想拯救者Y900 11 8+128WIFI碳晶黑</v>
          </cell>
          <cell r="O101" t="str">
            <v>线下</v>
          </cell>
          <cell r="Q101">
            <v>202610</v>
          </cell>
          <cell r="R101">
            <v>8</v>
          </cell>
          <cell r="S101">
            <v>13840</v>
          </cell>
        </row>
        <row r="102">
          <cell r="B102" t="str">
            <v>闲鱼散户</v>
          </cell>
          <cell r="H102" t="str">
            <v>联想平板拯救者Y900 11+手写笔+键盘套装12+512黑色</v>
          </cell>
          <cell r="O102" t="str">
            <v>线下</v>
          </cell>
          <cell r="Q102">
            <v>202610</v>
          </cell>
          <cell r="R102">
            <v>1</v>
          </cell>
          <cell r="S102">
            <v>3380</v>
          </cell>
        </row>
        <row r="103">
          <cell r="B103" t="str">
            <v>4C37</v>
          </cell>
          <cell r="H103" t="str">
            <v>联想平板 拯救者Y900 13 极光紫16+512wifi</v>
          </cell>
          <cell r="O103" t="str">
            <v>线下</v>
          </cell>
          <cell r="Q103">
            <v>202610</v>
          </cell>
          <cell r="R103">
            <v>12</v>
          </cell>
          <cell r="S103">
            <v>39720</v>
          </cell>
        </row>
        <row r="104">
          <cell r="B104" t="str">
            <v>4C37</v>
          </cell>
          <cell r="H104" t="str">
            <v>联想平板 拯救者Y900 13 极光紫16+512wifi</v>
          </cell>
          <cell r="O104" t="str">
            <v>线下</v>
          </cell>
          <cell r="Q104">
            <v>202610</v>
          </cell>
          <cell r="R104">
            <v>1</v>
          </cell>
          <cell r="S104">
            <v>3300</v>
          </cell>
        </row>
        <row r="105">
          <cell r="B105" t="str">
            <v>韩宜僮</v>
          </cell>
          <cell r="H105" t="str">
            <v>联想平板拯救者Y700 五代 12+256 星光紫WIFI</v>
          </cell>
          <cell r="O105" t="str">
            <v>线下</v>
          </cell>
          <cell r="Q105">
            <v>202610</v>
          </cell>
          <cell r="R105">
            <v>10</v>
          </cell>
          <cell r="S105">
            <v>30800</v>
          </cell>
        </row>
        <row r="106">
          <cell r="B106" t="str">
            <v>3a40晨曦</v>
          </cell>
          <cell r="H106" t="str">
            <v>联想平板 拯救者Y900 13 极光紫16+512wifi</v>
          </cell>
          <cell r="O106" t="str">
            <v>线下</v>
          </cell>
          <cell r="Q106">
            <v>202610</v>
          </cell>
          <cell r="R106">
            <v>1</v>
          </cell>
          <cell r="S106">
            <v>3300</v>
          </cell>
        </row>
        <row r="107">
          <cell r="B107" t="str">
            <v>闲鱼散户</v>
          </cell>
          <cell r="H107" t="str">
            <v>DJI OSMO MOBILE 7P 手机云台</v>
          </cell>
          <cell r="O107" t="str">
            <v>线下</v>
          </cell>
          <cell r="Q107">
            <v>202610</v>
          </cell>
          <cell r="R107">
            <v>1</v>
          </cell>
          <cell r="S107">
            <v>318</v>
          </cell>
        </row>
        <row r="108">
          <cell r="R108">
            <v>0</v>
          </cell>
          <cell r="S108">
            <v>0</v>
          </cell>
        </row>
        <row r="109">
          <cell r="R109">
            <v>0</v>
          </cell>
          <cell r="S109">
            <v>0</v>
          </cell>
        </row>
        <row r="110">
          <cell r="R110">
            <v>0</v>
          </cell>
          <cell r="S110">
            <v>0</v>
          </cell>
        </row>
        <row r="111">
          <cell r="R111">
            <v>0</v>
          </cell>
          <cell r="S111">
            <v>0</v>
          </cell>
        </row>
        <row r="112">
          <cell r="R112">
            <v>0</v>
          </cell>
          <cell r="S112">
            <v>0</v>
          </cell>
        </row>
        <row r="113">
          <cell r="R113">
            <v>0</v>
          </cell>
          <cell r="S113">
            <v>0</v>
          </cell>
        </row>
        <row r="114">
          <cell r="R114">
            <v>0</v>
          </cell>
          <cell r="S114">
            <v>0</v>
          </cell>
        </row>
        <row r="115">
          <cell r="R115">
            <v>0</v>
          </cell>
          <cell r="S115">
            <v>0</v>
          </cell>
        </row>
        <row r="116">
          <cell r="R116">
            <v>0</v>
          </cell>
          <cell r="S116">
            <v>0</v>
          </cell>
        </row>
        <row r="117">
          <cell r="R117">
            <v>0</v>
          </cell>
          <cell r="S117">
            <v>0</v>
          </cell>
        </row>
        <row r="118">
          <cell r="R118">
            <v>0</v>
          </cell>
          <cell r="S118">
            <v>0</v>
          </cell>
        </row>
        <row r="119">
          <cell r="R119">
            <v>0</v>
          </cell>
          <cell r="S119">
            <v>0</v>
          </cell>
        </row>
        <row r="120">
          <cell r="R120">
            <v>0</v>
          </cell>
          <cell r="S120">
            <v>0</v>
          </cell>
        </row>
        <row r="121">
          <cell r="R121">
            <v>0</v>
          </cell>
          <cell r="S121">
            <v>0</v>
          </cell>
        </row>
        <row r="122">
          <cell r="R122">
            <v>0</v>
          </cell>
          <cell r="S122">
            <v>0</v>
          </cell>
        </row>
        <row r="123">
          <cell r="R123">
            <v>0</v>
          </cell>
          <cell r="S123">
            <v>0</v>
          </cell>
        </row>
        <row r="124">
          <cell r="R124">
            <v>0</v>
          </cell>
          <cell r="S124">
            <v>0</v>
          </cell>
        </row>
        <row r="125">
          <cell r="R125">
            <v>0</v>
          </cell>
          <cell r="S125">
            <v>0</v>
          </cell>
        </row>
        <row r="126">
          <cell r="R126">
            <v>0</v>
          </cell>
          <cell r="S126">
            <v>0</v>
          </cell>
        </row>
        <row r="127">
          <cell r="R127">
            <v>0</v>
          </cell>
          <cell r="S127">
            <v>0</v>
          </cell>
        </row>
        <row r="128">
          <cell r="R128">
            <v>0</v>
          </cell>
          <cell r="S128">
            <v>0</v>
          </cell>
        </row>
        <row r="129">
          <cell r="R129">
            <v>0</v>
          </cell>
          <cell r="S129">
            <v>0</v>
          </cell>
        </row>
        <row r="130">
          <cell r="R130">
            <v>0</v>
          </cell>
          <cell r="S130">
            <v>0</v>
          </cell>
        </row>
        <row r="131">
          <cell r="R131">
            <v>0</v>
          </cell>
          <cell r="S131">
            <v>0</v>
          </cell>
        </row>
        <row r="132">
          <cell r="R132">
            <v>0</v>
          </cell>
          <cell r="S132">
            <v>0</v>
          </cell>
        </row>
        <row r="133">
          <cell r="R133">
            <v>0</v>
          </cell>
          <cell r="S133">
            <v>0</v>
          </cell>
        </row>
        <row r="134">
          <cell r="R134">
            <v>0</v>
          </cell>
          <cell r="S134">
            <v>0</v>
          </cell>
        </row>
        <row r="135">
          <cell r="R135">
            <v>0</v>
          </cell>
          <cell r="S135">
            <v>0</v>
          </cell>
        </row>
        <row r="136">
          <cell r="R136">
            <v>0</v>
          </cell>
          <cell r="S136">
            <v>0</v>
          </cell>
        </row>
        <row r="137">
          <cell r="R137">
            <v>0</v>
          </cell>
          <cell r="S137">
            <v>0</v>
          </cell>
        </row>
        <row r="138">
          <cell r="R138">
            <v>0</v>
          </cell>
          <cell r="S138">
            <v>0</v>
          </cell>
        </row>
        <row r="139">
          <cell r="R139">
            <v>0</v>
          </cell>
          <cell r="S139">
            <v>0</v>
          </cell>
        </row>
        <row r="140">
          <cell r="R140">
            <v>0</v>
          </cell>
          <cell r="S140">
            <v>0</v>
          </cell>
        </row>
        <row r="141">
          <cell r="R141">
            <v>0</v>
          </cell>
          <cell r="S141">
            <v>0</v>
          </cell>
        </row>
        <row r="142">
          <cell r="R142">
            <v>0</v>
          </cell>
          <cell r="S142">
            <v>0</v>
          </cell>
        </row>
        <row r="143">
          <cell r="R143">
            <v>0</v>
          </cell>
          <cell r="S143">
            <v>0</v>
          </cell>
        </row>
        <row r="144">
          <cell r="R144">
            <v>0</v>
          </cell>
          <cell r="S144">
            <v>0</v>
          </cell>
        </row>
        <row r="145">
          <cell r="R145">
            <v>0</v>
          </cell>
          <cell r="S145">
            <v>0</v>
          </cell>
        </row>
        <row r="146">
          <cell r="R146">
            <v>0</v>
          </cell>
          <cell r="S146">
            <v>0</v>
          </cell>
        </row>
        <row r="147">
          <cell r="R147">
            <v>0</v>
          </cell>
          <cell r="S147">
            <v>0</v>
          </cell>
        </row>
        <row r="148">
          <cell r="R148">
            <v>0</v>
          </cell>
          <cell r="S148">
            <v>0</v>
          </cell>
        </row>
        <row r="149">
          <cell r="R149">
            <v>0</v>
          </cell>
          <cell r="S149">
            <v>0</v>
          </cell>
        </row>
        <row r="150">
          <cell r="R150">
            <v>0</v>
          </cell>
          <cell r="S150">
            <v>0</v>
          </cell>
        </row>
        <row r="151">
          <cell r="R151">
            <v>0</v>
          </cell>
          <cell r="S151">
            <v>0</v>
          </cell>
        </row>
        <row r="152">
          <cell r="R152">
            <v>0</v>
          </cell>
          <cell r="S152">
            <v>0</v>
          </cell>
        </row>
        <row r="153">
          <cell r="R153">
            <v>0</v>
          </cell>
          <cell r="S153">
            <v>0</v>
          </cell>
        </row>
        <row r="154">
          <cell r="R154">
            <v>0</v>
          </cell>
          <cell r="S154">
            <v>0</v>
          </cell>
        </row>
        <row r="155">
          <cell r="R155">
            <v>0</v>
          </cell>
          <cell r="S155">
            <v>0</v>
          </cell>
        </row>
        <row r="156">
          <cell r="R156">
            <v>0</v>
          </cell>
          <cell r="S156">
            <v>0</v>
          </cell>
        </row>
        <row r="157">
          <cell r="R157">
            <v>0</v>
          </cell>
          <cell r="S157">
            <v>0</v>
          </cell>
        </row>
        <row r="158">
          <cell r="R158">
            <v>0</v>
          </cell>
          <cell r="S158">
            <v>0</v>
          </cell>
        </row>
        <row r="159">
          <cell r="R159">
            <v>0</v>
          </cell>
          <cell r="S159">
            <v>0</v>
          </cell>
        </row>
        <row r="160">
          <cell r="R160">
            <v>0</v>
          </cell>
          <cell r="S160">
            <v>0</v>
          </cell>
        </row>
        <row r="161">
          <cell r="R161">
            <v>0</v>
          </cell>
          <cell r="S161">
            <v>0</v>
          </cell>
        </row>
        <row r="162">
          <cell r="R162">
            <v>0</v>
          </cell>
          <cell r="S162">
            <v>0</v>
          </cell>
        </row>
        <row r="163">
          <cell r="R163">
            <v>0</v>
          </cell>
          <cell r="S163">
            <v>0</v>
          </cell>
        </row>
        <row r="164">
          <cell r="R164">
            <v>0</v>
          </cell>
          <cell r="S164">
            <v>0</v>
          </cell>
        </row>
        <row r="165">
          <cell r="R165">
            <v>0</v>
          </cell>
          <cell r="S165">
            <v>0</v>
          </cell>
        </row>
        <row r="166">
          <cell r="R166">
            <v>0</v>
          </cell>
          <cell r="S166">
            <v>0</v>
          </cell>
        </row>
        <row r="167">
          <cell r="R167">
            <v>0</v>
          </cell>
          <cell r="S167">
            <v>0</v>
          </cell>
        </row>
        <row r="168">
          <cell r="R168">
            <v>0</v>
          </cell>
          <cell r="S168">
            <v>0</v>
          </cell>
        </row>
        <row r="169">
          <cell r="R169">
            <v>0</v>
          </cell>
          <cell r="S169">
            <v>0</v>
          </cell>
        </row>
        <row r="170">
          <cell r="R170">
            <v>0</v>
          </cell>
          <cell r="S170">
            <v>0</v>
          </cell>
        </row>
        <row r="171">
          <cell r="R171">
            <v>0</v>
          </cell>
          <cell r="S171">
            <v>0</v>
          </cell>
        </row>
        <row r="172">
          <cell r="R172">
            <v>0</v>
          </cell>
          <cell r="S172">
            <v>0</v>
          </cell>
        </row>
        <row r="173">
          <cell r="R173">
            <v>0</v>
          </cell>
          <cell r="S173">
            <v>0</v>
          </cell>
        </row>
        <row r="174">
          <cell r="R174">
            <v>0</v>
          </cell>
          <cell r="S174">
            <v>0</v>
          </cell>
        </row>
        <row r="175">
          <cell r="R175">
            <v>0</v>
          </cell>
          <cell r="S175">
            <v>0</v>
          </cell>
        </row>
        <row r="176">
          <cell r="R176">
            <v>0</v>
          </cell>
          <cell r="S176">
            <v>0</v>
          </cell>
        </row>
        <row r="177">
          <cell r="R177">
            <v>0</v>
          </cell>
          <cell r="S177">
            <v>0</v>
          </cell>
        </row>
        <row r="178">
          <cell r="R178">
            <v>0</v>
          </cell>
          <cell r="S178">
            <v>0</v>
          </cell>
        </row>
        <row r="179">
          <cell r="R179">
            <v>0</v>
          </cell>
          <cell r="S179">
            <v>0</v>
          </cell>
        </row>
        <row r="180">
          <cell r="R180">
            <v>0</v>
          </cell>
          <cell r="S180">
            <v>0</v>
          </cell>
        </row>
        <row r="181">
          <cell r="R181">
            <v>0</v>
          </cell>
          <cell r="S181">
            <v>0</v>
          </cell>
        </row>
        <row r="182">
          <cell r="R182">
            <v>0</v>
          </cell>
          <cell r="S182">
            <v>0</v>
          </cell>
        </row>
        <row r="183">
          <cell r="R183">
            <v>0</v>
          </cell>
          <cell r="S183">
            <v>0</v>
          </cell>
        </row>
        <row r="184">
          <cell r="R184">
            <v>0</v>
          </cell>
          <cell r="S184">
            <v>0</v>
          </cell>
        </row>
        <row r="185">
          <cell r="R185">
            <v>0</v>
          </cell>
          <cell r="S185">
            <v>0</v>
          </cell>
        </row>
        <row r="186">
          <cell r="R186">
            <v>0</v>
          </cell>
          <cell r="S186">
            <v>0</v>
          </cell>
        </row>
        <row r="187">
          <cell r="R187">
            <v>0</v>
          </cell>
          <cell r="S187">
            <v>0</v>
          </cell>
        </row>
        <row r="188">
          <cell r="R188">
            <v>0</v>
          </cell>
          <cell r="S188">
            <v>0</v>
          </cell>
        </row>
        <row r="189">
          <cell r="R189">
            <v>0</v>
          </cell>
          <cell r="S189">
            <v>0</v>
          </cell>
        </row>
        <row r="190">
          <cell r="R190">
            <v>0</v>
          </cell>
          <cell r="S190">
            <v>0</v>
          </cell>
        </row>
        <row r="191">
          <cell r="R191">
            <v>0</v>
          </cell>
          <cell r="S191">
            <v>0</v>
          </cell>
        </row>
        <row r="192">
          <cell r="R192">
            <v>0</v>
          </cell>
          <cell r="S192">
            <v>0</v>
          </cell>
        </row>
        <row r="193">
          <cell r="R193">
            <v>0</v>
          </cell>
          <cell r="S193">
            <v>0</v>
          </cell>
        </row>
        <row r="194">
          <cell r="R194">
            <v>0</v>
          </cell>
          <cell r="S194">
            <v>0</v>
          </cell>
        </row>
        <row r="195">
          <cell r="R195">
            <v>0</v>
          </cell>
          <cell r="S195">
            <v>0</v>
          </cell>
        </row>
        <row r="196">
          <cell r="R196">
            <v>0</v>
          </cell>
          <cell r="S196">
            <v>0</v>
          </cell>
        </row>
        <row r="197">
          <cell r="R197">
            <v>0</v>
          </cell>
          <cell r="S197">
            <v>0</v>
          </cell>
        </row>
        <row r="198">
          <cell r="R198">
            <v>0</v>
          </cell>
          <cell r="S198">
            <v>0</v>
          </cell>
        </row>
        <row r="199">
          <cell r="R199">
            <v>0</v>
          </cell>
          <cell r="S199">
            <v>0</v>
          </cell>
        </row>
        <row r="200">
          <cell r="R200">
            <v>0</v>
          </cell>
          <cell r="S200">
            <v>0</v>
          </cell>
        </row>
        <row r="201">
          <cell r="R201">
            <v>0</v>
          </cell>
          <cell r="S201">
            <v>0</v>
          </cell>
        </row>
        <row r="202">
          <cell r="R202">
            <v>0</v>
          </cell>
          <cell r="S202">
            <v>0</v>
          </cell>
        </row>
        <row r="203">
          <cell r="R203">
            <v>0</v>
          </cell>
          <cell r="S203">
            <v>0</v>
          </cell>
        </row>
        <row r="204">
          <cell r="R204">
            <v>0</v>
          </cell>
          <cell r="S204">
            <v>0</v>
          </cell>
        </row>
        <row r="205">
          <cell r="R205">
            <v>0</v>
          </cell>
          <cell r="S205">
            <v>0</v>
          </cell>
        </row>
        <row r="206">
          <cell r="R206">
            <v>0</v>
          </cell>
          <cell r="S206">
            <v>0</v>
          </cell>
        </row>
        <row r="207">
          <cell r="R207">
            <v>0</v>
          </cell>
          <cell r="S207">
            <v>0</v>
          </cell>
        </row>
        <row r="208">
          <cell r="R208">
            <v>0</v>
          </cell>
          <cell r="S208">
            <v>0</v>
          </cell>
        </row>
        <row r="209">
          <cell r="R209">
            <v>0</v>
          </cell>
          <cell r="S209">
            <v>0</v>
          </cell>
        </row>
        <row r="210">
          <cell r="R210">
            <v>0</v>
          </cell>
          <cell r="S210">
            <v>0</v>
          </cell>
        </row>
        <row r="211">
          <cell r="R211">
            <v>0</v>
          </cell>
          <cell r="S211">
            <v>0</v>
          </cell>
        </row>
        <row r="212">
          <cell r="R212">
            <v>0</v>
          </cell>
          <cell r="S212">
            <v>0</v>
          </cell>
        </row>
        <row r="213">
          <cell r="R213">
            <v>0</v>
          </cell>
          <cell r="S213">
            <v>0</v>
          </cell>
        </row>
        <row r="214">
          <cell r="R214">
            <v>0</v>
          </cell>
          <cell r="S214">
            <v>0</v>
          </cell>
        </row>
        <row r="215">
          <cell r="R215">
            <v>0</v>
          </cell>
          <cell r="S215">
            <v>0</v>
          </cell>
        </row>
        <row r="216">
          <cell r="R216">
            <v>0</v>
          </cell>
          <cell r="S216">
            <v>0</v>
          </cell>
        </row>
        <row r="217">
          <cell r="R217">
            <v>0</v>
          </cell>
          <cell r="S217">
            <v>0</v>
          </cell>
        </row>
        <row r="218">
          <cell r="R218">
            <v>0</v>
          </cell>
          <cell r="S218">
            <v>0</v>
          </cell>
        </row>
        <row r="219">
          <cell r="R219">
            <v>0</v>
          </cell>
          <cell r="S219">
            <v>0</v>
          </cell>
        </row>
        <row r="220">
          <cell r="R220">
            <v>0</v>
          </cell>
          <cell r="S220">
            <v>0</v>
          </cell>
        </row>
        <row r="221">
          <cell r="R221">
            <v>0</v>
          </cell>
          <cell r="S221">
            <v>0</v>
          </cell>
        </row>
        <row r="222">
          <cell r="R222">
            <v>0</v>
          </cell>
          <cell r="S222">
            <v>0</v>
          </cell>
        </row>
        <row r="223">
          <cell r="R223">
            <v>0</v>
          </cell>
          <cell r="S223">
            <v>0</v>
          </cell>
        </row>
        <row r="224">
          <cell r="R224">
            <v>0</v>
          </cell>
          <cell r="S224">
            <v>0</v>
          </cell>
        </row>
        <row r="225">
          <cell r="R225">
            <v>0</v>
          </cell>
          <cell r="S225">
            <v>0</v>
          </cell>
        </row>
        <row r="226">
          <cell r="R226">
            <v>0</v>
          </cell>
          <cell r="S226">
            <v>0</v>
          </cell>
        </row>
        <row r="227">
          <cell r="R227">
            <v>0</v>
          </cell>
          <cell r="S227">
            <v>0</v>
          </cell>
        </row>
        <row r="228">
          <cell r="R228">
            <v>0</v>
          </cell>
          <cell r="S228">
            <v>0</v>
          </cell>
        </row>
        <row r="229">
          <cell r="R229">
            <v>0</v>
          </cell>
          <cell r="S229">
            <v>0</v>
          </cell>
        </row>
        <row r="230">
          <cell r="R230">
            <v>0</v>
          </cell>
          <cell r="S230">
            <v>0</v>
          </cell>
        </row>
        <row r="231">
          <cell r="R231">
            <v>0</v>
          </cell>
          <cell r="S231">
            <v>0</v>
          </cell>
        </row>
        <row r="232">
          <cell r="R232">
            <v>0</v>
          </cell>
          <cell r="S232">
            <v>0</v>
          </cell>
        </row>
        <row r="233">
          <cell r="R233">
            <v>0</v>
          </cell>
          <cell r="S233">
            <v>0</v>
          </cell>
        </row>
        <row r="234">
          <cell r="R234">
            <v>0</v>
          </cell>
          <cell r="S234">
            <v>0</v>
          </cell>
        </row>
        <row r="235">
          <cell r="R235">
            <v>0</v>
          </cell>
          <cell r="S235">
            <v>0</v>
          </cell>
        </row>
        <row r="236">
          <cell r="R236">
            <v>0</v>
          </cell>
          <cell r="S236">
            <v>0</v>
          </cell>
        </row>
        <row r="237">
          <cell r="R237">
            <v>0</v>
          </cell>
          <cell r="S237">
            <v>0</v>
          </cell>
        </row>
        <row r="238">
          <cell r="R238">
            <v>0</v>
          </cell>
          <cell r="S238">
            <v>0</v>
          </cell>
        </row>
        <row r="239">
          <cell r="R239">
            <v>0</v>
          </cell>
          <cell r="S239">
            <v>0</v>
          </cell>
        </row>
        <row r="240">
          <cell r="R240">
            <v>0</v>
          </cell>
          <cell r="S240">
            <v>0</v>
          </cell>
        </row>
        <row r="241">
          <cell r="R241">
            <v>0</v>
          </cell>
          <cell r="S241">
            <v>0</v>
          </cell>
        </row>
        <row r="242">
          <cell r="R242">
            <v>0</v>
          </cell>
          <cell r="S242">
            <v>0</v>
          </cell>
        </row>
        <row r="243">
          <cell r="R243">
            <v>0</v>
          </cell>
          <cell r="S243">
            <v>0</v>
          </cell>
        </row>
        <row r="244">
          <cell r="R244">
            <v>0</v>
          </cell>
          <cell r="S244">
            <v>0</v>
          </cell>
        </row>
        <row r="245">
          <cell r="R245">
            <v>0</v>
          </cell>
          <cell r="S245">
            <v>0</v>
          </cell>
        </row>
        <row r="246">
          <cell r="R246">
            <v>0</v>
          </cell>
          <cell r="S246">
            <v>0</v>
          </cell>
        </row>
        <row r="247">
          <cell r="R247">
            <v>0</v>
          </cell>
          <cell r="S247">
            <v>0</v>
          </cell>
        </row>
        <row r="248">
          <cell r="R248">
            <v>0</v>
          </cell>
          <cell r="S248">
            <v>0</v>
          </cell>
        </row>
        <row r="249">
          <cell r="R249">
            <v>0</v>
          </cell>
          <cell r="S249">
            <v>0</v>
          </cell>
        </row>
        <row r="250">
          <cell r="R250">
            <v>0</v>
          </cell>
          <cell r="S250">
            <v>0</v>
          </cell>
        </row>
        <row r="251">
          <cell r="R251">
            <v>0</v>
          </cell>
          <cell r="S251">
            <v>0</v>
          </cell>
        </row>
        <row r="252">
          <cell r="R252">
            <v>0</v>
          </cell>
          <cell r="S252">
            <v>0</v>
          </cell>
        </row>
        <row r="253">
          <cell r="R253">
            <v>0</v>
          </cell>
          <cell r="S253">
            <v>0</v>
          </cell>
        </row>
        <row r="254">
          <cell r="R254">
            <v>0</v>
          </cell>
          <cell r="S254">
            <v>0</v>
          </cell>
        </row>
        <row r="255">
          <cell r="R255">
            <v>0</v>
          </cell>
          <cell r="S255">
            <v>0</v>
          </cell>
        </row>
        <row r="256">
          <cell r="R256">
            <v>0</v>
          </cell>
          <cell r="S256">
            <v>0</v>
          </cell>
        </row>
        <row r="257">
          <cell r="R257">
            <v>0</v>
          </cell>
          <cell r="S257">
            <v>0</v>
          </cell>
        </row>
        <row r="258">
          <cell r="R258">
            <v>0</v>
          </cell>
          <cell r="S258">
            <v>0</v>
          </cell>
        </row>
        <row r="259">
          <cell r="R259">
            <v>0</v>
          </cell>
          <cell r="S259">
            <v>0</v>
          </cell>
        </row>
        <row r="260">
          <cell r="R260">
            <v>0</v>
          </cell>
          <cell r="S260">
            <v>0</v>
          </cell>
        </row>
        <row r="261">
          <cell r="R261">
            <v>0</v>
          </cell>
          <cell r="S261">
            <v>0</v>
          </cell>
        </row>
        <row r="262">
          <cell r="R262">
            <v>0</v>
          </cell>
          <cell r="S262">
            <v>0</v>
          </cell>
        </row>
        <row r="263">
          <cell r="R263">
            <v>0</v>
          </cell>
          <cell r="S263">
            <v>0</v>
          </cell>
        </row>
        <row r="264">
          <cell r="R264">
            <v>0</v>
          </cell>
          <cell r="S264">
            <v>0</v>
          </cell>
        </row>
        <row r="265">
          <cell r="R265">
            <v>0</v>
          </cell>
          <cell r="S265">
            <v>0</v>
          </cell>
        </row>
        <row r="266">
          <cell r="R266">
            <v>0</v>
          </cell>
          <cell r="S266">
            <v>0</v>
          </cell>
        </row>
        <row r="267">
          <cell r="R267">
            <v>0</v>
          </cell>
          <cell r="S267">
            <v>0</v>
          </cell>
        </row>
        <row r="268">
          <cell r="R268">
            <v>0</v>
          </cell>
          <cell r="S268">
            <v>0</v>
          </cell>
        </row>
        <row r="269">
          <cell r="R269">
            <v>0</v>
          </cell>
          <cell r="S269">
            <v>0</v>
          </cell>
        </row>
        <row r="270">
          <cell r="R270">
            <v>0</v>
          </cell>
          <cell r="S270">
            <v>0</v>
          </cell>
        </row>
        <row r="271">
          <cell r="R271">
            <v>0</v>
          </cell>
          <cell r="S271">
            <v>0</v>
          </cell>
        </row>
        <row r="272">
          <cell r="R272">
            <v>0</v>
          </cell>
          <cell r="S272">
            <v>0</v>
          </cell>
        </row>
        <row r="273">
          <cell r="R273">
            <v>0</v>
          </cell>
          <cell r="S273">
            <v>0</v>
          </cell>
        </row>
        <row r="274">
          <cell r="R274">
            <v>0</v>
          </cell>
          <cell r="S274">
            <v>0</v>
          </cell>
        </row>
        <row r="275">
          <cell r="R275">
            <v>0</v>
          </cell>
          <cell r="S275">
            <v>0</v>
          </cell>
        </row>
        <row r="276">
          <cell r="R276">
            <v>0</v>
          </cell>
          <cell r="S276">
            <v>0</v>
          </cell>
        </row>
        <row r="277">
          <cell r="R277">
            <v>0</v>
          </cell>
          <cell r="S277">
            <v>0</v>
          </cell>
        </row>
        <row r="278">
          <cell r="R278">
            <v>0</v>
          </cell>
          <cell r="S278">
            <v>0</v>
          </cell>
        </row>
        <row r="279">
          <cell r="R279">
            <v>0</v>
          </cell>
          <cell r="S279">
            <v>0</v>
          </cell>
        </row>
        <row r="280">
          <cell r="R280">
            <v>0</v>
          </cell>
          <cell r="S280">
            <v>0</v>
          </cell>
        </row>
        <row r="281">
          <cell r="R281">
            <v>0</v>
          </cell>
          <cell r="S281">
            <v>0</v>
          </cell>
        </row>
        <row r="282">
          <cell r="R282">
            <v>0</v>
          </cell>
          <cell r="S282">
            <v>0</v>
          </cell>
        </row>
        <row r="283">
          <cell r="R283">
            <v>0</v>
          </cell>
          <cell r="S283">
            <v>0</v>
          </cell>
        </row>
        <row r="284">
          <cell r="R284">
            <v>0</v>
          </cell>
          <cell r="S284">
            <v>0</v>
          </cell>
        </row>
        <row r="285">
          <cell r="R285">
            <v>0</v>
          </cell>
          <cell r="S285">
            <v>0</v>
          </cell>
        </row>
        <row r="286">
          <cell r="R286">
            <v>0</v>
          </cell>
          <cell r="S286">
            <v>0</v>
          </cell>
        </row>
        <row r="287">
          <cell r="R287">
            <v>0</v>
          </cell>
          <cell r="S287">
            <v>0</v>
          </cell>
        </row>
        <row r="288">
          <cell r="R288">
            <v>0</v>
          </cell>
          <cell r="S288">
            <v>0</v>
          </cell>
        </row>
        <row r="289">
          <cell r="R289">
            <v>0</v>
          </cell>
          <cell r="S289">
            <v>0</v>
          </cell>
        </row>
        <row r="290">
          <cell r="R290">
            <v>0</v>
          </cell>
          <cell r="S290">
            <v>0</v>
          </cell>
        </row>
        <row r="291">
          <cell r="R291">
            <v>0</v>
          </cell>
          <cell r="S291">
            <v>0</v>
          </cell>
        </row>
        <row r="292">
          <cell r="R292">
            <v>0</v>
          </cell>
          <cell r="S292">
            <v>0</v>
          </cell>
        </row>
        <row r="293">
          <cell r="R293">
            <v>0</v>
          </cell>
          <cell r="S293">
            <v>0</v>
          </cell>
        </row>
        <row r="294">
          <cell r="R294">
            <v>0</v>
          </cell>
          <cell r="S294">
            <v>0</v>
          </cell>
        </row>
        <row r="295">
          <cell r="R295">
            <v>0</v>
          </cell>
          <cell r="S295">
            <v>0</v>
          </cell>
        </row>
        <row r="296">
          <cell r="R296">
            <v>0</v>
          </cell>
          <cell r="S296">
            <v>0</v>
          </cell>
        </row>
        <row r="297">
          <cell r="R297">
            <v>0</v>
          </cell>
          <cell r="S297">
            <v>0</v>
          </cell>
        </row>
        <row r="298">
          <cell r="R298">
            <v>0</v>
          </cell>
          <cell r="S298">
            <v>0</v>
          </cell>
        </row>
        <row r="299">
          <cell r="R299">
            <v>0</v>
          </cell>
          <cell r="S299">
            <v>0</v>
          </cell>
        </row>
        <row r="300">
          <cell r="R300">
            <v>0</v>
          </cell>
          <cell r="S300">
            <v>0</v>
          </cell>
        </row>
        <row r="301">
          <cell r="R301">
            <v>0</v>
          </cell>
          <cell r="S301">
            <v>0</v>
          </cell>
        </row>
        <row r="302">
          <cell r="R302">
            <v>0</v>
          </cell>
          <cell r="S302">
            <v>0</v>
          </cell>
        </row>
        <row r="303">
          <cell r="R303">
            <v>0</v>
          </cell>
          <cell r="S303">
            <v>0</v>
          </cell>
        </row>
        <row r="304">
          <cell r="R304">
            <v>0</v>
          </cell>
          <cell r="S304">
            <v>0</v>
          </cell>
        </row>
        <row r="305">
          <cell r="R305">
            <v>0</v>
          </cell>
          <cell r="S305">
            <v>0</v>
          </cell>
        </row>
        <row r="306">
          <cell r="R306">
            <v>0</v>
          </cell>
          <cell r="S306">
            <v>0</v>
          </cell>
        </row>
        <row r="307">
          <cell r="R307">
            <v>0</v>
          </cell>
          <cell r="S307">
            <v>0</v>
          </cell>
        </row>
        <row r="308">
          <cell r="R308">
            <v>0</v>
          </cell>
          <cell r="S308">
            <v>0</v>
          </cell>
        </row>
        <row r="309">
          <cell r="R309">
            <v>0</v>
          </cell>
          <cell r="S309">
            <v>0</v>
          </cell>
        </row>
        <row r="310">
          <cell r="R310">
            <v>0</v>
          </cell>
          <cell r="S310">
            <v>0</v>
          </cell>
        </row>
        <row r="311">
          <cell r="R311">
            <v>0</v>
          </cell>
          <cell r="S311">
            <v>0</v>
          </cell>
        </row>
        <row r="312">
          <cell r="R312">
            <v>0</v>
          </cell>
          <cell r="S312">
            <v>0</v>
          </cell>
        </row>
        <row r="313">
          <cell r="R313">
            <v>0</v>
          </cell>
          <cell r="S313">
            <v>0</v>
          </cell>
        </row>
        <row r="314">
          <cell r="R314">
            <v>0</v>
          </cell>
          <cell r="S314">
            <v>0</v>
          </cell>
        </row>
        <row r="315">
          <cell r="R315">
            <v>0</v>
          </cell>
          <cell r="S315">
            <v>0</v>
          </cell>
        </row>
        <row r="316">
          <cell r="R316">
            <v>0</v>
          </cell>
          <cell r="S316">
            <v>0</v>
          </cell>
        </row>
        <row r="317">
          <cell r="R317">
            <v>0</v>
          </cell>
          <cell r="S317">
            <v>0</v>
          </cell>
        </row>
        <row r="318">
          <cell r="R318">
            <v>0</v>
          </cell>
          <cell r="S318">
            <v>0</v>
          </cell>
        </row>
        <row r="319">
          <cell r="R319">
            <v>0</v>
          </cell>
          <cell r="S319">
            <v>0</v>
          </cell>
        </row>
        <row r="320">
          <cell r="R320">
            <v>0</v>
          </cell>
          <cell r="S320">
            <v>0</v>
          </cell>
        </row>
        <row r="321">
          <cell r="R321">
            <v>0</v>
          </cell>
          <cell r="S321">
            <v>0</v>
          </cell>
        </row>
        <row r="322">
          <cell r="R322">
            <v>0</v>
          </cell>
          <cell r="S322">
            <v>0</v>
          </cell>
        </row>
        <row r="323">
          <cell r="R323">
            <v>0</v>
          </cell>
          <cell r="S323">
            <v>0</v>
          </cell>
        </row>
        <row r="324">
          <cell r="R324">
            <v>0</v>
          </cell>
          <cell r="S324">
            <v>0</v>
          </cell>
        </row>
        <row r="325">
          <cell r="R325">
            <v>0</v>
          </cell>
          <cell r="S325">
            <v>0</v>
          </cell>
        </row>
        <row r="326">
          <cell r="R326">
            <v>0</v>
          </cell>
          <cell r="S326">
            <v>0</v>
          </cell>
        </row>
        <row r="327">
          <cell r="R327">
            <v>0</v>
          </cell>
          <cell r="S327">
            <v>0</v>
          </cell>
        </row>
        <row r="328">
          <cell r="R328">
            <v>0</v>
          </cell>
          <cell r="S328">
            <v>0</v>
          </cell>
        </row>
        <row r="329">
          <cell r="R329">
            <v>0</v>
          </cell>
          <cell r="S329">
            <v>0</v>
          </cell>
        </row>
        <row r="330">
          <cell r="R330">
            <v>0</v>
          </cell>
          <cell r="S330">
            <v>0</v>
          </cell>
        </row>
        <row r="331">
          <cell r="R331">
            <v>0</v>
          </cell>
          <cell r="S331">
            <v>0</v>
          </cell>
        </row>
        <row r="332">
          <cell r="R332">
            <v>0</v>
          </cell>
          <cell r="S332">
            <v>0</v>
          </cell>
        </row>
        <row r="333">
          <cell r="R333">
            <v>0</v>
          </cell>
          <cell r="S333">
            <v>0</v>
          </cell>
        </row>
        <row r="334">
          <cell r="R334">
            <v>0</v>
          </cell>
          <cell r="S334">
            <v>0</v>
          </cell>
        </row>
        <row r="335">
          <cell r="R335">
            <v>0</v>
          </cell>
          <cell r="S335">
            <v>0</v>
          </cell>
        </row>
        <row r="336">
          <cell r="R336">
            <v>0</v>
          </cell>
          <cell r="S336">
            <v>0</v>
          </cell>
        </row>
        <row r="337">
          <cell r="R337">
            <v>0</v>
          </cell>
          <cell r="S337">
            <v>0</v>
          </cell>
        </row>
        <row r="338">
          <cell r="R338">
            <v>0</v>
          </cell>
          <cell r="S338">
            <v>0</v>
          </cell>
        </row>
        <row r="339">
          <cell r="R339">
            <v>0</v>
          </cell>
          <cell r="S339">
            <v>0</v>
          </cell>
        </row>
        <row r="340">
          <cell r="R340">
            <v>0</v>
          </cell>
          <cell r="S340">
            <v>0</v>
          </cell>
        </row>
        <row r="341">
          <cell r="R341">
            <v>0</v>
          </cell>
          <cell r="S341">
            <v>0</v>
          </cell>
        </row>
        <row r="342">
          <cell r="R342">
            <v>0</v>
          </cell>
          <cell r="S342">
            <v>0</v>
          </cell>
        </row>
        <row r="343">
          <cell r="R343">
            <v>0</v>
          </cell>
          <cell r="S343">
            <v>0</v>
          </cell>
        </row>
        <row r="344">
          <cell r="R344">
            <v>0</v>
          </cell>
          <cell r="S344">
            <v>0</v>
          </cell>
        </row>
        <row r="345">
          <cell r="R345">
            <v>0</v>
          </cell>
          <cell r="S345">
            <v>0</v>
          </cell>
        </row>
        <row r="346">
          <cell r="R346">
            <v>0</v>
          </cell>
          <cell r="S346">
            <v>0</v>
          </cell>
        </row>
        <row r="347">
          <cell r="R347">
            <v>0</v>
          </cell>
          <cell r="S347">
            <v>0</v>
          </cell>
        </row>
        <row r="348">
          <cell r="R348">
            <v>0</v>
          </cell>
          <cell r="S348">
            <v>0</v>
          </cell>
        </row>
        <row r="349">
          <cell r="R349">
            <v>0</v>
          </cell>
          <cell r="S349">
            <v>0</v>
          </cell>
        </row>
        <row r="350">
          <cell r="R350">
            <v>0</v>
          </cell>
          <cell r="S350">
            <v>0</v>
          </cell>
        </row>
        <row r="351">
          <cell r="R351">
            <v>0</v>
          </cell>
          <cell r="S351">
            <v>0</v>
          </cell>
        </row>
        <row r="352">
          <cell r="R352">
            <v>0</v>
          </cell>
          <cell r="S352">
            <v>0</v>
          </cell>
        </row>
        <row r="353">
          <cell r="R353">
            <v>0</v>
          </cell>
          <cell r="S353">
            <v>0</v>
          </cell>
        </row>
        <row r="354">
          <cell r="R354">
            <v>0</v>
          </cell>
          <cell r="S354">
            <v>0</v>
          </cell>
        </row>
        <row r="355">
          <cell r="R355">
            <v>0</v>
          </cell>
          <cell r="S355">
            <v>0</v>
          </cell>
        </row>
        <row r="356">
          <cell r="R356">
            <v>0</v>
          </cell>
          <cell r="S356">
            <v>0</v>
          </cell>
        </row>
        <row r="357">
          <cell r="R357">
            <v>0</v>
          </cell>
          <cell r="S357">
            <v>0</v>
          </cell>
        </row>
        <row r="358">
          <cell r="R358">
            <v>0</v>
          </cell>
          <cell r="S358">
            <v>0</v>
          </cell>
        </row>
        <row r="359">
          <cell r="R359">
            <v>0</v>
          </cell>
          <cell r="S359">
            <v>0</v>
          </cell>
        </row>
        <row r="360">
          <cell r="R360">
            <v>0</v>
          </cell>
          <cell r="S360">
            <v>0</v>
          </cell>
        </row>
        <row r="361">
          <cell r="R361">
            <v>0</v>
          </cell>
          <cell r="S361">
            <v>0</v>
          </cell>
        </row>
        <row r="362">
          <cell r="R362">
            <v>0</v>
          </cell>
          <cell r="S362">
            <v>0</v>
          </cell>
        </row>
        <row r="363">
          <cell r="R363">
            <v>0</v>
          </cell>
          <cell r="S363">
            <v>0</v>
          </cell>
        </row>
        <row r="364">
          <cell r="R364">
            <v>0</v>
          </cell>
          <cell r="S364">
            <v>0</v>
          </cell>
        </row>
        <row r="365">
          <cell r="R365">
            <v>0</v>
          </cell>
          <cell r="S365">
            <v>0</v>
          </cell>
        </row>
        <row r="366">
          <cell r="R366">
            <v>0</v>
          </cell>
          <cell r="S366">
            <v>0</v>
          </cell>
        </row>
        <row r="367">
          <cell r="R367">
            <v>0</v>
          </cell>
          <cell r="S367">
            <v>0</v>
          </cell>
        </row>
        <row r="368">
          <cell r="R368">
            <v>0</v>
          </cell>
          <cell r="S368">
            <v>0</v>
          </cell>
        </row>
        <row r="369">
          <cell r="R369">
            <v>0</v>
          </cell>
          <cell r="S369">
            <v>0</v>
          </cell>
        </row>
        <row r="370">
          <cell r="R370">
            <v>0</v>
          </cell>
          <cell r="S370">
            <v>0</v>
          </cell>
        </row>
        <row r="371">
          <cell r="R371">
            <v>0</v>
          </cell>
          <cell r="S371">
            <v>0</v>
          </cell>
        </row>
        <row r="372">
          <cell r="R372">
            <v>0</v>
          </cell>
          <cell r="S372">
            <v>0</v>
          </cell>
        </row>
        <row r="373">
          <cell r="R373">
            <v>0</v>
          </cell>
          <cell r="S373">
            <v>0</v>
          </cell>
        </row>
        <row r="374">
          <cell r="R374">
            <v>0</v>
          </cell>
          <cell r="S374">
            <v>0</v>
          </cell>
        </row>
        <row r="375">
          <cell r="R375">
            <v>0</v>
          </cell>
          <cell r="S375">
            <v>0</v>
          </cell>
        </row>
        <row r="376">
          <cell r="R376">
            <v>0</v>
          </cell>
          <cell r="S376">
            <v>0</v>
          </cell>
        </row>
        <row r="377">
          <cell r="R377">
            <v>0</v>
          </cell>
          <cell r="S377">
            <v>0</v>
          </cell>
        </row>
        <row r="378">
          <cell r="R378">
            <v>0</v>
          </cell>
          <cell r="S378">
            <v>0</v>
          </cell>
        </row>
        <row r="379">
          <cell r="R379">
            <v>0</v>
          </cell>
          <cell r="S379">
            <v>0</v>
          </cell>
        </row>
        <row r="380">
          <cell r="R380">
            <v>0</v>
          </cell>
          <cell r="S380">
            <v>0</v>
          </cell>
        </row>
        <row r="381">
          <cell r="R381">
            <v>0</v>
          </cell>
          <cell r="S381">
            <v>0</v>
          </cell>
        </row>
        <row r="382">
          <cell r="R382">
            <v>0</v>
          </cell>
          <cell r="S382">
            <v>0</v>
          </cell>
        </row>
        <row r="383">
          <cell r="R383">
            <v>0</v>
          </cell>
          <cell r="S383">
            <v>0</v>
          </cell>
        </row>
        <row r="384">
          <cell r="R384">
            <v>0</v>
          </cell>
          <cell r="S384">
            <v>0</v>
          </cell>
        </row>
        <row r="385">
          <cell r="R385">
            <v>0</v>
          </cell>
          <cell r="S385">
            <v>0</v>
          </cell>
        </row>
        <row r="386">
          <cell r="R386">
            <v>0</v>
          </cell>
          <cell r="S386">
            <v>0</v>
          </cell>
        </row>
        <row r="387">
          <cell r="R387">
            <v>0</v>
          </cell>
          <cell r="S387">
            <v>0</v>
          </cell>
        </row>
        <row r="388">
          <cell r="R388">
            <v>0</v>
          </cell>
          <cell r="S388">
            <v>0</v>
          </cell>
        </row>
        <row r="389">
          <cell r="R389">
            <v>0</v>
          </cell>
          <cell r="S389">
            <v>0</v>
          </cell>
        </row>
        <row r="390">
          <cell r="R390">
            <v>0</v>
          </cell>
          <cell r="S390">
            <v>0</v>
          </cell>
        </row>
        <row r="391">
          <cell r="R391">
            <v>0</v>
          </cell>
          <cell r="S391">
            <v>0</v>
          </cell>
        </row>
        <row r="392">
          <cell r="R392">
            <v>0</v>
          </cell>
          <cell r="S392">
            <v>0</v>
          </cell>
        </row>
        <row r="393">
          <cell r="R393">
            <v>0</v>
          </cell>
          <cell r="S393">
            <v>0</v>
          </cell>
        </row>
        <row r="394">
          <cell r="R394">
            <v>0</v>
          </cell>
          <cell r="S394">
            <v>0</v>
          </cell>
        </row>
        <row r="395">
          <cell r="R395">
            <v>0</v>
          </cell>
          <cell r="S395">
            <v>0</v>
          </cell>
        </row>
        <row r="396">
          <cell r="R396">
            <v>0</v>
          </cell>
          <cell r="S396">
            <v>0</v>
          </cell>
        </row>
        <row r="397">
          <cell r="R397">
            <v>0</v>
          </cell>
          <cell r="S397">
            <v>0</v>
          </cell>
        </row>
        <row r="398">
          <cell r="R398">
            <v>0</v>
          </cell>
          <cell r="S398">
            <v>0</v>
          </cell>
        </row>
        <row r="399">
          <cell r="R399">
            <v>0</v>
          </cell>
          <cell r="S399">
            <v>0</v>
          </cell>
        </row>
        <row r="400">
          <cell r="R400">
            <v>0</v>
          </cell>
          <cell r="S400">
            <v>0</v>
          </cell>
        </row>
        <row r="401">
          <cell r="R401">
            <v>0</v>
          </cell>
          <cell r="S401">
            <v>0</v>
          </cell>
        </row>
        <row r="402">
          <cell r="R402">
            <v>0</v>
          </cell>
          <cell r="S402">
            <v>0</v>
          </cell>
        </row>
        <row r="403">
          <cell r="R403">
            <v>0</v>
          </cell>
          <cell r="S403">
            <v>0</v>
          </cell>
        </row>
        <row r="404">
          <cell r="R404">
            <v>0</v>
          </cell>
          <cell r="S404">
            <v>0</v>
          </cell>
        </row>
        <row r="405">
          <cell r="R405">
            <v>0</v>
          </cell>
          <cell r="S405">
            <v>0</v>
          </cell>
        </row>
        <row r="406">
          <cell r="R406">
            <v>0</v>
          </cell>
          <cell r="S406">
            <v>0</v>
          </cell>
        </row>
        <row r="407">
          <cell r="R407">
            <v>0</v>
          </cell>
          <cell r="S407">
            <v>0</v>
          </cell>
        </row>
        <row r="408">
          <cell r="R408">
            <v>0</v>
          </cell>
          <cell r="S408">
            <v>0</v>
          </cell>
        </row>
        <row r="409">
          <cell r="R409">
            <v>0</v>
          </cell>
          <cell r="S409">
            <v>0</v>
          </cell>
        </row>
        <row r="410">
          <cell r="R410">
            <v>0</v>
          </cell>
          <cell r="S410">
            <v>0</v>
          </cell>
        </row>
        <row r="411">
          <cell r="R411">
            <v>0</v>
          </cell>
          <cell r="S411">
            <v>0</v>
          </cell>
        </row>
        <row r="412">
          <cell r="R412">
            <v>0</v>
          </cell>
          <cell r="S412">
            <v>0</v>
          </cell>
        </row>
        <row r="413">
          <cell r="R413">
            <v>0</v>
          </cell>
          <cell r="S413">
            <v>0</v>
          </cell>
        </row>
        <row r="414">
          <cell r="R414">
            <v>0</v>
          </cell>
          <cell r="S414">
            <v>0</v>
          </cell>
        </row>
        <row r="415">
          <cell r="R415">
            <v>0</v>
          </cell>
          <cell r="S415">
            <v>0</v>
          </cell>
        </row>
        <row r="416">
          <cell r="R416">
            <v>0</v>
          </cell>
          <cell r="S416">
            <v>0</v>
          </cell>
        </row>
        <row r="417">
          <cell r="R417">
            <v>0</v>
          </cell>
          <cell r="S417">
            <v>0</v>
          </cell>
        </row>
        <row r="418">
          <cell r="R418">
            <v>0</v>
          </cell>
          <cell r="S418">
            <v>0</v>
          </cell>
        </row>
        <row r="419">
          <cell r="R419">
            <v>0</v>
          </cell>
          <cell r="S419">
            <v>0</v>
          </cell>
        </row>
        <row r="420">
          <cell r="R420">
            <v>0</v>
          </cell>
          <cell r="S420">
            <v>0</v>
          </cell>
        </row>
        <row r="421">
          <cell r="R421">
            <v>0</v>
          </cell>
          <cell r="S421">
            <v>0</v>
          </cell>
        </row>
        <row r="422">
          <cell r="R422">
            <v>0</v>
          </cell>
          <cell r="S422">
            <v>0</v>
          </cell>
        </row>
        <row r="423">
          <cell r="R423">
            <v>0</v>
          </cell>
          <cell r="S423">
            <v>0</v>
          </cell>
        </row>
        <row r="424">
          <cell r="R424">
            <v>0</v>
          </cell>
          <cell r="S424">
            <v>0</v>
          </cell>
        </row>
        <row r="425">
          <cell r="R425">
            <v>0</v>
          </cell>
          <cell r="S425">
            <v>0</v>
          </cell>
        </row>
        <row r="426">
          <cell r="R426">
            <v>0</v>
          </cell>
          <cell r="S426">
            <v>0</v>
          </cell>
        </row>
        <row r="427">
          <cell r="R427">
            <v>0</v>
          </cell>
          <cell r="S427">
            <v>0</v>
          </cell>
        </row>
        <row r="428">
          <cell r="R428">
            <v>0</v>
          </cell>
          <cell r="S428">
            <v>0</v>
          </cell>
        </row>
        <row r="429">
          <cell r="R429">
            <v>0</v>
          </cell>
          <cell r="S429">
            <v>0</v>
          </cell>
        </row>
        <row r="430">
          <cell r="R430">
            <v>0</v>
          </cell>
          <cell r="S430">
            <v>0</v>
          </cell>
        </row>
        <row r="431">
          <cell r="R431">
            <v>0</v>
          </cell>
          <cell r="S431">
            <v>0</v>
          </cell>
        </row>
        <row r="432">
          <cell r="R432">
            <v>0</v>
          </cell>
          <cell r="S432">
            <v>0</v>
          </cell>
        </row>
        <row r="433">
          <cell r="R433">
            <v>0</v>
          </cell>
          <cell r="S433">
            <v>0</v>
          </cell>
        </row>
        <row r="434">
          <cell r="R434">
            <v>0</v>
          </cell>
          <cell r="S434">
            <v>0</v>
          </cell>
        </row>
        <row r="435">
          <cell r="R435">
            <v>0</v>
          </cell>
          <cell r="S435">
            <v>0</v>
          </cell>
        </row>
        <row r="436">
          <cell r="R436">
            <v>0</v>
          </cell>
          <cell r="S436">
            <v>0</v>
          </cell>
        </row>
        <row r="437">
          <cell r="R437">
            <v>0</v>
          </cell>
          <cell r="S437">
            <v>0</v>
          </cell>
        </row>
        <row r="438">
          <cell r="R438">
            <v>0</v>
          </cell>
          <cell r="S438">
            <v>0</v>
          </cell>
        </row>
        <row r="439">
          <cell r="R439">
            <v>0</v>
          </cell>
          <cell r="S439">
            <v>0</v>
          </cell>
        </row>
        <row r="440">
          <cell r="R440">
            <v>0</v>
          </cell>
          <cell r="S440">
            <v>0</v>
          </cell>
        </row>
        <row r="441">
          <cell r="R441">
            <v>0</v>
          </cell>
          <cell r="S441">
            <v>0</v>
          </cell>
        </row>
        <row r="442">
          <cell r="R442">
            <v>0</v>
          </cell>
          <cell r="S442">
            <v>0</v>
          </cell>
        </row>
        <row r="443">
          <cell r="R443">
            <v>0</v>
          </cell>
          <cell r="S443">
            <v>0</v>
          </cell>
        </row>
        <row r="444">
          <cell r="R444">
            <v>0</v>
          </cell>
          <cell r="S444">
            <v>0</v>
          </cell>
        </row>
        <row r="445">
          <cell r="R445">
            <v>0</v>
          </cell>
          <cell r="S445">
            <v>0</v>
          </cell>
        </row>
        <row r="446">
          <cell r="R446">
            <v>0</v>
          </cell>
          <cell r="S446">
            <v>0</v>
          </cell>
        </row>
        <row r="447">
          <cell r="R447">
            <v>0</v>
          </cell>
          <cell r="S447">
            <v>0</v>
          </cell>
        </row>
        <row r="448">
          <cell r="R448">
            <v>0</v>
          </cell>
          <cell r="S448">
            <v>0</v>
          </cell>
        </row>
        <row r="449">
          <cell r="R449">
            <v>0</v>
          </cell>
          <cell r="S449">
            <v>0</v>
          </cell>
        </row>
        <row r="450">
          <cell r="R450">
            <v>0</v>
          </cell>
          <cell r="S450">
            <v>0</v>
          </cell>
        </row>
        <row r="451">
          <cell r="R451">
            <v>0</v>
          </cell>
          <cell r="S451">
            <v>0</v>
          </cell>
        </row>
        <row r="452">
          <cell r="R452">
            <v>0</v>
          </cell>
          <cell r="S452">
            <v>0</v>
          </cell>
        </row>
        <row r="453">
          <cell r="R453">
            <v>0</v>
          </cell>
          <cell r="S453">
            <v>0</v>
          </cell>
        </row>
        <row r="454">
          <cell r="R454">
            <v>0</v>
          </cell>
          <cell r="S454">
            <v>0</v>
          </cell>
        </row>
        <row r="455">
          <cell r="R455">
            <v>0</v>
          </cell>
          <cell r="S455">
            <v>0</v>
          </cell>
        </row>
        <row r="456">
          <cell r="R456">
            <v>0</v>
          </cell>
          <cell r="S456">
            <v>0</v>
          </cell>
        </row>
        <row r="457">
          <cell r="R457">
            <v>0</v>
          </cell>
          <cell r="S457">
            <v>0</v>
          </cell>
        </row>
        <row r="458">
          <cell r="R458">
            <v>0</v>
          </cell>
          <cell r="S458">
            <v>0</v>
          </cell>
        </row>
        <row r="459">
          <cell r="R459">
            <v>0</v>
          </cell>
          <cell r="S459">
            <v>0</v>
          </cell>
        </row>
        <row r="460">
          <cell r="R460">
            <v>0</v>
          </cell>
          <cell r="S460">
            <v>0</v>
          </cell>
        </row>
        <row r="461">
          <cell r="R461">
            <v>0</v>
          </cell>
          <cell r="S461">
            <v>0</v>
          </cell>
        </row>
        <row r="462">
          <cell r="R462">
            <v>0</v>
          </cell>
          <cell r="S462">
            <v>0</v>
          </cell>
        </row>
        <row r="463">
          <cell r="R463">
            <v>0</v>
          </cell>
          <cell r="S463">
            <v>0</v>
          </cell>
        </row>
        <row r="464">
          <cell r="R464">
            <v>0</v>
          </cell>
          <cell r="S464">
            <v>0</v>
          </cell>
        </row>
        <row r="465">
          <cell r="R465">
            <v>0</v>
          </cell>
          <cell r="S465">
            <v>0</v>
          </cell>
        </row>
        <row r="466">
          <cell r="R466">
            <v>0</v>
          </cell>
          <cell r="S466">
            <v>0</v>
          </cell>
        </row>
        <row r="467">
          <cell r="R467">
            <v>0</v>
          </cell>
          <cell r="S467">
            <v>0</v>
          </cell>
        </row>
        <row r="468">
          <cell r="R468">
            <v>0</v>
          </cell>
          <cell r="S468">
            <v>0</v>
          </cell>
        </row>
        <row r="469">
          <cell r="R469">
            <v>0</v>
          </cell>
          <cell r="S469">
            <v>0</v>
          </cell>
        </row>
        <row r="470">
          <cell r="R470">
            <v>0</v>
          </cell>
          <cell r="S470">
            <v>0</v>
          </cell>
        </row>
        <row r="471">
          <cell r="R471">
            <v>0</v>
          </cell>
          <cell r="S471">
            <v>0</v>
          </cell>
        </row>
        <row r="472">
          <cell r="R472">
            <v>0</v>
          </cell>
          <cell r="S472">
            <v>0</v>
          </cell>
        </row>
        <row r="473">
          <cell r="R473">
            <v>0</v>
          </cell>
          <cell r="S473">
            <v>0</v>
          </cell>
        </row>
        <row r="474">
          <cell r="R474">
            <v>0</v>
          </cell>
          <cell r="S474">
            <v>0</v>
          </cell>
        </row>
        <row r="475">
          <cell r="R475">
            <v>0</v>
          </cell>
          <cell r="S475">
            <v>0</v>
          </cell>
        </row>
        <row r="476">
          <cell r="R476">
            <v>0</v>
          </cell>
          <cell r="S476">
            <v>0</v>
          </cell>
        </row>
        <row r="477">
          <cell r="R477">
            <v>0</v>
          </cell>
          <cell r="S477">
            <v>0</v>
          </cell>
        </row>
        <row r="478">
          <cell r="R478">
            <v>0</v>
          </cell>
          <cell r="S478">
            <v>0</v>
          </cell>
        </row>
        <row r="479">
          <cell r="R479">
            <v>0</v>
          </cell>
          <cell r="S479">
            <v>0</v>
          </cell>
        </row>
        <row r="480">
          <cell r="R480">
            <v>0</v>
          </cell>
          <cell r="S480">
            <v>0</v>
          </cell>
        </row>
        <row r="481">
          <cell r="R481">
            <v>0</v>
          </cell>
          <cell r="S481">
            <v>0</v>
          </cell>
        </row>
        <row r="482">
          <cell r="R482">
            <v>0</v>
          </cell>
          <cell r="S482">
            <v>0</v>
          </cell>
        </row>
        <row r="483">
          <cell r="R483">
            <v>0</v>
          </cell>
          <cell r="S483">
            <v>0</v>
          </cell>
        </row>
        <row r="484">
          <cell r="R484">
            <v>0</v>
          </cell>
          <cell r="S484">
            <v>0</v>
          </cell>
        </row>
        <row r="485">
          <cell r="R485">
            <v>0</v>
          </cell>
          <cell r="S485">
            <v>0</v>
          </cell>
        </row>
        <row r="486">
          <cell r="R486">
            <v>0</v>
          </cell>
          <cell r="S486">
            <v>0</v>
          </cell>
        </row>
        <row r="487">
          <cell r="R487">
            <v>0</v>
          </cell>
          <cell r="S487">
            <v>0</v>
          </cell>
        </row>
        <row r="488">
          <cell r="R488">
            <v>0</v>
          </cell>
          <cell r="S488">
            <v>0</v>
          </cell>
        </row>
        <row r="489">
          <cell r="R489">
            <v>0</v>
          </cell>
          <cell r="S489">
            <v>0</v>
          </cell>
        </row>
        <row r="490">
          <cell r="R490">
            <v>0</v>
          </cell>
          <cell r="S490">
            <v>0</v>
          </cell>
        </row>
        <row r="491">
          <cell r="R491">
            <v>0</v>
          </cell>
          <cell r="S491">
            <v>0</v>
          </cell>
        </row>
        <row r="492">
          <cell r="R492">
            <v>0</v>
          </cell>
          <cell r="S492">
            <v>0</v>
          </cell>
        </row>
        <row r="493">
          <cell r="R493">
            <v>0</v>
          </cell>
          <cell r="S493">
            <v>0</v>
          </cell>
        </row>
        <row r="494">
          <cell r="R494">
            <v>0</v>
          </cell>
          <cell r="S494">
            <v>0</v>
          </cell>
        </row>
        <row r="495">
          <cell r="R495">
            <v>0</v>
          </cell>
          <cell r="S495">
            <v>0</v>
          </cell>
        </row>
        <row r="496">
          <cell r="R496">
            <v>0</v>
          </cell>
          <cell r="S496">
            <v>0</v>
          </cell>
        </row>
        <row r="497">
          <cell r="R497">
            <v>0</v>
          </cell>
          <cell r="S497">
            <v>0</v>
          </cell>
        </row>
        <row r="498">
          <cell r="R498">
            <v>0</v>
          </cell>
          <cell r="S498">
            <v>0</v>
          </cell>
        </row>
        <row r="499">
          <cell r="R499">
            <v>0</v>
          </cell>
          <cell r="S499">
            <v>0</v>
          </cell>
        </row>
        <row r="500">
          <cell r="R500">
            <v>0</v>
          </cell>
          <cell r="S500">
            <v>0</v>
          </cell>
        </row>
        <row r="501">
          <cell r="R501">
            <v>0</v>
          </cell>
          <cell r="S501">
            <v>0</v>
          </cell>
        </row>
        <row r="502">
          <cell r="R502">
            <v>0</v>
          </cell>
          <cell r="S502">
            <v>0</v>
          </cell>
        </row>
        <row r="503">
          <cell r="R503">
            <v>0</v>
          </cell>
          <cell r="S503">
            <v>0</v>
          </cell>
        </row>
        <row r="504">
          <cell r="R504">
            <v>0</v>
          </cell>
          <cell r="S504">
            <v>0</v>
          </cell>
        </row>
        <row r="505">
          <cell r="R505">
            <v>0</v>
          </cell>
          <cell r="S505">
            <v>0</v>
          </cell>
        </row>
        <row r="506">
          <cell r="R506">
            <v>0</v>
          </cell>
          <cell r="S506">
            <v>0</v>
          </cell>
        </row>
        <row r="507">
          <cell r="R507">
            <v>0</v>
          </cell>
          <cell r="S507">
            <v>0</v>
          </cell>
        </row>
        <row r="508">
          <cell r="R508">
            <v>0</v>
          </cell>
          <cell r="S508">
            <v>0</v>
          </cell>
        </row>
        <row r="509">
          <cell r="R509">
            <v>0</v>
          </cell>
          <cell r="S509">
            <v>0</v>
          </cell>
        </row>
        <row r="510">
          <cell r="R510">
            <v>0</v>
          </cell>
          <cell r="S510">
            <v>0</v>
          </cell>
        </row>
        <row r="511">
          <cell r="R511">
            <v>0</v>
          </cell>
          <cell r="S511">
            <v>0</v>
          </cell>
        </row>
        <row r="512">
          <cell r="R512">
            <v>0</v>
          </cell>
          <cell r="S512">
            <v>0</v>
          </cell>
        </row>
        <row r="513">
          <cell r="R513">
            <v>0</v>
          </cell>
          <cell r="S513">
            <v>0</v>
          </cell>
        </row>
        <row r="514">
          <cell r="R514">
            <v>0</v>
          </cell>
          <cell r="S514">
            <v>0</v>
          </cell>
        </row>
        <row r="515">
          <cell r="R515">
            <v>0</v>
          </cell>
          <cell r="S515">
            <v>0</v>
          </cell>
        </row>
        <row r="516">
          <cell r="R516">
            <v>0</v>
          </cell>
          <cell r="S516">
            <v>0</v>
          </cell>
        </row>
        <row r="517">
          <cell r="R517">
            <v>0</v>
          </cell>
          <cell r="S517">
            <v>0</v>
          </cell>
        </row>
        <row r="518">
          <cell r="R518">
            <v>0</v>
          </cell>
          <cell r="S518">
            <v>0</v>
          </cell>
        </row>
        <row r="519">
          <cell r="R519">
            <v>0</v>
          </cell>
          <cell r="S519">
            <v>0</v>
          </cell>
        </row>
        <row r="520">
          <cell r="R520">
            <v>0</v>
          </cell>
          <cell r="S520">
            <v>0</v>
          </cell>
        </row>
        <row r="521">
          <cell r="R521">
            <v>0</v>
          </cell>
          <cell r="S521">
            <v>0</v>
          </cell>
        </row>
        <row r="522">
          <cell r="R522">
            <v>0</v>
          </cell>
          <cell r="S522">
            <v>0</v>
          </cell>
        </row>
        <row r="523">
          <cell r="R523">
            <v>0</v>
          </cell>
          <cell r="S523">
            <v>0</v>
          </cell>
        </row>
        <row r="524">
          <cell r="R524">
            <v>0</v>
          </cell>
          <cell r="S524">
            <v>0</v>
          </cell>
        </row>
        <row r="525">
          <cell r="R525">
            <v>0</v>
          </cell>
          <cell r="S525">
            <v>0</v>
          </cell>
        </row>
        <row r="526">
          <cell r="R526">
            <v>0</v>
          </cell>
          <cell r="S526">
            <v>0</v>
          </cell>
        </row>
        <row r="527">
          <cell r="R527">
            <v>0</v>
          </cell>
          <cell r="S527">
            <v>0</v>
          </cell>
        </row>
        <row r="528">
          <cell r="R528">
            <v>0</v>
          </cell>
          <cell r="S528">
            <v>0</v>
          </cell>
        </row>
        <row r="529">
          <cell r="R529">
            <v>0</v>
          </cell>
          <cell r="S529">
            <v>0</v>
          </cell>
        </row>
        <row r="530">
          <cell r="R530">
            <v>0</v>
          </cell>
          <cell r="S530">
            <v>0</v>
          </cell>
        </row>
        <row r="531">
          <cell r="R531">
            <v>0</v>
          </cell>
          <cell r="S531">
            <v>0</v>
          </cell>
        </row>
        <row r="532">
          <cell r="R532">
            <v>0</v>
          </cell>
          <cell r="S532">
            <v>0</v>
          </cell>
        </row>
        <row r="533">
          <cell r="R533">
            <v>0</v>
          </cell>
          <cell r="S533">
            <v>0</v>
          </cell>
        </row>
        <row r="534">
          <cell r="R534">
            <v>0</v>
          </cell>
          <cell r="S534">
            <v>0</v>
          </cell>
        </row>
        <row r="535">
          <cell r="R535">
            <v>0</v>
          </cell>
          <cell r="S535">
            <v>0</v>
          </cell>
        </row>
        <row r="536">
          <cell r="R536">
            <v>0</v>
          </cell>
          <cell r="S536">
            <v>0</v>
          </cell>
        </row>
        <row r="537">
          <cell r="R537">
            <v>0</v>
          </cell>
          <cell r="S537">
            <v>0</v>
          </cell>
        </row>
        <row r="538">
          <cell r="R538">
            <v>0</v>
          </cell>
          <cell r="S538">
            <v>0</v>
          </cell>
        </row>
        <row r="539">
          <cell r="R539">
            <v>0</v>
          </cell>
          <cell r="S539">
            <v>0</v>
          </cell>
        </row>
        <row r="540">
          <cell r="R540">
            <v>0</v>
          </cell>
          <cell r="S540">
            <v>0</v>
          </cell>
        </row>
        <row r="541">
          <cell r="R541">
            <v>0</v>
          </cell>
          <cell r="S541">
            <v>0</v>
          </cell>
        </row>
        <row r="542">
          <cell r="R542">
            <v>0</v>
          </cell>
          <cell r="S542">
            <v>0</v>
          </cell>
        </row>
        <row r="543">
          <cell r="R543">
            <v>0</v>
          </cell>
          <cell r="S543">
            <v>0</v>
          </cell>
        </row>
        <row r="544">
          <cell r="R544">
            <v>0</v>
          </cell>
          <cell r="S544">
            <v>0</v>
          </cell>
        </row>
        <row r="545">
          <cell r="R545">
            <v>0</v>
          </cell>
          <cell r="S545">
            <v>0</v>
          </cell>
        </row>
        <row r="546">
          <cell r="R546">
            <v>0</v>
          </cell>
          <cell r="S546">
            <v>0</v>
          </cell>
        </row>
        <row r="547">
          <cell r="R547">
            <v>0</v>
          </cell>
          <cell r="S547">
            <v>0</v>
          </cell>
        </row>
        <row r="548">
          <cell r="R548">
            <v>0</v>
          </cell>
          <cell r="S548">
            <v>0</v>
          </cell>
        </row>
        <row r="549">
          <cell r="R549">
            <v>0</v>
          </cell>
          <cell r="S549">
            <v>0</v>
          </cell>
        </row>
        <row r="550">
          <cell r="R550">
            <v>0</v>
          </cell>
          <cell r="S550">
            <v>0</v>
          </cell>
        </row>
        <row r="551">
          <cell r="R551">
            <v>0</v>
          </cell>
          <cell r="S551">
            <v>0</v>
          </cell>
        </row>
        <row r="552">
          <cell r="R552">
            <v>0</v>
          </cell>
          <cell r="S552">
            <v>0</v>
          </cell>
        </row>
        <row r="553">
          <cell r="R553">
            <v>0</v>
          </cell>
          <cell r="S553">
            <v>0</v>
          </cell>
        </row>
        <row r="554">
          <cell r="R554">
            <v>0</v>
          </cell>
          <cell r="S554">
            <v>0</v>
          </cell>
        </row>
        <row r="555">
          <cell r="R555">
            <v>0</v>
          </cell>
          <cell r="S555">
            <v>0</v>
          </cell>
        </row>
        <row r="556">
          <cell r="R556">
            <v>0</v>
          </cell>
          <cell r="S556">
            <v>0</v>
          </cell>
        </row>
        <row r="557">
          <cell r="R557">
            <v>0</v>
          </cell>
          <cell r="S557">
            <v>0</v>
          </cell>
        </row>
        <row r="558">
          <cell r="R558">
            <v>0</v>
          </cell>
          <cell r="S558">
            <v>0</v>
          </cell>
        </row>
        <row r="559">
          <cell r="R559">
            <v>0</v>
          </cell>
          <cell r="S559">
            <v>0</v>
          </cell>
        </row>
        <row r="560">
          <cell r="R560">
            <v>0</v>
          </cell>
          <cell r="S560">
            <v>0</v>
          </cell>
        </row>
        <row r="561">
          <cell r="R561">
            <v>0</v>
          </cell>
          <cell r="S561">
            <v>0</v>
          </cell>
        </row>
        <row r="562">
          <cell r="R562">
            <v>0</v>
          </cell>
          <cell r="S562">
            <v>0</v>
          </cell>
        </row>
        <row r="563">
          <cell r="R563">
            <v>0</v>
          </cell>
          <cell r="S563">
            <v>0</v>
          </cell>
        </row>
        <row r="564">
          <cell r="R564">
            <v>0</v>
          </cell>
          <cell r="S564">
            <v>0</v>
          </cell>
        </row>
        <row r="565">
          <cell r="R565">
            <v>0</v>
          </cell>
          <cell r="S565">
            <v>0</v>
          </cell>
        </row>
        <row r="566">
          <cell r="R566">
            <v>0</v>
          </cell>
          <cell r="S566">
            <v>0</v>
          </cell>
        </row>
        <row r="567">
          <cell r="R567">
            <v>0</v>
          </cell>
          <cell r="S567">
            <v>0</v>
          </cell>
        </row>
        <row r="568">
          <cell r="R568">
            <v>0</v>
          </cell>
          <cell r="S568">
            <v>0</v>
          </cell>
        </row>
        <row r="569">
          <cell r="R569">
            <v>0</v>
          </cell>
          <cell r="S569">
            <v>0</v>
          </cell>
        </row>
        <row r="570">
          <cell r="R570">
            <v>0</v>
          </cell>
          <cell r="S570">
            <v>0</v>
          </cell>
        </row>
        <row r="571">
          <cell r="R571">
            <v>0</v>
          </cell>
          <cell r="S571">
            <v>0</v>
          </cell>
        </row>
        <row r="572">
          <cell r="R572">
            <v>0</v>
          </cell>
          <cell r="S572">
            <v>0</v>
          </cell>
        </row>
        <row r="573">
          <cell r="R573">
            <v>0</v>
          </cell>
          <cell r="S573">
            <v>0</v>
          </cell>
        </row>
        <row r="574">
          <cell r="R574">
            <v>0</v>
          </cell>
          <cell r="S574">
            <v>0</v>
          </cell>
        </row>
        <row r="575">
          <cell r="R575">
            <v>0</v>
          </cell>
          <cell r="S575">
            <v>0</v>
          </cell>
        </row>
        <row r="576">
          <cell r="R576">
            <v>0</v>
          </cell>
          <cell r="S576">
            <v>0</v>
          </cell>
        </row>
        <row r="577">
          <cell r="R577">
            <v>0</v>
          </cell>
          <cell r="S577">
            <v>0</v>
          </cell>
        </row>
        <row r="578">
          <cell r="R578">
            <v>0</v>
          </cell>
          <cell r="S578">
            <v>0</v>
          </cell>
        </row>
        <row r="579">
          <cell r="R579">
            <v>0</v>
          </cell>
          <cell r="S579">
            <v>0</v>
          </cell>
        </row>
        <row r="580">
          <cell r="R580">
            <v>0</v>
          </cell>
          <cell r="S580">
            <v>0</v>
          </cell>
        </row>
        <row r="581">
          <cell r="R581">
            <v>0</v>
          </cell>
          <cell r="S581">
            <v>0</v>
          </cell>
        </row>
        <row r="582">
          <cell r="R582">
            <v>0</v>
          </cell>
          <cell r="S582">
            <v>0</v>
          </cell>
        </row>
        <row r="583">
          <cell r="R583">
            <v>0</v>
          </cell>
          <cell r="S583">
            <v>0</v>
          </cell>
        </row>
        <row r="584">
          <cell r="R584">
            <v>0</v>
          </cell>
          <cell r="S584">
            <v>0</v>
          </cell>
        </row>
        <row r="585">
          <cell r="R585">
            <v>0</v>
          </cell>
          <cell r="S585">
            <v>0</v>
          </cell>
        </row>
        <row r="586">
          <cell r="R586">
            <v>0</v>
          </cell>
          <cell r="S586">
            <v>0</v>
          </cell>
        </row>
        <row r="587">
          <cell r="R587">
            <v>0</v>
          </cell>
          <cell r="S587">
            <v>0</v>
          </cell>
        </row>
        <row r="588">
          <cell r="R588">
            <v>0</v>
          </cell>
          <cell r="S588">
            <v>0</v>
          </cell>
        </row>
        <row r="589">
          <cell r="R589">
            <v>0</v>
          </cell>
          <cell r="S589">
            <v>0</v>
          </cell>
        </row>
        <row r="590">
          <cell r="R590">
            <v>0</v>
          </cell>
          <cell r="S590">
            <v>0</v>
          </cell>
        </row>
        <row r="591">
          <cell r="R591">
            <v>0</v>
          </cell>
          <cell r="S591">
            <v>0</v>
          </cell>
        </row>
        <row r="592">
          <cell r="R592">
            <v>0</v>
          </cell>
          <cell r="S592">
            <v>0</v>
          </cell>
        </row>
        <row r="593">
          <cell r="R593">
            <v>0</v>
          </cell>
          <cell r="S593">
            <v>0</v>
          </cell>
        </row>
        <row r="594">
          <cell r="R594">
            <v>0</v>
          </cell>
          <cell r="S594">
            <v>0</v>
          </cell>
        </row>
        <row r="595">
          <cell r="R595">
            <v>0</v>
          </cell>
          <cell r="S595">
            <v>0</v>
          </cell>
        </row>
        <row r="596">
          <cell r="R596">
            <v>0</v>
          </cell>
          <cell r="S596">
            <v>0</v>
          </cell>
        </row>
        <row r="597">
          <cell r="R597">
            <v>0</v>
          </cell>
          <cell r="S597">
            <v>0</v>
          </cell>
        </row>
        <row r="598">
          <cell r="R598">
            <v>0</v>
          </cell>
          <cell r="S598">
            <v>0</v>
          </cell>
        </row>
        <row r="599">
          <cell r="R599">
            <v>0</v>
          </cell>
          <cell r="S599">
            <v>0</v>
          </cell>
        </row>
        <row r="600">
          <cell r="R600">
            <v>0</v>
          </cell>
          <cell r="S600">
            <v>0</v>
          </cell>
        </row>
        <row r="601">
          <cell r="R601">
            <v>0</v>
          </cell>
          <cell r="S601">
            <v>0</v>
          </cell>
        </row>
        <row r="602">
          <cell r="R602">
            <v>0</v>
          </cell>
          <cell r="S602">
            <v>0</v>
          </cell>
        </row>
        <row r="603">
          <cell r="R603">
            <v>0</v>
          </cell>
          <cell r="S603">
            <v>0</v>
          </cell>
        </row>
        <row r="604">
          <cell r="R604">
            <v>0</v>
          </cell>
          <cell r="S604">
            <v>0</v>
          </cell>
        </row>
        <row r="605">
          <cell r="R605">
            <v>0</v>
          </cell>
          <cell r="S605">
            <v>0</v>
          </cell>
        </row>
        <row r="606">
          <cell r="R606">
            <v>0</v>
          </cell>
          <cell r="S606">
            <v>0</v>
          </cell>
        </row>
        <row r="607">
          <cell r="R607">
            <v>0</v>
          </cell>
          <cell r="S607">
            <v>0</v>
          </cell>
        </row>
        <row r="608">
          <cell r="R608">
            <v>0</v>
          </cell>
          <cell r="S608">
            <v>0</v>
          </cell>
        </row>
        <row r="609">
          <cell r="R609">
            <v>0</v>
          </cell>
          <cell r="S609">
            <v>0</v>
          </cell>
        </row>
        <row r="610">
          <cell r="R610">
            <v>0</v>
          </cell>
          <cell r="S610">
            <v>0</v>
          </cell>
        </row>
        <row r="611">
          <cell r="R611">
            <v>0</v>
          </cell>
          <cell r="S611">
            <v>0</v>
          </cell>
        </row>
        <row r="612">
          <cell r="R612">
            <v>0</v>
          </cell>
          <cell r="S612">
            <v>0</v>
          </cell>
        </row>
        <row r="613">
          <cell r="R613">
            <v>0</v>
          </cell>
          <cell r="S613">
            <v>0</v>
          </cell>
        </row>
        <row r="614">
          <cell r="R614">
            <v>0</v>
          </cell>
          <cell r="S614">
            <v>0</v>
          </cell>
        </row>
        <row r="615">
          <cell r="R615">
            <v>0</v>
          </cell>
          <cell r="S615">
            <v>0</v>
          </cell>
        </row>
        <row r="616">
          <cell r="R616">
            <v>0</v>
          </cell>
          <cell r="S616">
            <v>0</v>
          </cell>
        </row>
        <row r="617">
          <cell r="R617">
            <v>0</v>
          </cell>
          <cell r="S617">
            <v>0</v>
          </cell>
        </row>
        <row r="618">
          <cell r="R618">
            <v>0</v>
          </cell>
          <cell r="S618">
            <v>0</v>
          </cell>
        </row>
        <row r="619">
          <cell r="R619">
            <v>0</v>
          </cell>
          <cell r="S619">
            <v>0</v>
          </cell>
        </row>
        <row r="620">
          <cell r="R620">
            <v>0</v>
          </cell>
          <cell r="S620">
            <v>0</v>
          </cell>
        </row>
        <row r="621">
          <cell r="R621">
            <v>0</v>
          </cell>
          <cell r="S621">
            <v>0</v>
          </cell>
        </row>
        <row r="622">
          <cell r="R622">
            <v>0</v>
          </cell>
          <cell r="S622">
            <v>0</v>
          </cell>
        </row>
        <row r="623">
          <cell r="R623">
            <v>0</v>
          </cell>
          <cell r="S623">
            <v>0</v>
          </cell>
        </row>
        <row r="624">
          <cell r="R624">
            <v>0</v>
          </cell>
          <cell r="S624">
            <v>0</v>
          </cell>
        </row>
        <row r="625">
          <cell r="R625">
            <v>0</v>
          </cell>
          <cell r="S625">
            <v>0</v>
          </cell>
        </row>
        <row r="626">
          <cell r="R626">
            <v>0</v>
          </cell>
          <cell r="S626">
            <v>0</v>
          </cell>
        </row>
        <row r="627">
          <cell r="R627">
            <v>0</v>
          </cell>
          <cell r="S627">
            <v>0</v>
          </cell>
        </row>
        <row r="628">
          <cell r="R628">
            <v>0</v>
          </cell>
          <cell r="S628">
            <v>0</v>
          </cell>
        </row>
        <row r="629">
          <cell r="R629">
            <v>0</v>
          </cell>
          <cell r="S629">
            <v>0</v>
          </cell>
        </row>
        <row r="630">
          <cell r="R630">
            <v>0</v>
          </cell>
          <cell r="S630">
            <v>0</v>
          </cell>
        </row>
        <row r="631">
          <cell r="R631">
            <v>0</v>
          </cell>
          <cell r="S631">
            <v>0</v>
          </cell>
        </row>
        <row r="632">
          <cell r="R632">
            <v>0</v>
          </cell>
          <cell r="S632">
            <v>0</v>
          </cell>
        </row>
        <row r="633">
          <cell r="R633">
            <v>0</v>
          </cell>
          <cell r="S633">
            <v>0</v>
          </cell>
        </row>
        <row r="634">
          <cell r="R634">
            <v>0</v>
          </cell>
          <cell r="S634">
            <v>0</v>
          </cell>
        </row>
        <row r="635">
          <cell r="R635">
            <v>0</v>
          </cell>
          <cell r="S635">
            <v>0</v>
          </cell>
        </row>
        <row r="636">
          <cell r="R636">
            <v>0</v>
          </cell>
          <cell r="S636">
            <v>0</v>
          </cell>
        </row>
        <row r="637">
          <cell r="R637">
            <v>0</v>
          </cell>
          <cell r="S637">
            <v>0</v>
          </cell>
        </row>
        <row r="638">
          <cell r="R638">
            <v>0</v>
          </cell>
          <cell r="S638">
            <v>0</v>
          </cell>
        </row>
        <row r="639">
          <cell r="R639">
            <v>0</v>
          </cell>
          <cell r="S639">
            <v>0</v>
          </cell>
        </row>
        <row r="640">
          <cell r="R640">
            <v>0</v>
          </cell>
          <cell r="S640">
            <v>0</v>
          </cell>
        </row>
        <row r="641">
          <cell r="R641">
            <v>0</v>
          </cell>
          <cell r="S641">
            <v>0</v>
          </cell>
        </row>
        <row r="642">
          <cell r="R642">
            <v>0</v>
          </cell>
          <cell r="S642">
            <v>0</v>
          </cell>
        </row>
        <row r="643">
          <cell r="R643">
            <v>0</v>
          </cell>
          <cell r="S643">
            <v>0</v>
          </cell>
        </row>
        <row r="644">
          <cell r="R644">
            <v>0</v>
          </cell>
          <cell r="S644">
            <v>0</v>
          </cell>
        </row>
        <row r="645">
          <cell r="R645">
            <v>0</v>
          </cell>
          <cell r="S645">
            <v>0</v>
          </cell>
        </row>
        <row r="646">
          <cell r="R646">
            <v>0</v>
          </cell>
          <cell r="S646">
            <v>0</v>
          </cell>
        </row>
        <row r="647">
          <cell r="R647">
            <v>0</v>
          </cell>
          <cell r="S647">
            <v>0</v>
          </cell>
        </row>
        <row r="648">
          <cell r="R648">
            <v>0</v>
          </cell>
          <cell r="S648">
            <v>0</v>
          </cell>
        </row>
        <row r="649">
          <cell r="R649">
            <v>0</v>
          </cell>
          <cell r="S649">
            <v>0</v>
          </cell>
        </row>
        <row r="650">
          <cell r="R650">
            <v>0</v>
          </cell>
          <cell r="S650">
            <v>0</v>
          </cell>
        </row>
        <row r="651">
          <cell r="R651">
            <v>0</v>
          </cell>
          <cell r="S651">
            <v>0</v>
          </cell>
        </row>
        <row r="652">
          <cell r="R652">
            <v>0</v>
          </cell>
          <cell r="S652">
            <v>0</v>
          </cell>
        </row>
        <row r="653">
          <cell r="R653">
            <v>0</v>
          </cell>
          <cell r="S653">
            <v>0</v>
          </cell>
        </row>
        <row r="654">
          <cell r="R654">
            <v>0</v>
          </cell>
          <cell r="S654">
            <v>0</v>
          </cell>
        </row>
        <row r="655">
          <cell r="R655">
            <v>0</v>
          </cell>
          <cell r="S655">
            <v>0</v>
          </cell>
        </row>
        <row r="656">
          <cell r="R656">
            <v>0</v>
          </cell>
          <cell r="S656">
            <v>0</v>
          </cell>
        </row>
        <row r="657">
          <cell r="R657">
            <v>0</v>
          </cell>
          <cell r="S657">
            <v>0</v>
          </cell>
        </row>
        <row r="658">
          <cell r="R658">
            <v>0</v>
          </cell>
          <cell r="S658">
            <v>0</v>
          </cell>
        </row>
        <row r="659">
          <cell r="R659">
            <v>0</v>
          </cell>
          <cell r="S659">
            <v>0</v>
          </cell>
        </row>
        <row r="660">
          <cell r="R660">
            <v>0</v>
          </cell>
          <cell r="S660">
            <v>0</v>
          </cell>
        </row>
        <row r="661">
          <cell r="R661">
            <v>0</v>
          </cell>
          <cell r="S661">
            <v>0</v>
          </cell>
        </row>
        <row r="662">
          <cell r="R662">
            <v>0</v>
          </cell>
          <cell r="S662">
            <v>0</v>
          </cell>
        </row>
        <row r="663">
          <cell r="R663">
            <v>0</v>
          </cell>
          <cell r="S663">
            <v>0</v>
          </cell>
        </row>
        <row r="664">
          <cell r="R664">
            <v>0</v>
          </cell>
          <cell r="S664">
            <v>0</v>
          </cell>
        </row>
        <row r="665">
          <cell r="R665">
            <v>0</v>
          </cell>
          <cell r="S665">
            <v>0</v>
          </cell>
        </row>
        <row r="666">
          <cell r="R666">
            <v>0</v>
          </cell>
          <cell r="S666">
            <v>0</v>
          </cell>
        </row>
        <row r="667">
          <cell r="R667">
            <v>0</v>
          </cell>
          <cell r="S667">
            <v>0</v>
          </cell>
        </row>
        <row r="668">
          <cell r="R668">
            <v>0</v>
          </cell>
          <cell r="S668">
            <v>0</v>
          </cell>
        </row>
        <row r="669">
          <cell r="R669">
            <v>0</v>
          </cell>
          <cell r="S669">
            <v>0</v>
          </cell>
        </row>
        <row r="670">
          <cell r="R670">
            <v>0</v>
          </cell>
          <cell r="S670">
            <v>0</v>
          </cell>
        </row>
        <row r="671">
          <cell r="R671">
            <v>0</v>
          </cell>
          <cell r="S671">
            <v>0</v>
          </cell>
        </row>
        <row r="672">
          <cell r="R672">
            <v>0</v>
          </cell>
          <cell r="S672">
            <v>0</v>
          </cell>
        </row>
        <row r="673">
          <cell r="R673">
            <v>0</v>
          </cell>
          <cell r="S673">
            <v>0</v>
          </cell>
        </row>
        <row r="674">
          <cell r="R674">
            <v>0</v>
          </cell>
          <cell r="S674">
            <v>0</v>
          </cell>
        </row>
        <row r="675">
          <cell r="R675">
            <v>0</v>
          </cell>
          <cell r="S675">
            <v>0</v>
          </cell>
        </row>
        <row r="676">
          <cell r="R676">
            <v>0</v>
          </cell>
          <cell r="S676">
            <v>0</v>
          </cell>
        </row>
        <row r="677">
          <cell r="R677">
            <v>0</v>
          </cell>
          <cell r="S677">
            <v>0</v>
          </cell>
        </row>
        <row r="678">
          <cell r="R678">
            <v>0</v>
          </cell>
          <cell r="S678">
            <v>0</v>
          </cell>
        </row>
        <row r="679">
          <cell r="R679">
            <v>0</v>
          </cell>
          <cell r="S679">
            <v>0</v>
          </cell>
        </row>
        <row r="680">
          <cell r="R680">
            <v>0</v>
          </cell>
          <cell r="S680">
            <v>0</v>
          </cell>
        </row>
        <row r="681">
          <cell r="R681">
            <v>0</v>
          </cell>
          <cell r="S681">
            <v>0</v>
          </cell>
        </row>
        <row r="682">
          <cell r="R682">
            <v>0</v>
          </cell>
          <cell r="S682">
            <v>0</v>
          </cell>
        </row>
        <row r="683">
          <cell r="R683">
            <v>0</v>
          </cell>
          <cell r="S683">
            <v>0</v>
          </cell>
        </row>
        <row r="684">
          <cell r="R684">
            <v>0</v>
          </cell>
          <cell r="S684">
            <v>0</v>
          </cell>
        </row>
        <row r="685">
          <cell r="R685">
            <v>0</v>
          </cell>
          <cell r="S685">
            <v>0</v>
          </cell>
        </row>
        <row r="686">
          <cell r="R686">
            <v>0</v>
          </cell>
          <cell r="S686">
            <v>0</v>
          </cell>
        </row>
        <row r="687">
          <cell r="R687">
            <v>0</v>
          </cell>
          <cell r="S687">
            <v>0</v>
          </cell>
        </row>
        <row r="688">
          <cell r="R688">
            <v>0</v>
          </cell>
          <cell r="S688">
            <v>0</v>
          </cell>
        </row>
        <row r="689">
          <cell r="R689">
            <v>0</v>
          </cell>
          <cell r="S689">
            <v>0</v>
          </cell>
        </row>
        <row r="690">
          <cell r="R690">
            <v>0</v>
          </cell>
          <cell r="S690">
            <v>0</v>
          </cell>
        </row>
        <row r="691">
          <cell r="R691">
            <v>0</v>
          </cell>
          <cell r="S691">
            <v>0</v>
          </cell>
        </row>
        <row r="692">
          <cell r="R692">
            <v>0</v>
          </cell>
          <cell r="S692">
            <v>0</v>
          </cell>
        </row>
        <row r="693">
          <cell r="R693">
            <v>0</v>
          </cell>
          <cell r="S693">
            <v>0</v>
          </cell>
        </row>
        <row r="694">
          <cell r="R694">
            <v>0</v>
          </cell>
          <cell r="S694">
            <v>0</v>
          </cell>
        </row>
        <row r="695">
          <cell r="R695">
            <v>0</v>
          </cell>
          <cell r="S695">
            <v>0</v>
          </cell>
        </row>
        <row r="696">
          <cell r="R696">
            <v>0</v>
          </cell>
          <cell r="S696">
            <v>0</v>
          </cell>
        </row>
        <row r="697">
          <cell r="R697">
            <v>0</v>
          </cell>
          <cell r="S697">
            <v>0</v>
          </cell>
        </row>
        <row r="698">
          <cell r="R698">
            <v>0</v>
          </cell>
          <cell r="S698">
            <v>0</v>
          </cell>
        </row>
        <row r="699">
          <cell r="R699">
            <v>0</v>
          </cell>
          <cell r="S699">
            <v>0</v>
          </cell>
        </row>
        <row r="700">
          <cell r="R700">
            <v>0</v>
          </cell>
          <cell r="S700">
            <v>0</v>
          </cell>
        </row>
        <row r="701">
          <cell r="R701">
            <v>0</v>
          </cell>
          <cell r="S701">
            <v>0</v>
          </cell>
        </row>
        <row r="702">
          <cell r="R702">
            <v>0</v>
          </cell>
          <cell r="S702">
            <v>0</v>
          </cell>
        </row>
        <row r="703">
          <cell r="R703">
            <v>0</v>
          </cell>
          <cell r="S703">
            <v>0</v>
          </cell>
        </row>
        <row r="704">
          <cell r="R704">
            <v>0</v>
          </cell>
          <cell r="S704">
            <v>0</v>
          </cell>
        </row>
        <row r="705">
          <cell r="R705">
            <v>0</v>
          </cell>
          <cell r="S705">
            <v>0</v>
          </cell>
        </row>
        <row r="706">
          <cell r="R706">
            <v>0</v>
          </cell>
          <cell r="S706">
            <v>0</v>
          </cell>
        </row>
        <row r="707">
          <cell r="R707">
            <v>0</v>
          </cell>
          <cell r="S707">
            <v>0</v>
          </cell>
        </row>
        <row r="708">
          <cell r="R708">
            <v>0</v>
          </cell>
          <cell r="S708">
            <v>0</v>
          </cell>
        </row>
        <row r="709">
          <cell r="R709">
            <v>0</v>
          </cell>
          <cell r="S709">
            <v>0</v>
          </cell>
        </row>
        <row r="710">
          <cell r="R710">
            <v>0</v>
          </cell>
          <cell r="S710">
            <v>0</v>
          </cell>
        </row>
        <row r="711">
          <cell r="R711">
            <v>0</v>
          </cell>
          <cell r="S711">
            <v>0</v>
          </cell>
        </row>
        <row r="712">
          <cell r="R712">
            <v>0</v>
          </cell>
          <cell r="S712">
            <v>0</v>
          </cell>
        </row>
        <row r="713">
          <cell r="R713">
            <v>0</v>
          </cell>
          <cell r="S713">
            <v>0</v>
          </cell>
        </row>
        <row r="714">
          <cell r="R714">
            <v>0</v>
          </cell>
          <cell r="S714">
            <v>0</v>
          </cell>
        </row>
        <row r="715">
          <cell r="R715">
            <v>0</v>
          </cell>
          <cell r="S715">
            <v>0</v>
          </cell>
        </row>
        <row r="716">
          <cell r="R716">
            <v>0</v>
          </cell>
          <cell r="S716">
            <v>0</v>
          </cell>
        </row>
        <row r="717">
          <cell r="R717">
            <v>0</v>
          </cell>
          <cell r="S717">
            <v>0</v>
          </cell>
        </row>
        <row r="718">
          <cell r="R718">
            <v>0</v>
          </cell>
          <cell r="S718">
            <v>0</v>
          </cell>
        </row>
        <row r="719">
          <cell r="R719">
            <v>0</v>
          </cell>
          <cell r="S719">
            <v>0</v>
          </cell>
        </row>
        <row r="720">
          <cell r="R720">
            <v>0</v>
          </cell>
          <cell r="S720">
            <v>0</v>
          </cell>
        </row>
        <row r="721">
          <cell r="R721">
            <v>0</v>
          </cell>
          <cell r="S721">
            <v>0</v>
          </cell>
        </row>
        <row r="722">
          <cell r="R722">
            <v>0</v>
          </cell>
          <cell r="S722">
            <v>0</v>
          </cell>
        </row>
        <row r="723">
          <cell r="R723">
            <v>0</v>
          </cell>
          <cell r="S723">
            <v>0</v>
          </cell>
        </row>
        <row r="724">
          <cell r="R724">
            <v>0</v>
          </cell>
          <cell r="S724">
            <v>0</v>
          </cell>
        </row>
        <row r="725">
          <cell r="R725">
            <v>0</v>
          </cell>
          <cell r="S725">
            <v>0</v>
          </cell>
        </row>
        <row r="726">
          <cell r="R726">
            <v>0</v>
          </cell>
          <cell r="S726">
            <v>0</v>
          </cell>
        </row>
        <row r="727">
          <cell r="R727">
            <v>0</v>
          </cell>
          <cell r="S727">
            <v>0</v>
          </cell>
        </row>
        <row r="728">
          <cell r="R728">
            <v>0</v>
          </cell>
          <cell r="S728">
            <v>0</v>
          </cell>
        </row>
        <row r="729">
          <cell r="R729">
            <v>0</v>
          </cell>
          <cell r="S729">
            <v>0</v>
          </cell>
        </row>
        <row r="730">
          <cell r="R730">
            <v>0</v>
          </cell>
          <cell r="S730">
            <v>0</v>
          </cell>
        </row>
        <row r="731">
          <cell r="R731">
            <v>0</v>
          </cell>
          <cell r="S731">
            <v>0</v>
          </cell>
        </row>
        <row r="732">
          <cell r="R732">
            <v>0</v>
          </cell>
          <cell r="S732">
            <v>0</v>
          </cell>
        </row>
        <row r="733">
          <cell r="R733">
            <v>0</v>
          </cell>
          <cell r="S733">
            <v>0</v>
          </cell>
        </row>
        <row r="734">
          <cell r="R734">
            <v>0</v>
          </cell>
          <cell r="S734">
            <v>0</v>
          </cell>
        </row>
        <row r="735">
          <cell r="R735">
            <v>0</v>
          </cell>
          <cell r="S735">
            <v>0</v>
          </cell>
        </row>
        <row r="736">
          <cell r="R736">
            <v>0</v>
          </cell>
          <cell r="S736">
            <v>0</v>
          </cell>
        </row>
        <row r="737">
          <cell r="R737">
            <v>0</v>
          </cell>
          <cell r="S737">
            <v>0</v>
          </cell>
        </row>
        <row r="738">
          <cell r="R738">
            <v>0</v>
          </cell>
          <cell r="S738">
            <v>0</v>
          </cell>
        </row>
        <row r="739">
          <cell r="R739">
            <v>0</v>
          </cell>
          <cell r="S739">
            <v>0</v>
          </cell>
        </row>
        <row r="740">
          <cell r="R740">
            <v>0</v>
          </cell>
          <cell r="S740">
            <v>0</v>
          </cell>
        </row>
        <row r="741">
          <cell r="R741">
            <v>0</v>
          </cell>
          <cell r="S741">
            <v>0</v>
          </cell>
        </row>
        <row r="742">
          <cell r="R742">
            <v>0</v>
          </cell>
          <cell r="S742">
            <v>0</v>
          </cell>
        </row>
        <row r="743">
          <cell r="R743">
            <v>0</v>
          </cell>
          <cell r="S743">
            <v>0</v>
          </cell>
        </row>
        <row r="744">
          <cell r="R744">
            <v>0</v>
          </cell>
          <cell r="S744">
            <v>0</v>
          </cell>
        </row>
        <row r="745">
          <cell r="R745">
            <v>0</v>
          </cell>
          <cell r="S745">
            <v>0</v>
          </cell>
        </row>
        <row r="746">
          <cell r="R746">
            <v>0</v>
          </cell>
          <cell r="S746">
            <v>0</v>
          </cell>
        </row>
        <row r="747">
          <cell r="R747">
            <v>0</v>
          </cell>
          <cell r="S747">
            <v>0</v>
          </cell>
        </row>
        <row r="748">
          <cell r="R748">
            <v>0</v>
          </cell>
          <cell r="S748">
            <v>0</v>
          </cell>
        </row>
        <row r="749">
          <cell r="R749">
            <v>0</v>
          </cell>
          <cell r="S749">
            <v>0</v>
          </cell>
        </row>
        <row r="750">
          <cell r="R750">
            <v>0</v>
          </cell>
          <cell r="S750">
            <v>0</v>
          </cell>
        </row>
        <row r="751">
          <cell r="R751">
            <v>0</v>
          </cell>
          <cell r="S751">
            <v>0</v>
          </cell>
        </row>
        <row r="752">
          <cell r="R752">
            <v>0</v>
          </cell>
          <cell r="S752">
            <v>0</v>
          </cell>
        </row>
        <row r="753">
          <cell r="R753">
            <v>0</v>
          </cell>
          <cell r="S753">
            <v>0</v>
          </cell>
        </row>
        <row r="754">
          <cell r="R754">
            <v>0</v>
          </cell>
          <cell r="S754">
            <v>0</v>
          </cell>
        </row>
        <row r="755">
          <cell r="R755">
            <v>0</v>
          </cell>
          <cell r="S755">
            <v>0</v>
          </cell>
        </row>
        <row r="756">
          <cell r="R756">
            <v>0</v>
          </cell>
          <cell r="S756">
            <v>0</v>
          </cell>
        </row>
        <row r="757">
          <cell r="R757">
            <v>0</v>
          </cell>
          <cell r="S757">
            <v>0</v>
          </cell>
        </row>
        <row r="758">
          <cell r="R758">
            <v>0</v>
          </cell>
          <cell r="S758">
            <v>0</v>
          </cell>
        </row>
        <row r="759">
          <cell r="R759">
            <v>0</v>
          </cell>
          <cell r="S759">
            <v>0</v>
          </cell>
        </row>
        <row r="760">
          <cell r="R760">
            <v>0</v>
          </cell>
          <cell r="S760">
            <v>0</v>
          </cell>
        </row>
        <row r="761">
          <cell r="R761">
            <v>0</v>
          </cell>
          <cell r="S761">
            <v>0</v>
          </cell>
        </row>
        <row r="762">
          <cell r="R762">
            <v>0</v>
          </cell>
          <cell r="S762">
            <v>0</v>
          </cell>
        </row>
        <row r="763">
          <cell r="R763">
            <v>0</v>
          </cell>
          <cell r="S763">
            <v>0</v>
          </cell>
        </row>
        <row r="764">
          <cell r="R764">
            <v>0</v>
          </cell>
          <cell r="S764">
            <v>0</v>
          </cell>
        </row>
        <row r="765">
          <cell r="R765">
            <v>0</v>
          </cell>
          <cell r="S765">
            <v>0</v>
          </cell>
        </row>
        <row r="766">
          <cell r="R766">
            <v>0</v>
          </cell>
          <cell r="S766">
            <v>0</v>
          </cell>
        </row>
        <row r="767">
          <cell r="R767">
            <v>0</v>
          </cell>
          <cell r="S767">
            <v>0</v>
          </cell>
        </row>
        <row r="768">
          <cell r="R768">
            <v>0</v>
          </cell>
          <cell r="S768">
            <v>0</v>
          </cell>
        </row>
        <row r="769">
          <cell r="R769">
            <v>0</v>
          </cell>
          <cell r="S769">
            <v>0</v>
          </cell>
        </row>
        <row r="770">
          <cell r="R770">
            <v>0</v>
          </cell>
          <cell r="S770">
            <v>0</v>
          </cell>
        </row>
        <row r="771">
          <cell r="R771">
            <v>0</v>
          </cell>
          <cell r="S771">
            <v>0</v>
          </cell>
        </row>
        <row r="772">
          <cell r="R772">
            <v>0</v>
          </cell>
          <cell r="S772">
            <v>0</v>
          </cell>
        </row>
        <row r="773">
          <cell r="R773">
            <v>0</v>
          </cell>
          <cell r="S773">
            <v>0</v>
          </cell>
        </row>
        <row r="774">
          <cell r="R774">
            <v>0</v>
          </cell>
          <cell r="S774">
            <v>0</v>
          </cell>
        </row>
        <row r="775">
          <cell r="R775">
            <v>0</v>
          </cell>
          <cell r="S775">
            <v>0</v>
          </cell>
        </row>
        <row r="776">
          <cell r="R776">
            <v>0</v>
          </cell>
          <cell r="S776">
            <v>0</v>
          </cell>
        </row>
        <row r="777">
          <cell r="R777">
            <v>0</v>
          </cell>
          <cell r="S777">
            <v>0</v>
          </cell>
        </row>
        <row r="778">
          <cell r="R778">
            <v>0</v>
          </cell>
          <cell r="S778">
            <v>0</v>
          </cell>
        </row>
        <row r="779">
          <cell r="R779">
            <v>0</v>
          </cell>
          <cell r="S779">
            <v>0</v>
          </cell>
        </row>
        <row r="780">
          <cell r="R780">
            <v>0</v>
          </cell>
          <cell r="S780">
            <v>0</v>
          </cell>
        </row>
        <row r="781">
          <cell r="R781">
            <v>0</v>
          </cell>
          <cell r="S781">
            <v>0</v>
          </cell>
        </row>
        <row r="782">
          <cell r="R782">
            <v>0</v>
          </cell>
          <cell r="S782">
            <v>0</v>
          </cell>
        </row>
        <row r="783">
          <cell r="R783">
            <v>0</v>
          </cell>
          <cell r="S783">
            <v>0</v>
          </cell>
        </row>
        <row r="784">
          <cell r="R784">
            <v>0</v>
          </cell>
          <cell r="S784">
            <v>0</v>
          </cell>
        </row>
        <row r="785">
          <cell r="R785">
            <v>0</v>
          </cell>
          <cell r="S785">
            <v>0</v>
          </cell>
        </row>
        <row r="786">
          <cell r="R786">
            <v>0</v>
          </cell>
          <cell r="S786">
            <v>0</v>
          </cell>
        </row>
        <row r="787">
          <cell r="R787">
            <v>0</v>
          </cell>
          <cell r="S787">
            <v>0</v>
          </cell>
        </row>
        <row r="788">
          <cell r="R788">
            <v>0</v>
          </cell>
          <cell r="S788">
            <v>0</v>
          </cell>
        </row>
        <row r="789">
          <cell r="R789">
            <v>0</v>
          </cell>
          <cell r="S789">
            <v>0</v>
          </cell>
        </row>
        <row r="790">
          <cell r="R790">
            <v>0</v>
          </cell>
          <cell r="S790">
            <v>0</v>
          </cell>
        </row>
        <row r="791">
          <cell r="R791">
            <v>0</v>
          </cell>
          <cell r="S791">
            <v>0</v>
          </cell>
        </row>
        <row r="792">
          <cell r="R792">
            <v>0</v>
          </cell>
          <cell r="S792">
            <v>0</v>
          </cell>
        </row>
        <row r="793">
          <cell r="R793">
            <v>0</v>
          </cell>
          <cell r="S793">
            <v>0</v>
          </cell>
        </row>
        <row r="794">
          <cell r="R794">
            <v>0</v>
          </cell>
          <cell r="S794">
            <v>0</v>
          </cell>
        </row>
        <row r="795">
          <cell r="R795">
            <v>0</v>
          </cell>
          <cell r="S795">
            <v>0</v>
          </cell>
        </row>
        <row r="796">
          <cell r="R796">
            <v>0</v>
          </cell>
          <cell r="S796">
            <v>0</v>
          </cell>
        </row>
        <row r="797">
          <cell r="R797">
            <v>0</v>
          </cell>
          <cell r="S797">
            <v>0</v>
          </cell>
        </row>
        <row r="798">
          <cell r="R798">
            <v>0</v>
          </cell>
          <cell r="S798">
            <v>0</v>
          </cell>
        </row>
        <row r="799">
          <cell r="R799">
            <v>0</v>
          </cell>
          <cell r="S799">
            <v>0</v>
          </cell>
        </row>
        <row r="800">
          <cell r="R800">
            <v>0</v>
          </cell>
          <cell r="S800">
            <v>0</v>
          </cell>
        </row>
        <row r="801">
          <cell r="R801">
            <v>0</v>
          </cell>
          <cell r="S801">
            <v>0</v>
          </cell>
        </row>
        <row r="802">
          <cell r="R802">
            <v>0</v>
          </cell>
          <cell r="S802">
            <v>0</v>
          </cell>
        </row>
        <row r="803">
          <cell r="R803">
            <v>0</v>
          </cell>
          <cell r="S803">
            <v>0</v>
          </cell>
        </row>
        <row r="804">
          <cell r="R804">
            <v>0</v>
          </cell>
          <cell r="S804">
            <v>0</v>
          </cell>
        </row>
        <row r="805">
          <cell r="R805">
            <v>0</v>
          </cell>
          <cell r="S805">
            <v>0</v>
          </cell>
        </row>
        <row r="806">
          <cell r="R806">
            <v>0</v>
          </cell>
          <cell r="S806">
            <v>0</v>
          </cell>
        </row>
        <row r="807">
          <cell r="R807">
            <v>0</v>
          </cell>
          <cell r="S807">
            <v>0</v>
          </cell>
        </row>
        <row r="808">
          <cell r="R808">
            <v>0</v>
          </cell>
          <cell r="S808">
            <v>0</v>
          </cell>
        </row>
        <row r="809">
          <cell r="R809">
            <v>0</v>
          </cell>
          <cell r="S809">
            <v>0</v>
          </cell>
        </row>
        <row r="810">
          <cell r="R810">
            <v>0</v>
          </cell>
          <cell r="S810">
            <v>0</v>
          </cell>
        </row>
        <row r="811">
          <cell r="R811">
            <v>0</v>
          </cell>
          <cell r="S811">
            <v>0</v>
          </cell>
        </row>
        <row r="812">
          <cell r="R812">
            <v>0</v>
          </cell>
          <cell r="S812">
            <v>0</v>
          </cell>
        </row>
        <row r="813">
          <cell r="R813">
            <v>0</v>
          </cell>
          <cell r="S813">
            <v>0</v>
          </cell>
        </row>
        <row r="814">
          <cell r="R814">
            <v>0</v>
          </cell>
          <cell r="S814">
            <v>0</v>
          </cell>
        </row>
        <row r="815">
          <cell r="R815">
            <v>0</v>
          </cell>
          <cell r="S815">
            <v>0</v>
          </cell>
        </row>
        <row r="816">
          <cell r="R816">
            <v>0</v>
          </cell>
          <cell r="S816">
            <v>0</v>
          </cell>
        </row>
        <row r="817">
          <cell r="R817">
            <v>0</v>
          </cell>
          <cell r="S817">
            <v>0</v>
          </cell>
        </row>
        <row r="818">
          <cell r="R818">
            <v>0</v>
          </cell>
          <cell r="S818">
            <v>0</v>
          </cell>
        </row>
        <row r="819">
          <cell r="R819">
            <v>0</v>
          </cell>
          <cell r="S819">
            <v>0</v>
          </cell>
        </row>
        <row r="820">
          <cell r="R820">
            <v>0</v>
          </cell>
          <cell r="S820">
            <v>0</v>
          </cell>
        </row>
        <row r="821">
          <cell r="R821">
            <v>0</v>
          </cell>
          <cell r="S821">
            <v>0</v>
          </cell>
        </row>
        <row r="822">
          <cell r="R822">
            <v>0</v>
          </cell>
          <cell r="S822">
            <v>0</v>
          </cell>
        </row>
        <row r="823">
          <cell r="R823">
            <v>0</v>
          </cell>
          <cell r="S823">
            <v>0</v>
          </cell>
        </row>
        <row r="824">
          <cell r="R824">
            <v>0</v>
          </cell>
          <cell r="S824">
            <v>0</v>
          </cell>
        </row>
        <row r="825">
          <cell r="R825">
            <v>0</v>
          </cell>
          <cell r="S825">
            <v>0</v>
          </cell>
        </row>
        <row r="826">
          <cell r="R826">
            <v>0</v>
          </cell>
          <cell r="S826">
            <v>0</v>
          </cell>
        </row>
        <row r="827">
          <cell r="R827">
            <v>0</v>
          </cell>
          <cell r="S827">
            <v>0</v>
          </cell>
        </row>
        <row r="828">
          <cell r="R828">
            <v>0</v>
          </cell>
          <cell r="S828">
            <v>0</v>
          </cell>
        </row>
        <row r="829">
          <cell r="R829">
            <v>0</v>
          </cell>
          <cell r="S829">
            <v>0</v>
          </cell>
        </row>
        <row r="830">
          <cell r="R830">
            <v>0</v>
          </cell>
          <cell r="S830">
            <v>0</v>
          </cell>
        </row>
        <row r="831">
          <cell r="R831">
            <v>0</v>
          </cell>
          <cell r="S831">
            <v>0</v>
          </cell>
        </row>
        <row r="832">
          <cell r="R832">
            <v>0</v>
          </cell>
          <cell r="S832">
            <v>0</v>
          </cell>
        </row>
        <row r="833">
          <cell r="R833">
            <v>0</v>
          </cell>
          <cell r="S833">
            <v>0</v>
          </cell>
        </row>
        <row r="834">
          <cell r="R834">
            <v>0</v>
          </cell>
          <cell r="S834">
            <v>0</v>
          </cell>
        </row>
        <row r="835">
          <cell r="R835">
            <v>0</v>
          </cell>
          <cell r="S835">
            <v>0</v>
          </cell>
        </row>
        <row r="836">
          <cell r="R836">
            <v>0</v>
          </cell>
          <cell r="S836">
            <v>0</v>
          </cell>
        </row>
        <row r="837">
          <cell r="R837">
            <v>0</v>
          </cell>
          <cell r="S837">
            <v>0</v>
          </cell>
        </row>
        <row r="838">
          <cell r="R838">
            <v>0</v>
          </cell>
          <cell r="S838">
            <v>0</v>
          </cell>
        </row>
        <row r="839">
          <cell r="R839">
            <v>0</v>
          </cell>
          <cell r="S839">
            <v>0</v>
          </cell>
        </row>
        <row r="840">
          <cell r="R840">
            <v>0</v>
          </cell>
          <cell r="S840">
            <v>0</v>
          </cell>
        </row>
        <row r="841">
          <cell r="R841">
            <v>0</v>
          </cell>
          <cell r="S841">
            <v>0</v>
          </cell>
        </row>
        <row r="842">
          <cell r="R842">
            <v>0</v>
          </cell>
          <cell r="S842">
            <v>0</v>
          </cell>
        </row>
        <row r="843">
          <cell r="R843">
            <v>0</v>
          </cell>
          <cell r="S843">
            <v>0</v>
          </cell>
        </row>
        <row r="844">
          <cell r="R844">
            <v>0</v>
          </cell>
          <cell r="S844">
            <v>0</v>
          </cell>
        </row>
        <row r="845">
          <cell r="R845">
            <v>0</v>
          </cell>
          <cell r="S845">
            <v>0</v>
          </cell>
        </row>
        <row r="846">
          <cell r="R846">
            <v>0</v>
          </cell>
          <cell r="S846">
            <v>0</v>
          </cell>
        </row>
        <row r="847">
          <cell r="R847">
            <v>0</v>
          </cell>
          <cell r="S847">
            <v>0</v>
          </cell>
        </row>
        <row r="848">
          <cell r="R848">
            <v>0</v>
          </cell>
          <cell r="S848">
            <v>0</v>
          </cell>
        </row>
        <row r="849">
          <cell r="R849">
            <v>0</v>
          </cell>
          <cell r="S849">
            <v>0</v>
          </cell>
        </row>
        <row r="850">
          <cell r="R850">
            <v>0</v>
          </cell>
          <cell r="S850">
            <v>0</v>
          </cell>
        </row>
        <row r="851">
          <cell r="R851">
            <v>0</v>
          </cell>
          <cell r="S851">
            <v>0</v>
          </cell>
        </row>
        <row r="852">
          <cell r="R852">
            <v>0</v>
          </cell>
          <cell r="S852">
            <v>0</v>
          </cell>
        </row>
        <row r="853">
          <cell r="R853">
            <v>0</v>
          </cell>
          <cell r="S853">
            <v>0</v>
          </cell>
        </row>
        <row r="854">
          <cell r="R854">
            <v>0</v>
          </cell>
          <cell r="S854">
            <v>0</v>
          </cell>
        </row>
        <row r="855">
          <cell r="R855">
            <v>0</v>
          </cell>
          <cell r="S855">
            <v>0</v>
          </cell>
        </row>
        <row r="856">
          <cell r="R856">
            <v>0</v>
          </cell>
          <cell r="S856">
            <v>0</v>
          </cell>
        </row>
        <row r="857">
          <cell r="R857">
            <v>0</v>
          </cell>
          <cell r="S857">
            <v>0</v>
          </cell>
        </row>
        <row r="858">
          <cell r="R858">
            <v>0</v>
          </cell>
          <cell r="S858">
            <v>0</v>
          </cell>
        </row>
        <row r="859">
          <cell r="R859">
            <v>0</v>
          </cell>
          <cell r="S859">
            <v>0</v>
          </cell>
        </row>
        <row r="860">
          <cell r="R860">
            <v>0</v>
          </cell>
          <cell r="S860">
            <v>0</v>
          </cell>
        </row>
        <row r="861">
          <cell r="R861">
            <v>0</v>
          </cell>
          <cell r="S861">
            <v>0</v>
          </cell>
        </row>
        <row r="862">
          <cell r="R862">
            <v>0</v>
          </cell>
          <cell r="S862">
            <v>0</v>
          </cell>
        </row>
        <row r="863">
          <cell r="R863">
            <v>0</v>
          </cell>
          <cell r="S863">
            <v>0</v>
          </cell>
        </row>
        <row r="864">
          <cell r="R864">
            <v>0</v>
          </cell>
          <cell r="S864">
            <v>0</v>
          </cell>
        </row>
        <row r="865">
          <cell r="R865">
            <v>0</v>
          </cell>
          <cell r="S865">
            <v>0</v>
          </cell>
        </row>
        <row r="866">
          <cell r="R866">
            <v>0</v>
          </cell>
          <cell r="S866">
            <v>0</v>
          </cell>
        </row>
        <row r="867">
          <cell r="R867">
            <v>0</v>
          </cell>
          <cell r="S867">
            <v>0</v>
          </cell>
        </row>
        <row r="868">
          <cell r="R868">
            <v>0</v>
          </cell>
          <cell r="S868">
            <v>0</v>
          </cell>
        </row>
        <row r="869">
          <cell r="R869">
            <v>0</v>
          </cell>
          <cell r="S869">
            <v>0</v>
          </cell>
        </row>
        <row r="870">
          <cell r="R870">
            <v>0</v>
          </cell>
          <cell r="S870">
            <v>0</v>
          </cell>
        </row>
        <row r="871">
          <cell r="R871">
            <v>0</v>
          </cell>
          <cell r="S871">
            <v>0</v>
          </cell>
        </row>
        <row r="872">
          <cell r="R872">
            <v>0</v>
          </cell>
          <cell r="S872">
            <v>0</v>
          </cell>
        </row>
        <row r="873">
          <cell r="R873">
            <v>0</v>
          </cell>
          <cell r="S873">
            <v>0</v>
          </cell>
        </row>
        <row r="874">
          <cell r="R874">
            <v>0</v>
          </cell>
          <cell r="S874">
            <v>0</v>
          </cell>
        </row>
        <row r="875">
          <cell r="R875">
            <v>0</v>
          </cell>
          <cell r="S875">
            <v>0</v>
          </cell>
        </row>
        <row r="876">
          <cell r="R876">
            <v>0</v>
          </cell>
          <cell r="S876">
            <v>0</v>
          </cell>
        </row>
        <row r="877">
          <cell r="R877">
            <v>0</v>
          </cell>
          <cell r="S877">
            <v>0</v>
          </cell>
        </row>
        <row r="878">
          <cell r="R878">
            <v>0</v>
          </cell>
          <cell r="S878">
            <v>0</v>
          </cell>
        </row>
        <row r="879">
          <cell r="R879">
            <v>0</v>
          </cell>
          <cell r="S879">
            <v>0</v>
          </cell>
        </row>
        <row r="880">
          <cell r="R880">
            <v>0</v>
          </cell>
          <cell r="S880">
            <v>0</v>
          </cell>
        </row>
        <row r="881">
          <cell r="R881">
            <v>0</v>
          </cell>
          <cell r="S881">
            <v>0</v>
          </cell>
        </row>
        <row r="882">
          <cell r="R882">
            <v>0</v>
          </cell>
          <cell r="S882">
            <v>0</v>
          </cell>
        </row>
        <row r="883">
          <cell r="R883">
            <v>0</v>
          </cell>
          <cell r="S883">
            <v>0</v>
          </cell>
        </row>
        <row r="884">
          <cell r="R884">
            <v>0</v>
          </cell>
          <cell r="S884">
            <v>0</v>
          </cell>
        </row>
        <row r="885">
          <cell r="R885">
            <v>0</v>
          </cell>
          <cell r="S885">
            <v>0</v>
          </cell>
        </row>
        <row r="886">
          <cell r="R886">
            <v>0</v>
          </cell>
          <cell r="S886">
            <v>0</v>
          </cell>
        </row>
        <row r="887">
          <cell r="R887">
            <v>0</v>
          </cell>
          <cell r="S887">
            <v>0</v>
          </cell>
        </row>
        <row r="888">
          <cell r="R888">
            <v>0</v>
          </cell>
          <cell r="S888">
            <v>0</v>
          </cell>
        </row>
        <row r="889">
          <cell r="R889">
            <v>0</v>
          </cell>
          <cell r="S889">
            <v>0</v>
          </cell>
        </row>
        <row r="890">
          <cell r="R890">
            <v>0</v>
          </cell>
          <cell r="S890">
            <v>0</v>
          </cell>
        </row>
        <row r="891">
          <cell r="R891">
            <v>0</v>
          </cell>
          <cell r="S891">
            <v>0</v>
          </cell>
        </row>
        <row r="892">
          <cell r="R892">
            <v>0</v>
          </cell>
          <cell r="S892">
            <v>0</v>
          </cell>
        </row>
        <row r="893">
          <cell r="R893">
            <v>0</v>
          </cell>
          <cell r="S893">
            <v>0</v>
          </cell>
        </row>
        <row r="894">
          <cell r="R894">
            <v>0</v>
          </cell>
          <cell r="S894">
            <v>0</v>
          </cell>
        </row>
        <row r="895">
          <cell r="R895">
            <v>0</v>
          </cell>
          <cell r="S895">
            <v>0</v>
          </cell>
        </row>
        <row r="896">
          <cell r="R896">
            <v>0</v>
          </cell>
          <cell r="S896">
            <v>0</v>
          </cell>
        </row>
        <row r="897">
          <cell r="R897">
            <v>0</v>
          </cell>
          <cell r="S897">
            <v>0</v>
          </cell>
        </row>
        <row r="898">
          <cell r="R898">
            <v>0</v>
          </cell>
          <cell r="S898">
            <v>0</v>
          </cell>
        </row>
        <row r="899">
          <cell r="R899">
            <v>0</v>
          </cell>
          <cell r="S899">
            <v>0</v>
          </cell>
        </row>
        <row r="900">
          <cell r="R900">
            <v>0</v>
          </cell>
          <cell r="S900">
            <v>0</v>
          </cell>
        </row>
        <row r="901">
          <cell r="R901">
            <v>0</v>
          </cell>
          <cell r="S901">
            <v>0</v>
          </cell>
        </row>
        <row r="902">
          <cell r="R902">
            <v>0</v>
          </cell>
          <cell r="S902">
            <v>0</v>
          </cell>
        </row>
        <row r="903">
          <cell r="R903">
            <v>0</v>
          </cell>
          <cell r="S903">
            <v>0</v>
          </cell>
        </row>
        <row r="904">
          <cell r="R904">
            <v>0</v>
          </cell>
          <cell r="S904">
            <v>0</v>
          </cell>
        </row>
        <row r="905">
          <cell r="R905">
            <v>0</v>
          </cell>
          <cell r="S905">
            <v>0</v>
          </cell>
        </row>
        <row r="906">
          <cell r="R906">
            <v>0</v>
          </cell>
          <cell r="S906">
            <v>0</v>
          </cell>
        </row>
        <row r="907">
          <cell r="R907">
            <v>0</v>
          </cell>
          <cell r="S907">
            <v>0</v>
          </cell>
        </row>
        <row r="908">
          <cell r="R908">
            <v>0</v>
          </cell>
          <cell r="S908">
            <v>0</v>
          </cell>
        </row>
        <row r="909">
          <cell r="R909">
            <v>0</v>
          </cell>
          <cell r="S909">
            <v>0</v>
          </cell>
        </row>
        <row r="910">
          <cell r="R910">
            <v>0</v>
          </cell>
          <cell r="S910">
            <v>0</v>
          </cell>
        </row>
        <row r="911">
          <cell r="R911">
            <v>0</v>
          </cell>
          <cell r="S911">
            <v>0</v>
          </cell>
        </row>
        <row r="912">
          <cell r="R912">
            <v>0</v>
          </cell>
          <cell r="S912">
            <v>0</v>
          </cell>
        </row>
        <row r="913">
          <cell r="R913">
            <v>0</v>
          </cell>
          <cell r="S913">
            <v>0</v>
          </cell>
        </row>
        <row r="914">
          <cell r="R914">
            <v>0</v>
          </cell>
          <cell r="S914">
            <v>0</v>
          </cell>
        </row>
        <row r="915">
          <cell r="R915">
            <v>0</v>
          </cell>
          <cell r="S915">
            <v>0</v>
          </cell>
        </row>
        <row r="916">
          <cell r="R916">
            <v>0</v>
          </cell>
          <cell r="S916">
            <v>0</v>
          </cell>
        </row>
        <row r="917">
          <cell r="R917">
            <v>0</v>
          </cell>
          <cell r="S917">
            <v>0</v>
          </cell>
        </row>
        <row r="918">
          <cell r="R918">
            <v>0</v>
          </cell>
          <cell r="S918">
            <v>0</v>
          </cell>
        </row>
        <row r="919">
          <cell r="R919">
            <v>0</v>
          </cell>
          <cell r="S919">
            <v>0</v>
          </cell>
        </row>
        <row r="920">
          <cell r="R920">
            <v>0</v>
          </cell>
          <cell r="S920">
            <v>0</v>
          </cell>
        </row>
        <row r="921">
          <cell r="R921">
            <v>0</v>
          </cell>
          <cell r="S921">
            <v>0</v>
          </cell>
        </row>
        <row r="922">
          <cell r="R922">
            <v>0</v>
          </cell>
          <cell r="S922">
            <v>0</v>
          </cell>
        </row>
        <row r="923">
          <cell r="R923">
            <v>0</v>
          </cell>
          <cell r="S923">
            <v>0</v>
          </cell>
        </row>
        <row r="924">
          <cell r="R924">
            <v>0</v>
          </cell>
          <cell r="S924">
            <v>0</v>
          </cell>
        </row>
        <row r="925">
          <cell r="R925">
            <v>0</v>
          </cell>
          <cell r="S925">
            <v>0</v>
          </cell>
        </row>
        <row r="926">
          <cell r="R926">
            <v>0</v>
          </cell>
          <cell r="S926">
            <v>0</v>
          </cell>
        </row>
        <row r="927">
          <cell r="R927">
            <v>0</v>
          </cell>
          <cell r="S927">
            <v>0</v>
          </cell>
        </row>
        <row r="928">
          <cell r="R928">
            <v>0</v>
          </cell>
          <cell r="S928">
            <v>0</v>
          </cell>
        </row>
        <row r="929">
          <cell r="R929">
            <v>0</v>
          </cell>
          <cell r="S929">
            <v>0</v>
          </cell>
        </row>
        <row r="930">
          <cell r="R930">
            <v>0</v>
          </cell>
          <cell r="S930">
            <v>0</v>
          </cell>
        </row>
        <row r="931">
          <cell r="R931">
            <v>0</v>
          </cell>
          <cell r="S931">
            <v>0</v>
          </cell>
        </row>
        <row r="932">
          <cell r="R932">
            <v>0</v>
          </cell>
          <cell r="S932">
            <v>0</v>
          </cell>
        </row>
        <row r="933">
          <cell r="R933">
            <v>0</v>
          </cell>
          <cell r="S933">
            <v>0</v>
          </cell>
        </row>
        <row r="934">
          <cell r="R934">
            <v>0</v>
          </cell>
          <cell r="S934">
            <v>0</v>
          </cell>
        </row>
        <row r="935">
          <cell r="R935">
            <v>0</v>
          </cell>
          <cell r="S935">
            <v>0</v>
          </cell>
        </row>
        <row r="936">
          <cell r="R936">
            <v>0</v>
          </cell>
          <cell r="S936">
            <v>0</v>
          </cell>
        </row>
        <row r="937">
          <cell r="R937">
            <v>0</v>
          </cell>
          <cell r="S937">
            <v>0</v>
          </cell>
        </row>
        <row r="938">
          <cell r="R938">
            <v>0</v>
          </cell>
          <cell r="S938">
            <v>0</v>
          </cell>
        </row>
        <row r="939">
          <cell r="R939">
            <v>0</v>
          </cell>
          <cell r="S939">
            <v>0</v>
          </cell>
        </row>
        <row r="940">
          <cell r="R940">
            <v>0</v>
          </cell>
          <cell r="S940">
            <v>0</v>
          </cell>
        </row>
        <row r="941">
          <cell r="R941">
            <v>0</v>
          </cell>
          <cell r="S941">
            <v>0</v>
          </cell>
        </row>
        <row r="942">
          <cell r="R942">
            <v>0</v>
          </cell>
          <cell r="S942">
            <v>0</v>
          </cell>
        </row>
        <row r="943">
          <cell r="R943">
            <v>0</v>
          </cell>
          <cell r="S943">
            <v>0</v>
          </cell>
        </row>
        <row r="944">
          <cell r="R944">
            <v>0</v>
          </cell>
          <cell r="S944">
            <v>0</v>
          </cell>
        </row>
        <row r="945">
          <cell r="R945">
            <v>0</v>
          </cell>
          <cell r="S945">
            <v>0</v>
          </cell>
        </row>
        <row r="946">
          <cell r="R946">
            <v>0</v>
          </cell>
          <cell r="S946">
            <v>0</v>
          </cell>
        </row>
        <row r="947">
          <cell r="R947">
            <v>0</v>
          </cell>
          <cell r="S947">
            <v>0</v>
          </cell>
        </row>
        <row r="948">
          <cell r="R948">
            <v>0</v>
          </cell>
          <cell r="S948">
            <v>0</v>
          </cell>
        </row>
        <row r="949">
          <cell r="R949">
            <v>0</v>
          </cell>
          <cell r="S949">
            <v>0</v>
          </cell>
        </row>
        <row r="950">
          <cell r="R950">
            <v>0</v>
          </cell>
          <cell r="S950">
            <v>0</v>
          </cell>
        </row>
        <row r="951">
          <cell r="R951">
            <v>0</v>
          </cell>
          <cell r="S951">
            <v>0</v>
          </cell>
        </row>
        <row r="952">
          <cell r="R952">
            <v>0</v>
          </cell>
          <cell r="S952">
            <v>0</v>
          </cell>
        </row>
        <row r="953">
          <cell r="R953">
            <v>0</v>
          </cell>
          <cell r="S953">
            <v>0</v>
          </cell>
        </row>
        <row r="954">
          <cell r="R954">
            <v>0</v>
          </cell>
          <cell r="S954">
            <v>0</v>
          </cell>
        </row>
        <row r="955">
          <cell r="R955">
            <v>0</v>
          </cell>
          <cell r="S955">
            <v>0</v>
          </cell>
        </row>
        <row r="956">
          <cell r="R956">
            <v>0</v>
          </cell>
          <cell r="S956">
            <v>0</v>
          </cell>
        </row>
        <row r="957">
          <cell r="R957">
            <v>0</v>
          </cell>
          <cell r="S957">
            <v>0</v>
          </cell>
        </row>
        <row r="958">
          <cell r="R958">
            <v>0</v>
          </cell>
          <cell r="S958">
            <v>0</v>
          </cell>
        </row>
        <row r="959">
          <cell r="R959">
            <v>0</v>
          </cell>
          <cell r="S959">
            <v>0</v>
          </cell>
        </row>
        <row r="960">
          <cell r="R960">
            <v>0</v>
          </cell>
          <cell r="S960">
            <v>0</v>
          </cell>
        </row>
        <row r="961">
          <cell r="R961">
            <v>0</v>
          </cell>
          <cell r="S961">
            <v>0</v>
          </cell>
        </row>
        <row r="962">
          <cell r="R962">
            <v>0</v>
          </cell>
          <cell r="S962">
            <v>0</v>
          </cell>
        </row>
        <row r="963">
          <cell r="R963">
            <v>0</v>
          </cell>
          <cell r="S963">
            <v>0</v>
          </cell>
        </row>
        <row r="964">
          <cell r="R964">
            <v>0</v>
          </cell>
          <cell r="S964">
            <v>0</v>
          </cell>
        </row>
        <row r="965">
          <cell r="R965">
            <v>0</v>
          </cell>
          <cell r="S965">
            <v>0</v>
          </cell>
        </row>
        <row r="966">
          <cell r="R966">
            <v>0</v>
          </cell>
          <cell r="S966">
            <v>0</v>
          </cell>
        </row>
        <row r="967">
          <cell r="R967">
            <v>0</v>
          </cell>
          <cell r="S967">
            <v>0</v>
          </cell>
        </row>
        <row r="968">
          <cell r="R968">
            <v>0</v>
          </cell>
          <cell r="S968">
            <v>0</v>
          </cell>
        </row>
        <row r="969">
          <cell r="R969">
            <v>0</v>
          </cell>
          <cell r="S969">
            <v>0</v>
          </cell>
        </row>
        <row r="970">
          <cell r="R970">
            <v>0</v>
          </cell>
          <cell r="S970">
            <v>0</v>
          </cell>
        </row>
        <row r="971">
          <cell r="R971">
            <v>0</v>
          </cell>
          <cell r="S971">
            <v>0</v>
          </cell>
        </row>
        <row r="972">
          <cell r="R972">
            <v>0</v>
          </cell>
          <cell r="S972">
            <v>0</v>
          </cell>
        </row>
        <row r="973">
          <cell r="R973">
            <v>0</v>
          </cell>
          <cell r="S973">
            <v>0</v>
          </cell>
        </row>
        <row r="974">
          <cell r="R974">
            <v>0</v>
          </cell>
          <cell r="S974">
            <v>0</v>
          </cell>
        </row>
        <row r="975">
          <cell r="R975">
            <v>0</v>
          </cell>
          <cell r="S975">
            <v>0</v>
          </cell>
        </row>
        <row r="976">
          <cell r="R976">
            <v>0</v>
          </cell>
          <cell r="S976">
            <v>0</v>
          </cell>
        </row>
        <row r="977">
          <cell r="R977">
            <v>0</v>
          </cell>
          <cell r="S977">
            <v>0</v>
          </cell>
        </row>
        <row r="978">
          <cell r="R978">
            <v>0</v>
          </cell>
          <cell r="S978">
            <v>0</v>
          </cell>
        </row>
        <row r="979">
          <cell r="R979">
            <v>0</v>
          </cell>
          <cell r="S979">
            <v>0</v>
          </cell>
        </row>
        <row r="980">
          <cell r="R980">
            <v>0</v>
          </cell>
          <cell r="S980">
            <v>0</v>
          </cell>
        </row>
        <row r="981">
          <cell r="R981">
            <v>0</v>
          </cell>
          <cell r="S981">
            <v>0</v>
          </cell>
        </row>
        <row r="982">
          <cell r="R982">
            <v>0</v>
          </cell>
          <cell r="S982">
            <v>0</v>
          </cell>
        </row>
        <row r="983">
          <cell r="R983">
            <v>0</v>
          </cell>
          <cell r="S983">
            <v>0</v>
          </cell>
        </row>
        <row r="984">
          <cell r="R984">
            <v>0</v>
          </cell>
          <cell r="S984">
            <v>0</v>
          </cell>
        </row>
        <row r="985">
          <cell r="R985">
            <v>0</v>
          </cell>
          <cell r="S985">
            <v>0</v>
          </cell>
        </row>
        <row r="986">
          <cell r="R986">
            <v>0</v>
          </cell>
          <cell r="S986">
            <v>0</v>
          </cell>
        </row>
        <row r="987">
          <cell r="R987">
            <v>0</v>
          </cell>
          <cell r="S987">
            <v>0</v>
          </cell>
        </row>
        <row r="988">
          <cell r="R988">
            <v>0</v>
          </cell>
          <cell r="S988">
            <v>0</v>
          </cell>
        </row>
        <row r="989">
          <cell r="R989">
            <v>0</v>
          </cell>
          <cell r="S989">
            <v>0</v>
          </cell>
        </row>
        <row r="990">
          <cell r="R990">
            <v>0</v>
          </cell>
          <cell r="S990">
            <v>0</v>
          </cell>
        </row>
        <row r="991">
          <cell r="R991">
            <v>0</v>
          </cell>
          <cell r="S991">
            <v>0</v>
          </cell>
        </row>
        <row r="992">
          <cell r="R992">
            <v>0</v>
          </cell>
          <cell r="S992">
            <v>0</v>
          </cell>
        </row>
        <row r="993">
          <cell r="R993">
            <v>0</v>
          </cell>
          <cell r="S993">
            <v>0</v>
          </cell>
        </row>
        <row r="994">
          <cell r="R994">
            <v>0</v>
          </cell>
          <cell r="S994">
            <v>0</v>
          </cell>
        </row>
        <row r="995">
          <cell r="R995">
            <v>0</v>
          </cell>
          <cell r="S995">
            <v>0</v>
          </cell>
        </row>
        <row r="996">
          <cell r="R996">
            <v>0</v>
          </cell>
          <cell r="S996">
            <v>0</v>
          </cell>
        </row>
        <row r="997">
          <cell r="R997">
            <v>0</v>
          </cell>
          <cell r="S997">
            <v>0</v>
          </cell>
        </row>
        <row r="998">
          <cell r="R998">
            <v>0</v>
          </cell>
          <cell r="S998">
            <v>0</v>
          </cell>
        </row>
        <row r="999">
          <cell r="R999">
            <v>0</v>
          </cell>
          <cell r="S999">
            <v>0</v>
          </cell>
        </row>
        <row r="1000">
          <cell r="R1000">
            <v>0</v>
          </cell>
          <cell r="S1000">
            <v>0</v>
          </cell>
        </row>
        <row r="1001">
          <cell r="R1001">
            <v>0</v>
          </cell>
          <cell r="S1001">
            <v>0</v>
          </cell>
        </row>
        <row r="1002">
          <cell r="R1002">
            <v>0</v>
          </cell>
          <cell r="S1002">
            <v>0</v>
          </cell>
        </row>
        <row r="1003">
          <cell r="R1003">
            <v>0</v>
          </cell>
          <cell r="S1003">
            <v>0</v>
          </cell>
        </row>
        <row r="1004">
          <cell r="R1004">
            <v>0</v>
          </cell>
          <cell r="S1004">
            <v>0</v>
          </cell>
        </row>
        <row r="1005">
          <cell r="R1005">
            <v>0</v>
          </cell>
          <cell r="S1005">
            <v>0</v>
          </cell>
        </row>
        <row r="1006">
          <cell r="R1006">
            <v>0</v>
          </cell>
          <cell r="S1006">
            <v>0</v>
          </cell>
        </row>
        <row r="1007">
          <cell r="R1007">
            <v>0</v>
          </cell>
          <cell r="S1007">
            <v>0</v>
          </cell>
        </row>
        <row r="1008">
          <cell r="R1008">
            <v>0</v>
          </cell>
          <cell r="S1008">
            <v>0</v>
          </cell>
        </row>
        <row r="1009">
          <cell r="R1009">
            <v>0</v>
          </cell>
          <cell r="S1009">
            <v>0</v>
          </cell>
        </row>
        <row r="1010">
          <cell r="R1010">
            <v>0</v>
          </cell>
          <cell r="S1010">
            <v>0</v>
          </cell>
        </row>
        <row r="1011">
          <cell r="R1011">
            <v>0</v>
          </cell>
          <cell r="S1011">
            <v>0</v>
          </cell>
        </row>
        <row r="1012">
          <cell r="R1012">
            <v>0</v>
          </cell>
          <cell r="S1012">
            <v>0</v>
          </cell>
        </row>
        <row r="1013">
          <cell r="R1013">
            <v>0</v>
          </cell>
          <cell r="S1013">
            <v>0</v>
          </cell>
        </row>
        <row r="1014">
          <cell r="R1014">
            <v>0</v>
          </cell>
          <cell r="S1014">
            <v>0</v>
          </cell>
        </row>
        <row r="1015">
          <cell r="R1015">
            <v>0</v>
          </cell>
          <cell r="S1015">
            <v>0</v>
          </cell>
        </row>
        <row r="1016">
          <cell r="R1016">
            <v>0</v>
          </cell>
          <cell r="S1016">
            <v>0</v>
          </cell>
        </row>
        <row r="1017">
          <cell r="R1017">
            <v>0</v>
          </cell>
          <cell r="S1017">
            <v>0</v>
          </cell>
        </row>
        <row r="1018">
          <cell r="R1018">
            <v>0</v>
          </cell>
          <cell r="S1018">
            <v>0</v>
          </cell>
        </row>
        <row r="1019">
          <cell r="R1019">
            <v>0</v>
          </cell>
          <cell r="S1019">
            <v>0</v>
          </cell>
        </row>
        <row r="1020">
          <cell r="R1020">
            <v>0</v>
          </cell>
          <cell r="S1020">
            <v>0</v>
          </cell>
        </row>
        <row r="1021">
          <cell r="R1021">
            <v>0</v>
          </cell>
          <cell r="S1021">
            <v>0</v>
          </cell>
        </row>
        <row r="1022">
          <cell r="R1022">
            <v>0</v>
          </cell>
          <cell r="S1022">
            <v>0</v>
          </cell>
        </row>
        <row r="1023">
          <cell r="R1023">
            <v>0</v>
          </cell>
          <cell r="S1023">
            <v>0</v>
          </cell>
        </row>
        <row r="1024">
          <cell r="R1024">
            <v>0</v>
          </cell>
          <cell r="S1024">
            <v>0</v>
          </cell>
        </row>
        <row r="1025">
          <cell r="R1025">
            <v>0</v>
          </cell>
          <cell r="S1025">
            <v>0</v>
          </cell>
        </row>
        <row r="1026">
          <cell r="R1026">
            <v>0</v>
          </cell>
          <cell r="S1026">
            <v>0</v>
          </cell>
        </row>
        <row r="1027">
          <cell r="R1027">
            <v>0</v>
          </cell>
          <cell r="S1027">
            <v>0</v>
          </cell>
        </row>
        <row r="1028">
          <cell r="R1028">
            <v>0</v>
          </cell>
          <cell r="S1028">
            <v>0</v>
          </cell>
        </row>
        <row r="1029">
          <cell r="R1029">
            <v>0</v>
          </cell>
          <cell r="S1029">
            <v>0</v>
          </cell>
        </row>
        <row r="1030">
          <cell r="R1030">
            <v>0</v>
          </cell>
          <cell r="S1030">
            <v>0</v>
          </cell>
        </row>
        <row r="1031">
          <cell r="R1031">
            <v>0</v>
          </cell>
          <cell r="S1031">
            <v>0</v>
          </cell>
        </row>
        <row r="1032">
          <cell r="R1032">
            <v>0</v>
          </cell>
          <cell r="S1032">
            <v>0</v>
          </cell>
        </row>
        <row r="1033">
          <cell r="R1033">
            <v>0</v>
          </cell>
          <cell r="S1033">
            <v>0</v>
          </cell>
        </row>
        <row r="1034">
          <cell r="R1034">
            <v>0</v>
          </cell>
          <cell r="S1034">
            <v>0</v>
          </cell>
        </row>
        <row r="1035">
          <cell r="R1035">
            <v>0</v>
          </cell>
          <cell r="S1035">
            <v>0</v>
          </cell>
        </row>
        <row r="1036">
          <cell r="R1036">
            <v>0</v>
          </cell>
          <cell r="S1036">
            <v>0</v>
          </cell>
        </row>
        <row r="1037">
          <cell r="R1037">
            <v>0</v>
          </cell>
          <cell r="S1037">
            <v>0</v>
          </cell>
        </row>
        <row r="1038">
          <cell r="R1038">
            <v>0</v>
          </cell>
          <cell r="S1038">
            <v>0</v>
          </cell>
        </row>
        <row r="1039">
          <cell r="R1039">
            <v>0</v>
          </cell>
          <cell r="S1039">
            <v>0</v>
          </cell>
        </row>
        <row r="1040">
          <cell r="R1040">
            <v>0</v>
          </cell>
          <cell r="S1040">
            <v>0</v>
          </cell>
        </row>
        <row r="1041">
          <cell r="R1041">
            <v>0</v>
          </cell>
          <cell r="S1041">
            <v>0</v>
          </cell>
        </row>
        <row r="1042">
          <cell r="R1042">
            <v>0</v>
          </cell>
          <cell r="S1042">
            <v>0</v>
          </cell>
        </row>
        <row r="1043">
          <cell r="R1043">
            <v>0</v>
          </cell>
          <cell r="S1043">
            <v>0</v>
          </cell>
        </row>
        <row r="1044">
          <cell r="R1044">
            <v>0</v>
          </cell>
          <cell r="S1044">
            <v>0</v>
          </cell>
        </row>
        <row r="1045">
          <cell r="R1045">
            <v>0</v>
          </cell>
          <cell r="S1045">
            <v>0</v>
          </cell>
        </row>
        <row r="1046">
          <cell r="R1046">
            <v>0</v>
          </cell>
          <cell r="S1046">
            <v>0</v>
          </cell>
        </row>
        <row r="1047">
          <cell r="R1047">
            <v>0</v>
          </cell>
          <cell r="S1047">
            <v>0</v>
          </cell>
        </row>
        <row r="1048">
          <cell r="R1048">
            <v>0</v>
          </cell>
          <cell r="S1048">
            <v>0</v>
          </cell>
        </row>
        <row r="1049">
          <cell r="R1049">
            <v>0</v>
          </cell>
          <cell r="S1049">
            <v>0</v>
          </cell>
        </row>
        <row r="1050">
          <cell r="R1050">
            <v>0</v>
          </cell>
          <cell r="S1050">
            <v>0</v>
          </cell>
        </row>
        <row r="1051">
          <cell r="R1051">
            <v>0</v>
          </cell>
          <cell r="S1051">
            <v>0</v>
          </cell>
        </row>
        <row r="1052">
          <cell r="R1052">
            <v>0</v>
          </cell>
          <cell r="S1052">
            <v>0</v>
          </cell>
        </row>
        <row r="1053">
          <cell r="R1053">
            <v>0</v>
          </cell>
          <cell r="S1053">
            <v>0</v>
          </cell>
        </row>
        <row r="1054">
          <cell r="R1054">
            <v>0</v>
          </cell>
          <cell r="S1054">
            <v>0</v>
          </cell>
        </row>
        <row r="1055">
          <cell r="R1055">
            <v>0</v>
          </cell>
          <cell r="S1055">
            <v>0</v>
          </cell>
        </row>
        <row r="1056">
          <cell r="R1056">
            <v>0</v>
          </cell>
          <cell r="S1056">
            <v>0</v>
          </cell>
        </row>
        <row r="1057">
          <cell r="R1057">
            <v>0</v>
          </cell>
          <cell r="S1057">
            <v>0</v>
          </cell>
        </row>
        <row r="1058">
          <cell r="R1058">
            <v>0</v>
          </cell>
          <cell r="S1058">
            <v>0</v>
          </cell>
        </row>
        <row r="1059">
          <cell r="R1059">
            <v>0</v>
          </cell>
          <cell r="S1059">
            <v>0</v>
          </cell>
        </row>
        <row r="1060">
          <cell r="R1060">
            <v>0</v>
          </cell>
          <cell r="S1060">
            <v>0</v>
          </cell>
        </row>
        <row r="1061">
          <cell r="R1061">
            <v>0</v>
          </cell>
          <cell r="S1061">
            <v>0</v>
          </cell>
        </row>
        <row r="1062">
          <cell r="R1062">
            <v>0</v>
          </cell>
          <cell r="S1062">
            <v>0</v>
          </cell>
        </row>
        <row r="1063">
          <cell r="R1063">
            <v>0</v>
          </cell>
          <cell r="S1063">
            <v>0</v>
          </cell>
        </row>
        <row r="1064">
          <cell r="R1064">
            <v>0</v>
          </cell>
          <cell r="S1064">
            <v>0</v>
          </cell>
        </row>
        <row r="1065">
          <cell r="R1065">
            <v>0</v>
          </cell>
          <cell r="S1065">
            <v>0</v>
          </cell>
        </row>
        <row r="1066">
          <cell r="R1066">
            <v>0</v>
          </cell>
          <cell r="S1066">
            <v>0</v>
          </cell>
        </row>
        <row r="1067">
          <cell r="R1067">
            <v>0</v>
          </cell>
          <cell r="S1067">
            <v>0</v>
          </cell>
        </row>
        <row r="1068">
          <cell r="R1068">
            <v>0</v>
          </cell>
          <cell r="S1068">
            <v>0</v>
          </cell>
        </row>
        <row r="1069">
          <cell r="R1069">
            <v>0</v>
          </cell>
          <cell r="S1069">
            <v>0</v>
          </cell>
        </row>
        <row r="1070">
          <cell r="R1070">
            <v>0</v>
          </cell>
          <cell r="S1070">
            <v>0</v>
          </cell>
        </row>
        <row r="1071">
          <cell r="R1071">
            <v>0</v>
          </cell>
          <cell r="S1071">
            <v>0</v>
          </cell>
        </row>
        <row r="1072">
          <cell r="R1072">
            <v>0</v>
          </cell>
          <cell r="S1072">
            <v>0</v>
          </cell>
        </row>
        <row r="1073">
          <cell r="R1073">
            <v>0</v>
          </cell>
          <cell r="S1073">
            <v>0</v>
          </cell>
        </row>
        <row r="1074">
          <cell r="R1074">
            <v>0</v>
          </cell>
          <cell r="S1074">
            <v>0</v>
          </cell>
        </row>
        <row r="1075">
          <cell r="R1075">
            <v>0</v>
          </cell>
          <cell r="S1075">
            <v>0</v>
          </cell>
        </row>
        <row r="1076">
          <cell r="R1076">
            <v>0</v>
          </cell>
          <cell r="S1076">
            <v>0</v>
          </cell>
        </row>
        <row r="1077">
          <cell r="R1077">
            <v>0</v>
          </cell>
          <cell r="S1077">
            <v>0</v>
          </cell>
        </row>
        <row r="1078">
          <cell r="R1078">
            <v>0</v>
          </cell>
          <cell r="S1078">
            <v>0</v>
          </cell>
        </row>
        <row r="1079">
          <cell r="R1079">
            <v>0</v>
          </cell>
          <cell r="S1079">
            <v>0</v>
          </cell>
        </row>
        <row r="1080">
          <cell r="R1080">
            <v>0</v>
          </cell>
          <cell r="S1080">
            <v>0</v>
          </cell>
        </row>
        <row r="1081">
          <cell r="R1081">
            <v>0</v>
          </cell>
          <cell r="S1081">
            <v>0</v>
          </cell>
        </row>
        <row r="1082">
          <cell r="R1082">
            <v>0</v>
          </cell>
          <cell r="S1082">
            <v>0</v>
          </cell>
        </row>
        <row r="1083">
          <cell r="R1083">
            <v>0</v>
          </cell>
          <cell r="S1083">
            <v>0</v>
          </cell>
        </row>
        <row r="1084">
          <cell r="R1084">
            <v>0</v>
          </cell>
          <cell r="S1084">
            <v>0</v>
          </cell>
        </row>
        <row r="1085">
          <cell r="R1085">
            <v>0</v>
          </cell>
          <cell r="S1085">
            <v>0</v>
          </cell>
        </row>
        <row r="1086">
          <cell r="R1086">
            <v>0</v>
          </cell>
          <cell r="S1086">
            <v>0</v>
          </cell>
        </row>
        <row r="1087">
          <cell r="R1087">
            <v>0</v>
          </cell>
          <cell r="S1087">
            <v>0</v>
          </cell>
        </row>
        <row r="1088">
          <cell r="R1088">
            <v>0</v>
          </cell>
          <cell r="S1088">
            <v>0</v>
          </cell>
        </row>
        <row r="1089">
          <cell r="R1089">
            <v>0</v>
          </cell>
          <cell r="S1089">
            <v>0</v>
          </cell>
        </row>
        <row r="1090">
          <cell r="R1090">
            <v>0</v>
          </cell>
          <cell r="S1090">
            <v>0</v>
          </cell>
        </row>
        <row r="1091">
          <cell r="R1091">
            <v>0</v>
          </cell>
          <cell r="S1091">
            <v>0</v>
          </cell>
        </row>
        <row r="1092">
          <cell r="R1092">
            <v>0</v>
          </cell>
          <cell r="S1092">
            <v>0</v>
          </cell>
        </row>
        <row r="1093">
          <cell r="R1093">
            <v>0</v>
          </cell>
          <cell r="S1093">
            <v>0</v>
          </cell>
        </row>
        <row r="1094">
          <cell r="R1094">
            <v>0</v>
          </cell>
          <cell r="S1094">
            <v>0</v>
          </cell>
        </row>
        <row r="1095">
          <cell r="R1095">
            <v>0</v>
          </cell>
          <cell r="S1095">
            <v>0</v>
          </cell>
        </row>
        <row r="1096">
          <cell r="R1096">
            <v>0</v>
          </cell>
          <cell r="S1096">
            <v>0</v>
          </cell>
        </row>
        <row r="1097">
          <cell r="R1097">
            <v>0</v>
          </cell>
          <cell r="S1097">
            <v>0</v>
          </cell>
        </row>
        <row r="1098">
          <cell r="R1098">
            <v>0</v>
          </cell>
          <cell r="S1098">
            <v>0</v>
          </cell>
        </row>
        <row r="1099">
          <cell r="R1099">
            <v>0</v>
          </cell>
          <cell r="S1099">
            <v>0</v>
          </cell>
        </row>
        <row r="1100">
          <cell r="R1100">
            <v>0</v>
          </cell>
          <cell r="S1100">
            <v>0</v>
          </cell>
        </row>
        <row r="1101">
          <cell r="R1101">
            <v>0</v>
          </cell>
          <cell r="S1101">
            <v>0</v>
          </cell>
        </row>
        <row r="1102">
          <cell r="R1102">
            <v>0</v>
          </cell>
          <cell r="S1102">
            <v>0</v>
          </cell>
        </row>
        <row r="1103">
          <cell r="R1103">
            <v>0</v>
          </cell>
          <cell r="S1103">
            <v>0</v>
          </cell>
        </row>
        <row r="1104">
          <cell r="R1104">
            <v>0</v>
          </cell>
          <cell r="S1104">
            <v>0</v>
          </cell>
        </row>
        <row r="1105">
          <cell r="R1105">
            <v>0</v>
          </cell>
          <cell r="S1105">
            <v>0</v>
          </cell>
        </row>
        <row r="1106">
          <cell r="R1106">
            <v>0</v>
          </cell>
          <cell r="S1106">
            <v>0</v>
          </cell>
        </row>
        <row r="1107">
          <cell r="R1107">
            <v>0</v>
          </cell>
          <cell r="S1107">
            <v>0</v>
          </cell>
        </row>
        <row r="1108">
          <cell r="R1108">
            <v>0</v>
          </cell>
          <cell r="S1108">
            <v>0</v>
          </cell>
        </row>
        <row r="1109">
          <cell r="R1109">
            <v>0</v>
          </cell>
          <cell r="S1109">
            <v>0</v>
          </cell>
        </row>
        <row r="1110">
          <cell r="R1110">
            <v>0</v>
          </cell>
          <cell r="S1110">
            <v>0</v>
          </cell>
        </row>
        <row r="1111">
          <cell r="R1111">
            <v>0</v>
          </cell>
          <cell r="S1111">
            <v>0</v>
          </cell>
        </row>
        <row r="1112">
          <cell r="R1112">
            <v>0</v>
          </cell>
          <cell r="S1112">
            <v>0</v>
          </cell>
        </row>
        <row r="1113">
          <cell r="R1113">
            <v>0</v>
          </cell>
          <cell r="S1113">
            <v>0</v>
          </cell>
        </row>
        <row r="1114">
          <cell r="R1114">
            <v>0</v>
          </cell>
          <cell r="S1114">
            <v>0</v>
          </cell>
        </row>
        <row r="1115">
          <cell r="R1115">
            <v>0</v>
          </cell>
          <cell r="S1115">
            <v>0</v>
          </cell>
        </row>
        <row r="1116">
          <cell r="R1116">
            <v>0</v>
          </cell>
          <cell r="S1116">
            <v>0</v>
          </cell>
        </row>
        <row r="1117">
          <cell r="R1117">
            <v>0</v>
          </cell>
          <cell r="S1117">
            <v>0</v>
          </cell>
        </row>
        <row r="1118">
          <cell r="R1118">
            <v>0</v>
          </cell>
          <cell r="S1118">
            <v>0</v>
          </cell>
        </row>
        <row r="1119">
          <cell r="R1119">
            <v>0</v>
          </cell>
          <cell r="S1119">
            <v>0</v>
          </cell>
        </row>
        <row r="1120">
          <cell r="R1120">
            <v>0</v>
          </cell>
          <cell r="S1120">
            <v>0</v>
          </cell>
        </row>
        <row r="1121">
          <cell r="R1121">
            <v>0</v>
          </cell>
          <cell r="S1121">
            <v>0</v>
          </cell>
        </row>
        <row r="1122">
          <cell r="R1122">
            <v>0</v>
          </cell>
          <cell r="S1122">
            <v>0</v>
          </cell>
        </row>
        <row r="1123">
          <cell r="R1123">
            <v>0</v>
          </cell>
          <cell r="S1123">
            <v>0</v>
          </cell>
        </row>
        <row r="1124">
          <cell r="R1124">
            <v>0</v>
          </cell>
          <cell r="S1124">
            <v>0</v>
          </cell>
        </row>
        <row r="1125">
          <cell r="R1125">
            <v>0</v>
          </cell>
          <cell r="S1125">
            <v>0</v>
          </cell>
        </row>
        <row r="1126">
          <cell r="R1126">
            <v>0</v>
          </cell>
          <cell r="S1126">
            <v>0</v>
          </cell>
        </row>
        <row r="1127">
          <cell r="R1127">
            <v>0</v>
          </cell>
          <cell r="S1127">
            <v>0</v>
          </cell>
        </row>
        <row r="1128">
          <cell r="R1128">
            <v>0</v>
          </cell>
          <cell r="S1128">
            <v>0</v>
          </cell>
        </row>
        <row r="1129">
          <cell r="R1129">
            <v>0</v>
          </cell>
          <cell r="S1129">
            <v>0</v>
          </cell>
        </row>
        <row r="1130">
          <cell r="R1130">
            <v>0</v>
          </cell>
          <cell r="S1130">
            <v>0</v>
          </cell>
        </row>
        <row r="1131">
          <cell r="R1131">
            <v>0</v>
          </cell>
          <cell r="S1131">
            <v>0</v>
          </cell>
        </row>
        <row r="1132">
          <cell r="R1132">
            <v>0</v>
          </cell>
          <cell r="S1132">
            <v>0</v>
          </cell>
        </row>
        <row r="1133">
          <cell r="R1133">
            <v>0</v>
          </cell>
          <cell r="S1133">
            <v>0</v>
          </cell>
        </row>
        <row r="1134">
          <cell r="R1134">
            <v>0</v>
          </cell>
          <cell r="S1134">
            <v>0</v>
          </cell>
        </row>
        <row r="1135">
          <cell r="R1135">
            <v>0</v>
          </cell>
          <cell r="S1135">
            <v>0</v>
          </cell>
        </row>
        <row r="1136">
          <cell r="R1136">
            <v>0</v>
          </cell>
          <cell r="S1136">
            <v>0</v>
          </cell>
        </row>
        <row r="1137">
          <cell r="R1137">
            <v>0</v>
          </cell>
          <cell r="S1137">
            <v>0</v>
          </cell>
        </row>
        <row r="1138">
          <cell r="R1138">
            <v>0</v>
          </cell>
          <cell r="S1138">
            <v>0</v>
          </cell>
        </row>
        <row r="1139">
          <cell r="R1139">
            <v>0</v>
          </cell>
          <cell r="S1139">
            <v>0</v>
          </cell>
        </row>
        <row r="1140">
          <cell r="R1140">
            <v>0</v>
          </cell>
          <cell r="S1140">
            <v>0</v>
          </cell>
        </row>
        <row r="1141">
          <cell r="R1141">
            <v>0</v>
          </cell>
          <cell r="S1141">
            <v>0</v>
          </cell>
        </row>
        <row r="1142">
          <cell r="R1142">
            <v>0</v>
          </cell>
          <cell r="S1142">
            <v>0</v>
          </cell>
        </row>
        <row r="1143">
          <cell r="R1143">
            <v>0</v>
          </cell>
          <cell r="S1143">
            <v>0</v>
          </cell>
        </row>
        <row r="1144">
          <cell r="R1144">
            <v>0</v>
          </cell>
          <cell r="S1144">
            <v>0</v>
          </cell>
        </row>
        <row r="1145">
          <cell r="R1145">
            <v>0</v>
          </cell>
          <cell r="S1145">
            <v>0</v>
          </cell>
        </row>
        <row r="1146">
          <cell r="R1146">
            <v>0</v>
          </cell>
          <cell r="S1146">
            <v>0</v>
          </cell>
        </row>
        <row r="1147">
          <cell r="R1147">
            <v>0</v>
          </cell>
          <cell r="S1147">
            <v>0</v>
          </cell>
        </row>
        <row r="1148">
          <cell r="R1148">
            <v>0</v>
          </cell>
          <cell r="S1148">
            <v>0</v>
          </cell>
        </row>
        <row r="1149">
          <cell r="R1149">
            <v>0</v>
          </cell>
          <cell r="S1149">
            <v>0</v>
          </cell>
        </row>
        <row r="1150">
          <cell r="R1150">
            <v>0</v>
          </cell>
          <cell r="S1150">
            <v>0</v>
          </cell>
        </row>
        <row r="1151">
          <cell r="R1151">
            <v>0</v>
          </cell>
          <cell r="S1151">
            <v>0</v>
          </cell>
        </row>
        <row r="1152">
          <cell r="R1152">
            <v>0</v>
          </cell>
          <cell r="S1152">
            <v>0</v>
          </cell>
        </row>
        <row r="1153">
          <cell r="R1153">
            <v>0</v>
          </cell>
          <cell r="S1153">
            <v>0</v>
          </cell>
        </row>
        <row r="1154">
          <cell r="R1154">
            <v>0</v>
          </cell>
          <cell r="S1154">
            <v>0</v>
          </cell>
        </row>
        <row r="1155">
          <cell r="R1155">
            <v>0</v>
          </cell>
          <cell r="S1155">
            <v>0</v>
          </cell>
        </row>
        <row r="1156">
          <cell r="R1156">
            <v>0</v>
          </cell>
          <cell r="S1156">
            <v>0</v>
          </cell>
        </row>
        <row r="1157">
          <cell r="R1157">
            <v>0</v>
          </cell>
          <cell r="S1157">
            <v>0</v>
          </cell>
        </row>
        <row r="1158">
          <cell r="R1158">
            <v>0</v>
          </cell>
          <cell r="S1158">
            <v>0</v>
          </cell>
        </row>
        <row r="1159">
          <cell r="R1159">
            <v>0</v>
          </cell>
          <cell r="S1159">
            <v>0</v>
          </cell>
        </row>
        <row r="1160">
          <cell r="R1160">
            <v>0</v>
          </cell>
          <cell r="S1160">
            <v>0</v>
          </cell>
        </row>
        <row r="1161">
          <cell r="R1161">
            <v>0</v>
          </cell>
          <cell r="S1161">
            <v>0</v>
          </cell>
        </row>
        <row r="1162">
          <cell r="R1162">
            <v>0</v>
          </cell>
          <cell r="S1162">
            <v>0</v>
          </cell>
        </row>
        <row r="1163">
          <cell r="R1163">
            <v>0</v>
          </cell>
          <cell r="S1163">
            <v>0</v>
          </cell>
        </row>
        <row r="1164">
          <cell r="R1164">
            <v>0</v>
          </cell>
          <cell r="S1164">
            <v>0</v>
          </cell>
        </row>
        <row r="1165">
          <cell r="R1165">
            <v>0</v>
          </cell>
          <cell r="S1165">
            <v>0</v>
          </cell>
        </row>
        <row r="1166">
          <cell r="R1166">
            <v>0</v>
          </cell>
          <cell r="S1166">
            <v>0</v>
          </cell>
        </row>
        <row r="1167">
          <cell r="R1167">
            <v>0</v>
          </cell>
          <cell r="S1167">
            <v>0</v>
          </cell>
        </row>
        <row r="1168">
          <cell r="R1168">
            <v>0</v>
          </cell>
          <cell r="S1168">
            <v>0</v>
          </cell>
        </row>
        <row r="1169">
          <cell r="R1169">
            <v>0</v>
          </cell>
          <cell r="S1169">
            <v>0</v>
          </cell>
        </row>
        <row r="1170">
          <cell r="R1170">
            <v>0</v>
          </cell>
          <cell r="S1170">
            <v>0</v>
          </cell>
        </row>
        <row r="1171">
          <cell r="R1171">
            <v>0</v>
          </cell>
          <cell r="S1171">
            <v>0</v>
          </cell>
        </row>
        <row r="1172">
          <cell r="R1172">
            <v>0</v>
          </cell>
          <cell r="S1172">
            <v>0</v>
          </cell>
        </row>
        <row r="1173">
          <cell r="R1173">
            <v>0</v>
          </cell>
          <cell r="S1173">
            <v>0</v>
          </cell>
        </row>
        <row r="1174">
          <cell r="R1174">
            <v>0</v>
          </cell>
          <cell r="S1174">
            <v>0</v>
          </cell>
        </row>
        <row r="1175">
          <cell r="R1175">
            <v>0</v>
          </cell>
          <cell r="S1175">
            <v>0</v>
          </cell>
        </row>
        <row r="1176">
          <cell r="R1176">
            <v>0</v>
          </cell>
          <cell r="S1176">
            <v>0</v>
          </cell>
        </row>
        <row r="1177">
          <cell r="R1177">
            <v>0</v>
          </cell>
          <cell r="S1177">
            <v>0</v>
          </cell>
        </row>
        <row r="1178">
          <cell r="R1178">
            <v>0</v>
          </cell>
          <cell r="S1178">
            <v>0</v>
          </cell>
        </row>
        <row r="1179">
          <cell r="R1179">
            <v>0</v>
          </cell>
          <cell r="S1179">
            <v>0</v>
          </cell>
        </row>
        <row r="1180">
          <cell r="R1180">
            <v>0</v>
          </cell>
          <cell r="S1180">
            <v>0</v>
          </cell>
        </row>
        <row r="1181">
          <cell r="R1181">
            <v>0</v>
          </cell>
          <cell r="S1181">
            <v>0</v>
          </cell>
        </row>
        <row r="1182">
          <cell r="R1182">
            <v>0</v>
          </cell>
          <cell r="S1182">
            <v>0</v>
          </cell>
        </row>
        <row r="1183">
          <cell r="R1183">
            <v>0</v>
          </cell>
          <cell r="S1183">
            <v>0</v>
          </cell>
        </row>
        <row r="1184">
          <cell r="R1184">
            <v>0</v>
          </cell>
          <cell r="S1184">
            <v>0</v>
          </cell>
        </row>
        <row r="1185">
          <cell r="R1185">
            <v>0</v>
          </cell>
          <cell r="S1185">
            <v>0</v>
          </cell>
        </row>
        <row r="1186">
          <cell r="R1186">
            <v>0</v>
          </cell>
          <cell r="S1186">
            <v>0</v>
          </cell>
        </row>
        <row r="1187">
          <cell r="R1187">
            <v>0</v>
          </cell>
          <cell r="S1187">
            <v>0</v>
          </cell>
        </row>
        <row r="1188">
          <cell r="R1188">
            <v>0</v>
          </cell>
          <cell r="S1188">
            <v>0</v>
          </cell>
        </row>
        <row r="1189">
          <cell r="R1189">
            <v>0</v>
          </cell>
          <cell r="S1189">
            <v>0</v>
          </cell>
        </row>
        <row r="1190">
          <cell r="R1190">
            <v>0</v>
          </cell>
          <cell r="S1190">
            <v>0</v>
          </cell>
        </row>
        <row r="1191">
          <cell r="R1191">
            <v>0</v>
          </cell>
          <cell r="S1191">
            <v>0</v>
          </cell>
        </row>
        <row r="1192">
          <cell r="R1192">
            <v>0</v>
          </cell>
          <cell r="S1192">
            <v>0</v>
          </cell>
        </row>
        <row r="1193">
          <cell r="R1193">
            <v>0</v>
          </cell>
          <cell r="S1193">
            <v>0</v>
          </cell>
        </row>
        <row r="1194">
          <cell r="R1194">
            <v>0</v>
          </cell>
          <cell r="S1194">
            <v>0</v>
          </cell>
        </row>
        <row r="1195">
          <cell r="R1195">
            <v>0</v>
          </cell>
          <cell r="S1195">
            <v>0</v>
          </cell>
        </row>
        <row r="1196">
          <cell r="R1196">
            <v>0</v>
          </cell>
          <cell r="S1196">
            <v>0</v>
          </cell>
        </row>
        <row r="1197">
          <cell r="R1197">
            <v>0</v>
          </cell>
          <cell r="S1197">
            <v>0</v>
          </cell>
        </row>
        <row r="1198">
          <cell r="R1198">
            <v>0</v>
          </cell>
          <cell r="S1198">
            <v>0</v>
          </cell>
        </row>
        <row r="1199">
          <cell r="R1199">
            <v>0</v>
          </cell>
          <cell r="S1199">
            <v>0</v>
          </cell>
        </row>
        <row r="1200">
          <cell r="R1200">
            <v>0</v>
          </cell>
          <cell r="S1200">
            <v>0</v>
          </cell>
        </row>
        <row r="1201">
          <cell r="R1201">
            <v>0</v>
          </cell>
          <cell r="S1201">
            <v>0</v>
          </cell>
        </row>
        <row r="1202">
          <cell r="R1202">
            <v>0</v>
          </cell>
          <cell r="S1202">
            <v>0</v>
          </cell>
        </row>
        <row r="1203">
          <cell r="R1203">
            <v>0</v>
          </cell>
          <cell r="S1203">
            <v>0</v>
          </cell>
        </row>
        <row r="1204">
          <cell r="R1204">
            <v>0</v>
          </cell>
          <cell r="S1204">
            <v>0</v>
          </cell>
        </row>
        <row r="1205">
          <cell r="R1205">
            <v>0</v>
          </cell>
          <cell r="S1205">
            <v>0</v>
          </cell>
        </row>
        <row r="1206">
          <cell r="R1206">
            <v>0</v>
          </cell>
          <cell r="S1206">
            <v>0</v>
          </cell>
        </row>
        <row r="1207">
          <cell r="R1207">
            <v>0</v>
          </cell>
          <cell r="S1207">
            <v>0</v>
          </cell>
        </row>
        <row r="1208">
          <cell r="R1208">
            <v>0</v>
          </cell>
          <cell r="S1208">
            <v>0</v>
          </cell>
        </row>
        <row r="1209">
          <cell r="R1209">
            <v>0</v>
          </cell>
          <cell r="S1209">
            <v>0</v>
          </cell>
        </row>
        <row r="1210">
          <cell r="R1210">
            <v>0</v>
          </cell>
          <cell r="S1210">
            <v>0</v>
          </cell>
        </row>
        <row r="1211">
          <cell r="R1211">
            <v>0</v>
          </cell>
          <cell r="S1211">
            <v>0</v>
          </cell>
        </row>
        <row r="1212">
          <cell r="R1212">
            <v>0</v>
          </cell>
          <cell r="S1212">
            <v>0</v>
          </cell>
        </row>
        <row r="1213">
          <cell r="R1213">
            <v>0</v>
          </cell>
          <cell r="S1213">
            <v>0</v>
          </cell>
        </row>
        <row r="1214">
          <cell r="R1214">
            <v>0</v>
          </cell>
          <cell r="S1214">
            <v>0</v>
          </cell>
        </row>
        <row r="1215">
          <cell r="R1215">
            <v>0</v>
          </cell>
          <cell r="S1215">
            <v>0</v>
          </cell>
        </row>
        <row r="1216">
          <cell r="R1216">
            <v>0</v>
          </cell>
          <cell r="S1216">
            <v>0</v>
          </cell>
        </row>
        <row r="1217">
          <cell r="R1217">
            <v>0</v>
          </cell>
          <cell r="S1217">
            <v>0</v>
          </cell>
        </row>
        <row r="1218">
          <cell r="R1218">
            <v>0</v>
          </cell>
          <cell r="S1218">
            <v>0</v>
          </cell>
        </row>
        <row r="1219">
          <cell r="R1219">
            <v>0</v>
          </cell>
          <cell r="S1219">
            <v>0</v>
          </cell>
        </row>
        <row r="1220">
          <cell r="R1220">
            <v>0</v>
          </cell>
          <cell r="S1220">
            <v>0</v>
          </cell>
        </row>
        <row r="1221">
          <cell r="R1221">
            <v>0</v>
          </cell>
          <cell r="S1221">
            <v>0</v>
          </cell>
        </row>
        <row r="1222">
          <cell r="R1222">
            <v>0</v>
          </cell>
          <cell r="S1222">
            <v>0</v>
          </cell>
        </row>
        <row r="1223">
          <cell r="R1223">
            <v>0</v>
          </cell>
          <cell r="S1223">
            <v>0</v>
          </cell>
        </row>
        <row r="1224">
          <cell r="R1224">
            <v>0</v>
          </cell>
          <cell r="S1224">
            <v>0</v>
          </cell>
        </row>
        <row r="1225">
          <cell r="R1225">
            <v>0</v>
          </cell>
          <cell r="S1225">
            <v>0</v>
          </cell>
        </row>
        <row r="1226">
          <cell r="R1226">
            <v>0</v>
          </cell>
          <cell r="S1226">
            <v>0</v>
          </cell>
        </row>
        <row r="1227">
          <cell r="R1227">
            <v>0</v>
          </cell>
          <cell r="S1227">
            <v>0</v>
          </cell>
        </row>
        <row r="1228">
          <cell r="R1228">
            <v>0</v>
          </cell>
          <cell r="S1228">
            <v>0</v>
          </cell>
        </row>
        <row r="1229">
          <cell r="R1229">
            <v>0</v>
          </cell>
          <cell r="S1229">
            <v>0</v>
          </cell>
        </row>
        <row r="1230">
          <cell r="R1230">
            <v>0</v>
          </cell>
          <cell r="S1230">
            <v>0</v>
          </cell>
        </row>
        <row r="1231">
          <cell r="R1231">
            <v>0</v>
          </cell>
          <cell r="S1231">
            <v>0</v>
          </cell>
        </row>
        <row r="1232">
          <cell r="R1232">
            <v>0</v>
          </cell>
          <cell r="S1232">
            <v>0</v>
          </cell>
        </row>
        <row r="1233">
          <cell r="R1233">
            <v>0</v>
          </cell>
          <cell r="S1233">
            <v>0</v>
          </cell>
        </row>
        <row r="1234">
          <cell r="R1234">
            <v>0</v>
          </cell>
          <cell r="S1234">
            <v>0</v>
          </cell>
        </row>
        <row r="1235">
          <cell r="R1235">
            <v>0</v>
          </cell>
          <cell r="S1235">
            <v>0</v>
          </cell>
        </row>
        <row r="1236">
          <cell r="R1236">
            <v>0</v>
          </cell>
          <cell r="S1236">
            <v>0</v>
          </cell>
        </row>
        <row r="1237">
          <cell r="R1237">
            <v>0</v>
          </cell>
          <cell r="S1237">
            <v>0</v>
          </cell>
        </row>
        <row r="1238">
          <cell r="R1238">
            <v>0</v>
          </cell>
          <cell r="S1238">
            <v>0</v>
          </cell>
        </row>
        <row r="1239">
          <cell r="R1239">
            <v>0</v>
          </cell>
          <cell r="S1239">
            <v>0</v>
          </cell>
        </row>
        <row r="1240">
          <cell r="R1240">
            <v>0</v>
          </cell>
          <cell r="S1240">
            <v>0</v>
          </cell>
        </row>
        <row r="1241">
          <cell r="R1241">
            <v>0</v>
          </cell>
          <cell r="S1241">
            <v>0</v>
          </cell>
        </row>
        <row r="1242">
          <cell r="R1242">
            <v>0</v>
          </cell>
          <cell r="S1242">
            <v>0</v>
          </cell>
        </row>
        <row r="1243">
          <cell r="R1243">
            <v>0</v>
          </cell>
          <cell r="S1243">
            <v>0</v>
          </cell>
        </row>
        <row r="1244">
          <cell r="R1244">
            <v>0</v>
          </cell>
          <cell r="S1244">
            <v>0</v>
          </cell>
        </row>
        <row r="1245">
          <cell r="R1245">
            <v>0</v>
          </cell>
          <cell r="S1245">
            <v>0</v>
          </cell>
        </row>
        <row r="1246">
          <cell r="R1246">
            <v>0</v>
          </cell>
          <cell r="S1246">
            <v>0</v>
          </cell>
        </row>
        <row r="1247">
          <cell r="R1247">
            <v>0</v>
          </cell>
          <cell r="S1247">
            <v>0</v>
          </cell>
        </row>
        <row r="1248">
          <cell r="R1248">
            <v>0</v>
          </cell>
          <cell r="S1248">
            <v>0</v>
          </cell>
        </row>
        <row r="1249">
          <cell r="R1249">
            <v>0</v>
          </cell>
          <cell r="S1249">
            <v>0</v>
          </cell>
        </row>
        <row r="1250">
          <cell r="R1250">
            <v>0</v>
          </cell>
          <cell r="S1250">
            <v>0</v>
          </cell>
        </row>
        <row r="1251">
          <cell r="R1251">
            <v>0</v>
          </cell>
          <cell r="S1251">
            <v>0</v>
          </cell>
        </row>
        <row r="1252">
          <cell r="R1252">
            <v>0</v>
          </cell>
          <cell r="S1252">
            <v>0</v>
          </cell>
        </row>
        <row r="1253">
          <cell r="R1253">
            <v>0</v>
          </cell>
          <cell r="S1253">
            <v>0</v>
          </cell>
        </row>
        <row r="1254">
          <cell r="R1254">
            <v>0</v>
          </cell>
          <cell r="S1254">
            <v>0</v>
          </cell>
        </row>
        <row r="1255">
          <cell r="R1255">
            <v>0</v>
          </cell>
          <cell r="S1255">
            <v>0</v>
          </cell>
        </row>
        <row r="1256">
          <cell r="R1256">
            <v>0</v>
          </cell>
          <cell r="S1256">
            <v>0</v>
          </cell>
        </row>
        <row r="1257">
          <cell r="R1257">
            <v>0</v>
          </cell>
          <cell r="S1257">
            <v>0</v>
          </cell>
        </row>
        <row r="1258">
          <cell r="R1258">
            <v>0</v>
          </cell>
          <cell r="S1258">
            <v>0</v>
          </cell>
        </row>
        <row r="1259">
          <cell r="R1259">
            <v>0</v>
          </cell>
          <cell r="S1259">
            <v>0</v>
          </cell>
        </row>
        <row r="1260">
          <cell r="R1260">
            <v>0</v>
          </cell>
          <cell r="S1260">
            <v>0</v>
          </cell>
        </row>
        <row r="1261">
          <cell r="R1261">
            <v>0</v>
          </cell>
          <cell r="S1261">
            <v>0</v>
          </cell>
        </row>
        <row r="1262">
          <cell r="R1262">
            <v>0</v>
          </cell>
          <cell r="S1262">
            <v>0</v>
          </cell>
        </row>
        <row r="1263">
          <cell r="R1263">
            <v>0</v>
          </cell>
          <cell r="S1263">
            <v>0</v>
          </cell>
        </row>
        <row r="1264">
          <cell r="R1264">
            <v>0</v>
          </cell>
          <cell r="S1264">
            <v>0</v>
          </cell>
        </row>
        <row r="1265">
          <cell r="R1265">
            <v>0</v>
          </cell>
          <cell r="S1265">
            <v>0</v>
          </cell>
        </row>
        <row r="1266">
          <cell r="R1266">
            <v>0</v>
          </cell>
          <cell r="S1266">
            <v>0</v>
          </cell>
        </row>
        <row r="1267">
          <cell r="R1267">
            <v>0</v>
          </cell>
          <cell r="S1267">
            <v>0</v>
          </cell>
        </row>
        <row r="1268">
          <cell r="R1268">
            <v>0</v>
          </cell>
          <cell r="S1268">
            <v>0</v>
          </cell>
        </row>
        <row r="1269">
          <cell r="R1269">
            <v>0</v>
          </cell>
          <cell r="S1269">
            <v>0</v>
          </cell>
        </row>
        <row r="1270">
          <cell r="R1270">
            <v>0</v>
          </cell>
          <cell r="S1270">
            <v>0</v>
          </cell>
        </row>
        <row r="1271">
          <cell r="R1271">
            <v>0</v>
          </cell>
          <cell r="S1271">
            <v>0</v>
          </cell>
        </row>
        <row r="1272">
          <cell r="R1272">
            <v>0</v>
          </cell>
          <cell r="S1272">
            <v>0</v>
          </cell>
        </row>
        <row r="1273">
          <cell r="R1273">
            <v>0</v>
          </cell>
          <cell r="S1273">
            <v>0</v>
          </cell>
        </row>
        <row r="1274">
          <cell r="R1274">
            <v>0</v>
          </cell>
          <cell r="S1274">
            <v>0</v>
          </cell>
        </row>
        <row r="1275">
          <cell r="R1275">
            <v>0</v>
          </cell>
          <cell r="S1275">
            <v>0</v>
          </cell>
        </row>
        <row r="1276">
          <cell r="R1276">
            <v>0</v>
          </cell>
          <cell r="S1276">
            <v>0</v>
          </cell>
        </row>
        <row r="1277">
          <cell r="R1277">
            <v>0</v>
          </cell>
          <cell r="S1277">
            <v>0</v>
          </cell>
        </row>
        <row r="1278">
          <cell r="R1278">
            <v>0</v>
          </cell>
          <cell r="S1278">
            <v>0</v>
          </cell>
        </row>
        <row r="1279">
          <cell r="R1279">
            <v>0</v>
          </cell>
          <cell r="S1279">
            <v>0</v>
          </cell>
        </row>
        <row r="1280">
          <cell r="R1280">
            <v>0</v>
          </cell>
          <cell r="S1280">
            <v>0</v>
          </cell>
        </row>
        <row r="1281">
          <cell r="R1281">
            <v>0</v>
          </cell>
          <cell r="S1281">
            <v>0</v>
          </cell>
        </row>
        <row r="1282">
          <cell r="R1282">
            <v>0</v>
          </cell>
          <cell r="S1282">
            <v>0</v>
          </cell>
        </row>
        <row r="1283">
          <cell r="R1283">
            <v>0</v>
          </cell>
          <cell r="S1283">
            <v>0</v>
          </cell>
        </row>
        <row r="1284">
          <cell r="R1284">
            <v>0</v>
          </cell>
          <cell r="S1284">
            <v>0</v>
          </cell>
        </row>
        <row r="1285">
          <cell r="R1285">
            <v>0</v>
          </cell>
          <cell r="S1285">
            <v>0</v>
          </cell>
        </row>
        <row r="1286">
          <cell r="R1286">
            <v>0</v>
          </cell>
          <cell r="S1286">
            <v>0</v>
          </cell>
        </row>
        <row r="1287">
          <cell r="R1287">
            <v>0</v>
          </cell>
          <cell r="S1287">
            <v>0</v>
          </cell>
        </row>
        <row r="1288">
          <cell r="R1288">
            <v>0</v>
          </cell>
          <cell r="S1288">
            <v>0</v>
          </cell>
        </row>
        <row r="1289">
          <cell r="R1289">
            <v>0</v>
          </cell>
          <cell r="S1289">
            <v>0</v>
          </cell>
        </row>
        <row r="1290">
          <cell r="R1290">
            <v>0</v>
          </cell>
          <cell r="S1290">
            <v>0</v>
          </cell>
        </row>
        <row r="1291">
          <cell r="R1291">
            <v>0</v>
          </cell>
          <cell r="S1291">
            <v>0</v>
          </cell>
        </row>
        <row r="1292">
          <cell r="R1292">
            <v>0</v>
          </cell>
          <cell r="S1292">
            <v>0</v>
          </cell>
        </row>
        <row r="1293">
          <cell r="R1293">
            <v>0</v>
          </cell>
          <cell r="S1293">
            <v>0</v>
          </cell>
        </row>
        <row r="1294">
          <cell r="R1294">
            <v>0</v>
          </cell>
          <cell r="S1294">
            <v>0</v>
          </cell>
        </row>
        <row r="1295">
          <cell r="R1295">
            <v>0</v>
          </cell>
          <cell r="S1295">
            <v>0</v>
          </cell>
        </row>
        <row r="1296">
          <cell r="R1296">
            <v>0</v>
          </cell>
          <cell r="S1296">
            <v>0</v>
          </cell>
        </row>
        <row r="1297">
          <cell r="R1297">
            <v>0</v>
          </cell>
          <cell r="S1297">
            <v>0</v>
          </cell>
        </row>
        <row r="1298">
          <cell r="R1298">
            <v>0</v>
          </cell>
          <cell r="S1298">
            <v>0</v>
          </cell>
        </row>
        <row r="1299">
          <cell r="R1299">
            <v>0</v>
          </cell>
          <cell r="S1299">
            <v>0</v>
          </cell>
        </row>
        <row r="1300">
          <cell r="R1300">
            <v>0</v>
          </cell>
          <cell r="S1300">
            <v>0</v>
          </cell>
        </row>
        <row r="1301">
          <cell r="R1301">
            <v>0</v>
          </cell>
          <cell r="S1301">
            <v>0</v>
          </cell>
        </row>
        <row r="1302">
          <cell r="R1302">
            <v>0</v>
          </cell>
          <cell r="S1302">
            <v>0</v>
          </cell>
        </row>
        <row r="1303">
          <cell r="R1303">
            <v>0</v>
          </cell>
          <cell r="S1303">
            <v>0</v>
          </cell>
        </row>
        <row r="1304">
          <cell r="R1304">
            <v>0</v>
          </cell>
          <cell r="S1304">
            <v>0</v>
          </cell>
        </row>
        <row r="1305">
          <cell r="R1305">
            <v>0</v>
          </cell>
          <cell r="S1305">
            <v>0</v>
          </cell>
        </row>
        <row r="1306">
          <cell r="R1306">
            <v>0</v>
          </cell>
          <cell r="S1306">
            <v>0</v>
          </cell>
        </row>
        <row r="1307">
          <cell r="R1307">
            <v>0</v>
          </cell>
          <cell r="S1307">
            <v>0</v>
          </cell>
        </row>
        <row r="1308">
          <cell r="R1308">
            <v>0</v>
          </cell>
          <cell r="S1308">
            <v>0</v>
          </cell>
        </row>
        <row r="1309">
          <cell r="R1309">
            <v>0</v>
          </cell>
          <cell r="S1309">
            <v>0</v>
          </cell>
        </row>
        <row r="1310">
          <cell r="R1310">
            <v>0</v>
          </cell>
          <cell r="S1310">
            <v>0</v>
          </cell>
        </row>
        <row r="1311">
          <cell r="R1311">
            <v>0</v>
          </cell>
          <cell r="S1311">
            <v>0</v>
          </cell>
        </row>
        <row r="1312">
          <cell r="R1312">
            <v>0</v>
          </cell>
          <cell r="S1312">
            <v>0</v>
          </cell>
        </row>
        <row r="1313">
          <cell r="R1313">
            <v>0</v>
          </cell>
          <cell r="S1313">
            <v>0</v>
          </cell>
        </row>
        <row r="1314">
          <cell r="R1314">
            <v>0</v>
          </cell>
          <cell r="S1314">
            <v>0</v>
          </cell>
        </row>
        <row r="1315">
          <cell r="R1315">
            <v>0</v>
          </cell>
          <cell r="S1315">
            <v>0</v>
          </cell>
        </row>
        <row r="1316">
          <cell r="R1316">
            <v>0</v>
          </cell>
          <cell r="S1316">
            <v>0</v>
          </cell>
        </row>
        <row r="1317">
          <cell r="R1317">
            <v>0</v>
          </cell>
          <cell r="S1317">
            <v>0</v>
          </cell>
        </row>
        <row r="1318">
          <cell r="R1318">
            <v>0</v>
          </cell>
          <cell r="S1318">
            <v>0</v>
          </cell>
        </row>
        <row r="1319">
          <cell r="R1319">
            <v>0</v>
          </cell>
          <cell r="S1319">
            <v>0</v>
          </cell>
        </row>
        <row r="1320">
          <cell r="R1320">
            <v>0</v>
          </cell>
          <cell r="S1320">
            <v>0</v>
          </cell>
        </row>
        <row r="1321">
          <cell r="R1321">
            <v>0</v>
          </cell>
          <cell r="S1321">
            <v>0</v>
          </cell>
        </row>
        <row r="1322">
          <cell r="R1322">
            <v>0</v>
          </cell>
          <cell r="S1322">
            <v>0</v>
          </cell>
        </row>
        <row r="1323">
          <cell r="R1323">
            <v>0</v>
          </cell>
          <cell r="S1323">
            <v>0</v>
          </cell>
        </row>
        <row r="1324">
          <cell r="R1324">
            <v>0</v>
          </cell>
          <cell r="S1324">
            <v>0</v>
          </cell>
        </row>
        <row r="1325">
          <cell r="R1325">
            <v>0</v>
          </cell>
          <cell r="S1325">
            <v>0</v>
          </cell>
        </row>
        <row r="1326">
          <cell r="R1326">
            <v>0</v>
          </cell>
          <cell r="S1326">
            <v>0</v>
          </cell>
        </row>
        <row r="1327">
          <cell r="R1327">
            <v>0</v>
          </cell>
          <cell r="S1327">
            <v>0</v>
          </cell>
        </row>
        <row r="1328">
          <cell r="R1328">
            <v>0</v>
          </cell>
          <cell r="S1328">
            <v>0</v>
          </cell>
        </row>
        <row r="1329">
          <cell r="R1329">
            <v>0</v>
          </cell>
          <cell r="S1329">
            <v>0</v>
          </cell>
        </row>
        <row r="1330">
          <cell r="R1330">
            <v>0</v>
          </cell>
          <cell r="S1330">
            <v>0</v>
          </cell>
        </row>
        <row r="1331">
          <cell r="R1331">
            <v>0</v>
          </cell>
          <cell r="S1331">
            <v>0</v>
          </cell>
        </row>
        <row r="1332">
          <cell r="R1332">
            <v>0</v>
          </cell>
          <cell r="S1332">
            <v>0</v>
          </cell>
        </row>
        <row r="1333">
          <cell r="R1333">
            <v>0</v>
          </cell>
          <cell r="S1333">
            <v>0</v>
          </cell>
        </row>
        <row r="1334">
          <cell r="R1334">
            <v>0</v>
          </cell>
          <cell r="S1334">
            <v>0</v>
          </cell>
        </row>
        <row r="1335">
          <cell r="R1335">
            <v>0</v>
          </cell>
          <cell r="S1335">
            <v>0</v>
          </cell>
        </row>
        <row r="1336">
          <cell r="R1336">
            <v>0</v>
          </cell>
          <cell r="S1336">
            <v>0</v>
          </cell>
        </row>
        <row r="1337">
          <cell r="R1337">
            <v>0</v>
          </cell>
          <cell r="S1337">
            <v>0</v>
          </cell>
        </row>
        <row r="1338">
          <cell r="R1338">
            <v>0</v>
          </cell>
          <cell r="S1338">
            <v>0</v>
          </cell>
        </row>
        <row r="1339">
          <cell r="R1339">
            <v>0</v>
          </cell>
          <cell r="S1339">
            <v>0</v>
          </cell>
        </row>
        <row r="1340">
          <cell r="R1340">
            <v>0</v>
          </cell>
          <cell r="S1340">
            <v>0</v>
          </cell>
        </row>
        <row r="1341">
          <cell r="R1341">
            <v>0</v>
          </cell>
          <cell r="S1341">
            <v>0</v>
          </cell>
        </row>
        <row r="1342">
          <cell r="R1342">
            <v>0</v>
          </cell>
          <cell r="S1342">
            <v>0</v>
          </cell>
        </row>
        <row r="1343">
          <cell r="R1343">
            <v>0</v>
          </cell>
          <cell r="S1343">
            <v>0</v>
          </cell>
        </row>
        <row r="1344">
          <cell r="R1344">
            <v>0</v>
          </cell>
          <cell r="S1344">
            <v>0</v>
          </cell>
        </row>
        <row r="1345">
          <cell r="R1345">
            <v>0</v>
          </cell>
          <cell r="S1345">
            <v>0</v>
          </cell>
        </row>
        <row r="1346">
          <cell r="R1346">
            <v>0</v>
          </cell>
          <cell r="S1346">
            <v>0</v>
          </cell>
        </row>
        <row r="1347">
          <cell r="R1347">
            <v>0</v>
          </cell>
          <cell r="S1347">
            <v>0</v>
          </cell>
        </row>
        <row r="1348">
          <cell r="R1348">
            <v>0</v>
          </cell>
          <cell r="S1348">
            <v>0</v>
          </cell>
        </row>
        <row r="1349">
          <cell r="R1349">
            <v>0</v>
          </cell>
          <cell r="S1349">
            <v>0</v>
          </cell>
        </row>
        <row r="1350">
          <cell r="R1350">
            <v>0</v>
          </cell>
          <cell r="S1350">
            <v>0</v>
          </cell>
        </row>
        <row r="1351">
          <cell r="R1351">
            <v>0</v>
          </cell>
          <cell r="S1351">
            <v>0</v>
          </cell>
        </row>
        <row r="1352">
          <cell r="R1352">
            <v>0</v>
          </cell>
          <cell r="S1352">
            <v>0</v>
          </cell>
        </row>
        <row r="1353">
          <cell r="R1353">
            <v>0</v>
          </cell>
          <cell r="S1353">
            <v>0</v>
          </cell>
        </row>
        <row r="1354">
          <cell r="R1354">
            <v>0</v>
          </cell>
          <cell r="S1354">
            <v>0</v>
          </cell>
        </row>
        <row r="1355">
          <cell r="R1355">
            <v>0</v>
          </cell>
          <cell r="S1355">
            <v>0</v>
          </cell>
        </row>
        <row r="1356">
          <cell r="R1356">
            <v>0</v>
          </cell>
          <cell r="S1356">
            <v>0</v>
          </cell>
        </row>
        <row r="1357">
          <cell r="R1357">
            <v>0</v>
          </cell>
          <cell r="S1357">
            <v>0</v>
          </cell>
        </row>
        <row r="1358">
          <cell r="R1358">
            <v>0</v>
          </cell>
          <cell r="S1358">
            <v>0</v>
          </cell>
        </row>
        <row r="1359">
          <cell r="R1359">
            <v>0</v>
          </cell>
          <cell r="S1359">
            <v>0</v>
          </cell>
        </row>
        <row r="1360">
          <cell r="R1360">
            <v>0</v>
          </cell>
          <cell r="S1360">
            <v>0</v>
          </cell>
        </row>
        <row r="1361">
          <cell r="R1361">
            <v>0</v>
          </cell>
          <cell r="S1361">
            <v>0</v>
          </cell>
        </row>
        <row r="1362">
          <cell r="R1362">
            <v>0</v>
          </cell>
          <cell r="S1362">
            <v>0</v>
          </cell>
        </row>
        <row r="1363">
          <cell r="R1363">
            <v>0</v>
          </cell>
          <cell r="S1363">
            <v>0</v>
          </cell>
        </row>
        <row r="1364">
          <cell r="R1364">
            <v>0</v>
          </cell>
          <cell r="S1364">
            <v>0</v>
          </cell>
        </row>
        <row r="1365">
          <cell r="R1365">
            <v>0</v>
          </cell>
          <cell r="S1365">
            <v>0</v>
          </cell>
        </row>
        <row r="1366">
          <cell r="R1366">
            <v>0</v>
          </cell>
          <cell r="S1366">
            <v>0</v>
          </cell>
        </row>
        <row r="1367">
          <cell r="R1367">
            <v>0</v>
          </cell>
          <cell r="S1367">
            <v>0</v>
          </cell>
        </row>
        <row r="1368">
          <cell r="R1368">
            <v>0</v>
          </cell>
          <cell r="S1368">
            <v>0</v>
          </cell>
        </row>
        <row r="1369">
          <cell r="R1369">
            <v>0</v>
          </cell>
          <cell r="S1369">
            <v>0</v>
          </cell>
        </row>
        <row r="1370">
          <cell r="R1370">
            <v>0</v>
          </cell>
          <cell r="S1370">
            <v>0</v>
          </cell>
        </row>
        <row r="1371">
          <cell r="R1371">
            <v>0</v>
          </cell>
          <cell r="S1371">
            <v>0</v>
          </cell>
        </row>
        <row r="1372">
          <cell r="R1372">
            <v>0</v>
          </cell>
          <cell r="S1372">
            <v>0</v>
          </cell>
        </row>
        <row r="1373">
          <cell r="R1373">
            <v>0</v>
          </cell>
          <cell r="S1373">
            <v>0</v>
          </cell>
        </row>
        <row r="1374">
          <cell r="R1374">
            <v>0</v>
          </cell>
          <cell r="S1374">
            <v>0</v>
          </cell>
        </row>
        <row r="1375">
          <cell r="R1375">
            <v>0</v>
          </cell>
          <cell r="S1375">
            <v>0</v>
          </cell>
        </row>
        <row r="1376">
          <cell r="R1376">
            <v>0</v>
          </cell>
          <cell r="S1376">
            <v>0</v>
          </cell>
        </row>
        <row r="1377">
          <cell r="R1377">
            <v>0</v>
          </cell>
          <cell r="S1377">
            <v>0</v>
          </cell>
        </row>
        <row r="1378">
          <cell r="R1378">
            <v>0</v>
          </cell>
          <cell r="S1378">
            <v>0</v>
          </cell>
        </row>
        <row r="1379">
          <cell r="R1379">
            <v>0</v>
          </cell>
          <cell r="S1379">
            <v>0</v>
          </cell>
        </row>
        <row r="1380">
          <cell r="R1380">
            <v>0</v>
          </cell>
          <cell r="S1380">
            <v>0</v>
          </cell>
        </row>
        <row r="1381">
          <cell r="R1381">
            <v>0</v>
          </cell>
          <cell r="S1381">
            <v>0</v>
          </cell>
        </row>
        <row r="1382">
          <cell r="R1382">
            <v>0</v>
          </cell>
          <cell r="S1382">
            <v>0</v>
          </cell>
        </row>
        <row r="1383">
          <cell r="R1383">
            <v>0</v>
          </cell>
          <cell r="S1383">
            <v>0</v>
          </cell>
        </row>
        <row r="1384">
          <cell r="R1384">
            <v>0</v>
          </cell>
          <cell r="S1384">
            <v>0</v>
          </cell>
        </row>
        <row r="1385">
          <cell r="R1385">
            <v>0</v>
          </cell>
          <cell r="S1385">
            <v>0</v>
          </cell>
        </row>
        <row r="1386">
          <cell r="R1386">
            <v>0</v>
          </cell>
          <cell r="S1386">
            <v>0</v>
          </cell>
        </row>
        <row r="1387">
          <cell r="R1387">
            <v>0</v>
          </cell>
          <cell r="S1387">
            <v>0</v>
          </cell>
        </row>
        <row r="1388">
          <cell r="R1388">
            <v>0</v>
          </cell>
          <cell r="S1388">
            <v>0</v>
          </cell>
        </row>
        <row r="1389">
          <cell r="R1389">
            <v>0</v>
          </cell>
          <cell r="S1389">
            <v>0</v>
          </cell>
        </row>
        <row r="1390">
          <cell r="R1390">
            <v>0</v>
          </cell>
          <cell r="S1390">
            <v>0</v>
          </cell>
        </row>
        <row r="1391">
          <cell r="R1391">
            <v>0</v>
          </cell>
          <cell r="S1391">
            <v>0</v>
          </cell>
        </row>
        <row r="1392">
          <cell r="R1392">
            <v>0</v>
          </cell>
          <cell r="S1392">
            <v>0</v>
          </cell>
        </row>
        <row r="1393">
          <cell r="R1393">
            <v>0</v>
          </cell>
          <cell r="S1393">
            <v>0</v>
          </cell>
        </row>
        <row r="1394">
          <cell r="R1394">
            <v>0</v>
          </cell>
          <cell r="S1394">
            <v>0</v>
          </cell>
        </row>
        <row r="1395">
          <cell r="R1395">
            <v>0</v>
          </cell>
          <cell r="S1395">
            <v>0</v>
          </cell>
        </row>
        <row r="1396">
          <cell r="R1396">
            <v>0</v>
          </cell>
          <cell r="S1396">
            <v>0</v>
          </cell>
        </row>
        <row r="1397">
          <cell r="R1397">
            <v>0</v>
          </cell>
          <cell r="S1397">
            <v>0</v>
          </cell>
        </row>
        <row r="1398">
          <cell r="R1398">
            <v>0</v>
          </cell>
          <cell r="S1398">
            <v>0</v>
          </cell>
        </row>
        <row r="1399">
          <cell r="R1399">
            <v>0</v>
          </cell>
          <cell r="S1399">
            <v>0</v>
          </cell>
        </row>
        <row r="1400">
          <cell r="R1400">
            <v>0</v>
          </cell>
          <cell r="S1400">
            <v>0</v>
          </cell>
        </row>
        <row r="1401">
          <cell r="R1401">
            <v>0</v>
          </cell>
          <cell r="S1401">
            <v>0</v>
          </cell>
        </row>
        <row r="1402">
          <cell r="R1402">
            <v>0</v>
          </cell>
          <cell r="S1402">
            <v>0</v>
          </cell>
        </row>
        <row r="1403">
          <cell r="R1403">
            <v>0</v>
          </cell>
          <cell r="S1403">
            <v>0</v>
          </cell>
        </row>
        <row r="1404">
          <cell r="R1404">
            <v>0</v>
          </cell>
          <cell r="S1404">
            <v>0</v>
          </cell>
        </row>
        <row r="1405">
          <cell r="R1405">
            <v>0</v>
          </cell>
          <cell r="S1405">
            <v>0</v>
          </cell>
        </row>
        <row r="1406">
          <cell r="R1406">
            <v>0</v>
          </cell>
          <cell r="S1406">
            <v>0</v>
          </cell>
        </row>
        <row r="1407">
          <cell r="R1407">
            <v>0</v>
          </cell>
          <cell r="S1407">
            <v>0</v>
          </cell>
        </row>
        <row r="1408">
          <cell r="R1408">
            <v>0</v>
          </cell>
          <cell r="S1408">
            <v>0</v>
          </cell>
        </row>
        <row r="1409">
          <cell r="R1409">
            <v>0</v>
          </cell>
          <cell r="S1409">
            <v>0</v>
          </cell>
        </row>
        <row r="1410">
          <cell r="R1410">
            <v>0</v>
          </cell>
          <cell r="S1410">
            <v>0</v>
          </cell>
        </row>
        <row r="1411">
          <cell r="R1411">
            <v>0</v>
          </cell>
          <cell r="S1411">
            <v>0</v>
          </cell>
        </row>
        <row r="1412">
          <cell r="R1412">
            <v>0</v>
          </cell>
          <cell r="S1412">
            <v>0</v>
          </cell>
        </row>
        <row r="1413">
          <cell r="R1413">
            <v>0</v>
          </cell>
          <cell r="S1413">
            <v>0</v>
          </cell>
        </row>
        <row r="1414">
          <cell r="R1414">
            <v>0</v>
          </cell>
          <cell r="S1414">
            <v>0</v>
          </cell>
        </row>
        <row r="1415">
          <cell r="R1415">
            <v>0</v>
          </cell>
          <cell r="S1415">
            <v>0</v>
          </cell>
        </row>
        <row r="1416">
          <cell r="R1416">
            <v>0</v>
          </cell>
          <cell r="S1416">
            <v>0</v>
          </cell>
        </row>
        <row r="1417">
          <cell r="R1417">
            <v>0</v>
          </cell>
          <cell r="S1417">
            <v>0</v>
          </cell>
        </row>
        <row r="1418">
          <cell r="R1418">
            <v>0</v>
          </cell>
          <cell r="S1418">
            <v>0</v>
          </cell>
        </row>
        <row r="1419">
          <cell r="R1419">
            <v>0</v>
          </cell>
          <cell r="S1419">
            <v>0</v>
          </cell>
        </row>
        <row r="1420">
          <cell r="R1420">
            <v>0</v>
          </cell>
          <cell r="S1420">
            <v>0</v>
          </cell>
        </row>
        <row r="1421">
          <cell r="R1421">
            <v>0</v>
          </cell>
          <cell r="S1421">
            <v>0</v>
          </cell>
        </row>
        <row r="1422">
          <cell r="R1422">
            <v>0</v>
          </cell>
          <cell r="S1422">
            <v>0</v>
          </cell>
        </row>
        <row r="1423">
          <cell r="R1423">
            <v>0</v>
          </cell>
          <cell r="S1423">
            <v>0</v>
          </cell>
        </row>
        <row r="1424">
          <cell r="R1424">
            <v>0</v>
          </cell>
          <cell r="S1424">
            <v>0</v>
          </cell>
        </row>
        <row r="1425">
          <cell r="R1425">
            <v>0</v>
          </cell>
          <cell r="S1425">
            <v>0</v>
          </cell>
        </row>
        <row r="1426">
          <cell r="R1426">
            <v>0</v>
          </cell>
          <cell r="S1426">
            <v>0</v>
          </cell>
        </row>
        <row r="1427">
          <cell r="R1427">
            <v>0</v>
          </cell>
          <cell r="S1427">
            <v>0</v>
          </cell>
        </row>
        <row r="1428">
          <cell r="R1428">
            <v>0</v>
          </cell>
          <cell r="S1428">
            <v>0</v>
          </cell>
        </row>
        <row r="1429">
          <cell r="R1429">
            <v>0</v>
          </cell>
          <cell r="S1429">
            <v>0</v>
          </cell>
        </row>
        <row r="1430">
          <cell r="R1430">
            <v>0</v>
          </cell>
          <cell r="S1430">
            <v>0</v>
          </cell>
        </row>
        <row r="1431">
          <cell r="R1431">
            <v>0</v>
          </cell>
          <cell r="S1431">
            <v>0</v>
          </cell>
        </row>
        <row r="1432">
          <cell r="R1432">
            <v>0</v>
          </cell>
          <cell r="S1432">
            <v>0</v>
          </cell>
        </row>
        <row r="1433">
          <cell r="R1433">
            <v>0</v>
          </cell>
          <cell r="S1433">
            <v>0</v>
          </cell>
        </row>
        <row r="1434">
          <cell r="R1434">
            <v>0</v>
          </cell>
          <cell r="S1434">
            <v>0</v>
          </cell>
        </row>
        <row r="1435">
          <cell r="R1435">
            <v>0</v>
          </cell>
          <cell r="S1435">
            <v>0</v>
          </cell>
        </row>
        <row r="1436">
          <cell r="R1436">
            <v>0</v>
          </cell>
          <cell r="S1436">
            <v>0</v>
          </cell>
        </row>
        <row r="1437">
          <cell r="R1437">
            <v>0</v>
          </cell>
          <cell r="S1437">
            <v>0</v>
          </cell>
        </row>
        <row r="1438">
          <cell r="R1438">
            <v>0</v>
          </cell>
          <cell r="S1438">
            <v>0</v>
          </cell>
        </row>
        <row r="1439">
          <cell r="R1439">
            <v>0</v>
          </cell>
          <cell r="S1439">
            <v>0</v>
          </cell>
        </row>
        <row r="1440">
          <cell r="R1440">
            <v>0</v>
          </cell>
          <cell r="S1440">
            <v>0</v>
          </cell>
        </row>
        <row r="1441">
          <cell r="R1441">
            <v>0</v>
          </cell>
          <cell r="S1441">
            <v>0</v>
          </cell>
        </row>
        <row r="1442">
          <cell r="R1442">
            <v>0</v>
          </cell>
          <cell r="S1442">
            <v>0</v>
          </cell>
        </row>
        <row r="1443">
          <cell r="R1443">
            <v>0</v>
          </cell>
          <cell r="S1443">
            <v>0</v>
          </cell>
        </row>
        <row r="1444">
          <cell r="R1444">
            <v>0</v>
          </cell>
          <cell r="S1444">
            <v>0</v>
          </cell>
        </row>
        <row r="1445">
          <cell r="R1445">
            <v>0</v>
          </cell>
          <cell r="S1445">
            <v>0</v>
          </cell>
        </row>
        <row r="1446">
          <cell r="R1446">
            <v>0</v>
          </cell>
          <cell r="S1446">
            <v>0</v>
          </cell>
        </row>
        <row r="1447">
          <cell r="R1447">
            <v>0</v>
          </cell>
          <cell r="S1447">
            <v>0</v>
          </cell>
        </row>
        <row r="1448">
          <cell r="R1448">
            <v>0</v>
          </cell>
          <cell r="S1448">
            <v>0</v>
          </cell>
        </row>
        <row r="1449">
          <cell r="R1449">
            <v>0</v>
          </cell>
          <cell r="S1449">
            <v>0</v>
          </cell>
        </row>
        <row r="1450">
          <cell r="R1450">
            <v>0</v>
          </cell>
          <cell r="S1450">
            <v>0</v>
          </cell>
        </row>
        <row r="1451">
          <cell r="R1451">
            <v>0</v>
          </cell>
          <cell r="S1451">
            <v>0</v>
          </cell>
        </row>
        <row r="1452">
          <cell r="R1452">
            <v>0</v>
          </cell>
          <cell r="S1452">
            <v>0</v>
          </cell>
        </row>
        <row r="1453">
          <cell r="R1453">
            <v>0</v>
          </cell>
          <cell r="S1453">
            <v>0</v>
          </cell>
        </row>
        <row r="1454">
          <cell r="R1454">
            <v>0</v>
          </cell>
          <cell r="S1454">
            <v>0</v>
          </cell>
        </row>
        <row r="1455">
          <cell r="R1455">
            <v>0</v>
          </cell>
          <cell r="S1455">
            <v>0</v>
          </cell>
        </row>
        <row r="1456">
          <cell r="R1456">
            <v>0</v>
          </cell>
          <cell r="S1456">
            <v>0</v>
          </cell>
        </row>
        <row r="1457">
          <cell r="R1457">
            <v>0</v>
          </cell>
          <cell r="S1457">
            <v>0</v>
          </cell>
        </row>
        <row r="1458">
          <cell r="R1458">
            <v>0</v>
          </cell>
          <cell r="S1458">
            <v>0</v>
          </cell>
        </row>
        <row r="1459">
          <cell r="R1459">
            <v>0</v>
          </cell>
          <cell r="S1459">
            <v>0</v>
          </cell>
        </row>
        <row r="1460">
          <cell r="R1460">
            <v>0</v>
          </cell>
          <cell r="S1460">
            <v>0</v>
          </cell>
        </row>
        <row r="1461">
          <cell r="R1461">
            <v>0</v>
          </cell>
          <cell r="S1461">
            <v>0</v>
          </cell>
        </row>
        <row r="1462">
          <cell r="R1462">
            <v>0</v>
          </cell>
          <cell r="S1462">
            <v>0</v>
          </cell>
        </row>
        <row r="1463">
          <cell r="R1463">
            <v>0</v>
          </cell>
          <cell r="S1463">
            <v>0</v>
          </cell>
        </row>
        <row r="1464">
          <cell r="R1464">
            <v>0</v>
          </cell>
          <cell r="S1464">
            <v>0</v>
          </cell>
        </row>
        <row r="1465">
          <cell r="R1465">
            <v>0</v>
          </cell>
          <cell r="S1465">
            <v>0</v>
          </cell>
        </row>
        <row r="1466">
          <cell r="R1466">
            <v>0</v>
          </cell>
          <cell r="S1466">
            <v>0</v>
          </cell>
        </row>
        <row r="1467">
          <cell r="R1467">
            <v>0</v>
          </cell>
          <cell r="S1467">
            <v>0</v>
          </cell>
        </row>
        <row r="1468">
          <cell r="R1468">
            <v>0</v>
          </cell>
          <cell r="S1468">
            <v>0</v>
          </cell>
        </row>
        <row r="1469">
          <cell r="R1469">
            <v>0</v>
          </cell>
          <cell r="S1469">
            <v>0</v>
          </cell>
        </row>
        <row r="1470">
          <cell r="R1470">
            <v>0</v>
          </cell>
          <cell r="S1470">
            <v>0</v>
          </cell>
        </row>
        <row r="1471">
          <cell r="R1471">
            <v>0</v>
          </cell>
          <cell r="S1471">
            <v>0</v>
          </cell>
        </row>
        <row r="1472">
          <cell r="R1472">
            <v>0</v>
          </cell>
          <cell r="S1472">
            <v>0</v>
          </cell>
        </row>
        <row r="1473">
          <cell r="R1473">
            <v>0</v>
          </cell>
          <cell r="S1473">
            <v>0</v>
          </cell>
        </row>
        <row r="1474">
          <cell r="R1474">
            <v>0</v>
          </cell>
          <cell r="S1474">
            <v>0</v>
          </cell>
        </row>
        <row r="1475">
          <cell r="R1475">
            <v>0</v>
          </cell>
          <cell r="S1475">
            <v>0</v>
          </cell>
        </row>
        <row r="1476">
          <cell r="R1476">
            <v>0</v>
          </cell>
          <cell r="S1476">
            <v>0</v>
          </cell>
        </row>
        <row r="1477">
          <cell r="R1477">
            <v>0</v>
          </cell>
          <cell r="S1477">
            <v>0</v>
          </cell>
        </row>
        <row r="1478">
          <cell r="R1478">
            <v>0</v>
          </cell>
          <cell r="S1478">
            <v>0</v>
          </cell>
        </row>
        <row r="1479">
          <cell r="R1479">
            <v>0</v>
          </cell>
          <cell r="S1479">
            <v>0</v>
          </cell>
        </row>
        <row r="1480">
          <cell r="R1480">
            <v>0</v>
          </cell>
          <cell r="S1480">
            <v>0</v>
          </cell>
        </row>
        <row r="1481">
          <cell r="R1481">
            <v>0</v>
          </cell>
          <cell r="S1481">
            <v>0</v>
          </cell>
        </row>
        <row r="1482">
          <cell r="R1482">
            <v>0</v>
          </cell>
          <cell r="S1482">
            <v>0</v>
          </cell>
        </row>
        <row r="1483">
          <cell r="R1483">
            <v>0</v>
          </cell>
          <cell r="S1483">
            <v>0</v>
          </cell>
        </row>
        <row r="1484">
          <cell r="R1484">
            <v>0</v>
          </cell>
          <cell r="S1484">
            <v>0</v>
          </cell>
        </row>
        <row r="1485">
          <cell r="R1485">
            <v>0</v>
          </cell>
          <cell r="S1485">
            <v>0</v>
          </cell>
        </row>
        <row r="1486">
          <cell r="R1486">
            <v>0</v>
          </cell>
          <cell r="S1486">
            <v>0</v>
          </cell>
        </row>
        <row r="1487">
          <cell r="R1487">
            <v>0</v>
          </cell>
          <cell r="S1487">
            <v>0</v>
          </cell>
        </row>
        <row r="1488">
          <cell r="R1488">
            <v>0</v>
          </cell>
          <cell r="S1488">
            <v>0</v>
          </cell>
        </row>
        <row r="1489">
          <cell r="R1489">
            <v>0</v>
          </cell>
          <cell r="S1489">
            <v>0</v>
          </cell>
        </row>
        <row r="1490">
          <cell r="R1490">
            <v>0</v>
          </cell>
          <cell r="S1490">
            <v>0</v>
          </cell>
        </row>
        <row r="1491">
          <cell r="R1491">
            <v>0</v>
          </cell>
          <cell r="S1491">
            <v>0</v>
          </cell>
        </row>
        <row r="1492">
          <cell r="R1492">
            <v>0</v>
          </cell>
          <cell r="S1492">
            <v>0</v>
          </cell>
        </row>
        <row r="1493">
          <cell r="R1493">
            <v>0</v>
          </cell>
          <cell r="S1493">
            <v>0</v>
          </cell>
        </row>
        <row r="1494">
          <cell r="R1494">
            <v>0</v>
          </cell>
          <cell r="S1494">
            <v>0</v>
          </cell>
        </row>
        <row r="1495">
          <cell r="R1495">
            <v>0</v>
          </cell>
          <cell r="S1495">
            <v>0</v>
          </cell>
        </row>
        <row r="1496">
          <cell r="R1496">
            <v>0</v>
          </cell>
          <cell r="S1496">
            <v>0</v>
          </cell>
        </row>
        <row r="1497">
          <cell r="R1497">
            <v>0</v>
          </cell>
          <cell r="S1497">
            <v>0</v>
          </cell>
        </row>
        <row r="1498">
          <cell r="R1498">
            <v>0</v>
          </cell>
          <cell r="S1498">
            <v>0</v>
          </cell>
        </row>
        <row r="1499">
          <cell r="R1499">
            <v>0</v>
          </cell>
          <cell r="S1499">
            <v>0</v>
          </cell>
        </row>
        <row r="1500">
          <cell r="R1500">
            <v>0</v>
          </cell>
          <cell r="S1500">
            <v>0</v>
          </cell>
        </row>
        <row r="1501">
          <cell r="R1501">
            <v>0</v>
          </cell>
          <cell r="S1501">
            <v>0</v>
          </cell>
        </row>
        <row r="1502">
          <cell r="R1502">
            <v>0</v>
          </cell>
          <cell r="S1502">
            <v>0</v>
          </cell>
        </row>
        <row r="1503">
          <cell r="R1503">
            <v>0</v>
          </cell>
          <cell r="S1503">
            <v>0</v>
          </cell>
        </row>
        <row r="1504">
          <cell r="R1504">
            <v>0</v>
          </cell>
          <cell r="S1504">
            <v>0</v>
          </cell>
        </row>
        <row r="1505">
          <cell r="R1505">
            <v>0</v>
          </cell>
          <cell r="S1505">
            <v>0</v>
          </cell>
        </row>
        <row r="1506">
          <cell r="R1506">
            <v>0</v>
          </cell>
          <cell r="S1506">
            <v>0</v>
          </cell>
        </row>
        <row r="1507">
          <cell r="R1507">
            <v>0</v>
          </cell>
          <cell r="S1507">
            <v>0</v>
          </cell>
        </row>
        <row r="1508">
          <cell r="R1508">
            <v>0</v>
          </cell>
          <cell r="S1508">
            <v>0</v>
          </cell>
        </row>
        <row r="1509">
          <cell r="R1509">
            <v>0</v>
          </cell>
          <cell r="S1509">
            <v>0</v>
          </cell>
        </row>
        <row r="1510">
          <cell r="R1510">
            <v>0</v>
          </cell>
          <cell r="S1510">
            <v>0</v>
          </cell>
        </row>
        <row r="1511">
          <cell r="R1511">
            <v>0</v>
          </cell>
          <cell r="S1511">
            <v>0</v>
          </cell>
        </row>
        <row r="1512">
          <cell r="R1512">
            <v>0</v>
          </cell>
          <cell r="S1512">
            <v>0</v>
          </cell>
        </row>
        <row r="1513">
          <cell r="R1513">
            <v>0</v>
          </cell>
          <cell r="S1513">
            <v>0</v>
          </cell>
        </row>
        <row r="1514">
          <cell r="R1514">
            <v>0</v>
          </cell>
          <cell r="S1514">
            <v>0</v>
          </cell>
        </row>
        <row r="1515">
          <cell r="R1515">
            <v>0</v>
          </cell>
          <cell r="S1515">
            <v>0</v>
          </cell>
        </row>
        <row r="1516">
          <cell r="R1516">
            <v>0</v>
          </cell>
          <cell r="S1516">
            <v>0</v>
          </cell>
        </row>
        <row r="1517">
          <cell r="R1517">
            <v>0</v>
          </cell>
          <cell r="S1517">
            <v>0</v>
          </cell>
        </row>
        <row r="1518">
          <cell r="R1518">
            <v>0</v>
          </cell>
          <cell r="S1518">
            <v>0</v>
          </cell>
        </row>
        <row r="1519">
          <cell r="R1519">
            <v>0</v>
          </cell>
          <cell r="S1519">
            <v>0</v>
          </cell>
        </row>
        <row r="1520">
          <cell r="R1520">
            <v>0</v>
          </cell>
          <cell r="S1520">
            <v>0</v>
          </cell>
        </row>
        <row r="1521">
          <cell r="R1521">
            <v>0</v>
          </cell>
          <cell r="S1521">
            <v>0</v>
          </cell>
        </row>
        <row r="1522">
          <cell r="R1522">
            <v>0</v>
          </cell>
          <cell r="S1522">
            <v>0</v>
          </cell>
        </row>
        <row r="1523">
          <cell r="R1523">
            <v>0</v>
          </cell>
          <cell r="S1523">
            <v>0</v>
          </cell>
        </row>
        <row r="1524">
          <cell r="R1524">
            <v>0</v>
          </cell>
          <cell r="S1524">
            <v>0</v>
          </cell>
        </row>
        <row r="1525">
          <cell r="R1525">
            <v>0</v>
          </cell>
          <cell r="S1525">
            <v>0</v>
          </cell>
        </row>
        <row r="1526">
          <cell r="R1526">
            <v>0</v>
          </cell>
          <cell r="S1526">
            <v>0</v>
          </cell>
        </row>
        <row r="1527">
          <cell r="R1527">
            <v>0</v>
          </cell>
          <cell r="S1527">
            <v>0</v>
          </cell>
        </row>
        <row r="1528">
          <cell r="R1528">
            <v>0</v>
          </cell>
          <cell r="S1528">
            <v>0</v>
          </cell>
        </row>
        <row r="1529">
          <cell r="R1529">
            <v>0</v>
          </cell>
          <cell r="S1529">
            <v>0</v>
          </cell>
        </row>
        <row r="1530">
          <cell r="R1530">
            <v>0</v>
          </cell>
          <cell r="S1530">
            <v>0</v>
          </cell>
        </row>
        <row r="1531">
          <cell r="R1531">
            <v>0</v>
          </cell>
          <cell r="S1531">
            <v>0</v>
          </cell>
        </row>
        <row r="1532">
          <cell r="R1532">
            <v>0</v>
          </cell>
          <cell r="S1532">
            <v>0</v>
          </cell>
        </row>
        <row r="1533">
          <cell r="R1533">
            <v>0</v>
          </cell>
          <cell r="S1533">
            <v>0</v>
          </cell>
        </row>
        <row r="1534">
          <cell r="R1534">
            <v>0</v>
          </cell>
          <cell r="S1534">
            <v>0</v>
          </cell>
        </row>
        <row r="1535">
          <cell r="R1535">
            <v>0</v>
          </cell>
          <cell r="S1535">
            <v>0</v>
          </cell>
        </row>
        <row r="1536">
          <cell r="R1536">
            <v>0</v>
          </cell>
          <cell r="S1536">
            <v>0</v>
          </cell>
        </row>
        <row r="1537">
          <cell r="R1537">
            <v>0</v>
          </cell>
          <cell r="S1537">
            <v>0</v>
          </cell>
        </row>
        <row r="1538">
          <cell r="R1538">
            <v>0</v>
          </cell>
          <cell r="S1538">
            <v>0</v>
          </cell>
        </row>
        <row r="1539">
          <cell r="R1539">
            <v>0</v>
          </cell>
          <cell r="S1539">
            <v>0</v>
          </cell>
        </row>
        <row r="1540">
          <cell r="R1540">
            <v>0</v>
          </cell>
          <cell r="S1540">
            <v>0</v>
          </cell>
        </row>
        <row r="1541">
          <cell r="R1541">
            <v>0</v>
          </cell>
          <cell r="S1541">
            <v>0</v>
          </cell>
        </row>
        <row r="1542">
          <cell r="R1542">
            <v>0</v>
          </cell>
          <cell r="S1542">
            <v>0</v>
          </cell>
        </row>
        <row r="1543">
          <cell r="R1543">
            <v>0</v>
          </cell>
          <cell r="S1543">
            <v>0</v>
          </cell>
        </row>
        <row r="1544">
          <cell r="R1544">
            <v>0</v>
          </cell>
          <cell r="S1544">
            <v>0</v>
          </cell>
        </row>
        <row r="1545">
          <cell r="R1545">
            <v>0</v>
          </cell>
          <cell r="S1545">
            <v>0</v>
          </cell>
        </row>
        <row r="1546">
          <cell r="R1546">
            <v>0</v>
          </cell>
          <cell r="S1546">
            <v>0</v>
          </cell>
        </row>
        <row r="1547">
          <cell r="R1547">
            <v>0</v>
          </cell>
          <cell r="S1547">
            <v>0</v>
          </cell>
        </row>
        <row r="1548">
          <cell r="R1548">
            <v>0</v>
          </cell>
          <cell r="S1548">
            <v>0</v>
          </cell>
        </row>
        <row r="1549">
          <cell r="R1549">
            <v>0</v>
          </cell>
          <cell r="S1549">
            <v>0</v>
          </cell>
        </row>
        <row r="1550">
          <cell r="R1550">
            <v>0</v>
          </cell>
          <cell r="S1550">
            <v>0</v>
          </cell>
        </row>
        <row r="1551">
          <cell r="R1551">
            <v>0</v>
          </cell>
          <cell r="S1551">
            <v>0</v>
          </cell>
        </row>
        <row r="1552">
          <cell r="R1552">
            <v>0</v>
          </cell>
          <cell r="S1552">
            <v>0</v>
          </cell>
        </row>
        <row r="1553">
          <cell r="R1553">
            <v>0</v>
          </cell>
          <cell r="S1553">
            <v>0</v>
          </cell>
        </row>
        <row r="1554">
          <cell r="R1554">
            <v>0</v>
          </cell>
          <cell r="S1554">
            <v>0</v>
          </cell>
        </row>
        <row r="1555">
          <cell r="R1555">
            <v>0</v>
          </cell>
          <cell r="S1555">
            <v>0</v>
          </cell>
        </row>
        <row r="1556">
          <cell r="R1556">
            <v>0</v>
          </cell>
          <cell r="S1556">
            <v>0</v>
          </cell>
        </row>
        <row r="1557">
          <cell r="R1557">
            <v>0</v>
          </cell>
          <cell r="S1557">
            <v>0</v>
          </cell>
        </row>
        <row r="1558">
          <cell r="R1558">
            <v>0</v>
          </cell>
          <cell r="S1558">
            <v>0</v>
          </cell>
        </row>
        <row r="1559">
          <cell r="R1559">
            <v>0</v>
          </cell>
          <cell r="S1559">
            <v>0</v>
          </cell>
        </row>
        <row r="1560">
          <cell r="R1560">
            <v>0</v>
          </cell>
          <cell r="S1560">
            <v>0</v>
          </cell>
        </row>
        <row r="1561">
          <cell r="R1561">
            <v>0</v>
          </cell>
          <cell r="S1561">
            <v>0</v>
          </cell>
        </row>
        <row r="1562">
          <cell r="R1562">
            <v>0</v>
          </cell>
          <cell r="S1562">
            <v>0</v>
          </cell>
        </row>
        <row r="1563">
          <cell r="R1563">
            <v>0</v>
          </cell>
          <cell r="S1563">
            <v>0</v>
          </cell>
        </row>
        <row r="1564">
          <cell r="R1564">
            <v>0</v>
          </cell>
          <cell r="S1564">
            <v>0</v>
          </cell>
        </row>
        <row r="1565">
          <cell r="R1565">
            <v>0</v>
          </cell>
          <cell r="S1565">
            <v>0</v>
          </cell>
        </row>
        <row r="1566">
          <cell r="R1566">
            <v>0</v>
          </cell>
          <cell r="S1566">
            <v>0</v>
          </cell>
        </row>
        <row r="1567">
          <cell r="R1567">
            <v>0</v>
          </cell>
          <cell r="S1567">
            <v>0</v>
          </cell>
        </row>
        <row r="1568">
          <cell r="R1568">
            <v>0</v>
          </cell>
          <cell r="S1568">
            <v>0</v>
          </cell>
        </row>
        <row r="1569">
          <cell r="R1569">
            <v>0</v>
          </cell>
          <cell r="S1569">
            <v>0</v>
          </cell>
        </row>
        <row r="1570">
          <cell r="R1570">
            <v>0</v>
          </cell>
          <cell r="S1570">
            <v>0</v>
          </cell>
        </row>
        <row r="1571">
          <cell r="R1571">
            <v>0</v>
          </cell>
          <cell r="S1571">
            <v>0</v>
          </cell>
        </row>
        <row r="1572">
          <cell r="R1572">
            <v>0</v>
          </cell>
          <cell r="S1572">
            <v>0</v>
          </cell>
        </row>
        <row r="1573">
          <cell r="R1573">
            <v>0</v>
          </cell>
          <cell r="S1573">
            <v>0</v>
          </cell>
        </row>
        <row r="1574">
          <cell r="R1574">
            <v>0</v>
          </cell>
          <cell r="S1574">
            <v>0</v>
          </cell>
        </row>
        <row r="1575">
          <cell r="R1575">
            <v>0</v>
          </cell>
          <cell r="S1575">
            <v>0</v>
          </cell>
        </row>
        <row r="1576">
          <cell r="R1576">
            <v>0</v>
          </cell>
          <cell r="S1576">
            <v>0</v>
          </cell>
        </row>
        <row r="1577">
          <cell r="R1577">
            <v>0</v>
          </cell>
          <cell r="S1577">
            <v>0</v>
          </cell>
        </row>
        <row r="1578">
          <cell r="R1578">
            <v>0</v>
          </cell>
          <cell r="S1578">
            <v>0</v>
          </cell>
        </row>
        <row r="1579">
          <cell r="R1579">
            <v>0</v>
          </cell>
          <cell r="S1579">
            <v>0</v>
          </cell>
        </row>
        <row r="1580">
          <cell r="R1580">
            <v>0</v>
          </cell>
          <cell r="S1580">
            <v>0</v>
          </cell>
        </row>
        <row r="1581">
          <cell r="R1581">
            <v>0</v>
          </cell>
          <cell r="S1581">
            <v>0</v>
          </cell>
        </row>
        <row r="1582">
          <cell r="R1582">
            <v>0</v>
          </cell>
          <cell r="S1582">
            <v>0</v>
          </cell>
        </row>
        <row r="1583">
          <cell r="R1583">
            <v>0</v>
          </cell>
          <cell r="S1583">
            <v>0</v>
          </cell>
        </row>
        <row r="1584">
          <cell r="R1584">
            <v>0</v>
          </cell>
          <cell r="S1584">
            <v>0</v>
          </cell>
        </row>
        <row r="1585">
          <cell r="R1585">
            <v>0</v>
          </cell>
          <cell r="S1585">
            <v>0</v>
          </cell>
        </row>
        <row r="1586">
          <cell r="R1586">
            <v>0</v>
          </cell>
          <cell r="S1586">
            <v>0</v>
          </cell>
        </row>
        <row r="1587">
          <cell r="R1587">
            <v>0</v>
          </cell>
          <cell r="S1587">
            <v>0</v>
          </cell>
        </row>
        <row r="1588">
          <cell r="R1588">
            <v>0</v>
          </cell>
          <cell r="S1588">
            <v>0</v>
          </cell>
        </row>
        <row r="1589">
          <cell r="R1589">
            <v>0</v>
          </cell>
          <cell r="S1589">
            <v>0</v>
          </cell>
        </row>
        <row r="1590">
          <cell r="R1590">
            <v>0</v>
          </cell>
          <cell r="S1590">
            <v>0</v>
          </cell>
        </row>
        <row r="1591">
          <cell r="R1591">
            <v>0</v>
          </cell>
          <cell r="S1591">
            <v>0</v>
          </cell>
        </row>
        <row r="1592">
          <cell r="R1592">
            <v>0</v>
          </cell>
          <cell r="S1592">
            <v>0</v>
          </cell>
        </row>
        <row r="1593">
          <cell r="R1593">
            <v>0</v>
          </cell>
          <cell r="S1593">
            <v>0</v>
          </cell>
        </row>
        <row r="1594">
          <cell r="R1594">
            <v>0</v>
          </cell>
          <cell r="S1594">
            <v>0</v>
          </cell>
        </row>
        <row r="1595">
          <cell r="R1595">
            <v>0</v>
          </cell>
          <cell r="S1595">
            <v>0</v>
          </cell>
        </row>
        <row r="1596">
          <cell r="R1596">
            <v>0</v>
          </cell>
          <cell r="S1596">
            <v>0</v>
          </cell>
        </row>
        <row r="1597">
          <cell r="R1597">
            <v>0</v>
          </cell>
          <cell r="S1597">
            <v>0</v>
          </cell>
        </row>
        <row r="1598">
          <cell r="R1598">
            <v>0</v>
          </cell>
          <cell r="S1598">
            <v>0</v>
          </cell>
        </row>
        <row r="1599">
          <cell r="R1599">
            <v>0</v>
          </cell>
          <cell r="S1599">
            <v>0</v>
          </cell>
        </row>
        <row r="1600">
          <cell r="R1600">
            <v>0</v>
          </cell>
          <cell r="S1600">
            <v>0</v>
          </cell>
        </row>
        <row r="1601">
          <cell r="R1601">
            <v>0</v>
          </cell>
          <cell r="S1601">
            <v>0</v>
          </cell>
        </row>
        <row r="1602">
          <cell r="R1602">
            <v>0</v>
          </cell>
          <cell r="S1602">
            <v>0</v>
          </cell>
        </row>
        <row r="1603">
          <cell r="R1603">
            <v>0</v>
          </cell>
          <cell r="S1603">
            <v>0</v>
          </cell>
        </row>
        <row r="1604">
          <cell r="R1604">
            <v>0</v>
          </cell>
          <cell r="S1604">
            <v>0</v>
          </cell>
        </row>
        <row r="1605">
          <cell r="R1605">
            <v>0</v>
          </cell>
          <cell r="S1605">
            <v>0</v>
          </cell>
        </row>
        <row r="1606">
          <cell r="R1606">
            <v>0</v>
          </cell>
          <cell r="S1606">
            <v>0</v>
          </cell>
        </row>
        <row r="1607">
          <cell r="R1607">
            <v>0</v>
          </cell>
          <cell r="S1607">
            <v>0</v>
          </cell>
        </row>
        <row r="1608">
          <cell r="R1608">
            <v>0</v>
          </cell>
          <cell r="S1608">
            <v>0</v>
          </cell>
        </row>
        <row r="1609">
          <cell r="R1609">
            <v>0</v>
          </cell>
          <cell r="S1609">
            <v>0</v>
          </cell>
        </row>
        <row r="1610">
          <cell r="R1610">
            <v>0</v>
          </cell>
          <cell r="S1610">
            <v>0</v>
          </cell>
        </row>
        <row r="1611">
          <cell r="R1611">
            <v>0</v>
          </cell>
          <cell r="S1611">
            <v>0</v>
          </cell>
        </row>
        <row r="1612">
          <cell r="R1612">
            <v>0</v>
          </cell>
          <cell r="S1612">
            <v>0</v>
          </cell>
        </row>
        <row r="1613">
          <cell r="R1613">
            <v>0</v>
          </cell>
          <cell r="S1613">
            <v>0</v>
          </cell>
        </row>
        <row r="1614">
          <cell r="R1614">
            <v>0</v>
          </cell>
          <cell r="S1614">
            <v>0</v>
          </cell>
        </row>
        <row r="1615">
          <cell r="R1615">
            <v>0</v>
          </cell>
          <cell r="S1615">
            <v>0</v>
          </cell>
        </row>
        <row r="1616">
          <cell r="R1616">
            <v>0</v>
          </cell>
          <cell r="S1616">
            <v>0</v>
          </cell>
        </row>
        <row r="1617">
          <cell r="R1617">
            <v>0</v>
          </cell>
          <cell r="S1617">
            <v>0</v>
          </cell>
        </row>
        <row r="1618">
          <cell r="R1618">
            <v>0</v>
          </cell>
          <cell r="S1618">
            <v>0</v>
          </cell>
        </row>
        <row r="1619">
          <cell r="R1619">
            <v>0</v>
          </cell>
          <cell r="S1619">
            <v>0</v>
          </cell>
        </row>
        <row r="1620">
          <cell r="R1620">
            <v>0</v>
          </cell>
          <cell r="S1620">
            <v>0</v>
          </cell>
        </row>
        <row r="1621">
          <cell r="R1621">
            <v>0</v>
          </cell>
          <cell r="S1621">
            <v>0</v>
          </cell>
        </row>
        <row r="1622">
          <cell r="R1622">
            <v>0</v>
          </cell>
          <cell r="S1622">
            <v>0</v>
          </cell>
        </row>
        <row r="1623">
          <cell r="R1623">
            <v>0</v>
          </cell>
          <cell r="S1623">
            <v>0</v>
          </cell>
        </row>
        <row r="1624">
          <cell r="R1624">
            <v>0</v>
          </cell>
          <cell r="S1624">
            <v>0</v>
          </cell>
        </row>
        <row r="1625">
          <cell r="R1625">
            <v>0</v>
          </cell>
          <cell r="S1625">
            <v>0</v>
          </cell>
        </row>
        <row r="1626">
          <cell r="R1626">
            <v>0</v>
          </cell>
          <cell r="S1626">
            <v>0</v>
          </cell>
        </row>
        <row r="1627">
          <cell r="R1627">
            <v>0</v>
          </cell>
          <cell r="S1627">
            <v>0</v>
          </cell>
        </row>
        <row r="1628">
          <cell r="R1628">
            <v>0</v>
          </cell>
          <cell r="S1628">
            <v>0</v>
          </cell>
        </row>
        <row r="1629">
          <cell r="R1629">
            <v>0</v>
          </cell>
          <cell r="S1629">
            <v>0</v>
          </cell>
        </row>
        <row r="1630">
          <cell r="R1630">
            <v>0</v>
          </cell>
          <cell r="S1630">
            <v>0</v>
          </cell>
        </row>
        <row r="1631">
          <cell r="R1631">
            <v>0</v>
          </cell>
          <cell r="S1631">
            <v>0</v>
          </cell>
        </row>
        <row r="1632">
          <cell r="R1632">
            <v>0</v>
          </cell>
          <cell r="S1632">
            <v>0</v>
          </cell>
        </row>
        <row r="1633">
          <cell r="R1633">
            <v>0</v>
          </cell>
          <cell r="S1633">
            <v>0</v>
          </cell>
        </row>
        <row r="1634">
          <cell r="R1634">
            <v>0</v>
          </cell>
          <cell r="S1634">
            <v>0</v>
          </cell>
        </row>
        <row r="1635">
          <cell r="R1635">
            <v>0</v>
          </cell>
          <cell r="S1635">
            <v>0</v>
          </cell>
        </row>
        <row r="1636">
          <cell r="R1636">
            <v>0</v>
          </cell>
          <cell r="S1636">
            <v>0</v>
          </cell>
        </row>
        <row r="1637">
          <cell r="R1637">
            <v>0</v>
          </cell>
          <cell r="S1637">
            <v>0</v>
          </cell>
        </row>
        <row r="1638">
          <cell r="R1638">
            <v>0</v>
          </cell>
          <cell r="S1638">
            <v>0</v>
          </cell>
        </row>
        <row r="1639">
          <cell r="R1639">
            <v>0</v>
          </cell>
          <cell r="S1639">
            <v>0</v>
          </cell>
        </row>
        <row r="1640">
          <cell r="R1640">
            <v>0</v>
          </cell>
          <cell r="S1640">
            <v>0</v>
          </cell>
        </row>
        <row r="1641">
          <cell r="R1641">
            <v>0</v>
          </cell>
          <cell r="S1641">
            <v>0</v>
          </cell>
        </row>
        <row r="1642">
          <cell r="R1642">
            <v>0</v>
          </cell>
          <cell r="S1642">
            <v>0</v>
          </cell>
        </row>
        <row r="1643">
          <cell r="R1643">
            <v>0</v>
          </cell>
          <cell r="S1643">
            <v>0</v>
          </cell>
        </row>
        <row r="1644">
          <cell r="R1644">
            <v>0</v>
          </cell>
          <cell r="S1644">
            <v>0</v>
          </cell>
        </row>
        <row r="1645">
          <cell r="R1645">
            <v>0</v>
          </cell>
          <cell r="S1645">
            <v>0</v>
          </cell>
        </row>
        <row r="1646">
          <cell r="R1646">
            <v>0</v>
          </cell>
          <cell r="S1646">
            <v>0</v>
          </cell>
        </row>
        <row r="1647">
          <cell r="R1647">
            <v>0</v>
          </cell>
          <cell r="S1647">
            <v>0</v>
          </cell>
        </row>
        <row r="1648">
          <cell r="R1648">
            <v>0</v>
          </cell>
          <cell r="S1648">
            <v>0</v>
          </cell>
        </row>
        <row r="1649">
          <cell r="R1649">
            <v>0</v>
          </cell>
          <cell r="S1649">
            <v>0</v>
          </cell>
        </row>
        <row r="1650">
          <cell r="R1650">
            <v>0</v>
          </cell>
          <cell r="S1650">
            <v>0</v>
          </cell>
        </row>
        <row r="1651">
          <cell r="R1651">
            <v>0</v>
          </cell>
          <cell r="S1651">
            <v>0</v>
          </cell>
        </row>
        <row r="1652">
          <cell r="R1652">
            <v>0</v>
          </cell>
          <cell r="S1652">
            <v>0</v>
          </cell>
        </row>
        <row r="1653">
          <cell r="R1653">
            <v>0</v>
          </cell>
          <cell r="S1653">
            <v>0</v>
          </cell>
        </row>
        <row r="1654">
          <cell r="R1654">
            <v>0</v>
          </cell>
          <cell r="S1654">
            <v>0</v>
          </cell>
        </row>
        <row r="1655">
          <cell r="R1655">
            <v>0</v>
          </cell>
          <cell r="S1655">
            <v>0</v>
          </cell>
        </row>
        <row r="1656">
          <cell r="R1656">
            <v>0</v>
          </cell>
          <cell r="S1656">
            <v>0</v>
          </cell>
        </row>
        <row r="1657">
          <cell r="R1657">
            <v>0</v>
          </cell>
          <cell r="S1657">
            <v>0</v>
          </cell>
        </row>
        <row r="1658">
          <cell r="R1658">
            <v>0</v>
          </cell>
          <cell r="S1658">
            <v>0</v>
          </cell>
        </row>
        <row r="1659">
          <cell r="R1659">
            <v>0</v>
          </cell>
          <cell r="S1659">
            <v>0</v>
          </cell>
        </row>
        <row r="1660">
          <cell r="R1660">
            <v>0</v>
          </cell>
          <cell r="S1660">
            <v>0</v>
          </cell>
        </row>
        <row r="1661">
          <cell r="R1661">
            <v>0</v>
          </cell>
          <cell r="S1661">
            <v>0</v>
          </cell>
        </row>
        <row r="1662">
          <cell r="R1662">
            <v>0</v>
          </cell>
          <cell r="S1662">
            <v>0</v>
          </cell>
        </row>
        <row r="1663">
          <cell r="R1663">
            <v>0</v>
          </cell>
          <cell r="S1663">
            <v>0</v>
          </cell>
        </row>
        <row r="1664">
          <cell r="R1664">
            <v>0</v>
          </cell>
          <cell r="S1664">
            <v>0</v>
          </cell>
        </row>
        <row r="1665">
          <cell r="R1665">
            <v>0</v>
          </cell>
          <cell r="S1665">
            <v>0</v>
          </cell>
        </row>
        <row r="1666">
          <cell r="R1666">
            <v>0</v>
          </cell>
          <cell r="S1666">
            <v>0</v>
          </cell>
        </row>
        <row r="1667">
          <cell r="R1667">
            <v>0</v>
          </cell>
          <cell r="S1667">
            <v>0</v>
          </cell>
        </row>
        <row r="1668">
          <cell r="R1668">
            <v>0</v>
          </cell>
          <cell r="S1668">
            <v>0</v>
          </cell>
        </row>
        <row r="1669">
          <cell r="R1669">
            <v>0</v>
          </cell>
          <cell r="S1669">
            <v>0</v>
          </cell>
        </row>
        <row r="1670">
          <cell r="R1670">
            <v>0</v>
          </cell>
          <cell r="S1670">
            <v>0</v>
          </cell>
        </row>
        <row r="1671">
          <cell r="R1671">
            <v>0</v>
          </cell>
          <cell r="S1671">
            <v>0</v>
          </cell>
        </row>
        <row r="1672">
          <cell r="R1672">
            <v>0</v>
          </cell>
          <cell r="S1672">
            <v>0</v>
          </cell>
        </row>
        <row r="1673">
          <cell r="R1673">
            <v>0</v>
          </cell>
          <cell r="S1673">
            <v>0</v>
          </cell>
        </row>
        <row r="1674">
          <cell r="R1674">
            <v>0</v>
          </cell>
          <cell r="S1674">
            <v>0</v>
          </cell>
        </row>
        <row r="1675">
          <cell r="R1675">
            <v>0</v>
          </cell>
          <cell r="S1675">
            <v>0</v>
          </cell>
        </row>
        <row r="1676">
          <cell r="R1676">
            <v>0</v>
          </cell>
          <cell r="S1676">
            <v>0</v>
          </cell>
        </row>
        <row r="1677">
          <cell r="R1677">
            <v>0</v>
          </cell>
          <cell r="S1677">
            <v>0</v>
          </cell>
        </row>
        <row r="1678">
          <cell r="R1678">
            <v>0</v>
          </cell>
          <cell r="S1678">
            <v>0</v>
          </cell>
        </row>
        <row r="1679">
          <cell r="R1679">
            <v>0</v>
          </cell>
          <cell r="S1679">
            <v>0</v>
          </cell>
        </row>
        <row r="1680">
          <cell r="R1680">
            <v>0</v>
          </cell>
          <cell r="S1680">
            <v>0</v>
          </cell>
        </row>
        <row r="1681">
          <cell r="R1681">
            <v>0</v>
          </cell>
          <cell r="S1681">
            <v>0</v>
          </cell>
        </row>
        <row r="1682">
          <cell r="R1682">
            <v>0</v>
          </cell>
          <cell r="S1682">
            <v>0</v>
          </cell>
        </row>
        <row r="1683">
          <cell r="R1683">
            <v>0</v>
          </cell>
          <cell r="S1683">
            <v>0</v>
          </cell>
        </row>
        <row r="1684">
          <cell r="R1684">
            <v>0</v>
          </cell>
          <cell r="S1684">
            <v>0</v>
          </cell>
        </row>
        <row r="1685">
          <cell r="R1685">
            <v>0</v>
          </cell>
          <cell r="S1685">
            <v>0</v>
          </cell>
        </row>
        <row r="1686">
          <cell r="R1686">
            <v>0</v>
          </cell>
          <cell r="S1686">
            <v>0</v>
          </cell>
        </row>
        <row r="1687">
          <cell r="R1687">
            <v>0</v>
          </cell>
          <cell r="S1687">
            <v>0</v>
          </cell>
        </row>
        <row r="1688">
          <cell r="R1688">
            <v>0</v>
          </cell>
          <cell r="S1688">
            <v>0</v>
          </cell>
        </row>
        <row r="1689">
          <cell r="R1689">
            <v>0</v>
          </cell>
          <cell r="S1689">
            <v>0</v>
          </cell>
        </row>
        <row r="1690">
          <cell r="R1690">
            <v>0</v>
          </cell>
          <cell r="S1690">
            <v>0</v>
          </cell>
        </row>
        <row r="1691">
          <cell r="R1691">
            <v>0</v>
          </cell>
          <cell r="S1691">
            <v>0</v>
          </cell>
        </row>
        <row r="1692">
          <cell r="R1692">
            <v>0</v>
          </cell>
          <cell r="S1692">
            <v>0</v>
          </cell>
        </row>
        <row r="1693">
          <cell r="R1693">
            <v>0</v>
          </cell>
          <cell r="S1693">
            <v>0</v>
          </cell>
        </row>
        <row r="1694">
          <cell r="R1694">
            <v>0</v>
          </cell>
          <cell r="S1694">
            <v>0</v>
          </cell>
        </row>
        <row r="1695">
          <cell r="R1695">
            <v>0</v>
          </cell>
          <cell r="S1695">
            <v>0</v>
          </cell>
        </row>
        <row r="1696">
          <cell r="R1696">
            <v>0</v>
          </cell>
          <cell r="S1696">
            <v>0</v>
          </cell>
        </row>
        <row r="1697">
          <cell r="R1697">
            <v>0</v>
          </cell>
          <cell r="S1697">
            <v>0</v>
          </cell>
        </row>
        <row r="1698">
          <cell r="R1698">
            <v>0</v>
          </cell>
          <cell r="S1698">
            <v>0</v>
          </cell>
        </row>
        <row r="1699">
          <cell r="R1699">
            <v>0</v>
          </cell>
          <cell r="S1699">
            <v>0</v>
          </cell>
        </row>
        <row r="1700">
          <cell r="R1700">
            <v>0</v>
          </cell>
          <cell r="S1700">
            <v>0</v>
          </cell>
        </row>
        <row r="1701">
          <cell r="R1701">
            <v>0</v>
          </cell>
          <cell r="S1701">
            <v>0</v>
          </cell>
        </row>
        <row r="1702">
          <cell r="R1702">
            <v>0</v>
          </cell>
          <cell r="S1702">
            <v>0</v>
          </cell>
        </row>
        <row r="1703">
          <cell r="R1703">
            <v>0</v>
          </cell>
          <cell r="S1703">
            <v>0</v>
          </cell>
        </row>
        <row r="1704">
          <cell r="R1704">
            <v>0</v>
          </cell>
          <cell r="S1704">
            <v>0</v>
          </cell>
        </row>
        <row r="1705">
          <cell r="R1705">
            <v>0</v>
          </cell>
          <cell r="S1705">
            <v>0</v>
          </cell>
        </row>
        <row r="1706">
          <cell r="R1706">
            <v>0</v>
          </cell>
          <cell r="S1706">
            <v>0</v>
          </cell>
        </row>
        <row r="1707">
          <cell r="R1707">
            <v>0</v>
          </cell>
          <cell r="S1707">
            <v>0</v>
          </cell>
        </row>
        <row r="1708">
          <cell r="R1708">
            <v>0</v>
          </cell>
          <cell r="S1708">
            <v>0</v>
          </cell>
        </row>
        <row r="1709">
          <cell r="R1709">
            <v>0</v>
          </cell>
          <cell r="S1709">
            <v>0</v>
          </cell>
        </row>
        <row r="1710">
          <cell r="R1710">
            <v>0</v>
          </cell>
          <cell r="S1710">
            <v>0</v>
          </cell>
        </row>
        <row r="1711">
          <cell r="R1711">
            <v>0</v>
          </cell>
          <cell r="S1711">
            <v>0</v>
          </cell>
        </row>
        <row r="1712">
          <cell r="R1712">
            <v>0</v>
          </cell>
          <cell r="S1712">
            <v>0</v>
          </cell>
        </row>
        <row r="1713">
          <cell r="R1713">
            <v>0</v>
          </cell>
          <cell r="S1713">
            <v>0</v>
          </cell>
        </row>
        <row r="1714">
          <cell r="R1714">
            <v>0</v>
          </cell>
          <cell r="S1714">
            <v>0</v>
          </cell>
        </row>
        <row r="1715">
          <cell r="R1715">
            <v>0</v>
          </cell>
          <cell r="S1715">
            <v>0</v>
          </cell>
        </row>
        <row r="1716">
          <cell r="R1716">
            <v>0</v>
          </cell>
          <cell r="S1716">
            <v>0</v>
          </cell>
        </row>
        <row r="1717">
          <cell r="R1717">
            <v>0</v>
          </cell>
          <cell r="S1717">
            <v>0</v>
          </cell>
        </row>
        <row r="1718">
          <cell r="R1718">
            <v>0</v>
          </cell>
          <cell r="S1718">
            <v>0</v>
          </cell>
        </row>
        <row r="1719">
          <cell r="R1719">
            <v>0</v>
          </cell>
          <cell r="S1719">
            <v>0</v>
          </cell>
        </row>
        <row r="1720">
          <cell r="R1720">
            <v>0</v>
          </cell>
          <cell r="S1720">
            <v>0</v>
          </cell>
        </row>
        <row r="1721">
          <cell r="R1721">
            <v>0</v>
          </cell>
          <cell r="S1721">
            <v>0</v>
          </cell>
        </row>
        <row r="1722">
          <cell r="R1722">
            <v>0</v>
          </cell>
          <cell r="S1722">
            <v>0</v>
          </cell>
        </row>
        <row r="1723">
          <cell r="R1723">
            <v>0</v>
          </cell>
          <cell r="S1723">
            <v>0</v>
          </cell>
        </row>
        <row r="1724">
          <cell r="R1724">
            <v>0</v>
          </cell>
          <cell r="S1724">
            <v>0</v>
          </cell>
        </row>
        <row r="1725">
          <cell r="R1725">
            <v>0</v>
          </cell>
          <cell r="S1725">
            <v>0</v>
          </cell>
        </row>
        <row r="1726">
          <cell r="R1726">
            <v>0</v>
          </cell>
          <cell r="S1726">
            <v>0</v>
          </cell>
        </row>
        <row r="1727">
          <cell r="R1727">
            <v>0</v>
          </cell>
          <cell r="S1727">
            <v>0</v>
          </cell>
        </row>
        <row r="1728">
          <cell r="R1728">
            <v>0</v>
          </cell>
          <cell r="S1728">
            <v>0</v>
          </cell>
        </row>
        <row r="1729">
          <cell r="R1729">
            <v>0</v>
          </cell>
          <cell r="S1729">
            <v>0</v>
          </cell>
        </row>
        <row r="1730">
          <cell r="R1730">
            <v>0</v>
          </cell>
          <cell r="S1730">
            <v>0</v>
          </cell>
        </row>
        <row r="1731">
          <cell r="R1731">
            <v>0</v>
          </cell>
          <cell r="S1731">
            <v>0</v>
          </cell>
        </row>
        <row r="1732">
          <cell r="R1732">
            <v>0</v>
          </cell>
          <cell r="S1732">
            <v>0</v>
          </cell>
        </row>
        <row r="1733">
          <cell r="R1733">
            <v>0</v>
          </cell>
          <cell r="S1733">
            <v>0</v>
          </cell>
        </row>
        <row r="1734">
          <cell r="R1734">
            <v>0</v>
          </cell>
          <cell r="S1734">
            <v>0</v>
          </cell>
        </row>
        <row r="1735">
          <cell r="R1735">
            <v>0</v>
          </cell>
          <cell r="S1735">
            <v>0</v>
          </cell>
        </row>
        <row r="1736">
          <cell r="R1736">
            <v>0</v>
          </cell>
          <cell r="S1736">
            <v>0</v>
          </cell>
        </row>
        <row r="1737">
          <cell r="R1737">
            <v>0</v>
          </cell>
          <cell r="S1737">
            <v>0</v>
          </cell>
        </row>
        <row r="1738">
          <cell r="R1738">
            <v>0</v>
          </cell>
          <cell r="S1738">
            <v>0</v>
          </cell>
        </row>
        <row r="1739">
          <cell r="R1739">
            <v>0</v>
          </cell>
          <cell r="S1739">
            <v>0</v>
          </cell>
        </row>
        <row r="1740">
          <cell r="R1740">
            <v>0</v>
          </cell>
          <cell r="S1740">
            <v>0</v>
          </cell>
        </row>
        <row r="1741">
          <cell r="R1741">
            <v>0</v>
          </cell>
          <cell r="S1741">
            <v>0</v>
          </cell>
        </row>
        <row r="1742">
          <cell r="R1742">
            <v>0</v>
          </cell>
          <cell r="S1742">
            <v>0</v>
          </cell>
        </row>
        <row r="1743">
          <cell r="R1743">
            <v>0</v>
          </cell>
          <cell r="S1743">
            <v>0</v>
          </cell>
        </row>
        <row r="1744">
          <cell r="R1744">
            <v>0</v>
          </cell>
          <cell r="S1744">
            <v>0</v>
          </cell>
        </row>
        <row r="1745">
          <cell r="R1745">
            <v>0</v>
          </cell>
          <cell r="S1745">
            <v>0</v>
          </cell>
        </row>
        <row r="1746">
          <cell r="R1746">
            <v>0</v>
          </cell>
          <cell r="S1746">
            <v>0</v>
          </cell>
        </row>
        <row r="1747">
          <cell r="R1747">
            <v>0</v>
          </cell>
          <cell r="S1747">
            <v>0</v>
          </cell>
        </row>
        <row r="1748">
          <cell r="R1748">
            <v>0</v>
          </cell>
          <cell r="S1748">
            <v>0</v>
          </cell>
        </row>
        <row r="1749">
          <cell r="R1749">
            <v>0</v>
          </cell>
          <cell r="S1749">
            <v>0</v>
          </cell>
        </row>
        <row r="1750">
          <cell r="R1750">
            <v>0</v>
          </cell>
          <cell r="S1750">
            <v>0</v>
          </cell>
        </row>
        <row r="1751">
          <cell r="R1751">
            <v>0</v>
          </cell>
          <cell r="S1751">
            <v>0</v>
          </cell>
        </row>
        <row r="1752">
          <cell r="R1752">
            <v>0</v>
          </cell>
          <cell r="S1752">
            <v>0</v>
          </cell>
        </row>
        <row r="1753">
          <cell r="R1753">
            <v>0</v>
          </cell>
          <cell r="S1753">
            <v>0</v>
          </cell>
        </row>
        <row r="1754">
          <cell r="R1754">
            <v>0</v>
          </cell>
          <cell r="S1754">
            <v>0</v>
          </cell>
        </row>
        <row r="1755">
          <cell r="R1755">
            <v>0</v>
          </cell>
          <cell r="S1755">
            <v>0</v>
          </cell>
        </row>
        <row r="1756">
          <cell r="R1756">
            <v>0</v>
          </cell>
          <cell r="S1756">
            <v>0</v>
          </cell>
        </row>
        <row r="1757">
          <cell r="R1757">
            <v>0</v>
          </cell>
          <cell r="S1757">
            <v>0</v>
          </cell>
        </row>
        <row r="1758">
          <cell r="R1758">
            <v>0</v>
          </cell>
          <cell r="S1758">
            <v>0</v>
          </cell>
        </row>
        <row r="1759">
          <cell r="R1759">
            <v>0</v>
          </cell>
          <cell r="S1759">
            <v>0</v>
          </cell>
        </row>
        <row r="1760">
          <cell r="R1760">
            <v>0</v>
          </cell>
          <cell r="S1760">
            <v>0</v>
          </cell>
        </row>
        <row r="1761">
          <cell r="R1761">
            <v>0</v>
          </cell>
          <cell r="S1761">
            <v>0</v>
          </cell>
        </row>
        <row r="1762">
          <cell r="R1762">
            <v>0</v>
          </cell>
          <cell r="S1762">
            <v>0</v>
          </cell>
        </row>
        <row r="1763">
          <cell r="R1763">
            <v>0</v>
          </cell>
          <cell r="S1763">
            <v>0</v>
          </cell>
        </row>
        <row r="1764">
          <cell r="R1764">
            <v>0</v>
          </cell>
          <cell r="S1764">
            <v>0</v>
          </cell>
        </row>
        <row r="1765">
          <cell r="R1765">
            <v>0</v>
          </cell>
          <cell r="S1765">
            <v>0</v>
          </cell>
        </row>
        <row r="1766">
          <cell r="R1766">
            <v>0</v>
          </cell>
          <cell r="S1766">
            <v>0</v>
          </cell>
        </row>
        <row r="1767">
          <cell r="R1767">
            <v>0</v>
          </cell>
          <cell r="S1767">
            <v>0</v>
          </cell>
        </row>
        <row r="1768">
          <cell r="R1768">
            <v>0</v>
          </cell>
          <cell r="S1768">
            <v>0</v>
          </cell>
        </row>
        <row r="1769">
          <cell r="R1769">
            <v>0</v>
          </cell>
          <cell r="S1769">
            <v>0</v>
          </cell>
        </row>
        <row r="1770">
          <cell r="R1770">
            <v>0</v>
          </cell>
          <cell r="S1770">
            <v>0</v>
          </cell>
        </row>
        <row r="1771">
          <cell r="R1771">
            <v>0</v>
          </cell>
          <cell r="S1771">
            <v>0</v>
          </cell>
        </row>
        <row r="1772">
          <cell r="R1772">
            <v>0</v>
          </cell>
          <cell r="S1772">
            <v>0</v>
          </cell>
        </row>
        <row r="1773">
          <cell r="R1773">
            <v>0</v>
          </cell>
          <cell r="S1773">
            <v>0</v>
          </cell>
        </row>
        <row r="1774">
          <cell r="R1774">
            <v>0</v>
          </cell>
          <cell r="S1774">
            <v>0</v>
          </cell>
        </row>
        <row r="1775">
          <cell r="R1775">
            <v>0</v>
          </cell>
          <cell r="S1775">
            <v>0</v>
          </cell>
        </row>
        <row r="1776">
          <cell r="R1776">
            <v>0</v>
          </cell>
          <cell r="S1776">
            <v>0</v>
          </cell>
        </row>
        <row r="1777">
          <cell r="R1777">
            <v>0</v>
          </cell>
          <cell r="S1777">
            <v>0</v>
          </cell>
        </row>
        <row r="1778">
          <cell r="R1778">
            <v>0</v>
          </cell>
          <cell r="S1778">
            <v>0</v>
          </cell>
        </row>
        <row r="1779">
          <cell r="R1779">
            <v>0</v>
          </cell>
          <cell r="S1779">
            <v>0</v>
          </cell>
        </row>
        <row r="1780">
          <cell r="R1780">
            <v>0</v>
          </cell>
          <cell r="S1780">
            <v>0</v>
          </cell>
        </row>
        <row r="1781">
          <cell r="R1781">
            <v>0</v>
          </cell>
          <cell r="S1781">
            <v>0</v>
          </cell>
        </row>
        <row r="1782">
          <cell r="R1782">
            <v>0</v>
          </cell>
          <cell r="S1782">
            <v>0</v>
          </cell>
        </row>
        <row r="1783">
          <cell r="R1783">
            <v>0</v>
          </cell>
          <cell r="S1783">
            <v>0</v>
          </cell>
        </row>
        <row r="1784">
          <cell r="R1784">
            <v>0</v>
          </cell>
          <cell r="S1784">
            <v>0</v>
          </cell>
        </row>
        <row r="1785">
          <cell r="R1785">
            <v>0</v>
          </cell>
          <cell r="S1785">
            <v>0</v>
          </cell>
        </row>
        <row r="1786">
          <cell r="R1786">
            <v>0</v>
          </cell>
          <cell r="S1786">
            <v>0</v>
          </cell>
        </row>
        <row r="1787">
          <cell r="R1787">
            <v>0</v>
          </cell>
          <cell r="S1787">
            <v>0</v>
          </cell>
        </row>
        <row r="1788">
          <cell r="R1788">
            <v>0</v>
          </cell>
          <cell r="S1788">
            <v>0</v>
          </cell>
        </row>
        <row r="1789">
          <cell r="R1789">
            <v>0</v>
          </cell>
          <cell r="S1789">
            <v>0</v>
          </cell>
        </row>
        <row r="1790">
          <cell r="R1790">
            <v>0</v>
          </cell>
          <cell r="S1790">
            <v>0</v>
          </cell>
        </row>
        <row r="1791">
          <cell r="R1791">
            <v>0</v>
          </cell>
          <cell r="S1791">
            <v>0</v>
          </cell>
        </row>
        <row r="1792">
          <cell r="R1792">
            <v>0</v>
          </cell>
          <cell r="S1792">
            <v>0</v>
          </cell>
        </row>
        <row r="1793">
          <cell r="R1793">
            <v>0</v>
          </cell>
          <cell r="S1793">
            <v>0</v>
          </cell>
        </row>
        <row r="1794">
          <cell r="R1794">
            <v>0</v>
          </cell>
          <cell r="S1794">
            <v>0</v>
          </cell>
        </row>
        <row r="1795">
          <cell r="R1795">
            <v>0</v>
          </cell>
          <cell r="S1795">
            <v>0</v>
          </cell>
        </row>
        <row r="1796">
          <cell r="R1796">
            <v>0</v>
          </cell>
          <cell r="S1796">
            <v>0</v>
          </cell>
        </row>
        <row r="1797">
          <cell r="R1797">
            <v>0</v>
          </cell>
          <cell r="S1797">
            <v>0</v>
          </cell>
        </row>
        <row r="1798">
          <cell r="R1798">
            <v>0</v>
          </cell>
          <cell r="S1798">
            <v>0</v>
          </cell>
        </row>
        <row r="1799">
          <cell r="R1799">
            <v>0</v>
          </cell>
          <cell r="S1799">
            <v>0</v>
          </cell>
        </row>
        <row r="1800">
          <cell r="R1800">
            <v>0</v>
          </cell>
          <cell r="S1800">
            <v>0</v>
          </cell>
        </row>
        <row r="1801">
          <cell r="R1801">
            <v>0</v>
          </cell>
          <cell r="S1801">
            <v>0</v>
          </cell>
        </row>
        <row r="1802">
          <cell r="R1802">
            <v>0</v>
          </cell>
          <cell r="S1802">
            <v>0</v>
          </cell>
        </row>
        <row r="1803">
          <cell r="R1803">
            <v>0</v>
          </cell>
          <cell r="S1803">
            <v>0</v>
          </cell>
        </row>
        <row r="1804">
          <cell r="R1804">
            <v>0</v>
          </cell>
          <cell r="S1804">
            <v>0</v>
          </cell>
        </row>
        <row r="1805">
          <cell r="R1805">
            <v>0</v>
          </cell>
          <cell r="S1805">
            <v>0</v>
          </cell>
        </row>
        <row r="1806">
          <cell r="R1806">
            <v>0</v>
          </cell>
          <cell r="S1806">
            <v>0</v>
          </cell>
        </row>
        <row r="1807">
          <cell r="R1807">
            <v>0</v>
          </cell>
          <cell r="S1807">
            <v>0</v>
          </cell>
        </row>
        <row r="1808">
          <cell r="R1808">
            <v>0</v>
          </cell>
          <cell r="S1808">
            <v>0</v>
          </cell>
        </row>
        <row r="1809">
          <cell r="R1809">
            <v>0</v>
          </cell>
          <cell r="S1809">
            <v>0</v>
          </cell>
        </row>
        <row r="1810">
          <cell r="R1810">
            <v>0</v>
          </cell>
          <cell r="S1810">
            <v>0</v>
          </cell>
        </row>
        <row r="1811">
          <cell r="R1811">
            <v>0</v>
          </cell>
          <cell r="S1811">
            <v>0</v>
          </cell>
        </row>
        <row r="1812">
          <cell r="R1812">
            <v>0</v>
          </cell>
          <cell r="S1812">
            <v>0</v>
          </cell>
        </row>
        <row r="1813">
          <cell r="R1813">
            <v>0</v>
          </cell>
          <cell r="S1813">
            <v>0</v>
          </cell>
        </row>
        <row r="1814">
          <cell r="R1814">
            <v>0</v>
          </cell>
          <cell r="S1814">
            <v>0</v>
          </cell>
        </row>
        <row r="1815">
          <cell r="R1815">
            <v>0</v>
          </cell>
          <cell r="S1815">
            <v>0</v>
          </cell>
        </row>
        <row r="1816">
          <cell r="R1816">
            <v>0</v>
          </cell>
          <cell r="S1816">
            <v>0</v>
          </cell>
        </row>
        <row r="1817">
          <cell r="R1817">
            <v>0</v>
          </cell>
          <cell r="S1817">
            <v>0</v>
          </cell>
        </row>
        <row r="1818">
          <cell r="R1818">
            <v>0</v>
          </cell>
          <cell r="S1818">
            <v>0</v>
          </cell>
        </row>
        <row r="1819">
          <cell r="R1819">
            <v>0</v>
          </cell>
          <cell r="S1819">
            <v>0</v>
          </cell>
        </row>
        <row r="1820">
          <cell r="R1820">
            <v>0</v>
          </cell>
          <cell r="S1820">
            <v>0</v>
          </cell>
        </row>
        <row r="1821">
          <cell r="R1821">
            <v>0</v>
          </cell>
          <cell r="S1821">
            <v>0</v>
          </cell>
        </row>
        <row r="1822">
          <cell r="R1822">
            <v>0</v>
          </cell>
          <cell r="S1822">
            <v>0</v>
          </cell>
        </row>
        <row r="1823">
          <cell r="R1823">
            <v>0</v>
          </cell>
          <cell r="S1823">
            <v>0</v>
          </cell>
        </row>
        <row r="1824">
          <cell r="R1824">
            <v>0</v>
          </cell>
          <cell r="S1824">
            <v>0</v>
          </cell>
        </row>
        <row r="1825">
          <cell r="R1825">
            <v>0</v>
          </cell>
          <cell r="S1825">
            <v>0</v>
          </cell>
        </row>
        <row r="1826">
          <cell r="R1826">
            <v>0</v>
          </cell>
          <cell r="S1826">
            <v>0</v>
          </cell>
        </row>
        <row r="1827">
          <cell r="R1827">
            <v>0</v>
          </cell>
          <cell r="S1827">
            <v>0</v>
          </cell>
        </row>
        <row r="1828">
          <cell r="R1828">
            <v>0</v>
          </cell>
          <cell r="S1828">
            <v>0</v>
          </cell>
        </row>
        <row r="1829">
          <cell r="R1829">
            <v>0</v>
          </cell>
          <cell r="S1829">
            <v>0</v>
          </cell>
        </row>
        <row r="1830">
          <cell r="R1830">
            <v>0</v>
          </cell>
          <cell r="S1830">
            <v>0</v>
          </cell>
        </row>
        <row r="1831">
          <cell r="R1831">
            <v>0</v>
          </cell>
          <cell r="S1831">
            <v>0</v>
          </cell>
        </row>
        <row r="1832">
          <cell r="R1832">
            <v>0</v>
          </cell>
          <cell r="S1832">
            <v>0</v>
          </cell>
        </row>
        <row r="1833">
          <cell r="R1833">
            <v>0</v>
          </cell>
          <cell r="S1833">
            <v>0</v>
          </cell>
        </row>
        <row r="1834">
          <cell r="R1834">
            <v>0</v>
          </cell>
          <cell r="S1834">
            <v>0</v>
          </cell>
        </row>
        <row r="1835">
          <cell r="R1835">
            <v>0</v>
          </cell>
          <cell r="S1835">
            <v>0</v>
          </cell>
        </row>
        <row r="1836">
          <cell r="R1836">
            <v>0</v>
          </cell>
          <cell r="S1836">
            <v>0</v>
          </cell>
        </row>
        <row r="1837">
          <cell r="R1837">
            <v>0</v>
          </cell>
          <cell r="S1837">
            <v>0</v>
          </cell>
        </row>
        <row r="1838">
          <cell r="R1838">
            <v>0</v>
          </cell>
          <cell r="S1838">
            <v>0</v>
          </cell>
        </row>
        <row r="1839">
          <cell r="R1839">
            <v>0</v>
          </cell>
          <cell r="S1839">
            <v>0</v>
          </cell>
        </row>
        <row r="1840">
          <cell r="R1840">
            <v>0</v>
          </cell>
          <cell r="S1840">
            <v>0</v>
          </cell>
        </row>
        <row r="1841">
          <cell r="R1841">
            <v>0</v>
          </cell>
          <cell r="S1841">
            <v>0</v>
          </cell>
        </row>
        <row r="1842">
          <cell r="R1842">
            <v>0</v>
          </cell>
          <cell r="S1842">
            <v>0</v>
          </cell>
        </row>
        <row r="1843">
          <cell r="R1843">
            <v>0</v>
          </cell>
          <cell r="S1843">
            <v>0</v>
          </cell>
        </row>
        <row r="1844">
          <cell r="R1844">
            <v>0</v>
          </cell>
          <cell r="S1844">
            <v>0</v>
          </cell>
        </row>
        <row r="1845">
          <cell r="R1845">
            <v>0</v>
          </cell>
          <cell r="S1845">
            <v>0</v>
          </cell>
        </row>
        <row r="1846">
          <cell r="R1846">
            <v>0</v>
          </cell>
          <cell r="S1846">
            <v>0</v>
          </cell>
        </row>
        <row r="1847">
          <cell r="R1847">
            <v>0</v>
          </cell>
          <cell r="S1847">
            <v>0</v>
          </cell>
        </row>
        <row r="1848">
          <cell r="R1848">
            <v>0</v>
          </cell>
          <cell r="S1848">
            <v>0</v>
          </cell>
        </row>
        <row r="1849">
          <cell r="R1849">
            <v>0</v>
          </cell>
          <cell r="S1849">
            <v>0</v>
          </cell>
        </row>
        <row r="1850">
          <cell r="R1850">
            <v>0</v>
          </cell>
          <cell r="S1850">
            <v>0</v>
          </cell>
        </row>
        <row r="1851">
          <cell r="R1851">
            <v>0</v>
          </cell>
          <cell r="S1851">
            <v>0</v>
          </cell>
        </row>
        <row r="1852">
          <cell r="R1852">
            <v>0</v>
          </cell>
          <cell r="S1852">
            <v>0</v>
          </cell>
        </row>
        <row r="1853">
          <cell r="R1853">
            <v>0</v>
          </cell>
          <cell r="S1853">
            <v>0</v>
          </cell>
        </row>
        <row r="1854">
          <cell r="R1854">
            <v>0</v>
          </cell>
          <cell r="S1854">
            <v>0</v>
          </cell>
        </row>
        <row r="1855">
          <cell r="R1855">
            <v>0</v>
          </cell>
          <cell r="S1855">
            <v>0</v>
          </cell>
        </row>
        <row r="1856">
          <cell r="R1856">
            <v>0</v>
          </cell>
          <cell r="S1856">
            <v>0</v>
          </cell>
        </row>
        <row r="1857">
          <cell r="R1857">
            <v>0</v>
          </cell>
          <cell r="S1857">
            <v>0</v>
          </cell>
        </row>
        <row r="1858">
          <cell r="R1858">
            <v>0</v>
          </cell>
          <cell r="S1858">
            <v>0</v>
          </cell>
        </row>
        <row r="1859">
          <cell r="R1859">
            <v>0</v>
          </cell>
          <cell r="S1859">
            <v>0</v>
          </cell>
        </row>
        <row r="1860">
          <cell r="R1860">
            <v>0</v>
          </cell>
          <cell r="S1860">
            <v>0</v>
          </cell>
        </row>
        <row r="1861">
          <cell r="R1861">
            <v>0</v>
          </cell>
          <cell r="S1861">
            <v>0</v>
          </cell>
        </row>
        <row r="1862">
          <cell r="R1862">
            <v>0</v>
          </cell>
          <cell r="S1862">
            <v>0</v>
          </cell>
        </row>
        <row r="1863">
          <cell r="R1863">
            <v>0</v>
          </cell>
          <cell r="S1863">
            <v>0</v>
          </cell>
        </row>
        <row r="1864">
          <cell r="R1864">
            <v>0</v>
          </cell>
          <cell r="S1864">
            <v>0</v>
          </cell>
        </row>
        <row r="1865">
          <cell r="R1865">
            <v>0</v>
          </cell>
          <cell r="S1865">
            <v>0</v>
          </cell>
        </row>
        <row r="1866">
          <cell r="R1866">
            <v>0</v>
          </cell>
          <cell r="S1866">
            <v>0</v>
          </cell>
        </row>
        <row r="1867">
          <cell r="R1867">
            <v>0</v>
          </cell>
          <cell r="S1867">
            <v>0</v>
          </cell>
        </row>
        <row r="1868">
          <cell r="R1868">
            <v>0</v>
          </cell>
          <cell r="S1868">
            <v>0</v>
          </cell>
        </row>
        <row r="1869">
          <cell r="R1869">
            <v>0</v>
          </cell>
          <cell r="S1869">
            <v>0</v>
          </cell>
        </row>
        <row r="1870">
          <cell r="R1870">
            <v>0</v>
          </cell>
          <cell r="S1870">
            <v>0</v>
          </cell>
        </row>
        <row r="1871">
          <cell r="R1871">
            <v>0</v>
          </cell>
          <cell r="S1871">
            <v>0</v>
          </cell>
        </row>
        <row r="1872">
          <cell r="R1872">
            <v>0</v>
          </cell>
          <cell r="S1872">
            <v>0</v>
          </cell>
        </row>
        <row r="1873">
          <cell r="R1873">
            <v>0</v>
          </cell>
          <cell r="S1873">
            <v>0</v>
          </cell>
        </row>
        <row r="1874">
          <cell r="R1874">
            <v>0</v>
          </cell>
          <cell r="S1874">
            <v>0</v>
          </cell>
        </row>
        <row r="1875">
          <cell r="R1875">
            <v>0</v>
          </cell>
          <cell r="S1875">
            <v>0</v>
          </cell>
        </row>
        <row r="1876">
          <cell r="R1876">
            <v>0</v>
          </cell>
          <cell r="S1876">
            <v>0</v>
          </cell>
        </row>
        <row r="1877">
          <cell r="R1877">
            <v>0</v>
          </cell>
          <cell r="S1877">
            <v>0</v>
          </cell>
        </row>
        <row r="1878">
          <cell r="R1878">
            <v>0</v>
          </cell>
          <cell r="S1878">
            <v>0</v>
          </cell>
        </row>
        <row r="1879">
          <cell r="R1879">
            <v>0</v>
          </cell>
          <cell r="S1879">
            <v>0</v>
          </cell>
        </row>
        <row r="1880">
          <cell r="R1880">
            <v>0</v>
          </cell>
          <cell r="S1880">
            <v>0</v>
          </cell>
        </row>
        <row r="1881">
          <cell r="R1881">
            <v>0</v>
          </cell>
          <cell r="S1881">
            <v>0</v>
          </cell>
        </row>
        <row r="1882">
          <cell r="R1882">
            <v>0</v>
          </cell>
          <cell r="S1882">
            <v>0</v>
          </cell>
        </row>
        <row r="1883">
          <cell r="R1883">
            <v>0</v>
          </cell>
          <cell r="S1883">
            <v>0</v>
          </cell>
        </row>
        <row r="1884">
          <cell r="R1884">
            <v>0</v>
          </cell>
          <cell r="S1884">
            <v>0</v>
          </cell>
        </row>
        <row r="1885">
          <cell r="R1885">
            <v>0</v>
          </cell>
          <cell r="S1885">
            <v>0</v>
          </cell>
        </row>
        <row r="1886">
          <cell r="R1886">
            <v>0</v>
          </cell>
          <cell r="S1886">
            <v>0</v>
          </cell>
        </row>
        <row r="1887">
          <cell r="R1887">
            <v>0</v>
          </cell>
          <cell r="S1887">
            <v>0</v>
          </cell>
        </row>
        <row r="1888">
          <cell r="R1888">
            <v>0</v>
          </cell>
          <cell r="S1888">
            <v>0</v>
          </cell>
        </row>
        <row r="1889">
          <cell r="R1889">
            <v>0</v>
          </cell>
          <cell r="S1889">
            <v>0</v>
          </cell>
        </row>
        <row r="1890">
          <cell r="R1890">
            <v>0</v>
          </cell>
          <cell r="S1890">
            <v>0</v>
          </cell>
        </row>
        <row r="1891">
          <cell r="R1891">
            <v>0</v>
          </cell>
          <cell r="S1891">
            <v>0</v>
          </cell>
        </row>
        <row r="1892">
          <cell r="R1892">
            <v>0</v>
          </cell>
          <cell r="S1892">
            <v>0</v>
          </cell>
        </row>
        <row r="1893">
          <cell r="R1893">
            <v>0</v>
          </cell>
          <cell r="S1893">
            <v>0</v>
          </cell>
        </row>
        <row r="1894">
          <cell r="R1894">
            <v>0</v>
          </cell>
          <cell r="S1894">
            <v>0</v>
          </cell>
        </row>
        <row r="1895">
          <cell r="R1895">
            <v>0</v>
          </cell>
          <cell r="S1895">
            <v>0</v>
          </cell>
        </row>
        <row r="1896">
          <cell r="R1896">
            <v>0</v>
          </cell>
          <cell r="S1896">
            <v>0</v>
          </cell>
        </row>
        <row r="1897">
          <cell r="R1897">
            <v>0</v>
          </cell>
          <cell r="S1897">
            <v>0</v>
          </cell>
        </row>
        <row r="1898">
          <cell r="R1898">
            <v>0</v>
          </cell>
          <cell r="S1898">
            <v>0</v>
          </cell>
        </row>
        <row r="1899">
          <cell r="R1899">
            <v>0</v>
          </cell>
          <cell r="S1899">
            <v>0</v>
          </cell>
        </row>
        <row r="1900">
          <cell r="R1900">
            <v>0</v>
          </cell>
          <cell r="S1900">
            <v>0</v>
          </cell>
        </row>
        <row r="1901">
          <cell r="R1901">
            <v>0</v>
          </cell>
          <cell r="S1901">
            <v>0</v>
          </cell>
        </row>
        <row r="1902">
          <cell r="R1902">
            <v>0</v>
          </cell>
          <cell r="S1902">
            <v>0</v>
          </cell>
        </row>
        <row r="1903">
          <cell r="R1903">
            <v>0</v>
          </cell>
          <cell r="S1903">
            <v>0</v>
          </cell>
        </row>
        <row r="1904">
          <cell r="R1904">
            <v>0</v>
          </cell>
          <cell r="S1904">
            <v>0</v>
          </cell>
        </row>
        <row r="1905">
          <cell r="R1905">
            <v>0</v>
          </cell>
          <cell r="S1905">
            <v>0</v>
          </cell>
        </row>
        <row r="1906">
          <cell r="R1906">
            <v>0</v>
          </cell>
          <cell r="S1906">
            <v>0</v>
          </cell>
        </row>
        <row r="1907">
          <cell r="R1907">
            <v>0</v>
          </cell>
          <cell r="S1907">
            <v>0</v>
          </cell>
        </row>
        <row r="1908">
          <cell r="R1908">
            <v>0</v>
          </cell>
          <cell r="S1908">
            <v>0</v>
          </cell>
        </row>
        <row r="1909">
          <cell r="R1909">
            <v>0</v>
          </cell>
          <cell r="S1909">
            <v>0</v>
          </cell>
        </row>
        <row r="1910">
          <cell r="R1910">
            <v>0</v>
          </cell>
          <cell r="S1910">
            <v>0</v>
          </cell>
        </row>
        <row r="1911">
          <cell r="R1911">
            <v>0</v>
          </cell>
          <cell r="S1911">
            <v>0</v>
          </cell>
        </row>
        <row r="1912">
          <cell r="R1912">
            <v>0</v>
          </cell>
          <cell r="S1912">
            <v>0</v>
          </cell>
        </row>
        <row r="1913">
          <cell r="R1913">
            <v>0</v>
          </cell>
          <cell r="S1913">
            <v>0</v>
          </cell>
        </row>
        <row r="1914">
          <cell r="R1914">
            <v>0</v>
          </cell>
          <cell r="S1914">
            <v>0</v>
          </cell>
        </row>
        <row r="1915">
          <cell r="R1915">
            <v>0</v>
          </cell>
          <cell r="S1915">
            <v>0</v>
          </cell>
        </row>
        <row r="1916">
          <cell r="R1916">
            <v>0</v>
          </cell>
          <cell r="S1916">
            <v>0</v>
          </cell>
        </row>
        <row r="1917">
          <cell r="R1917">
            <v>0</v>
          </cell>
          <cell r="S1917">
            <v>0</v>
          </cell>
        </row>
        <row r="1918">
          <cell r="R1918">
            <v>0</v>
          </cell>
          <cell r="S1918">
            <v>0</v>
          </cell>
        </row>
        <row r="1919">
          <cell r="R1919">
            <v>0</v>
          </cell>
          <cell r="S1919">
            <v>0</v>
          </cell>
        </row>
        <row r="1920">
          <cell r="R1920">
            <v>0</v>
          </cell>
          <cell r="S1920">
            <v>0</v>
          </cell>
        </row>
        <row r="1921">
          <cell r="R1921">
            <v>0</v>
          </cell>
          <cell r="S1921">
            <v>0</v>
          </cell>
        </row>
        <row r="1922">
          <cell r="R1922">
            <v>0</v>
          </cell>
          <cell r="S1922">
            <v>0</v>
          </cell>
        </row>
        <row r="1923">
          <cell r="R1923">
            <v>0</v>
          </cell>
          <cell r="S1923">
            <v>0</v>
          </cell>
        </row>
        <row r="1924">
          <cell r="R1924">
            <v>0</v>
          </cell>
          <cell r="S1924">
            <v>0</v>
          </cell>
        </row>
        <row r="1925">
          <cell r="R1925">
            <v>0</v>
          </cell>
          <cell r="S1925">
            <v>0</v>
          </cell>
        </row>
        <row r="1926">
          <cell r="R1926">
            <v>0</v>
          </cell>
          <cell r="S1926">
            <v>0</v>
          </cell>
        </row>
        <row r="1927">
          <cell r="R1927">
            <v>0</v>
          </cell>
          <cell r="S1927">
            <v>0</v>
          </cell>
        </row>
        <row r="1928">
          <cell r="R1928">
            <v>0</v>
          </cell>
          <cell r="S1928">
            <v>0</v>
          </cell>
        </row>
        <row r="1929">
          <cell r="R1929">
            <v>0</v>
          </cell>
          <cell r="S1929">
            <v>0</v>
          </cell>
        </row>
        <row r="1930">
          <cell r="R1930">
            <v>0</v>
          </cell>
          <cell r="S1930">
            <v>0</v>
          </cell>
        </row>
        <row r="1931">
          <cell r="R1931">
            <v>0</v>
          </cell>
          <cell r="S1931">
            <v>0</v>
          </cell>
        </row>
        <row r="1932">
          <cell r="R1932">
            <v>0</v>
          </cell>
          <cell r="S1932">
            <v>0</v>
          </cell>
        </row>
        <row r="1933">
          <cell r="R1933">
            <v>0</v>
          </cell>
          <cell r="S1933">
            <v>0</v>
          </cell>
        </row>
        <row r="1934">
          <cell r="R1934">
            <v>0</v>
          </cell>
          <cell r="S1934">
            <v>0</v>
          </cell>
        </row>
        <row r="1935">
          <cell r="R1935">
            <v>0</v>
          </cell>
          <cell r="S1935">
            <v>0</v>
          </cell>
        </row>
        <row r="1936">
          <cell r="R1936">
            <v>0</v>
          </cell>
          <cell r="S1936">
            <v>0</v>
          </cell>
        </row>
        <row r="1937">
          <cell r="R1937">
            <v>0</v>
          </cell>
          <cell r="S1937">
            <v>0</v>
          </cell>
        </row>
        <row r="1938">
          <cell r="R1938">
            <v>0</v>
          </cell>
          <cell r="S1938">
            <v>0</v>
          </cell>
        </row>
        <row r="1939">
          <cell r="R1939">
            <v>0</v>
          </cell>
          <cell r="S1939">
            <v>0</v>
          </cell>
        </row>
        <row r="1940">
          <cell r="R1940">
            <v>0</v>
          </cell>
          <cell r="S1940">
            <v>0</v>
          </cell>
        </row>
        <row r="1941">
          <cell r="R1941">
            <v>0</v>
          </cell>
          <cell r="S1941">
            <v>0</v>
          </cell>
        </row>
        <row r="1942">
          <cell r="R1942">
            <v>0</v>
          </cell>
          <cell r="S1942">
            <v>0</v>
          </cell>
        </row>
        <row r="1943">
          <cell r="R1943">
            <v>0</v>
          </cell>
          <cell r="S1943">
            <v>0</v>
          </cell>
        </row>
        <row r="1944">
          <cell r="R1944">
            <v>0</v>
          </cell>
          <cell r="S1944">
            <v>0</v>
          </cell>
        </row>
        <row r="1945">
          <cell r="R1945">
            <v>0</v>
          </cell>
          <cell r="S1945">
            <v>0</v>
          </cell>
        </row>
        <row r="1946">
          <cell r="R1946">
            <v>0</v>
          </cell>
          <cell r="S1946">
            <v>0</v>
          </cell>
        </row>
        <row r="1947">
          <cell r="R1947">
            <v>0</v>
          </cell>
          <cell r="S1947">
            <v>0</v>
          </cell>
        </row>
        <row r="1948">
          <cell r="R1948">
            <v>0</v>
          </cell>
          <cell r="S1948">
            <v>0</v>
          </cell>
        </row>
        <row r="1949">
          <cell r="R1949">
            <v>0</v>
          </cell>
          <cell r="S1949">
            <v>0</v>
          </cell>
        </row>
        <row r="1950">
          <cell r="R1950">
            <v>0</v>
          </cell>
          <cell r="S1950">
            <v>0</v>
          </cell>
        </row>
        <row r="1951">
          <cell r="R1951">
            <v>0</v>
          </cell>
          <cell r="S1951">
            <v>0</v>
          </cell>
        </row>
        <row r="1952">
          <cell r="R1952">
            <v>0</v>
          </cell>
          <cell r="S1952">
            <v>0</v>
          </cell>
        </row>
        <row r="1953">
          <cell r="R1953">
            <v>0</v>
          </cell>
          <cell r="S1953">
            <v>0</v>
          </cell>
        </row>
        <row r="1954">
          <cell r="R1954">
            <v>0</v>
          </cell>
          <cell r="S1954">
            <v>0</v>
          </cell>
        </row>
        <row r="1955">
          <cell r="R1955">
            <v>0</v>
          </cell>
          <cell r="S1955">
            <v>0</v>
          </cell>
        </row>
        <row r="1956">
          <cell r="R1956">
            <v>0</v>
          </cell>
          <cell r="S1956">
            <v>0</v>
          </cell>
        </row>
        <row r="1957">
          <cell r="R1957">
            <v>0</v>
          </cell>
          <cell r="S1957">
            <v>0</v>
          </cell>
        </row>
        <row r="1958">
          <cell r="R1958">
            <v>0</v>
          </cell>
          <cell r="S1958">
            <v>0</v>
          </cell>
        </row>
        <row r="1959">
          <cell r="R1959">
            <v>0</v>
          </cell>
          <cell r="S1959">
            <v>0</v>
          </cell>
        </row>
        <row r="1960">
          <cell r="R1960">
            <v>0</v>
          </cell>
          <cell r="S1960">
            <v>0</v>
          </cell>
        </row>
        <row r="1961">
          <cell r="R1961">
            <v>0</v>
          </cell>
          <cell r="S1961">
            <v>0</v>
          </cell>
        </row>
        <row r="1962">
          <cell r="R1962">
            <v>0</v>
          </cell>
          <cell r="S1962">
            <v>0</v>
          </cell>
        </row>
        <row r="1963">
          <cell r="R1963">
            <v>0</v>
          </cell>
          <cell r="S1963">
            <v>0</v>
          </cell>
        </row>
        <row r="1964">
          <cell r="R1964">
            <v>0</v>
          </cell>
          <cell r="S1964">
            <v>0</v>
          </cell>
        </row>
        <row r="1965">
          <cell r="R1965">
            <v>0</v>
          </cell>
          <cell r="S1965">
            <v>0</v>
          </cell>
        </row>
        <row r="1966">
          <cell r="R1966">
            <v>0</v>
          </cell>
          <cell r="S1966">
            <v>0</v>
          </cell>
        </row>
        <row r="1967">
          <cell r="R1967">
            <v>0</v>
          </cell>
          <cell r="S1967">
            <v>0</v>
          </cell>
        </row>
        <row r="1968">
          <cell r="R1968">
            <v>0</v>
          </cell>
          <cell r="S1968">
            <v>0</v>
          </cell>
        </row>
        <row r="1969">
          <cell r="R1969">
            <v>0</v>
          </cell>
          <cell r="S1969">
            <v>0</v>
          </cell>
        </row>
        <row r="1970">
          <cell r="R1970">
            <v>0</v>
          </cell>
          <cell r="S1970">
            <v>0</v>
          </cell>
        </row>
        <row r="1971">
          <cell r="R1971">
            <v>0</v>
          </cell>
          <cell r="S1971">
            <v>0</v>
          </cell>
        </row>
        <row r="1972">
          <cell r="R1972">
            <v>0</v>
          </cell>
          <cell r="S1972">
            <v>0</v>
          </cell>
        </row>
        <row r="1973">
          <cell r="R1973">
            <v>0</v>
          </cell>
          <cell r="S1973">
            <v>0</v>
          </cell>
        </row>
        <row r="1974">
          <cell r="R1974">
            <v>0</v>
          </cell>
          <cell r="S1974">
            <v>0</v>
          </cell>
        </row>
        <row r="1975">
          <cell r="R1975">
            <v>0</v>
          </cell>
          <cell r="S1975">
            <v>0</v>
          </cell>
        </row>
        <row r="1976">
          <cell r="R1976">
            <v>0</v>
          </cell>
          <cell r="S1976">
            <v>0</v>
          </cell>
        </row>
        <row r="1977">
          <cell r="R1977">
            <v>0</v>
          </cell>
          <cell r="S1977">
            <v>0</v>
          </cell>
        </row>
        <row r="1978">
          <cell r="R1978">
            <v>0</v>
          </cell>
          <cell r="S1978">
            <v>0</v>
          </cell>
        </row>
        <row r="1979">
          <cell r="R1979">
            <v>0</v>
          </cell>
          <cell r="S1979">
            <v>0</v>
          </cell>
        </row>
        <row r="1980">
          <cell r="R1980">
            <v>0</v>
          </cell>
          <cell r="S1980">
            <v>0</v>
          </cell>
        </row>
        <row r="1981">
          <cell r="R1981">
            <v>0</v>
          </cell>
          <cell r="S1981">
            <v>0</v>
          </cell>
        </row>
        <row r="1982">
          <cell r="R1982">
            <v>0</v>
          </cell>
          <cell r="S1982">
            <v>0</v>
          </cell>
        </row>
        <row r="1983">
          <cell r="R1983">
            <v>0</v>
          </cell>
          <cell r="S1983">
            <v>0</v>
          </cell>
        </row>
        <row r="1984">
          <cell r="R1984">
            <v>0</v>
          </cell>
          <cell r="S1984">
            <v>0</v>
          </cell>
        </row>
        <row r="1985">
          <cell r="R1985">
            <v>0</v>
          </cell>
          <cell r="S1985">
            <v>0</v>
          </cell>
        </row>
        <row r="1986">
          <cell r="R1986">
            <v>0</v>
          </cell>
          <cell r="S1986">
            <v>0</v>
          </cell>
        </row>
        <row r="1987">
          <cell r="R1987">
            <v>0</v>
          </cell>
          <cell r="S1987">
            <v>0</v>
          </cell>
        </row>
        <row r="1988">
          <cell r="R1988">
            <v>0</v>
          </cell>
          <cell r="S1988">
            <v>0</v>
          </cell>
        </row>
        <row r="1989">
          <cell r="R1989">
            <v>0</v>
          </cell>
          <cell r="S1989">
            <v>0</v>
          </cell>
        </row>
        <row r="1990">
          <cell r="R1990">
            <v>0</v>
          </cell>
          <cell r="S1990">
            <v>0</v>
          </cell>
        </row>
        <row r="1991">
          <cell r="R1991">
            <v>0</v>
          </cell>
          <cell r="S1991">
            <v>0</v>
          </cell>
        </row>
        <row r="1992">
          <cell r="R1992">
            <v>0</v>
          </cell>
          <cell r="S1992">
            <v>0</v>
          </cell>
        </row>
        <row r="1993">
          <cell r="R1993">
            <v>0</v>
          </cell>
          <cell r="S1993">
            <v>0</v>
          </cell>
        </row>
        <row r="1994">
          <cell r="R1994">
            <v>0</v>
          </cell>
          <cell r="S1994">
            <v>0</v>
          </cell>
        </row>
        <row r="1995">
          <cell r="R1995">
            <v>0</v>
          </cell>
          <cell r="S1995">
            <v>0</v>
          </cell>
        </row>
        <row r="1996">
          <cell r="R1996">
            <v>0</v>
          </cell>
          <cell r="S1996">
            <v>0</v>
          </cell>
        </row>
        <row r="1997">
          <cell r="R1997">
            <v>0</v>
          </cell>
          <cell r="S1997">
            <v>0</v>
          </cell>
        </row>
        <row r="1998">
          <cell r="R1998">
            <v>0</v>
          </cell>
          <cell r="S1998">
            <v>0</v>
          </cell>
        </row>
        <row r="1999">
          <cell r="R1999">
            <v>0</v>
          </cell>
          <cell r="S1999">
            <v>0</v>
          </cell>
        </row>
        <row r="2000">
          <cell r="R2000">
            <v>0</v>
          </cell>
          <cell r="S2000">
            <v>0</v>
          </cell>
        </row>
        <row r="2001">
          <cell r="R2001">
            <v>0</v>
          </cell>
          <cell r="S2001">
            <v>0</v>
          </cell>
        </row>
        <row r="2002">
          <cell r="R2002">
            <v>0</v>
          </cell>
          <cell r="S2002">
            <v>0</v>
          </cell>
        </row>
        <row r="2003">
          <cell r="R2003">
            <v>0</v>
          </cell>
          <cell r="S2003">
            <v>0</v>
          </cell>
        </row>
      </sheetData>
      <sheetData sheetId="4">
        <row r="4">
          <cell r="A4" t="str">
            <v>260929-680158850610342</v>
          </cell>
          <cell r="H4">
            <v>46295.446388888886</v>
          </cell>
          <cell r="I4">
            <v>202609</v>
          </cell>
          <cell r="K4">
            <v>-0.19</v>
          </cell>
          <cell r="L4" t="str">
            <v>消费者体验提升计划</v>
          </cell>
          <cell r="N4">
            <v>0</v>
          </cell>
          <cell r="O4">
            <v>0</v>
          </cell>
        </row>
        <row r="5">
          <cell r="A5" t="str">
            <v>260929-031604098600179</v>
          </cell>
          <cell r="H5">
            <v>46295.446388888886</v>
          </cell>
          <cell r="I5">
            <v>202609</v>
          </cell>
          <cell r="K5">
            <v>-0.19</v>
          </cell>
          <cell r="L5" t="str">
            <v>消费者体验提升计划</v>
          </cell>
          <cell r="N5">
            <v>0</v>
          </cell>
          <cell r="O5">
            <v>0</v>
          </cell>
        </row>
        <row r="6">
          <cell r="A6" t="str">
            <v>260925-191061040790069</v>
          </cell>
          <cell r="H6">
            <v>46294.77144675926</v>
          </cell>
          <cell r="I6">
            <v>202609</v>
          </cell>
          <cell r="K6">
            <v>-20.99</v>
          </cell>
          <cell r="L6" t="str">
            <v>基础技术服务费</v>
          </cell>
          <cell r="N6">
            <v>0</v>
          </cell>
          <cell r="O6">
            <v>0</v>
          </cell>
        </row>
        <row r="7">
          <cell r="A7" t="str">
            <v>260925-191061040790069</v>
          </cell>
          <cell r="H7">
            <v>46294.77144675926</v>
          </cell>
          <cell r="I7">
            <v>202609</v>
          </cell>
          <cell r="K7">
            <v>3499</v>
          </cell>
          <cell r="L7" t="str">
            <v>订单收入</v>
          </cell>
          <cell r="N7">
            <v>0</v>
          </cell>
          <cell r="O7">
            <v>0</v>
          </cell>
        </row>
        <row r="8">
          <cell r="A8" t="str">
            <v>260925-191061040790069</v>
          </cell>
          <cell r="H8">
            <v>46294.77144675926</v>
          </cell>
          <cell r="I8">
            <v>202609</v>
          </cell>
          <cell r="K8">
            <v>-48.99</v>
          </cell>
          <cell r="L8" t="str">
            <v>百亿补贴技术服务费</v>
          </cell>
          <cell r="N8">
            <v>0</v>
          </cell>
          <cell r="O8">
            <v>1</v>
          </cell>
        </row>
        <row r="9">
          <cell r="A9" t="str">
            <v>260926-409783560592068</v>
          </cell>
          <cell r="H9">
            <v>46294.70553240741</v>
          </cell>
          <cell r="I9">
            <v>202609</v>
          </cell>
          <cell r="K9">
            <v>-44.37</v>
          </cell>
          <cell r="L9" t="str">
            <v>百亿补贴技术服务费</v>
          </cell>
          <cell r="N9">
            <v>0</v>
          </cell>
          <cell r="O9">
            <v>2</v>
          </cell>
        </row>
        <row r="10">
          <cell r="A10" t="str">
            <v>260926-409783560592068</v>
          </cell>
          <cell r="H10">
            <v>46294.70552083333</v>
          </cell>
          <cell r="I10">
            <v>202609</v>
          </cell>
          <cell r="K10">
            <v>3169</v>
          </cell>
          <cell r="L10" t="str">
            <v>订单收入</v>
          </cell>
          <cell r="N10">
            <v>0</v>
          </cell>
          <cell r="O10">
            <v>2</v>
          </cell>
        </row>
        <row r="11">
          <cell r="A11" t="str">
            <v>260926-409783560592068</v>
          </cell>
          <cell r="H11">
            <v>46294.70552083333</v>
          </cell>
          <cell r="I11">
            <v>202609</v>
          </cell>
          <cell r="K11">
            <v>-19.01</v>
          </cell>
          <cell r="L11" t="str">
            <v>基础技术服务费</v>
          </cell>
          <cell r="N11">
            <v>0</v>
          </cell>
          <cell r="O11">
            <v>2</v>
          </cell>
        </row>
        <row r="12">
          <cell r="A12" t="str">
            <v>260922-289307420991455</v>
          </cell>
          <cell r="H12">
            <v>46294.67076388889</v>
          </cell>
          <cell r="I12">
            <v>202609</v>
          </cell>
          <cell r="K12">
            <v>-50.25</v>
          </cell>
          <cell r="L12" t="str">
            <v>百亿补贴技术服务费</v>
          </cell>
          <cell r="N12">
            <v>0</v>
          </cell>
          <cell r="O12">
            <v>3</v>
          </cell>
        </row>
        <row r="13">
          <cell r="A13" t="str">
            <v>260922-289307420991455</v>
          </cell>
          <cell r="H13">
            <v>46294.67076388889</v>
          </cell>
          <cell r="I13">
            <v>202609</v>
          </cell>
          <cell r="K13">
            <v>-21.53</v>
          </cell>
          <cell r="L13" t="str">
            <v>基础技术服务费</v>
          </cell>
          <cell r="N13">
            <v>0</v>
          </cell>
          <cell r="O13">
            <v>3</v>
          </cell>
        </row>
        <row r="14">
          <cell r="A14" t="str">
            <v>260922-289307420991455</v>
          </cell>
          <cell r="H14">
            <v>46294.67076388889</v>
          </cell>
          <cell r="I14">
            <v>202609</v>
          </cell>
          <cell r="K14">
            <v>3589</v>
          </cell>
          <cell r="L14" t="str">
            <v>订单收入</v>
          </cell>
          <cell r="N14">
            <v>0</v>
          </cell>
          <cell r="O14">
            <v>3</v>
          </cell>
        </row>
        <row r="15">
          <cell r="A15" t="str">
            <v>260928-592802025782943</v>
          </cell>
          <cell r="H15">
            <v>46294.436215277776</v>
          </cell>
          <cell r="I15">
            <v>202609</v>
          </cell>
          <cell r="K15">
            <v>-0.2</v>
          </cell>
          <cell r="L15" t="str">
            <v>消费者体验提升计划</v>
          </cell>
          <cell r="N15">
            <v>0</v>
          </cell>
          <cell r="O15">
            <v>3</v>
          </cell>
        </row>
        <row r="16">
          <cell r="A16" t="str">
            <v>260928-591229130331535</v>
          </cell>
          <cell r="H16">
            <v>46294.436215277776</v>
          </cell>
          <cell r="I16">
            <v>202609</v>
          </cell>
          <cell r="K16">
            <v>-0.2</v>
          </cell>
          <cell r="L16" t="str">
            <v>消费者体验提升计划</v>
          </cell>
          <cell r="N16">
            <v>0</v>
          </cell>
          <cell r="O16">
            <v>3</v>
          </cell>
        </row>
        <row r="17">
          <cell r="A17" t="str">
            <v>260928-578698668401879</v>
          </cell>
          <cell r="H17">
            <v>46294.436215277776</v>
          </cell>
          <cell r="I17">
            <v>202609</v>
          </cell>
          <cell r="K17">
            <v>-0.2</v>
          </cell>
          <cell r="L17" t="str">
            <v>消费者体验提升计划</v>
          </cell>
          <cell r="N17">
            <v>0</v>
          </cell>
          <cell r="O17">
            <v>3</v>
          </cell>
        </row>
        <row r="18">
          <cell r="A18" t="str">
            <v>260926-467518103081461</v>
          </cell>
          <cell r="H18">
            <v>46294.434641203705</v>
          </cell>
          <cell r="I18">
            <v>202609</v>
          </cell>
          <cell r="K18">
            <v>-50.25</v>
          </cell>
          <cell r="L18" t="str">
            <v>百亿补贴技术服务费</v>
          </cell>
          <cell r="N18">
            <v>0</v>
          </cell>
          <cell r="O18">
            <v>4</v>
          </cell>
        </row>
        <row r="19">
          <cell r="A19" t="str">
            <v>260926-467518103081461</v>
          </cell>
          <cell r="H19">
            <v>46294.43462962963</v>
          </cell>
          <cell r="I19">
            <v>202609</v>
          </cell>
          <cell r="K19">
            <v>3589</v>
          </cell>
          <cell r="L19" t="str">
            <v>订单收入</v>
          </cell>
          <cell r="N19">
            <v>0</v>
          </cell>
          <cell r="O19">
            <v>4</v>
          </cell>
        </row>
        <row r="20">
          <cell r="A20" t="str">
            <v>260926-467518103081461</v>
          </cell>
          <cell r="H20">
            <v>46294.43462962963</v>
          </cell>
          <cell r="I20">
            <v>202609</v>
          </cell>
          <cell r="K20">
            <v>-21.53</v>
          </cell>
          <cell r="L20" t="str">
            <v>基础技术服务费</v>
          </cell>
          <cell r="N20">
            <v>0</v>
          </cell>
          <cell r="O20">
            <v>4</v>
          </cell>
        </row>
        <row r="21">
          <cell r="A21" t="str">
            <v>260924-421034770800999</v>
          </cell>
          <cell r="H21">
            <v>46294.020787037036</v>
          </cell>
          <cell r="I21">
            <v>202609</v>
          </cell>
          <cell r="K21">
            <v>-50.25</v>
          </cell>
          <cell r="L21" t="str">
            <v>百亿补贴技术服务费</v>
          </cell>
          <cell r="N21">
            <v>0</v>
          </cell>
          <cell r="O21">
            <v>5</v>
          </cell>
        </row>
        <row r="22">
          <cell r="A22" t="str">
            <v>260924-421034770800999</v>
          </cell>
          <cell r="H22">
            <v>46294.020787037036</v>
          </cell>
          <cell r="I22">
            <v>202609</v>
          </cell>
          <cell r="K22">
            <v>-21.53</v>
          </cell>
          <cell r="L22" t="str">
            <v>基础技术服务费</v>
          </cell>
          <cell r="N22">
            <v>0</v>
          </cell>
          <cell r="O22">
            <v>5</v>
          </cell>
        </row>
        <row r="23">
          <cell r="A23" t="str">
            <v>260924-421034770800999</v>
          </cell>
          <cell r="H23">
            <v>46294.020787037036</v>
          </cell>
          <cell r="I23">
            <v>202609</v>
          </cell>
          <cell r="K23">
            <v>3589</v>
          </cell>
          <cell r="L23" t="str">
            <v>订单收入</v>
          </cell>
          <cell r="N23">
            <v>0</v>
          </cell>
          <cell r="O23">
            <v>5</v>
          </cell>
        </row>
        <row r="24">
          <cell r="A24" t="str">
            <v>260928-482533783871205</v>
          </cell>
          <cell r="H24">
            <v>46293.73704861111</v>
          </cell>
          <cell r="I24">
            <v>202609</v>
          </cell>
          <cell r="K24">
            <v>-0.2</v>
          </cell>
          <cell r="L24" t="str">
            <v>消费者体验提升计划</v>
          </cell>
          <cell r="N24">
            <v>0</v>
          </cell>
          <cell r="O24">
            <v>5</v>
          </cell>
        </row>
        <row r="25">
          <cell r="A25" t="str">
            <v>260928-546318641462943</v>
          </cell>
          <cell r="H25">
            <v>46293.69231481481</v>
          </cell>
          <cell r="I25">
            <v>202609</v>
          </cell>
          <cell r="K25">
            <v>42.27</v>
          </cell>
          <cell r="L25" t="str">
            <v>百亿补贴技术服务费</v>
          </cell>
          <cell r="N25">
            <v>0</v>
          </cell>
          <cell r="O25">
            <v>5</v>
          </cell>
        </row>
        <row r="26">
          <cell r="A26" t="str">
            <v>260928-546318641462943</v>
          </cell>
          <cell r="H26">
            <v>46293.691608796296</v>
          </cell>
          <cell r="I26">
            <v>202609</v>
          </cell>
          <cell r="K26">
            <v>-42.27</v>
          </cell>
          <cell r="L26" t="str">
            <v>百亿补贴技术服务费</v>
          </cell>
          <cell r="N26">
            <v>0</v>
          </cell>
          <cell r="O26">
            <v>6</v>
          </cell>
        </row>
        <row r="27">
          <cell r="A27" t="str">
            <v>260928-546318641462943</v>
          </cell>
          <cell r="H27">
            <v>46293.691608796296</v>
          </cell>
          <cell r="I27">
            <v>202609</v>
          </cell>
          <cell r="K27">
            <v>18.11</v>
          </cell>
          <cell r="L27" t="str">
            <v>基础技术服务费</v>
          </cell>
          <cell r="N27">
            <v>0</v>
          </cell>
          <cell r="O27">
            <v>6</v>
          </cell>
        </row>
        <row r="28">
          <cell r="A28" t="str">
            <v>260928-546318641462943</v>
          </cell>
          <cell r="H28">
            <v>46293.691608796296</v>
          </cell>
          <cell r="I28">
            <v>202609</v>
          </cell>
          <cell r="K28">
            <v>-3019</v>
          </cell>
          <cell r="L28" t="str">
            <v>交易退款</v>
          </cell>
          <cell r="N28">
            <v>0</v>
          </cell>
          <cell r="O28">
            <v>6</v>
          </cell>
        </row>
        <row r="29">
          <cell r="A29" t="str">
            <v>260928-546318641462943</v>
          </cell>
          <cell r="H29">
            <v>46293.691608796296</v>
          </cell>
          <cell r="I29">
            <v>202609</v>
          </cell>
          <cell r="K29">
            <v>3019</v>
          </cell>
          <cell r="L29" t="str">
            <v>订单收入</v>
          </cell>
          <cell r="N29">
            <v>0</v>
          </cell>
          <cell r="O29">
            <v>6</v>
          </cell>
        </row>
        <row r="30">
          <cell r="A30" t="str">
            <v>260928-546318641462943</v>
          </cell>
          <cell r="H30">
            <v>46293.688680555555</v>
          </cell>
          <cell r="I30">
            <v>202609</v>
          </cell>
          <cell r="K30">
            <v>-18.11</v>
          </cell>
          <cell r="L30" t="str">
            <v>基础技术服务费</v>
          </cell>
          <cell r="N30">
            <v>0</v>
          </cell>
          <cell r="O30">
            <v>6</v>
          </cell>
        </row>
        <row r="31">
          <cell r="A31" t="str">
            <v>260927-342265730562563</v>
          </cell>
          <cell r="H31">
            <v>46292.61525462963</v>
          </cell>
          <cell r="I31">
            <v>202609</v>
          </cell>
          <cell r="K31">
            <v>-0.21</v>
          </cell>
          <cell r="L31" t="str">
            <v>消费者体验提升计划</v>
          </cell>
          <cell r="N31">
            <v>0</v>
          </cell>
          <cell r="O31">
            <v>6</v>
          </cell>
        </row>
        <row r="32">
          <cell r="A32" t="str">
            <v>260925-504543394092041</v>
          </cell>
          <cell r="H32">
            <v>46292.545752314814</v>
          </cell>
          <cell r="I32">
            <v>202609</v>
          </cell>
          <cell r="K32">
            <v>-48.99</v>
          </cell>
          <cell r="L32" t="str">
            <v>百亿补贴技术服务费</v>
          </cell>
          <cell r="N32">
            <v>0</v>
          </cell>
          <cell r="O32">
            <v>7</v>
          </cell>
        </row>
        <row r="33">
          <cell r="A33" t="str">
            <v>260925-504543394092041</v>
          </cell>
          <cell r="H33">
            <v>46292.54574074074</v>
          </cell>
          <cell r="I33">
            <v>202609</v>
          </cell>
          <cell r="K33">
            <v>3499</v>
          </cell>
          <cell r="L33" t="str">
            <v>订单收入</v>
          </cell>
          <cell r="N33">
            <v>0</v>
          </cell>
          <cell r="O33">
            <v>7</v>
          </cell>
        </row>
        <row r="34">
          <cell r="A34" t="str">
            <v>260925-504543394092041</v>
          </cell>
          <cell r="H34">
            <v>46292.54574074074</v>
          </cell>
          <cell r="I34">
            <v>202609</v>
          </cell>
          <cell r="K34">
            <v>-20.99</v>
          </cell>
          <cell r="L34" t="str">
            <v>基础技术服务费</v>
          </cell>
          <cell r="N34">
            <v>0</v>
          </cell>
          <cell r="O34">
            <v>7</v>
          </cell>
        </row>
        <row r="35">
          <cell r="A35" t="str">
            <v>260926-467518103081461</v>
          </cell>
          <cell r="H35">
            <v>46292.43478009259</v>
          </cell>
          <cell r="I35">
            <v>202609</v>
          </cell>
          <cell r="K35">
            <v>-0.21</v>
          </cell>
          <cell r="L35" t="str">
            <v>消费者体验提升计划</v>
          </cell>
          <cell r="N35">
            <v>0</v>
          </cell>
          <cell r="O35">
            <v>7</v>
          </cell>
        </row>
        <row r="36">
          <cell r="A36" t="str">
            <v>260926-645083962921461</v>
          </cell>
          <cell r="H36">
            <v>46291.82417824074</v>
          </cell>
          <cell r="I36">
            <v>202609</v>
          </cell>
          <cell r="K36">
            <v>50.25</v>
          </cell>
          <cell r="L36" t="str">
            <v>百亿补贴技术服务费</v>
          </cell>
          <cell r="N36">
            <v>0</v>
          </cell>
          <cell r="O36">
            <v>7</v>
          </cell>
        </row>
        <row r="37">
          <cell r="A37" t="str">
            <v>260926-645083962921461</v>
          </cell>
          <cell r="H37">
            <v>46291.82346064815</v>
          </cell>
          <cell r="I37">
            <v>202609</v>
          </cell>
          <cell r="K37">
            <v>-50.25</v>
          </cell>
          <cell r="L37" t="str">
            <v>百亿补贴技术服务费</v>
          </cell>
          <cell r="N37">
            <v>0</v>
          </cell>
          <cell r="O37">
            <v>8</v>
          </cell>
        </row>
        <row r="38">
          <cell r="A38" t="str">
            <v>260926-645083962921461</v>
          </cell>
          <cell r="H38">
            <v>46291.82346064815</v>
          </cell>
          <cell r="I38">
            <v>202609</v>
          </cell>
          <cell r="K38">
            <v>21.53</v>
          </cell>
          <cell r="L38" t="str">
            <v>基础技术服务费</v>
          </cell>
          <cell r="N38">
            <v>0</v>
          </cell>
          <cell r="O38">
            <v>8</v>
          </cell>
        </row>
        <row r="39">
          <cell r="A39" t="str">
            <v>260926-645083962921461</v>
          </cell>
          <cell r="H39">
            <v>46291.82346064815</v>
          </cell>
          <cell r="I39">
            <v>202609</v>
          </cell>
          <cell r="K39">
            <v>3589</v>
          </cell>
          <cell r="L39" t="str">
            <v>订单收入</v>
          </cell>
          <cell r="N39">
            <v>0</v>
          </cell>
          <cell r="O39">
            <v>8</v>
          </cell>
        </row>
        <row r="40">
          <cell r="A40" t="str">
            <v>260926-645083962921461</v>
          </cell>
          <cell r="H40">
            <v>46291.82346064815</v>
          </cell>
          <cell r="I40">
            <v>202609</v>
          </cell>
          <cell r="K40">
            <v>-3589</v>
          </cell>
          <cell r="L40" t="str">
            <v>交易退款</v>
          </cell>
          <cell r="N40">
            <v>0</v>
          </cell>
          <cell r="O40">
            <v>8</v>
          </cell>
        </row>
        <row r="41">
          <cell r="A41" t="str">
            <v>260926-645083962921461</v>
          </cell>
          <cell r="H41">
            <v>46291.821226851855</v>
          </cell>
          <cell r="I41">
            <v>202609</v>
          </cell>
          <cell r="K41">
            <v>-21.53</v>
          </cell>
          <cell r="L41" t="str">
            <v>基础技术服务费</v>
          </cell>
          <cell r="N41">
            <v>0</v>
          </cell>
          <cell r="O41">
            <v>8</v>
          </cell>
        </row>
        <row r="42">
          <cell r="A42" t="str">
            <v>260924-102770983250639</v>
          </cell>
          <cell r="H42">
            <v>46291.80265046296</v>
          </cell>
          <cell r="I42">
            <v>202609</v>
          </cell>
          <cell r="K42">
            <v>-48.99</v>
          </cell>
          <cell r="L42" t="str">
            <v>百亿补贴技术服务费</v>
          </cell>
          <cell r="N42">
            <v>0</v>
          </cell>
          <cell r="O42">
            <v>9</v>
          </cell>
        </row>
        <row r="43">
          <cell r="A43" t="str">
            <v>260924-102770983250639</v>
          </cell>
          <cell r="H43">
            <v>46291.80265046296</v>
          </cell>
          <cell r="I43">
            <v>202609</v>
          </cell>
          <cell r="K43">
            <v>3499</v>
          </cell>
          <cell r="L43" t="str">
            <v>订单收入</v>
          </cell>
          <cell r="N43">
            <v>0</v>
          </cell>
          <cell r="O43">
            <v>9</v>
          </cell>
        </row>
        <row r="44">
          <cell r="A44" t="str">
            <v>260924-102770983250639</v>
          </cell>
          <cell r="H44">
            <v>46291.80265046296</v>
          </cell>
          <cell r="I44">
            <v>202609</v>
          </cell>
          <cell r="K44">
            <v>-20.99</v>
          </cell>
          <cell r="L44" t="str">
            <v>基础技术服务费</v>
          </cell>
          <cell r="N44">
            <v>0</v>
          </cell>
          <cell r="O44">
            <v>9</v>
          </cell>
        </row>
        <row r="45">
          <cell r="A45" t="str">
            <v>260926-409783560592068</v>
          </cell>
          <cell r="H45">
            <v>46291.734456018516</v>
          </cell>
          <cell r="I45">
            <v>202609</v>
          </cell>
          <cell r="K45">
            <v>-0.21</v>
          </cell>
          <cell r="L45" t="str">
            <v>消费者体验提升计划</v>
          </cell>
          <cell r="N45">
            <v>0</v>
          </cell>
          <cell r="O45">
            <v>9</v>
          </cell>
        </row>
        <row r="46">
          <cell r="A46" t="str">
            <v>260924-347508652384062</v>
          </cell>
          <cell r="H46">
            <v>46291.69509259259</v>
          </cell>
          <cell r="I46">
            <v>202609</v>
          </cell>
          <cell r="K46">
            <v>-48.99</v>
          </cell>
          <cell r="L46" t="str">
            <v>百亿补贴技术服务费</v>
          </cell>
          <cell r="N46">
            <v>0</v>
          </cell>
          <cell r="O46">
            <v>10</v>
          </cell>
        </row>
        <row r="47">
          <cell r="A47" t="str">
            <v>260924-347508652384062</v>
          </cell>
          <cell r="H47">
            <v>46291.695081018515</v>
          </cell>
          <cell r="I47">
            <v>202609</v>
          </cell>
          <cell r="K47">
            <v>-20.99</v>
          </cell>
          <cell r="L47" t="str">
            <v>基础技术服务费</v>
          </cell>
          <cell r="N47">
            <v>0</v>
          </cell>
          <cell r="O47">
            <v>10</v>
          </cell>
        </row>
        <row r="48">
          <cell r="A48" t="str">
            <v>260924-347508652384062</v>
          </cell>
          <cell r="H48">
            <v>46291.695081018515</v>
          </cell>
          <cell r="I48">
            <v>202609</v>
          </cell>
          <cell r="K48">
            <v>3499</v>
          </cell>
          <cell r="L48" t="str">
            <v>订单收入</v>
          </cell>
          <cell r="N48">
            <v>0</v>
          </cell>
          <cell r="O48">
            <v>10</v>
          </cell>
        </row>
        <row r="49">
          <cell r="A49" t="str">
            <v>260926-233549392171333</v>
          </cell>
          <cell r="H49">
            <v>46291.54651620371</v>
          </cell>
          <cell r="I49">
            <v>202609</v>
          </cell>
          <cell r="K49">
            <v>-0.21</v>
          </cell>
          <cell r="L49" t="str">
            <v>消费者体验提升计划</v>
          </cell>
          <cell r="N49">
            <v>0</v>
          </cell>
          <cell r="O49">
            <v>10</v>
          </cell>
        </row>
        <row r="50">
          <cell r="A50" t="str">
            <v>260923-040139507320110</v>
          </cell>
          <cell r="H50">
            <v>46291.5255787037</v>
          </cell>
          <cell r="I50">
            <v>202609</v>
          </cell>
          <cell r="K50">
            <v>48.99</v>
          </cell>
          <cell r="L50" t="str">
            <v>百亿补贴技术服务费</v>
          </cell>
          <cell r="N50">
            <v>0</v>
          </cell>
          <cell r="O50">
            <v>10</v>
          </cell>
        </row>
        <row r="51">
          <cell r="A51" t="str">
            <v>260923-040139507320110</v>
          </cell>
          <cell r="H51">
            <v>46291.52486111111</v>
          </cell>
          <cell r="I51">
            <v>202609</v>
          </cell>
          <cell r="K51">
            <v>-48.99</v>
          </cell>
          <cell r="L51" t="str">
            <v>百亿补贴技术服务费</v>
          </cell>
          <cell r="N51">
            <v>0</v>
          </cell>
          <cell r="O51">
            <v>11</v>
          </cell>
        </row>
        <row r="52">
          <cell r="A52" t="str">
            <v>260923-040139507320110</v>
          </cell>
          <cell r="H52">
            <v>46291.52486111111</v>
          </cell>
          <cell r="I52">
            <v>202609</v>
          </cell>
          <cell r="K52">
            <v>-3499</v>
          </cell>
          <cell r="L52" t="str">
            <v>交易退款</v>
          </cell>
          <cell r="N52">
            <v>0</v>
          </cell>
          <cell r="O52">
            <v>11</v>
          </cell>
        </row>
        <row r="53">
          <cell r="A53" t="str">
            <v>260923-040139507320110</v>
          </cell>
          <cell r="H53">
            <v>46291.52486111111</v>
          </cell>
          <cell r="I53">
            <v>202609</v>
          </cell>
          <cell r="K53">
            <v>3499</v>
          </cell>
          <cell r="L53" t="str">
            <v>订单收入</v>
          </cell>
          <cell r="N53">
            <v>0</v>
          </cell>
          <cell r="O53">
            <v>11</v>
          </cell>
        </row>
        <row r="54">
          <cell r="A54" t="str">
            <v>260923-040139507320110</v>
          </cell>
          <cell r="H54">
            <v>46291.52377314815</v>
          </cell>
          <cell r="I54">
            <v>202609</v>
          </cell>
          <cell r="K54">
            <v>-20.99</v>
          </cell>
          <cell r="L54" t="str">
            <v>基础技术服务费</v>
          </cell>
          <cell r="N54">
            <v>0</v>
          </cell>
          <cell r="O54">
            <v>11</v>
          </cell>
        </row>
        <row r="55">
          <cell r="A55" t="str">
            <v>260926-177765127802385</v>
          </cell>
          <cell r="H55">
            <v>46291.10121527778</v>
          </cell>
          <cell r="I55">
            <v>202609</v>
          </cell>
          <cell r="K55">
            <v>42.97</v>
          </cell>
          <cell r="L55" t="str">
            <v>百亿补贴技术服务费</v>
          </cell>
          <cell r="N55">
            <v>0</v>
          </cell>
          <cell r="O55">
            <v>11</v>
          </cell>
        </row>
        <row r="56">
          <cell r="A56" t="str">
            <v>260926-177765127802385</v>
          </cell>
          <cell r="H56">
            <v>46291.100497685184</v>
          </cell>
          <cell r="I56">
            <v>202609</v>
          </cell>
          <cell r="K56">
            <v>3069</v>
          </cell>
          <cell r="L56" t="str">
            <v>订单收入</v>
          </cell>
          <cell r="N56">
            <v>0</v>
          </cell>
          <cell r="O56">
            <v>11</v>
          </cell>
        </row>
        <row r="57">
          <cell r="A57" t="str">
            <v>260926-177765127802385</v>
          </cell>
          <cell r="H57">
            <v>46291.100497685184</v>
          </cell>
          <cell r="I57">
            <v>202609</v>
          </cell>
          <cell r="K57">
            <v>-42.97</v>
          </cell>
          <cell r="L57" t="str">
            <v>百亿补贴技术服务费</v>
          </cell>
          <cell r="N57">
            <v>0</v>
          </cell>
          <cell r="O57">
            <v>12</v>
          </cell>
        </row>
        <row r="58">
          <cell r="A58" t="str">
            <v>260926-177765127802385</v>
          </cell>
          <cell r="H58">
            <v>46291.100497685184</v>
          </cell>
          <cell r="I58">
            <v>202609</v>
          </cell>
          <cell r="K58">
            <v>-3069</v>
          </cell>
          <cell r="L58" t="str">
            <v>交易退款</v>
          </cell>
          <cell r="N58">
            <v>0</v>
          </cell>
          <cell r="O58">
            <v>12</v>
          </cell>
        </row>
        <row r="59">
          <cell r="A59" t="str">
            <v>260926-177765127802385</v>
          </cell>
          <cell r="H59">
            <v>46291.100497685184</v>
          </cell>
          <cell r="I59">
            <v>202609</v>
          </cell>
          <cell r="K59">
            <v>18.41</v>
          </cell>
          <cell r="L59" t="str">
            <v>基础技术服务费</v>
          </cell>
          <cell r="N59">
            <v>0</v>
          </cell>
          <cell r="O59">
            <v>12</v>
          </cell>
        </row>
        <row r="60">
          <cell r="A60" t="str">
            <v>260926-177765127802385</v>
          </cell>
          <cell r="H60">
            <v>46291.09694444444</v>
          </cell>
          <cell r="I60">
            <v>202609</v>
          </cell>
          <cell r="K60">
            <v>-18.41</v>
          </cell>
          <cell r="L60" t="str">
            <v>基础技术服务费</v>
          </cell>
          <cell r="N60">
            <v>0</v>
          </cell>
          <cell r="O60">
            <v>12</v>
          </cell>
        </row>
        <row r="61">
          <cell r="A61" t="str">
            <v>260925-545909655180687</v>
          </cell>
          <cell r="H61">
            <v>46290.78940972222</v>
          </cell>
          <cell r="I61">
            <v>202609</v>
          </cell>
          <cell r="K61">
            <v>42.97</v>
          </cell>
          <cell r="L61" t="str">
            <v>百亿补贴技术服务费</v>
          </cell>
          <cell r="N61">
            <v>0</v>
          </cell>
          <cell r="O61">
            <v>12</v>
          </cell>
        </row>
        <row r="62">
          <cell r="A62" t="str">
            <v>260925-545909655180687</v>
          </cell>
          <cell r="H62">
            <v>46290.78870370371</v>
          </cell>
          <cell r="I62">
            <v>202609</v>
          </cell>
          <cell r="K62">
            <v>-42.97</v>
          </cell>
          <cell r="L62" t="str">
            <v>百亿补贴技术服务费</v>
          </cell>
          <cell r="N62">
            <v>0</v>
          </cell>
          <cell r="O62">
            <v>13</v>
          </cell>
        </row>
        <row r="63">
          <cell r="A63" t="str">
            <v>260925-545909655180687</v>
          </cell>
          <cell r="H63">
            <v>46290.78869212963</v>
          </cell>
          <cell r="I63">
            <v>202609</v>
          </cell>
          <cell r="K63">
            <v>3069</v>
          </cell>
          <cell r="L63" t="str">
            <v>订单收入</v>
          </cell>
          <cell r="N63">
            <v>0</v>
          </cell>
          <cell r="O63">
            <v>13</v>
          </cell>
        </row>
        <row r="64">
          <cell r="A64" t="str">
            <v>260925-545909655180687</v>
          </cell>
          <cell r="H64">
            <v>46290.78869212963</v>
          </cell>
          <cell r="I64">
            <v>202609</v>
          </cell>
          <cell r="K64">
            <v>18.41</v>
          </cell>
          <cell r="L64" t="str">
            <v>基础技术服务费</v>
          </cell>
          <cell r="N64">
            <v>0</v>
          </cell>
          <cell r="O64">
            <v>13</v>
          </cell>
        </row>
        <row r="65">
          <cell r="A65" t="str">
            <v>260925-545909655180687</v>
          </cell>
          <cell r="H65">
            <v>46290.78869212963</v>
          </cell>
          <cell r="I65">
            <v>202609</v>
          </cell>
          <cell r="K65">
            <v>-3069</v>
          </cell>
          <cell r="L65" t="str">
            <v>交易退款</v>
          </cell>
          <cell r="N65">
            <v>0</v>
          </cell>
          <cell r="O65">
            <v>13</v>
          </cell>
        </row>
        <row r="66">
          <cell r="A66" t="str">
            <v>260925-545909655180687</v>
          </cell>
          <cell r="H66">
            <v>46290.785995370374</v>
          </cell>
          <cell r="I66">
            <v>202609</v>
          </cell>
          <cell r="K66">
            <v>-18.41</v>
          </cell>
          <cell r="L66" t="str">
            <v>基础技术服务费</v>
          </cell>
          <cell r="N66">
            <v>0</v>
          </cell>
          <cell r="O66">
            <v>13</v>
          </cell>
        </row>
        <row r="67">
          <cell r="A67" t="str">
            <v>260925-191061040790069</v>
          </cell>
          <cell r="H67">
            <v>46290.68797453704</v>
          </cell>
          <cell r="I67">
            <v>202609</v>
          </cell>
          <cell r="K67">
            <v>-0.23</v>
          </cell>
          <cell r="L67" t="str">
            <v>消费者体验提升计划</v>
          </cell>
          <cell r="N67">
            <v>0</v>
          </cell>
          <cell r="O67">
            <v>13</v>
          </cell>
        </row>
        <row r="68">
          <cell r="A68" t="str">
            <v>260925-196041818442688</v>
          </cell>
          <cell r="H68">
            <v>46290.61181712963</v>
          </cell>
          <cell r="I68">
            <v>202609</v>
          </cell>
          <cell r="K68">
            <v>-0.23</v>
          </cell>
          <cell r="L68" t="str">
            <v>消费者体验提升计划</v>
          </cell>
          <cell r="N68">
            <v>0</v>
          </cell>
          <cell r="O68">
            <v>13</v>
          </cell>
        </row>
        <row r="69">
          <cell r="A69" t="str">
            <v>260925-185723799092722</v>
          </cell>
          <cell r="H69">
            <v>46290.61181712963</v>
          </cell>
          <cell r="I69">
            <v>202609</v>
          </cell>
          <cell r="K69">
            <v>-0.23</v>
          </cell>
          <cell r="L69" t="str">
            <v>消费者体验提升计划</v>
          </cell>
          <cell r="N69">
            <v>0</v>
          </cell>
          <cell r="O69">
            <v>13</v>
          </cell>
        </row>
        <row r="70">
          <cell r="A70" t="str">
            <v>260925-567751534922820</v>
          </cell>
          <cell r="H70">
            <v>46290.542916666665</v>
          </cell>
          <cell r="I70">
            <v>202609</v>
          </cell>
          <cell r="K70">
            <v>51.79</v>
          </cell>
          <cell r="L70" t="str">
            <v>百亿补贴技术服务费</v>
          </cell>
          <cell r="N70">
            <v>0</v>
          </cell>
          <cell r="O70">
            <v>13</v>
          </cell>
        </row>
        <row r="71">
          <cell r="A71" t="str">
            <v>260925-567751534922820</v>
          </cell>
          <cell r="H71">
            <v>46290.54221064815</v>
          </cell>
          <cell r="I71">
            <v>202609</v>
          </cell>
          <cell r="K71">
            <v>-51.79</v>
          </cell>
          <cell r="L71" t="str">
            <v>百亿补贴技术服务费</v>
          </cell>
          <cell r="N71">
            <v>0</v>
          </cell>
          <cell r="O71">
            <v>14</v>
          </cell>
        </row>
        <row r="72">
          <cell r="A72" t="str">
            <v>260925-567751534922820</v>
          </cell>
          <cell r="H72">
            <v>46290.54219907407</v>
          </cell>
          <cell r="I72">
            <v>202609</v>
          </cell>
          <cell r="K72">
            <v>22.19</v>
          </cell>
          <cell r="L72" t="str">
            <v>基础技术服务费</v>
          </cell>
          <cell r="N72">
            <v>0</v>
          </cell>
          <cell r="O72">
            <v>14</v>
          </cell>
        </row>
        <row r="73">
          <cell r="A73" t="str">
            <v>260925-567751534922820</v>
          </cell>
          <cell r="H73">
            <v>46290.54219907407</v>
          </cell>
          <cell r="I73">
            <v>202609</v>
          </cell>
          <cell r="K73">
            <v>3699</v>
          </cell>
          <cell r="L73" t="str">
            <v>订单收入</v>
          </cell>
          <cell r="N73">
            <v>0</v>
          </cell>
          <cell r="O73">
            <v>14</v>
          </cell>
        </row>
        <row r="74">
          <cell r="A74" t="str">
            <v>260925-567751534922820</v>
          </cell>
          <cell r="H74">
            <v>46290.54219907407</v>
          </cell>
          <cell r="I74">
            <v>202609</v>
          </cell>
          <cell r="K74">
            <v>-3699</v>
          </cell>
          <cell r="L74" t="str">
            <v>交易退款</v>
          </cell>
          <cell r="N74">
            <v>0</v>
          </cell>
          <cell r="O74">
            <v>14</v>
          </cell>
        </row>
        <row r="75">
          <cell r="A75" t="str">
            <v>260925-567751534922820</v>
          </cell>
          <cell r="H75">
            <v>46290.54114583333</v>
          </cell>
          <cell r="I75">
            <v>202609</v>
          </cell>
          <cell r="K75">
            <v>-22.19</v>
          </cell>
          <cell r="L75" t="str">
            <v>基础技术服务费</v>
          </cell>
          <cell r="N75">
            <v>0</v>
          </cell>
          <cell r="O75">
            <v>14</v>
          </cell>
        </row>
        <row r="76">
          <cell r="A76" t="str">
            <v>260925-504543394092041</v>
          </cell>
          <cell r="H76">
            <v>46290.45390046296</v>
          </cell>
          <cell r="I76">
            <v>202609</v>
          </cell>
          <cell r="K76">
            <v>-0.23</v>
          </cell>
          <cell r="L76" t="str">
            <v>消费者体验提升计划</v>
          </cell>
          <cell r="N76">
            <v>0</v>
          </cell>
          <cell r="O76">
            <v>14</v>
          </cell>
        </row>
        <row r="77">
          <cell r="A77" t="str">
            <v>260924-421034770800999</v>
          </cell>
          <cell r="H77">
            <v>46290.45390046296</v>
          </cell>
          <cell r="I77">
            <v>202609</v>
          </cell>
          <cell r="K77">
            <v>-0.24</v>
          </cell>
          <cell r="L77" t="str">
            <v>消费者体验提升计划</v>
          </cell>
          <cell r="N77">
            <v>0</v>
          </cell>
          <cell r="O77">
            <v>14</v>
          </cell>
        </row>
        <row r="78">
          <cell r="A78" t="str">
            <v>260924-347508652384062</v>
          </cell>
          <cell r="H78">
            <v>46290.45390046296</v>
          </cell>
          <cell r="I78">
            <v>202609</v>
          </cell>
          <cell r="K78">
            <v>-0.24</v>
          </cell>
          <cell r="L78" t="str">
            <v>消费者体验提升计划</v>
          </cell>
          <cell r="N78">
            <v>0</v>
          </cell>
          <cell r="O78">
            <v>14</v>
          </cell>
        </row>
        <row r="79">
          <cell r="A79" t="str">
            <v>260924-102770983250639</v>
          </cell>
          <cell r="H79">
            <v>46290.45390046296</v>
          </cell>
          <cell r="I79">
            <v>202609</v>
          </cell>
          <cell r="K79">
            <v>-0.24</v>
          </cell>
          <cell r="L79" t="str">
            <v>消费者体验提升计划</v>
          </cell>
          <cell r="N79">
            <v>0</v>
          </cell>
          <cell r="O79">
            <v>14</v>
          </cell>
        </row>
        <row r="80">
          <cell r="A80" t="str">
            <v>260921-224783244803869</v>
          </cell>
          <cell r="H80">
            <v>46290.01390046296</v>
          </cell>
          <cell r="I80">
            <v>202609</v>
          </cell>
          <cell r="K80">
            <v>-50.25</v>
          </cell>
          <cell r="L80" t="str">
            <v>百亿补贴技术服务费</v>
          </cell>
          <cell r="N80">
            <v>0</v>
          </cell>
          <cell r="O80">
            <v>15</v>
          </cell>
        </row>
        <row r="81">
          <cell r="A81" t="str">
            <v>260921-224783244803869</v>
          </cell>
          <cell r="H81">
            <v>46290.01390046296</v>
          </cell>
          <cell r="I81">
            <v>202609</v>
          </cell>
          <cell r="K81">
            <v>-21.53</v>
          </cell>
          <cell r="L81" t="str">
            <v>基础技术服务费</v>
          </cell>
          <cell r="N81">
            <v>0</v>
          </cell>
          <cell r="O81">
            <v>15</v>
          </cell>
        </row>
        <row r="82">
          <cell r="A82" t="str">
            <v>260921-224783244803869</v>
          </cell>
          <cell r="H82">
            <v>46290.01390046296</v>
          </cell>
          <cell r="I82">
            <v>202609</v>
          </cell>
          <cell r="K82">
            <v>3589</v>
          </cell>
          <cell r="L82" t="str">
            <v>订单收入</v>
          </cell>
          <cell r="N82">
            <v>0</v>
          </cell>
          <cell r="O82">
            <v>15</v>
          </cell>
        </row>
        <row r="83">
          <cell r="A83" t="str">
            <v>260924-065179502202385</v>
          </cell>
          <cell r="H83">
            <v>46289.928125</v>
          </cell>
          <cell r="I83">
            <v>202609</v>
          </cell>
          <cell r="K83">
            <v>42.97</v>
          </cell>
          <cell r="L83" t="str">
            <v>百亿补贴技术服务费</v>
          </cell>
          <cell r="N83">
            <v>0</v>
          </cell>
          <cell r="O83">
            <v>15</v>
          </cell>
        </row>
        <row r="84">
          <cell r="A84" t="str">
            <v>260924-065179502202385</v>
          </cell>
          <cell r="H84">
            <v>46289.92741898148</v>
          </cell>
          <cell r="I84">
            <v>202609</v>
          </cell>
          <cell r="K84">
            <v>-42.97</v>
          </cell>
          <cell r="L84" t="str">
            <v>百亿补贴技术服务费</v>
          </cell>
          <cell r="N84">
            <v>0</v>
          </cell>
          <cell r="O84">
            <v>16</v>
          </cell>
        </row>
        <row r="85">
          <cell r="A85" t="str">
            <v>260924-065179502202385</v>
          </cell>
          <cell r="H85">
            <v>46289.927407407406</v>
          </cell>
          <cell r="I85">
            <v>202609</v>
          </cell>
          <cell r="K85">
            <v>3069</v>
          </cell>
          <cell r="L85" t="str">
            <v>订单收入</v>
          </cell>
          <cell r="N85">
            <v>0</v>
          </cell>
          <cell r="O85">
            <v>16</v>
          </cell>
        </row>
        <row r="86">
          <cell r="A86" t="str">
            <v>260924-065179502202385</v>
          </cell>
          <cell r="H86">
            <v>46289.927407407406</v>
          </cell>
          <cell r="I86">
            <v>202609</v>
          </cell>
          <cell r="K86">
            <v>18.41</v>
          </cell>
          <cell r="L86" t="str">
            <v>基础技术服务费</v>
          </cell>
          <cell r="N86">
            <v>0</v>
          </cell>
          <cell r="O86">
            <v>16</v>
          </cell>
        </row>
        <row r="87">
          <cell r="A87" t="str">
            <v>260924-065179502202385</v>
          </cell>
          <cell r="H87">
            <v>46289.927407407406</v>
          </cell>
          <cell r="I87">
            <v>202609</v>
          </cell>
          <cell r="K87">
            <v>-3069</v>
          </cell>
          <cell r="L87" t="str">
            <v>交易退款</v>
          </cell>
          <cell r="N87">
            <v>0</v>
          </cell>
          <cell r="O87">
            <v>16</v>
          </cell>
        </row>
        <row r="88">
          <cell r="A88" t="str">
            <v>260924-065179502202385</v>
          </cell>
          <cell r="H88">
            <v>46289.92497685185</v>
          </cell>
          <cell r="I88">
            <v>202609</v>
          </cell>
          <cell r="K88">
            <v>-18.41</v>
          </cell>
          <cell r="L88" t="str">
            <v>基础技术服务费</v>
          </cell>
          <cell r="N88">
            <v>0</v>
          </cell>
          <cell r="O88">
            <v>16</v>
          </cell>
        </row>
        <row r="89">
          <cell r="A89" t="str">
            <v>260921-311448051233385</v>
          </cell>
          <cell r="H89">
            <v>46289.55613425926</v>
          </cell>
          <cell r="I89">
            <v>202609</v>
          </cell>
          <cell r="K89">
            <v>-48.99</v>
          </cell>
          <cell r="L89" t="str">
            <v>百亿补贴技术服务费</v>
          </cell>
          <cell r="N89">
            <v>0</v>
          </cell>
          <cell r="O89">
            <v>17</v>
          </cell>
        </row>
        <row r="90">
          <cell r="A90" t="str">
            <v>260921-311448051233385</v>
          </cell>
          <cell r="H90">
            <v>46289.55613425926</v>
          </cell>
          <cell r="I90">
            <v>202609</v>
          </cell>
          <cell r="K90">
            <v>3499</v>
          </cell>
          <cell r="L90" t="str">
            <v>订单收入</v>
          </cell>
          <cell r="N90">
            <v>0</v>
          </cell>
          <cell r="O90">
            <v>17</v>
          </cell>
        </row>
        <row r="91">
          <cell r="A91" t="str">
            <v>260921-311448051233385</v>
          </cell>
          <cell r="H91">
            <v>46289.55613425926</v>
          </cell>
          <cell r="I91">
            <v>202609</v>
          </cell>
          <cell r="K91">
            <v>-20.99</v>
          </cell>
          <cell r="L91" t="str">
            <v>基础技术服务费</v>
          </cell>
          <cell r="N91">
            <v>0</v>
          </cell>
          <cell r="O91">
            <v>17</v>
          </cell>
        </row>
        <row r="92">
          <cell r="A92" t="str">
            <v>260921-649047580173915</v>
          </cell>
          <cell r="H92">
            <v>46289.38960648148</v>
          </cell>
          <cell r="I92">
            <v>202609</v>
          </cell>
          <cell r="K92">
            <v>-50.25</v>
          </cell>
          <cell r="L92" t="str">
            <v>百亿补贴技术服务费</v>
          </cell>
          <cell r="N92">
            <v>0</v>
          </cell>
          <cell r="O92">
            <v>18</v>
          </cell>
        </row>
        <row r="93">
          <cell r="A93" t="str">
            <v>260921-649047580173915</v>
          </cell>
          <cell r="H93">
            <v>46289.38952546296</v>
          </cell>
          <cell r="I93">
            <v>202609</v>
          </cell>
          <cell r="K93">
            <v>99</v>
          </cell>
          <cell r="L93" t="str">
            <v>优惠券结算</v>
          </cell>
          <cell r="N93">
            <v>0</v>
          </cell>
          <cell r="O93">
            <v>18</v>
          </cell>
        </row>
        <row r="94">
          <cell r="A94" t="str">
            <v>260921-649047580173915</v>
          </cell>
          <cell r="H94">
            <v>46289.38952546296</v>
          </cell>
          <cell r="I94">
            <v>202609</v>
          </cell>
          <cell r="K94">
            <v>-21.53</v>
          </cell>
          <cell r="L94" t="str">
            <v>基础技术服务费</v>
          </cell>
          <cell r="N94">
            <v>0</v>
          </cell>
          <cell r="O94">
            <v>18</v>
          </cell>
        </row>
        <row r="95">
          <cell r="A95" t="str">
            <v>260921-649047580173915</v>
          </cell>
          <cell r="H95">
            <v>46289.38952546296</v>
          </cell>
          <cell r="I95">
            <v>202609</v>
          </cell>
          <cell r="K95">
            <v>3490</v>
          </cell>
          <cell r="L95" t="str">
            <v>订单收入</v>
          </cell>
          <cell r="N95">
            <v>0</v>
          </cell>
          <cell r="O95">
            <v>18</v>
          </cell>
        </row>
        <row r="96">
          <cell r="H96">
            <v>46289.37480324074</v>
          </cell>
          <cell r="I96">
            <v>202609</v>
          </cell>
          <cell r="K96">
            <v>4586.81</v>
          </cell>
          <cell r="L96" t="str">
            <v>技术服务费返还</v>
          </cell>
          <cell r="M96" t="str">
            <v>BO260915078057502</v>
          </cell>
          <cell r="N96">
            <v>1</v>
          </cell>
          <cell r="O96">
            <v>18</v>
          </cell>
        </row>
        <row r="97">
          <cell r="A97" t="str">
            <v>260923-040139507320110</v>
          </cell>
          <cell r="H97">
            <v>46288.74239583333</v>
          </cell>
          <cell r="I97">
            <v>202609</v>
          </cell>
          <cell r="K97">
            <v>-0.26</v>
          </cell>
          <cell r="L97" t="str">
            <v>消费者体验提升计划</v>
          </cell>
          <cell r="N97">
            <v>1</v>
          </cell>
          <cell r="O97">
            <v>18</v>
          </cell>
        </row>
        <row r="98">
          <cell r="A98" t="str">
            <v>260923-037916557611678</v>
          </cell>
          <cell r="H98">
            <v>46288.57077546296</v>
          </cell>
          <cell r="I98">
            <v>202609</v>
          </cell>
          <cell r="K98">
            <v>50.25</v>
          </cell>
          <cell r="L98" t="str">
            <v>百亿补贴技术服务费</v>
          </cell>
          <cell r="N98">
            <v>1</v>
          </cell>
          <cell r="O98">
            <v>18</v>
          </cell>
        </row>
        <row r="99">
          <cell r="A99" t="str">
            <v>260923-037916557611678</v>
          </cell>
          <cell r="H99">
            <v>46288.570069444446</v>
          </cell>
          <cell r="I99">
            <v>202609</v>
          </cell>
          <cell r="K99">
            <v>-50.25</v>
          </cell>
          <cell r="L99" t="str">
            <v>百亿补贴技术服务费</v>
          </cell>
          <cell r="N99">
            <v>1</v>
          </cell>
          <cell r="O99">
            <v>19</v>
          </cell>
        </row>
        <row r="100">
          <cell r="A100" t="str">
            <v>260923-037916557611678</v>
          </cell>
          <cell r="H100">
            <v>46288.57005787037</v>
          </cell>
          <cell r="I100">
            <v>202609</v>
          </cell>
          <cell r="K100">
            <v>21.53</v>
          </cell>
          <cell r="L100" t="str">
            <v>基础技术服务费</v>
          </cell>
          <cell r="N100">
            <v>1</v>
          </cell>
          <cell r="O100">
            <v>19</v>
          </cell>
        </row>
        <row r="101">
          <cell r="A101" t="str">
            <v>260923-037916557611678</v>
          </cell>
          <cell r="H101">
            <v>46288.57005787037</v>
          </cell>
          <cell r="I101">
            <v>202609</v>
          </cell>
          <cell r="K101">
            <v>-3589</v>
          </cell>
          <cell r="L101" t="str">
            <v>交易退款</v>
          </cell>
          <cell r="N101">
            <v>1</v>
          </cell>
          <cell r="O101">
            <v>19</v>
          </cell>
        </row>
        <row r="102">
          <cell r="A102" t="str">
            <v>260923-037916557611678</v>
          </cell>
          <cell r="H102">
            <v>46288.57005787037</v>
          </cell>
          <cell r="I102">
            <v>202609</v>
          </cell>
          <cell r="K102">
            <v>3589</v>
          </cell>
          <cell r="L102" t="str">
            <v>订单收入</v>
          </cell>
          <cell r="N102">
            <v>1</v>
          </cell>
          <cell r="O102">
            <v>19</v>
          </cell>
        </row>
        <row r="103">
          <cell r="A103" t="str">
            <v>260923-037916557611678</v>
          </cell>
          <cell r="H103">
            <v>46288.56828703704</v>
          </cell>
          <cell r="I103">
            <v>202609</v>
          </cell>
          <cell r="K103">
            <v>-21.53</v>
          </cell>
          <cell r="L103" t="str">
            <v>基础技术服务费</v>
          </cell>
          <cell r="N103">
            <v>1</v>
          </cell>
          <cell r="O103">
            <v>19</v>
          </cell>
        </row>
        <row r="104">
          <cell r="A104" t="str">
            <v>260802-569198528023788</v>
          </cell>
          <cell r="H104">
            <v>46288.55278935185</v>
          </cell>
          <cell r="I104">
            <v>202609</v>
          </cell>
          <cell r="K104">
            <v>26</v>
          </cell>
          <cell r="L104" t="str">
            <v>申诉补回</v>
          </cell>
          <cell r="N104">
            <v>1</v>
          </cell>
          <cell r="O104">
            <v>19</v>
          </cell>
        </row>
        <row r="105">
          <cell r="A105" t="str">
            <v>260923-037916557611678</v>
          </cell>
          <cell r="H105">
            <v>46288.4446875</v>
          </cell>
          <cell r="I105">
            <v>202609</v>
          </cell>
          <cell r="K105">
            <v>-0.26</v>
          </cell>
          <cell r="L105" t="str">
            <v>消费者体验提升计划</v>
          </cell>
          <cell r="N105">
            <v>1</v>
          </cell>
          <cell r="O105">
            <v>19</v>
          </cell>
        </row>
        <row r="106">
          <cell r="A106" t="str">
            <v>260922-289307420991455</v>
          </cell>
          <cell r="H106">
            <v>46288.4446875</v>
          </cell>
          <cell r="I106">
            <v>202609</v>
          </cell>
          <cell r="K106">
            <v>-0.26</v>
          </cell>
          <cell r="L106" t="str">
            <v>消费者体验提升计划</v>
          </cell>
          <cell r="N106">
            <v>1</v>
          </cell>
          <cell r="O106">
            <v>19</v>
          </cell>
        </row>
        <row r="107">
          <cell r="A107" t="str">
            <v>260912-197436382781004</v>
          </cell>
          <cell r="H107">
            <v>46288.417233796295</v>
          </cell>
          <cell r="I107">
            <v>202609</v>
          </cell>
          <cell r="K107">
            <v>-21.59</v>
          </cell>
          <cell r="L107" t="str">
            <v>基础技术服务费</v>
          </cell>
          <cell r="N107">
            <v>1</v>
          </cell>
          <cell r="O107">
            <v>19</v>
          </cell>
        </row>
        <row r="108">
          <cell r="A108" t="str">
            <v>260912-197436382781004</v>
          </cell>
          <cell r="H108">
            <v>46288.417233796295</v>
          </cell>
          <cell r="I108">
            <v>202609</v>
          </cell>
          <cell r="K108">
            <v>3599</v>
          </cell>
          <cell r="L108" t="str">
            <v>订单收入</v>
          </cell>
          <cell r="N108">
            <v>1</v>
          </cell>
          <cell r="O108">
            <v>19</v>
          </cell>
        </row>
        <row r="109">
          <cell r="A109" t="str">
            <v>260912-197436382781004</v>
          </cell>
          <cell r="H109">
            <v>46288.417233796295</v>
          </cell>
          <cell r="I109">
            <v>202609</v>
          </cell>
          <cell r="K109">
            <v>-50.39</v>
          </cell>
          <cell r="L109" t="str">
            <v>百亿补贴技术服务费</v>
          </cell>
          <cell r="N109">
            <v>1</v>
          </cell>
          <cell r="O109">
            <v>20</v>
          </cell>
        </row>
        <row r="110">
          <cell r="A110" t="str">
            <v>260923-462443057451678</v>
          </cell>
          <cell r="H110">
            <v>46288.372777777775</v>
          </cell>
          <cell r="I110">
            <v>202609</v>
          </cell>
          <cell r="K110">
            <v>51.65</v>
          </cell>
          <cell r="L110" t="str">
            <v>百亿补贴技术服务费</v>
          </cell>
          <cell r="N110">
            <v>1</v>
          </cell>
          <cell r="O110">
            <v>20</v>
          </cell>
        </row>
        <row r="111">
          <cell r="A111" t="str">
            <v>260923-462443057451678</v>
          </cell>
          <cell r="H111">
            <v>46288.37207175926</v>
          </cell>
          <cell r="I111">
            <v>202609</v>
          </cell>
          <cell r="K111">
            <v>-51.65</v>
          </cell>
          <cell r="L111" t="str">
            <v>百亿补贴技术服务费</v>
          </cell>
          <cell r="N111">
            <v>1</v>
          </cell>
          <cell r="O111">
            <v>21</v>
          </cell>
        </row>
        <row r="112">
          <cell r="A112" t="str">
            <v>260923-462443057451678</v>
          </cell>
          <cell r="H112">
            <v>46288.37206018518</v>
          </cell>
          <cell r="I112">
            <v>202609</v>
          </cell>
          <cell r="K112">
            <v>3689</v>
          </cell>
          <cell r="L112" t="str">
            <v>订单收入</v>
          </cell>
          <cell r="N112">
            <v>1</v>
          </cell>
          <cell r="O112">
            <v>21</v>
          </cell>
        </row>
        <row r="113">
          <cell r="A113" t="str">
            <v>260923-462443057451678</v>
          </cell>
          <cell r="H113">
            <v>46288.37206018518</v>
          </cell>
          <cell r="I113">
            <v>202609</v>
          </cell>
          <cell r="K113">
            <v>-3689</v>
          </cell>
          <cell r="L113" t="str">
            <v>交易退款</v>
          </cell>
          <cell r="N113">
            <v>1</v>
          </cell>
          <cell r="O113">
            <v>21</v>
          </cell>
        </row>
        <row r="114">
          <cell r="A114" t="str">
            <v>260923-462443057451678</v>
          </cell>
          <cell r="H114">
            <v>46288.37206018518</v>
          </cell>
          <cell r="I114">
            <v>202609</v>
          </cell>
          <cell r="K114">
            <v>22.13</v>
          </cell>
          <cell r="L114" t="str">
            <v>基础技术服务费</v>
          </cell>
          <cell r="N114">
            <v>1</v>
          </cell>
          <cell r="O114">
            <v>21</v>
          </cell>
        </row>
        <row r="115">
          <cell r="A115" t="str">
            <v>260923-462443057451678</v>
          </cell>
          <cell r="H115">
            <v>46288.371412037035</v>
          </cell>
          <cell r="I115">
            <v>202609</v>
          </cell>
          <cell r="K115">
            <v>-22.13</v>
          </cell>
          <cell r="L115" t="str">
            <v>基础技术服务费</v>
          </cell>
          <cell r="N115">
            <v>1</v>
          </cell>
          <cell r="O115">
            <v>21</v>
          </cell>
        </row>
        <row r="116">
          <cell r="A116" t="str">
            <v>260923-268267743522667</v>
          </cell>
          <cell r="H116">
            <v>46288.11505787037</v>
          </cell>
          <cell r="I116">
            <v>202609</v>
          </cell>
          <cell r="K116">
            <v>48.99</v>
          </cell>
          <cell r="L116" t="str">
            <v>百亿补贴技术服务费</v>
          </cell>
          <cell r="N116">
            <v>1</v>
          </cell>
          <cell r="O116">
            <v>21</v>
          </cell>
        </row>
        <row r="117">
          <cell r="A117" t="str">
            <v>260923-268267743522667</v>
          </cell>
          <cell r="H117">
            <v>46288.11435185185</v>
          </cell>
          <cell r="I117">
            <v>202609</v>
          </cell>
          <cell r="K117">
            <v>-48.99</v>
          </cell>
          <cell r="L117" t="str">
            <v>百亿补贴技术服务费</v>
          </cell>
          <cell r="N117">
            <v>1</v>
          </cell>
          <cell r="O117">
            <v>22</v>
          </cell>
        </row>
        <row r="118">
          <cell r="A118" t="str">
            <v>260923-268267743522667</v>
          </cell>
          <cell r="H118">
            <v>46288.11435185185</v>
          </cell>
          <cell r="I118">
            <v>202609</v>
          </cell>
          <cell r="K118">
            <v>-3499</v>
          </cell>
          <cell r="L118" t="str">
            <v>交易退款</v>
          </cell>
          <cell r="N118">
            <v>1</v>
          </cell>
          <cell r="O118">
            <v>22</v>
          </cell>
        </row>
        <row r="119">
          <cell r="A119" t="str">
            <v>260923-268267743522667</v>
          </cell>
          <cell r="H119">
            <v>46288.11435185185</v>
          </cell>
          <cell r="I119">
            <v>202609</v>
          </cell>
          <cell r="K119">
            <v>3499</v>
          </cell>
          <cell r="L119" t="str">
            <v>订单收入</v>
          </cell>
          <cell r="N119">
            <v>1</v>
          </cell>
          <cell r="O119">
            <v>22</v>
          </cell>
        </row>
        <row r="120">
          <cell r="A120" t="str">
            <v>260923-268267743522667</v>
          </cell>
          <cell r="H120">
            <v>46288.11435185185</v>
          </cell>
          <cell r="I120">
            <v>202609</v>
          </cell>
          <cell r="K120">
            <v>20.99</v>
          </cell>
          <cell r="L120" t="str">
            <v>基础技术服务费</v>
          </cell>
          <cell r="N120">
            <v>1</v>
          </cell>
          <cell r="O120">
            <v>22</v>
          </cell>
        </row>
        <row r="121">
          <cell r="A121" t="str">
            <v>260923-268267743522667</v>
          </cell>
          <cell r="H121">
            <v>46288.11172453704</v>
          </cell>
          <cell r="I121">
            <v>202609</v>
          </cell>
          <cell r="K121">
            <v>-20.99</v>
          </cell>
          <cell r="L121" t="str">
            <v>基础技术服务费</v>
          </cell>
          <cell r="N121">
            <v>1</v>
          </cell>
          <cell r="O121">
            <v>22</v>
          </cell>
        </row>
        <row r="122">
          <cell r="A122" t="str">
            <v>260922-410355044671455</v>
          </cell>
          <cell r="H122">
            <v>46287.92469907407</v>
          </cell>
          <cell r="I122">
            <v>202609</v>
          </cell>
          <cell r="K122">
            <v>50.25</v>
          </cell>
          <cell r="L122" t="str">
            <v>百亿补贴技术服务费</v>
          </cell>
          <cell r="N122">
            <v>1</v>
          </cell>
          <cell r="O122">
            <v>22</v>
          </cell>
        </row>
        <row r="123">
          <cell r="A123" t="str">
            <v>260922-410355044671455</v>
          </cell>
          <cell r="H123">
            <v>46287.923993055556</v>
          </cell>
          <cell r="I123">
            <v>202609</v>
          </cell>
          <cell r="K123">
            <v>-50.25</v>
          </cell>
          <cell r="L123" t="str">
            <v>百亿补贴技术服务费</v>
          </cell>
          <cell r="N123">
            <v>1</v>
          </cell>
          <cell r="O123">
            <v>23</v>
          </cell>
        </row>
        <row r="124">
          <cell r="A124" t="str">
            <v>260922-410355044671455</v>
          </cell>
          <cell r="H124">
            <v>46287.92398148148</v>
          </cell>
          <cell r="I124">
            <v>202609</v>
          </cell>
          <cell r="K124">
            <v>21.53</v>
          </cell>
          <cell r="L124" t="str">
            <v>基础技术服务费</v>
          </cell>
          <cell r="N124">
            <v>1</v>
          </cell>
          <cell r="O124">
            <v>23</v>
          </cell>
        </row>
        <row r="125">
          <cell r="A125" t="str">
            <v>260922-410355044671455</v>
          </cell>
          <cell r="H125">
            <v>46287.92398148148</v>
          </cell>
          <cell r="I125">
            <v>202609</v>
          </cell>
          <cell r="K125">
            <v>3589</v>
          </cell>
          <cell r="L125" t="str">
            <v>订单收入</v>
          </cell>
          <cell r="N125">
            <v>1</v>
          </cell>
          <cell r="O125">
            <v>23</v>
          </cell>
        </row>
        <row r="126">
          <cell r="A126" t="str">
            <v>260922-410355044671455</v>
          </cell>
          <cell r="H126">
            <v>46287.92398148148</v>
          </cell>
          <cell r="I126">
            <v>202609</v>
          </cell>
          <cell r="K126">
            <v>-3589</v>
          </cell>
          <cell r="L126" t="str">
            <v>交易退款</v>
          </cell>
          <cell r="N126">
            <v>1</v>
          </cell>
          <cell r="O126">
            <v>23</v>
          </cell>
        </row>
        <row r="127">
          <cell r="A127" t="str">
            <v>260922-410355044671455</v>
          </cell>
          <cell r="H127">
            <v>46287.92010416667</v>
          </cell>
          <cell r="I127">
            <v>202609</v>
          </cell>
          <cell r="K127">
            <v>-21.53</v>
          </cell>
          <cell r="L127" t="str">
            <v>基础技术服务费</v>
          </cell>
          <cell r="N127">
            <v>1</v>
          </cell>
          <cell r="O127">
            <v>23</v>
          </cell>
        </row>
        <row r="128">
          <cell r="A128" t="str">
            <v>260921-445015703913880</v>
          </cell>
          <cell r="H128">
            <v>46287.85818287037</v>
          </cell>
          <cell r="I128">
            <v>202609</v>
          </cell>
          <cell r="K128">
            <v>-22.19</v>
          </cell>
          <cell r="L128" t="str">
            <v>基础技术服务费</v>
          </cell>
          <cell r="N128">
            <v>1</v>
          </cell>
          <cell r="O128">
            <v>23</v>
          </cell>
        </row>
        <row r="129">
          <cell r="A129" t="str">
            <v>260921-445015703913880</v>
          </cell>
          <cell r="H129">
            <v>46287.85818287037</v>
          </cell>
          <cell r="I129">
            <v>202609</v>
          </cell>
          <cell r="K129">
            <v>3699</v>
          </cell>
          <cell r="L129" t="str">
            <v>订单收入</v>
          </cell>
          <cell r="N129">
            <v>1</v>
          </cell>
          <cell r="O129">
            <v>23</v>
          </cell>
        </row>
        <row r="130">
          <cell r="A130" t="str">
            <v>260921-445015703913880</v>
          </cell>
          <cell r="H130">
            <v>46287.85818287037</v>
          </cell>
          <cell r="I130">
            <v>202609</v>
          </cell>
          <cell r="K130">
            <v>-51.79</v>
          </cell>
          <cell r="L130" t="str">
            <v>百亿补贴技术服务费</v>
          </cell>
          <cell r="N130">
            <v>1</v>
          </cell>
          <cell r="O130">
            <v>24</v>
          </cell>
        </row>
        <row r="131">
          <cell r="A131" t="str">
            <v>260922-413243871672262</v>
          </cell>
          <cell r="H131">
            <v>46287.72635416667</v>
          </cell>
          <cell r="I131">
            <v>202609</v>
          </cell>
          <cell r="K131">
            <v>-0.26</v>
          </cell>
          <cell r="L131" t="str">
            <v>消费者体验提升计划</v>
          </cell>
          <cell r="N131">
            <v>1</v>
          </cell>
          <cell r="O131">
            <v>24</v>
          </cell>
        </row>
        <row r="132">
          <cell r="A132" t="str">
            <v>260922-542680082753953</v>
          </cell>
          <cell r="H132">
            <v>46287.66105324074</v>
          </cell>
          <cell r="I132">
            <v>202609</v>
          </cell>
          <cell r="K132">
            <v>51.79</v>
          </cell>
          <cell r="L132" t="str">
            <v>百亿补贴技术服务费</v>
          </cell>
          <cell r="N132">
            <v>1</v>
          </cell>
          <cell r="O132">
            <v>24</v>
          </cell>
        </row>
        <row r="133">
          <cell r="A133" t="str">
            <v>260922-542680082753953</v>
          </cell>
          <cell r="H133">
            <v>46287.66034722222</v>
          </cell>
          <cell r="I133">
            <v>202609</v>
          </cell>
          <cell r="K133">
            <v>-51.79</v>
          </cell>
          <cell r="L133" t="str">
            <v>百亿补贴技术服务费</v>
          </cell>
          <cell r="N133">
            <v>1</v>
          </cell>
          <cell r="O133">
            <v>25</v>
          </cell>
        </row>
        <row r="134">
          <cell r="A134" t="str">
            <v>260922-542680082753953</v>
          </cell>
          <cell r="H134">
            <v>46287.66034722222</v>
          </cell>
          <cell r="I134">
            <v>202609</v>
          </cell>
          <cell r="K134">
            <v>22.19</v>
          </cell>
          <cell r="L134" t="str">
            <v>基础技术服务费</v>
          </cell>
          <cell r="N134">
            <v>1</v>
          </cell>
          <cell r="O134">
            <v>25</v>
          </cell>
        </row>
        <row r="135">
          <cell r="A135" t="str">
            <v>260922-542680082753953</v>
          </cell>
          <cell r="H135">
            <v>46287.66034722222</v>
          </cell>
          <cell r="I135">
            <v>202609</v>
          </cell>
          <cell r="K135">
            <v>-3699</v>
          </cell>
          <cell r="L135" t="str">
            <v>交易退款</v>
          </cell>
          <cell r="N135">
            <v>1</v>
          </cell>
          <cell r="O135">
            <v>25</v>
          </cell>
        </row>
        <row r="136">
          <cell r="A136" t="str">
            <v>260922-542680082753953</v>
          </cell>
          <cell r="H136">
            <v>46287.66034722222</v>
          </cell>
          <cell r="I136">
            <v>202609</v>
          </cell>
          <cell r="K136">
            <v>3699</v>
          </cell>
          <cell r="L136" t="str">
            <v>订单收入</v>
          </cell>
          <cell r="N136">
            <v>1</v>
          </cell>
          <cell r="O136">
            <v>25</v>
          </cell>
        </row>
        <row r="137">
          <cell r="A137" t="str">
            <v>260922-542680082753953</v>
          </cell>
          <cell r="H137">
            <v>46287.65688657408</v>
          </cell>
          <cell r="I137">
            <v>202609</v>
          </cell>
          <cell r="K137">
            <v>-22.19</v>
          </cell>
          <cell r="L137" t="str">
            <v>基础技术服务费</v>
          </cell>
          <cell r="N137">
            <v>1</v>
          </cell>
          <cell r="O137">
            <v>25</v>
          </cell>
        </row>
        <row r="138">
          <cell r="A138" t="str">
            <v>260922-539555326340581</v>
          </cell>
          <cell r="H138">
            <v>46287.455613425926</v>
          </cell>
          <cell r="I138">
            <v>202609</v>
          </cell>
          <cell r="K138">
            <v>-0.26</v>
          </cell>
          <cell r="L138" t="str">
            <v>消费者体验提升计划</v>
          </cell>
          <cell r="N138">
            <v>1</v>
          </cell>
          <cell r="O138">
            <v>25</v>
          </cell>
        </row>
        <row r="139">
          <cell r="A139" t="str">
            <v>260922-399339712121233</v>
          </cell>
          <cell r="H139">
            <v>46287.455613425926</v>
          </cell>
          <cell r="I139">
            <v>202609</v>
          </cell>
          <cell r="K139">
            <v>-0.26</v>
          </cell>
          <cell r="L139" t="str">
            <v>消费者体验提升计划</v>
          </cell>
          <cell r="N139">
            <v>1</v>
          </cell>
          <cell r="O139">
            <v>25</v>
          </cell>
        </row>
        <row r="140">
          <cell r="A140" t="str">
            <v>260921-224783244803869</v>
          </cell>
          <cell r="H140">
            <v>46287.455613425926</v>
          </cell>
          <cell r="I140">
            <v>202609</v>
          </cell>
          <cell r="K140">
            <v>-0.26</v>
          </cell>
          <cell r="L140" t="str">
            <v>消费者体验提升计划</v>
          </cell>
          <cell r="N140">
            <v>1</v>
          </cell>
          <cell r="O140">
            <v>25</v>
          </cell>
        </row>
        <row r="141">
          <cell r="A141" t="str">
            <v>260921-650861668662005</v>
          </cell>
          <cell r="H141">
            <v>46287.455613425926</v>
          </cell>
          <cell r="I141">
            <v>202609</v>
          </cell>
          <cell r="K141">
            <v>-0.26</v>
          </cell>
          <cell r="L141" t="str">
            <v>消费者体验提升计划</v>
          </cell>
          <cell r="N141">
            <v>1</v>
          </cell>
          <cell r="O141">
            <v>25</v>
          </cell>
        </row>
        <row r="142">
          <cell r="A142" t="str">
            <v>260921-311448051233385</v>
          </cell>
          <cell r="H142">
            <v>46287.455613425926</v>
          </cell>
          <cell r="I142">
            <v>202609</v>
          </cell>
          <cell r="K142">
            <v>-0.26</v>
          </cell>
          <cell r="L142" t="str">
            <v>消费者体验提升计划</v>
          </cell>
          <cell r="N142">
            <v>1</v>
          </cell>
          <cell r="O142">
            <v>25</v>
          </cell>
        </row>
        <row r="143">
          <cell r="A143" t="str">
            <v>260922-046745525873697</v>
          </cell>
          <cell r="H143">
            <v>46287.424942129626</v>
          </cell>
          <cell r="I143">
            <v>202609</v>
          </cell>
          <cell r="K143">
            <v>48.99</v>
          </cell>
          <cell r="L143" t="str">
            <v>百亿补贴技术服务费</v>
          </cell>
          <cell r="N143">
            <v>1</v>
          </cell>
          <cell r="O143">
            <v>25</v>
          </cell>
        </row>
        <row r="144">
          <cell r="A144" t="str">
            <v>260922-204745009482233</v>
          </cell>
          <cell r="H144">
            <v>46287.424942129626</v>
          </cell>
          <cell r="I144">
            <v>202609</v>
          </cell>
          <cell r="K144">
            <v>48.99</v>
          </cell>
          <cell r="L144" t="str">
            <v>百亿补贴技术服务费</v>
          </cell>
          <cell r="N144">
            <v>1</v>
          </cell>
          <cell r="O144">
            <v>25</v>
          </cell>
        </row>
        <row r="145">
          <cell r="A145" t="str">
            <v>260922-046745525873697</v>
          </cell>
          <cell r="H145">
            <v>46287.42423611111</v>
          </cell>
          <cell r="I145">
            <v>202609</v>
          </cell>
          <cell r="K145">
            <v>-48.99</v>
          </cell>
          <cell r="L145" t="str">
            <v>百亿补贴技术服务费</v>
          </cell>
          <cell r="N145">
            <v>1</v>
          </cell>
          <cell r="O145">
            <v>26</v>
          </cell>
        </row>
        <row r="146">
          <cell r="A146" t="str">
            <v>260922-204745009482233</v>
          </cell>
          <cell r="H146">
            <v>46287.42423611111</v>
          </cell>
          <cell r="I146">
            <v>202609</v>
          </cell>
          <cell r="K146">
            <v>-48.99</v>
          </cell>
          <cell r="L146" t="str">
            <v>百亿补贴技术服务费</v>
          </cell>
          <cell r="N146">
            <v>1</v>
          </cell>
          <cell r="O146">
            <v>27</v>
          </cell>
        </row>
        <row r="147">
          <cell r="A147" t="str">
            <v>260922-204745009482233</v>
          </cell>
          <cell r="H147">
            <v>46287.42423611111</v>
          </cell>
          <cell r="I147">
            <v>202609</v>
          </cell>
          <cell r="K147">
            <v>3349</v>
          </cell>
          <cell r="L147" t="str">
            <v>订单收入</v>
          </cell>
          <cell r="N147">
            <v>1</v>
          </cell>
          <cell r="O147">
            <v>27</v>
          </cell>
        </row>
        <row r="148">
          <cell r="A148" t="str">
            <v>260922-046745525873697</v>
          </cell>
          <cell r="H148">
            <v>46287.42423611111</v>
          </cell>
          <cell r="I148">
            <v>202609</v>
          </cell>
          <cell r="K148">
            <v>20.99</v>
          </cell>
          <cell r="L148" t="str">
            <v>基础技术服务费</v>
          </cell>
          <cell r="N148">
            <v>1</v>
          </cell>
          <cell r="O148">
            <v>27</v>
          </cell>
        </row>
        <row r="149">
          <cell r="A149" t="str">
            <v>260922-046745525873697</v>
          </cell>
          <cell r="H149">
            <v>46287.42423611111</v>
          </cell>
          <cell r="I149">
            <v>202609</v>
          </cell>
          <cell r="K149">
            <v>-3499</v>
          </cell>
          <cell r="L149" t="str">
            <v>交易退款</v>
          </cell>
          <cell r="N149">
            <v>1</v>
          </cell>
          <cell r="O149">
            <v>27</v>
          </cell>
        </row>
        <row r="150">
          <cell r="A150" t="str">
            <v>260922-204745009482233</v>
          </cell>
          <cell r="H150">
            <v>46287.42423611111</v>
          </cell>
          <cell r="I150">
            <v>202609</v>
          </cell>
          <cell r="K150">
            <v>150</v>
          </cell>
          <cell r="L150" t="str">
            <v>优惠券结算</v>
          </cell>
          <cell r="N150">
            <v>1</v>
          </cell>
          <cell r="O150">
            <v>27</v>
          </cell>
        </row>
        <row r="151">
          <cell r="A151" t="str">
            <v>260922-204745009482233</v>
          </cell>
          <cell r="H151">
            <v>46287.42423611111</v>
          </cell>
          <cell r="I151">
            <v>202609</v>
          </cell>
          <cell r="K151">
            <v>-3349</v>
          </cell>
          <cell r="L151" t="str">
            <v>交易退款</v>
          </cell>
          <cell r="N151">
            <v>1</v>
          </cell>
          <cell r="O151">
            <v>27</v>
          </cell>
        </row>
        <row r="152">
          <cell r="A152" t="str">
            <v>260922-046745525873697</v>
          </cell>
          <cell r="H152">
            <v>46287.42423611111</v>
          </cell>
          <cell r="I152">
            <v>202609</v>
          </cell>
          <cell r="K152">
            <v>3499</v>
          </cell>
          <cell r="L152" t="str">
            <v>订单收入</v>
          </cell>
          <cell r="N152">
            <v>1</v>
          </cell>
          <cell r="O152">
            <v>27</v>
          </cell>
        </row>
        <row r="153">
          <cell r="A153" t="str">
            <v>260922-204745009482233</v>
          </cell>
          <cell r="H153">
            <v>46287.42423611111</v>
          </cell>
          <cell r="I153">
            <v>202609</v>
          </cell>
          <cell r="K153">
            <v>20.99</v>
          </cell>
          <cell r="L153" t="str">
            <v>基础技术服务费</v>
          </cell>
          <cell r="N153">
            <v>1</v>
          </cell>
          <cell r="O153">
            <v>27</v>
          </cell>
        </row>
        <row r="154">
          <cell r="A154" t="str">
            <v>260922-204745009482233</v>
          </cell>
          <cell r="H154">
            <v>46287.42423611111</v>
          </cell>
          <cell r="I154">
            <v>202609</v>
          </cell>
          <cell r="K154">
            <v>-150</v>
          </cell>
          <cell r="L154" t="str">
            <v>退款扣优惠券</v>
          </cell>
          <cell r="N154">
            <v>1</v>
          </cell>
          <cell r="O154">
            <v>27</v>
          </cell>
        </row>
        <row r="155">
          <cell r="A155" t="str">
            <v>260922-046745525873697</v>
          </cell>
          <cell r="H155">
            <v>46287.42252314815</v>
          </cell>
          <cell r="I155">
            <v>202609</v>
          </cell>
          <cell r="K155">
            <v>-20.99</v>
          </cell>
          <cell r="L155" t="str">
            <v>基础技术服务费</v>
          </cell>
          <cell r="N155">
            <v>1</v>
          </cell>
          <cell r="O155">
            <v>27</v>
          </cell>
        </row>
        <row r="156">
          <cell r="A156" t="str">
            <v>260922-204745009482233</v>
          </cell>
          <cell r="H156">
            <v>46287.42042824074</v>
          </cell>
          <cell r="I156">
            <v>202609</v>
          </cell>
          <cell r="K156">
            <v>-20.99</v>
          </cell>
          <cell r="L156" t="str">
            <v>基础技术服务费</v>
          </cell>
          <cell r="N156">
            <v>1</v>
          </cell>
          <cell r="O156">
            <v>27</v>
          </cell>
        </row>
        <row r="157">
          <cell r="A157" t="str">
            <v>260922-328047019633697</v>
          </cell>
          <cell r="H157">
            <v>46287.3971875</v>
          </cell>
          <cell r="I157">
            <v>202609</v>
          </cell>
          <cell r="K157">
            <v>48.99</v>
          </cell>
          <cell r="L157" t="str">
            <v>百亿补贴技术服务费</v>
          </cell>
          <cell r="N157">
            <v>1</v>
          </cell>
          <cell r="O157">
            <v>27</v>
          </cell>
        </row>
        <row r="158">
          <cell r="A158" t="str">
            <v>260922-328047019633697</v>
          </cell>
          <cell r="H158">
            <v>46287.39648148148</v>
          </cell>
          <cell r="I158">
            <v>202609</v>
          </cell>
          <cell r="K158">
            <v>-48.99</v>
          </cell>
          <cell r="L158" t="str">
            <v>百亿补贴技术服务费</v>
          </cell>
          <cell r="N158">
            <v>1</v>
          </cell>
          <cell r="O158">
            <v>28</v>
          </cell>
        </row>
        <row r="159">
          <cell r="A159" t="str">
            <v>260922-328047019633697</v>
          </cell>
          <cell r="H159">
            <v>46287.396469907406</v>
          </cell>
          <cell r="I159">
            <v>202609</v>
          </cell>
          <cell r="K159">
            <v>20.99</v>
          </cell>
          <cell r="L159" t="str">
            <v>基础技术服务费</v>
          </cell>
          <cell r="N159">
            <v>1</v>
          </cell>
          <cell r="O159">
            <v>28</v>
          </cell>
        </row>
        <row r="160">
          <cell r="A160" t="str">
            <v>260922-328047019633697</v>
          </cell>
          <cell r="H160">
            <v>46287.396469907406</v>
          </cell>
          <cell r="I160">
            <v>202609</v>
          </cell>
          <cell r="K160">
            <v>3499</v>
          </cell>
          <cell r="L160" t="str">
            <v>订单收入</v>
          </cell>
          <cell r="N160">
            <v>1</v>
          </cell>
          <cell r="O160">
            <v>28</v>
          </cell>
        </row>
        <row r="161">
          <cell r="A161" t="str">
            <v>260922-328047019633697</v>
          </cell>
          <cell r="H161">
            <v>46287.396469907406</v>
          </cell>
          <cell r="I161">
            <v>202609</v>
          </cell>
          <cell r="K161">
            <v>-3499</v>
          </cell>
          <cell r="L161" t="str">
            <v>交易退款</v>
          </cell>
          <cell r="N161">
            <v>1</v>
          </cell>
          <cell r="O161">
            <v>28</v>
          </cell>
        </row>
        <row r="162">
          <cell r="A162" t="str">
            <v>260922-328047019633697</v>
          </cell>
          <cell r="H162">
            <v>46287.39506944444</v>
          </cell>
          <cell r="I162">
            <v>202609</v>
          </cell>
          <cell r="K162">
            <v>-20.99</v>
          </cell>
          <cell r="L162" t="str">
            <v>基础技术服务费</v>
          </cell>
          <cell r="N162">
            <v>1</v>
          </cell>
          <cell r="O162">
            <v>28</v>
          </cell>
        </row>
        <row r="163">
          <cell r="A163" t="str">
            <v>260922-619226151250712</v>
          </cell>
          <cell r="H163">
            <v>46287.29934027778</v>
          </cell>
          <cell r="I163">
            <v>202609</v>
          </cell>
          <cell r="K163">
            <v>48.99</v>
          </cell>
          <cell r="L163" t="str">
            <v>百亿补贴技术服务费</v>
          </cell>
          <cell r="N163">
            <v>1</v>
          </cell>
          <cell r="O163">
            <v>28</v>
          </cell>
        </row>
        <row r="164">
          <cell r="A164" t="str">
            <v>260922-619226151250712</v>
          </cell>
          <cell r="H164">
            <v>46287.298622685186</v>
          </cell>
          <cell r="I164">
            <v>202609</v>
          </cell>
          <cell r="K164">
            <v>-48.99</v>
          </cell>
          <cell r="L164" t="str">
            <v>百亿补贴技术服务费</v>
          </cell>
          <cell r="N164">
            <v>1</v>
          </cell>
          <cell r="O164">
            <v>29</v>
          </cell>
        </row>
        <row r="165">
          <cell r="A165" t="str">
            <v>260922-619226151250712</v>
          </cell>
          <cell r="H165">
            <v>46287.298622685186</v>
          </cell>
          <cell r="I165">
            <v>202609</v>
          </cell>
          <cell r="K165">
            <v>3349</v>
          </cell>
          <cell r="L165" t="str">
            <v>订单收入</v>
          </cell>
          <cell r="N165">
            <v>1</v>
          </cell>
          <cell r="O165">
            <v>29</v>
          </cell>
        </row>
        <row r="166">
          <cell r="A166" t="str">
            <v>260922-619226151250712</v>
          </cell>
          <cell r="H166">
            <v>46287.298622685186</v>
          </cell>
          <cell r="I166">
            <v>202609</v>
          </cell>
          <cell r="K166">
            <v>20.99</v>
          </cell>
          <cell r="L166" t="str">
            <v>基础技术服务费</v>
          </cell>
          <cell r="N166">
            <v>1</v>
          </cell>
          <cell r="O166">
            <v>29</v>
          </cell>
        </row>
        <row r="167">
          <cell r="A167" t="str">
            <v>260922-619226151250712</v>
          </cell>
          <cell r="H167">
            <v>46287.298622685186</v>
          </cell>
          <cell r="I167">
            <v>202609</v>
          </cell>
          <cell r="K167">
            <v>150</v>
          </cell>
          <cell r="L167" t="str">
            <v>优惠券结算</v>
          </cell>
          <cell r="N167">
            <v>1</v>
          </cell>
          <cell r="O167">
            <v>29</v>
          </cell>
        </row>
        <row r="168">
          <cell r="A168" t="str">
            <v>260922-619226151250712</v>
          </cell>
          <cell r="H168">
            <v>46287.298622685186</v>
          </cell>
          <cell r="I168">
            <v>202609</v>
          </cell>
          <cell r="K168">
            <v>-150</v>
          </cell>
          <cell r="L168" t="str">
            <v>退款扣优惠券</v>
          </cell>
          <cell r="N168">
            <v>1</v>
          </cell>
          <cell r="O168">
            <v>29</v>
          </cell>
        </row>
        <row r="169">
          <cell r="A169" t="str">
            <v>260922-619226151250712</v>
          </cell>
          <cell r="H169">
            <v>46287.298622685186</v>
          </cell>
          <cell r="I169">
            <v>202609</v>
          </cell>
          <cell r="K169">
            <v>-3349</v>
          </cell>
          <cell r="L169" t="str">
            <v>交易退款</v>
          </cell>
          <cell r="N169">
            <v>1</v>
          </cell>
          <cell r="O169">
            <v>29</v>
          </cell>
        </row>
        <row r="170">
          <cell r="A170" t="str">
            <v>260922-619226151250712</v>
          </cell>
          <cell r="H170">
            <v>46287.294756944444</v>
          </cell>
          <cell r="I170">
            <v>202609</v>
          </cell>
          <cell r="K170">
            <v>-20.99</v>
          </cell>
          <cell r="L170" t="str">
            <v>基础技术服务费</v>
          </cell>
          <cell r="N170">
            <v>1</v>
          </cell>
          <cell r="O170">
            <v>29</v>
          </cell>
        </row>
        <row r="171">
          <cell r="A171" t="str">
            <v>260921-081254172290608</v>
          </cell>
          <cell r="H171">
            <v>46286.938564814816</v>
          </cell>
          <cell r="I171">
            <v>202609</v>
          </cell>
          <cell r="K171">
            <v>48.99</v>
          </cell>
          <cell r="L171" t="str">
            <v>百亿补贴技术服务费</v>
          </cell>
          <cell r="N171">
            <v>1</v>
          </cell>
          <cell r="O171">
            <v>29</v>
          </cell>
        </row>
        <row r="172">
          <cell r="A172" t="str">
            <v>260921-081254172290608</v>
          </cell>
          <cell r="H172">
            <v>46286.93785879629</v>
          </cell>
          <cell r="I172">
            <v>202609</v>
          </cell>
          <cell r="K172">
            <v>-48.99</v>
          </cell>
          <cell r="L172" t="str">
            <v>百亿补贴技术服务费</v>
          </cell>
          <cell r="N172">
            <v>1</v>
          </cell>
          <cell r="O172">
            <v>30</v>
          </cell>
        </row>
        <row r="173">
          <cell r="A173" t="str">
            <v>260921-081254172290608</v>
          </cell>
          <cell r="H173">
            <v>46286.93784722222</v>
          </cell>
          <cell r="I173">
            <v>202609</v>
          </cell>
          <cell r="K173">
            <v>3499</v>
          </cell>
          <cell r="L173" t="str">
            <v>订单收入</v>
          </cell>
          <cell r="N173">
            <v>1</v>
          </cell>
          <cell r="O173">
            <v>30</v>
          </cell>
        </row>
        <row r="174">
          <cell r="A174" t="str">
            <v>260921-081254172290608</v>
          </cell>
          <cell r="H174">
            <v>46286.93784722222</v>
          </cell>
          <cell r="I174">
            <v>202609</v>
          </cell>
          <cell r="K174">
            <v>20.99</v>
          </cell>
          <cell r="L174" t="str">
            <v>基础技术服务费</v>
          </cell>
          <cell r="N174">
            <v>1</v>
          </cell>
          <cell r="O174">
            <v>30</v>
          </cell>
        </row>
        <row r="175">
          <cell r="A175" t="str">
            <v>260921-081254172290608</v>
          </cell>
          <cell r="H175">
            <v>46286.93784722222</v>
          </cell>
          <cell r="I175">
            <v>202609</v>
          </cell>
          <cell r="K175">
            <v>-3499</v>
          </cell>
          <cell r="L175" t="str">
            <v>交易退款</v>
          </cell>
          <cell r="N175">
            <v>1</v>
          </cell>
          <cell r="O175">
            <v>30</v>
          </cell>
        </row>
        <row r="176">
          <cell r="A176" t="str">
            <v>260921-081254172290608</v>
          </cell>
          <cell r="H176">
            <v>46286.935636574075</v>
          </cell>
          <cell r="I176">
            <v>202609</v>
          </cell>
          <cell r="K176">
            <v>-20.99</v>
          </cell>
          <cell r="L176" t="str">
            <v>基础技术服务费</v>
          </cell>
          <cell r="N176">
            <v>1</v>
          </cell>
          <cell r="O176">
            <v>30</v>
          </cell>
        </row>
        <row r="177">
          <cell r="A177" t="str">
            <v>260921-347298885251124</v>
          </cell>
          <cell r="H177">
            <v>46286.71141203704</v>
          </cell>
          <cell r="I177">
            <v>202609</v>
          </cell>
          <cell r="K177">
            <v>-0.26</v>
          </cell>
          <cell r="L177" t="str">
            <v>消费者体验提升计划</v>
          </cell>
          <cell r="N177">
            <v>1</v>
          </cell>
          <cell r="O177">
            <v>30</v>
          </cell>
        </row>
        <row r="178">
          <cell r="A178" t="str">
            <v>260921-649047580173915</v>
          </cell>
          <cell r="H178">
            <v>46286.71141203704</v>
          </cell>
          <cell r="I178">
            <v>202609</v>
          </cell>
          <cell r="K178">
            <v>-0.26</v>
          </cell>
          <cell r="L178" t="str">
            <v>消费者体验提升计划</v>
          </cell>
          <cell r="N178">
            <v>1</v>
          </cell>
          <cell r="O178">
            <v>30</v>
          </cell>
        </row>
        <row r="179">
          <cell r="A179" t="str">
            <v>260921-564532375101318</v>
          </cell>
          <cell r="H179">
            <v>46286.614120370374</v>
          </cell>
          <cell r="I179">
            <v>202609</v>
          </cell>
          <cell r="K179">
            <v>-0.26</v>
          </cell>
          <cell r="L179" t="str">
            <v>消费者体验提升计划</v>
          </cell>
          <cell r="N179">
            <v>1</v>
          </cell>
          <cell r="O179">
            <v>30</v>
          </cell>
        </row>
        <row r="180">
          <cell r="A180" t="str">
            <v>260921-349511360061318</v>
          </cell>
          <cell r="H180">
            <v>46286.55341435185</v>
          </cell>
          <cell r="I180">
            <v>202609</v>
          </cell>
          <cell r="K180">
            <v>50.25</v>
          </cell>
          <cell r="L180" t="str">
            <v>百亿补贴技术服务费</v>
          </cell>
          <cell r="N180">
            <v>1</v>
          </cell>
          <cell r="O180">
            <v>30</v>
          </cell>
        </row>
        <row r="181">
          <cell r="A181" t="str">
            <v>260921-349511360061318</v>
          </cell>
          <cell r="H181">
            <v>46286.552708333336</v>
          </cell>
          <cell r="I181">
            <v>202609</v>
          </cell>
          <cell r="K181">
            <v>-50.25</v>
          </cell>
          <cell r="L181" t="str">
            <v>百亿补贴技术服务费</v>
          </cell>
          <cell r="N181">
            <v>1</v>
          </cell>
          <cell r="O181">
            <v>31</v>
          </cell>
        </row>
        <row r="182">
          <cell r="A182" t="str">
            <v>260921-349511360061318</v>
          </cell>
          <cell r="H182">
            <v>46286.55269675926</v>
          </cell>
          <cell r="I182">
            <v>202609</v>
          </cell>
          <cell r="K182">
            <v>21.53</v>
          </cell>
          <cell r="L182" t="str">
            <v>基础技术服务费</v>
          </cell>
          <cell r="N182">
            <v>1</v>
          </cell>
          <cell r="O182">
            <v>31</v>
          </cell>
        </row>
        <row r="183">
          <cell r="A183" t="str">
            <v>260921-349511360061318</v>
          </cell>
          <cell r="H183">
            <v>46286.55269675926</v>
          </cell>
          <cell r="I183">
            <v>202609</v>
          </cell>
          <cell r="K183">
            <v>-3589</v>
          </cell>
          <cell r="L183" t="str">
            <v>交易退款</v>
          </cell>
          <cell r="N183">
            <v>1</v>
          </cell>
          <cell r="O183">
            <v>31</v>
          </cell>
        </row>
        <row r="184">
          <cell r="A184" t="str">
            <v>260921-349511360061318</v>
          </cell>
          <cell r="H184">
            <v>46286.55269675926</v>
          </cell>
          <cell r="I184">
            <v>202609</v>
          </cell>
          <cell r="K184">
            <v>3589</v>
          </cell>
          <cell r="L184" t="str">
            <v>订单收入</v>
          </cell>
          <cell r="N184">
            <v>1</v>
          </cell>
          <cell r="O184">
            <v>31</v>
          </cell>
        </row>
        <row r="185">
          <cell r="A185" t="str">
            <v>260921-676079869501318</v>
          </cell>
          <cell r="H185">
            <v>46286.5499537037</v>
          </cell>
          <cell r="I185">
            <v>202609</v>
          </cell>
          <cell r="K185">
            <v>48.99</v>
          </cell>
          <cell r="L185" t="str">
            <v>百亿补贴技术服务费</v>
          </cell>
          <cell r="N185">
            <v>1</v>
          </cell>
          <cell r="O185">
            <v>31</v>
          </cell>
        </row>
        <row r="186">
          <cell r="A186" t="str">
            <v>260921-349511360061318</v>
          </cell>
          <cell r="H186">
            <v>46286.54988425926</v>
          </cell>
          <cell r="I186">
            <v>202609</v>
          </cell>
          <cell r="K186">
            <v>-21.53</v>
          </cell>
          <cell r="L186" t="str">
            <v>基础技术服务费</v>
          </cell>
          <cell r="N186">
            <v>1</v>
          </cell>
          <cell r="O186">
            <v>31</v>
          </cell>
        </row>
        <row r="187">
          <cell r="A187" t="str">
            <v>260921-676079869501318</v>
          </cell>
          <cell r="H187">
            <v>46286.54924768519</v>
          </cell>
          <cell r="I187">
            <v>202609</v>
          </cell>
          <cell r="K187">
            <v>-48.99</v>
          </cell>
          <cell r="L187" t="str">
            <v>百亿补贴技术服务费</v>
          </cell>
          <cell r="N187">
            <v>1</v>
          </cell>
          <cell r="O187">
            <v>32</v>
          </cell>
        </row>
        <row r="188">
          <cell r="A188" t="str">
            <v>260921-676079869501318</v>
          </cell>
          <cell r="H188">
            <v>46286.54924768519</v>
          </cell>
          <cell r="I188">
            <v>202609</v>
          </cell>
          <cell r="K188">
            <v>20.99</v>
          </cell>
          <cell r="L188" t="str">
            <v>基础技术服务费</v>
          </cell>
          <cell r="N188">
            <v>1</v>
          </cell>
          <cell r="O188">
            <v>32</v>
          </cell>
        </row>
        <row r="189">
          <cell r="A189" t="str">
            <v>260921-676079869501318</v>
          </cell>
          <cell r="H189">
            <v>46286.54924768519</v>
          </cell>
          <cell r="I189">
            <v>202609</v>
          </cell>
          <cell r="K189">
            <v>3499</v>
          </cell>
          <cell r="L189" t="str">
            <v>订单收入</v>
          </cell>
          <cell r="N189">
            <v>1</v>
          </cell>
          <cell r="O189">
            <v>32</v>
          </cell>
        </row>
        <row r="190">
          <cell r="A190" t="str">
            <v>260921-676079869501318</v>
          </cell>
          <cell r="H190">
            <v>46286.54924768519</v>
          </cell>
          <cell r="I190">
            <v>202609</v>
          </cell>
          <cell r="K190">
            <v>-3499</v>
          </cell>
          <cell r="L190" t="str">
            <v>交易退款</v>
          </cell>
          <cell r="N190">
            <v>1</v>
          </cell>
          <cell r="O190">
            <v>32</v>
          </cell>
        </row>
        <row r="191">
          <cell r="A191" t="str">
            <v>260921-676079869501318</v>
          </cell>
          <cell r="H191">
            <v>46286.546319444446</v>
          </cell>
          <cell r="I191">
            <v>202609</v>
          </cell>
          <cell r="K191">
            <v>-20.99</v>
          </cell>
          <cell r="L191" t="str">
            <v>基础技术服务费</v>
          </cell>
          <cell r="N191">
            <v>1</v>
          </cell>
          <cell r="O191">
            <v>32</v>
          </cell>
        </row>
        <row r="192">
          <cell r="A192" t="str">
            <v>260921-333541557881233</v>
          </cell>
          <cell r="H192">
            <v>46286.536041666666</v>
          </cell>
          <cell r="I192">
            <v>202609</v>
          </cell>
          <cell r="K192">
            <v>48.99</v>
          </cell>
          <cell r="L192" t="str">
            <v>百亿补贴技术服务费</v>
          </cell>
          <cell r="N192">
            <v>1</v>
          </cell>
          <cell r="O192">
            <v>32</v>
          </cell>
        </row>
        <row r="193">
          <cell r="A193" t="str">
            <v>260921-333541557881233</v>
          </cell>
          <cell r="H193">
            <v>46286.53533564815</v>
          </cell>
          <cell r="I193">
            <v>202609</v>
          </cell>
          <cell r="K193">
            <v>-48.99</v>
          </cell>
          <cell r="L193" t="str">
            <v>百亿补贴技术服务费</v>
          </cell>
          <cell r="N193">
            <v>1</v>
          </cell>
          <cell r="O193">
            <v>33</v>
          </cell>
        </row>
        <row r="194">
          <cell r="A194" t="str">
            <v>260921-333541557881233</v>
          </cell>
          <cell r="H194">
            <v>46286.53532407407</v>
          </cell>
          <cell r="I194">
            <v>202609</v>
          </cell>
          <cell r="K194">
            <v>-3499</v>
          </cell>
          <cell r="L194" t="str">
            <v>交易退款</v>
          </cell>
          <cell r="N194">
            <v>1</v>
          </cell>
          <cell r="O194">
            <v>33</v>
          </cell>
        </row>
        <row r="195">
          <cell r="A195" t="str">
            <v>260921-333541557881233</v>
          </cell>
          <cell r="H195">
            <v>46286.53532407407</v>
          </cell>
          <cell r="I195">
            <v>202609</v>
          </cell>
          <cell r="K195">
            <v>20.99</v>
          </cell>
          <cell r="L195" t="str">
            <v>基础技术服务费</v>
          </cell>
          <cell r="N195">
            <v>1</v>
          </cell>
          <cell r="O195">
            <v>33</v>
          </cell>
        </row>
        <row r="196">
          <cell r="A196" t="str">
            <v>260921-333541557881233</v>
          </cell>
          <cell r="H196">
            <v>46286.53532407407</v>
          </cell>
          <cell r="I196">
            <v>202609</v>
          </cell>
          <cell r="K196">
            <v>3499</v>
          </cell>
          <cell r="L196" t="str">
            <v>订单收入</v>
          </cell>
          <cell r="N196">
            <v>1</v>
          </cell>
          <cell r="O196">
            <v>33</v>
          </cell>
        </row>
        <row r="197">
          <cell r="A197" t="str">
            <v>260921-333541557881233</v>
          </cell>
          <cell r="H197">
            <v>46286.53408564815</v>
          </cell>
          <cell r="I197">
            <v>202609</v>
          </cell>
          <cell r="K197">
            <v>-20.99</v>
          </cell>
          <cell r="L197" t="str">
            <v>基础技术服务费</v>
          </cell>
          <cell r="N197">
            <v>1</v>
          </cell>
          <cell r="O197">
            <v>33</v>
          </cell>
        </row>
        <row r="198">
          <cell r="A198" t="str">
            <v>260921-445015703913880</v>
          </cell>
          <cell r="H198">
            <v>46286.50336805556</v>
          </cell>
          <cell r="I198">
            <v>202609</v>
          </cell>
          <cell r="K198">
            <v>-0.26</v>
          </cell>
          <cell r="L198" t="str">
            <v>消费者体验提升计划</v>
          </cell>
          <cell r="N198">
            <v>1</v>
          </cell>
          <cell r="O198">
            <v>33</v>
          </cell>
        </row>
        <row r="199">
          <cell r="A199" t="str">
            <v>260910-161763847790976</v>
          </cell>
          <cell r="H199">
            <v>46286.42775462963</v>
          </cell>
          <cell r="I199">
            <v>202609</v>
          </cell>
          <cell r="K199">
            <v>-53.19</v>
          </cell>
          <cell r="L199" t="str">
            <v>百亿补贴技术服务费</v>
          </cell>
          <cell r="N199">
            <v>1</v>
          </cell>
          <cell r="O199">
            <v>34</v>
          </cell>
        </row>
        <row r="200">
          <cell r="A200" t="str">
            <v>260910-161763847790976</v>
          </cell>
          <cell r="H200">
            <v>46286.42774305555</v>
          </cell>
          <cell r="I200">
            <v>202609</v>
          </cell>
          <cell r="K200">
            <v>-22.79</v>
          </cell>
          <cell r="L200" t="str">
            <v>基础技术服务费</v>
          </cell>
          <cell r="N200">
            <v>1</v>
          </cell>
          <cell r="O200">
            <v>34</v>
          </cell>
        </row>
        <row r="201">
          <cell r="A201" t="str">
            <v>260910-161763847790976</v>
          </cell>
          <cell r="H201">
            <v>46286.42774305555</v>
          </cell>
          <cell r="I201">
            <v>202609</v>
          </cell>
          <cell r="K201">
            <v>3799</v>
          </cell>
          <cell r="L201" t="str">
            <v>订单收入</v>
          </cell>
          <cell r="N201">
            <v>1</v>
          </cell>
          <cell r="O201">
            <v>34</v>
          </cell>
        </row>
        <row r="202">
          <cell r="A202" t="str">
            <v>260921-569303385613915</v>
          </cell>
          <cell r="H202">
            <v>46286.10120370371</v>
          </cell>
          <cell r="I202">
            <v>202609</v>
          </cell>
          <cell r="K202">
            <v>50.25</v>
          </cell>
          <cell r="L202" t="str">
            <v>百亿补贴技术服务费</v>
          </cell>
          <cell r="N202">
            <v>1</v>
          </cell>
          <cell r="O202">
            <v>34</v>
          </cell>
        </row>
        <row r="203">
          <cell r="A203" t="str">
            <v>260921-569303385613915</v>
          </cell>
          <cell r="H203">
            <v>46286.100497685184</v>
          </cell>
          <cell r="I203">
            <v>202609</v>
          </cell>
          <cell r="K203">
            <v>-50.25</v>
          </cell>
          <cell r="L203" t="str">
            <v>百亿补贴技术服务费</v>
          </cell>
          <cell r="N203">
            <v>1</v>
          </cell>
          <cell r="O203">
            <v>35</v>
          </cell>
        </row>
        <row r="204">
          <cell r="A204" t="str">
            <v>260921-569303385613915</v>
          </cell>
          <cell r="H204">
            <v>46286.100486111114</v>
          </cell>
          <cell r="I204">
            <v>202609</v>
          </cell>
          <cell r="K204">
            <v>21.53</v>
          </cell>
          <cell r="L204" t="str">
            <v>基础技术服务费</v>
          </cell>
          <cell r="N204">
            <v>1</v>
          </cell>
          <cell r="O204">
            <v>35</v>
          </cell>
        </row>
        <row r="205">
          <cell r="A205" t="str">
            <v>260921-569303385613915</v>
          </cell>
          <cell r="H205">
            <v>46286.100486111114</v>
          </cell>
          <cell r="I205">
            <v>202609</v>
          </cell>
          <cell r="K205">
            <v>-3589</v>
          </cell>
          <cell r="L205" t="str">
            <v>交易退款</v>
          </cell>
          <cell r="N205">
            <v>1</v>
          </cell>
          <cell r="O205">
            <v>35</v>
          </cell>
        </row>
        <row r="206">
          <cell r="A206" t="str">
            <v>260921-569303385613915</v>
          </cell>
          <cell r="H206">
            <v>46286.100486111114</v>
          </cell>
          <cell r="I206">
            <v>202609</v>
          </cell>
          <cell r="K206">
            <v>3589</v>
          </cell>
          <cell r="L206" t="str">
            <v>订单收入</v>
          </cell>
          <cell r="N206">
            <v>1</v>
          </cell>
          <cell r="O206">
            <v>35</v>
          </cell>
        </row>
        <row r="207">
          <cell r="A207" t="str">
            <v>260921-569303385613915</v>
          </cell>
          <cell r="H207">
            <v>46286.098912037036</v>
          </cell>
          <cell r="I207">
            <v>202609</v>
          </cell>
          <cell r="K207">
            <v>-21.53</v>
          </cell>
          <cell r="L207" t="str">
            <v>基础技术服务费</v>
          </cell>
          <cell r="N207">
            <v>1</v>
          </cell>
          <cell r="O207">
            <v>35</v>
          </cell>
        </row>
        <row r="208">
          <cell r="A208" t="str">
            <v>260920-453640272162767</v>
          </cell>
          <cell r="H208">
            <v>46285.966215277775</v>
          </cell>
          <cell r="I208">
            <v>202609</v>
          </cell>
          <cell r="K208">
            <v>48.99</v>
          </cell>
          <cell r="L208" t="str">
            <v>百亿补贴技术服务费</v>
          </cell>
          <cell r="N208">
            <v>1</v>
          </cell>
          <cell r="O208">
            <v>35</v>
          </cell>
        </row>
        <row r="209">
          <cell r="A209" t="str">
            <v>260920-453640272162767</v>
          </cell>
          <cell r="H209">
            <v>46285.96550925926</v>
          </cell>
          <cell r="I209">
            <v>202609</v>
          </cell>
          <cell r="K209">
            <v>-48.99</v>
          </cell>
          <cell r="L209" t="str">
            <v>百亿补贴技术服务费</v>
          </cell>
          <cell r="N209">
            <v>1</v>
          </cell>
          <cell r="O209">
            <v>36</v>
          </cell>
        </row>
        <row r="210">
          <cell r="A210" t="str">
            <v>260920-453640272162767</v>
          </cell>
          <cell r="H210">
            <v>46285.96550925926</v>
          </cell>
          <cell r="I210">
            <v>202609</v>
          </cell>
          <cell r="K210">
            <v>3499</v>
          </cell>
          <cell r="L210" t="str">
            <v>订单收入</v>
          </cell>
          <cell r="N210">
            <v>1</v>
          </cell>
          <cell r="O210">
            <v>36</v>
          </cell>
        </row>
        <row r="211">
          <cell r="A211" t="str">
            <v>260920-453640272162767</v>
          </cell>
          <cell r="H211">
            <v>46285.96550925926</v>
          </cell>
          <cell r="I211">
            <v>202609</v>
          </cell>
          <cell r="K211">
            <v>20.99</v>
          </cell>
          <cell r="L211" t="str">
            <v>基础技术服务费</v>
          </cell>
          <cell r="N211">
            <v>1</v>
          </cell>
          <cell r="O211">
            <v>36</v>
          </cell>
        </row>
        <row r="212">
          <cell r="A212" t="str">
            <v>260920-453640272162767</v>
          </cell>
          <cell r="H212">
            <v>46285.96550925926</v>
          </cell>
          <cell r="I212">
            <v>202609</v>
          </cell>
          <cell r="K212">
            <v>-3499</v>
          </cell>
          <cell r="L212" t="str">
            <v>交易退款</v>
          </cell>
          <cell r="N212">
            <v>1</v>
          </cell>
          <cell r="O212">
            <v>36</v>
          </cell>
        </row>
        <row r="213">
          <cell r="A213" t="str">
            <v>260920-453640272162767</v>
          </cell>
          <cell r="H213">
            <v>46285.962430555555</v>
          </cell>
          <cell r="I213">
            <v>202609</v>
          </cell>
          <cell r="K213">
            <v>-20.99</v>
          </cell>
          <cell r="L213" t="str">
            <v>基础技术服务费</v>
          </cell>
          <cell r="N213">
            <v>1</v>
          </cell>
          <cell r="O213">
            <v>36</v>
          </cell>
        </row>
        <row r="214">
          <cell r="A214" t="str">
            <v>260918-097570077082028</v>
          </cell>
          <cell r="H214">
            <v>46285.691666666666</v>
          </cell>
          <cell r="I214">
            <v>202609</v>
          </cell>
          <cell r="K214">
            <v>-50.25</v>
          </cell>
          <cell r="L214" t="str">
            <v>百亿补贴技术服务费</v>
          </cell>
          <cell r="N214">
            <v>1</v>
          </cell>
          <cell r="O214">
            <v>37</v>
          </cell>
        </row>
        <row r="215">
          <cell r="A215" t="str">
            <v>260918-097570077082028</v>
          </cell>
          <cell r="H215">
            <v>46285.691655092596</v>
          </cell>
          <cell r="I215">
            <v>202609</v>
          </cell>
          <cell r="K215">
            <v>-21.53</v>
          </cell>
          <cell r="L215" t="str">
            <v>基础技术服务费</v>
          </cell>
          <cell r="N215">
            <v>1</v>
          </cell>
          <cell r="O215">
            <v>37</v>
          </cell>
        </row>
        <row r="216">
          <cell r="A216" t="str">
            <v>260918-097570077082028</v>
          </cell>
          <cell r="H216">
            <v>46285.691655092596</v>
          </cell>
          <cell r="I216">
            <v>202609</v>
          </cell>
          <cell r="K216">
            <v>3589</v>
          </cell>
          <cell r="L216" t="str">
            <v>订单收入</v>
          </cell>
          <cell r="N216">
            <v>1</v>
          </cell>
          <cell r="O216">
            <v>37</v>
          </cell>
        </row>
        <row r="217">
          <cell r="A217" t="str">
            <v>260910-136608488990712</v>
          </cell>
          <cell r="H217">
            <v>46285.4659375</v>
          </cell>
          <cell r="I217">
            <v>202609</v>
          </cell>
          <cell r="K217">
            <v>3599</v>
          </cell>
          <cell r="L217" t="str">
            <v>订单收入</v>
          </cell>
          <cell r="N217">
            <v>1</v>
          </cell>
          <cell r="O217">
            <v>37</v>
          </cell>
        </row>
        <row r="218">
          <cell r="A218" t="str">
            <v>260910-136608488990712</v>
          </cell>
          <cell r="H218">
            <v>46285.4659375</v>
          </cell>
          <cell r="I218">
            <v>202609</v>
          </cell>
          <cell r="K218">
            <v>-21.59</v>
          </cell>
          <cell r="L218" t="str">
            <v>基础技术服务费</v>
          </cell>
          <cell r="N218">
            <v>1</v>
          </cell>
          <cell r="O218">
            <v>37</v>
          </cell>
        </row>
        <row r="219">
          <cell r="A219" t="str">
            <v>260910-136608488990712</v>
          </cell>
          <cell r="H219">
            <v>46285.4659375</v>
          </cell>
          <cell r="I219">
            <v>202609</v>
          </cell>
          <cell r="K219">
            <v>-50.39</v>
          </cell>
          <cell r="L219" t="str">
            <v>百亿补贴技术服务费</v>
          </cell>
          <cell r="N219">
            <v>1</v>
          </cell>
          <cell r="O219">
            <v>38</v>
          </cell>
        </row>
        <row r="220">
          <cell r="A220" t="str">
            <v>260918-097570077082028</v>
          </cell>
          <cell r="H220">
            <v>46284.44704861111</v>
          </cell>
          <cell r="I220">
            <v>202609</v>
          </cell>
          <cell r="K220">
            <v>-0.24</v>
          </cell>
          <cell r="L220" t="str">
            <v>消费者体验提升计划</v>
          </cell>
          <cell r="N220">
            <v>1</v>
          </cell>
          <cell r="O220">
            <v>38</v>
          </cell>
        </row>
        <row r="221">
          <cell r="A221" t="str">
            <v>260917-256985076122028</v>
          </cell>
          <cell r="H221">
            <v>46282.99039351852</v>
          </cell>
          <cell r="I221">
            <v>202609</v>
          </cell>
          <cell r="K221">
            <v>50.25</v>
          </cell>
          <cell r="L221" t="str">
            <v>百亿补贴技术服务费</v>
          </cell>
          <cell r="N221">
            <v>1</v>
          </cell>
          <cell r="O221">
            <v>38</v>
          </cell>
        </row>
        <row r="222">
          <cell r="A222" t="str">
            <v>260917-256985076122028</v>
          </cell>
          <cell r="H222">
            <v>46282.9896875</v>
          </cell>
          <cell r="I222">
            <v>202609</v>
          </cell>
          <cell r="K222">
            <v>-50.25</v>
          </cell>
          <cell r="L222" t="str">
            <v>百亿补贴技术服务费</v>
          </cell>
          <cell r="N222">
            <v>1</v>
          </cell>
          <cell r="O222">
            <v>39</v>
          </cell>
        </row>
        <row r="223">
          <cell r="A223" t="str">
            <v>260917-256985076122028</v>
          </cell>
          <cell r="H223">
            <v>46282.98967592593</v>
          </cell>
          <cell r="I223">
            <v>202609</v>
          </cell>
          <cell r="K223">
            <v>-3589</v>
          </cell>
          <cell r="L223" t="str">
            <v>交易退款</v>
          </cell>
          <cell r="N223">
            <v>1</v>
          </cell>
          <cell r="O223">
            <v>39</v>
          </cell>
        </row>
        <row r="224">
          <cell r="A224" t="str">
            <v>260917-256985076122028</v>
          </cell>
          <cell r="H224">
            <v>46282.98967592593</v>
          </cell>
          <cell r="I224">
            <v>202609</v>
          </cell>
          <cell r="K224">
            <v>21.53</v>
          </cell>
          <cell r="L224" t="str">
            <v>基础技术服务费</v>
          </cell>
          <cell r="N224">
            <v>1</v>
          </cell>
          <cell r="O224">
            <v>39</v>
          </cell>
        </row>
        <row r="225">
          <cell r="A225" t="str">
            <v>260917-256985076122028</v>
          </cell>
          <cell r="H225">
            <v>46282.98967592593</v>
          </cell>
          <cell r="I225">
            <v>202609</v>
          </cell>
          <cell r="K225">
            <v>3589</v>
          </cell>
          <cell r="L225" t="str">
            <v>订单收入</v>
          </cell>
          <cell r="N225">
            <v>1</v>
          </cell>
          <cell r="O225">
            <v>39</v>
          </cell>
        </row>
        <row r="226">
          <cell r="A226" t="str">
            <v>260917-256985076122028</v>
          </cell>
          <cell r="H226">
            <v>46282.987708333334</v>
          </cell>
          <cell r="I226">
            <v>202609</v>
          </cell>
          <cell r="K226">
            <v>-21.53</v>
          </cell>
          <cell r="L226" t="str">
            <v>基础技术服务费</v>
          </cell>
          <cell r="N226">
            <v>1</v>
          </cell>
          <cell r="O226">
            <v>39</v>
          </cell>
        </row>
        <row r="227">
          <cell r="A227" t="str">
            <v>260917-581215219343116</v>
          </cell>
          <cell r="H227">
            <v>46282.473541666666</v>
          </cell>
          <cell r="I227">
            <v>202609</v>
          </cell>
          <cell r="K227">
            <v>50.39</v>
          </cell>
          <cell r="L227" t="str">
            <v>百亿补贴技术服务费</v>
          </cell>
          <cell r="N227">
            <v>1</v>
          </cell>
          <cell r="O227">
            <v>39</v>
          </cell>
        </row>
        <row r="228">
          <cell r="A228" t="str">
            <v>260917-581215219343116</v>
          </cell>
          <cell r="H228">
            <v>46282.47282407407</v>
          </cell>
          <cell r="I228">
            <v>202609</v>
          </cell>
          <cell r="K228">
            <v>-50.39</v>
          </cell>
          <cell r="L228" t="str">
            <v>百亿补贴技术服务费</v>
          </cell>
          <cell r="N228">
            <v>1</v>
          </cell>
          <cell r="O228">
            <v>40</v>
          </cell>
        </row>
        <row r="229">
          <cell r="A229" t="str">
            <v>260917-581215219343116</v>
          </cell>
          <cell r="H229">
            <v>46282.47282407407</v>
          </cell>
          <cell r="I229">
            <v>202609</v>
          </cell>
          <cell r="K229">
            <v>21.59</v>
          </cell>
          <cell r="L229" t="str">
            <v>基础技术服务费</v>
          </cell>
          <cell r="N229">
            <v>1</v>
          </cell>
          <cell r="O229">
            <v>40</v>
          </cell>
        </row>
        <row r="230">
          <cell r="A230" t="str">
            <v>260917-581215219343116</v>
          </cell>
          <cell r="H230">
            <v>46282.47282407407</v>
          </cell>
          <cell r="I230">
            <v>202609</v>
          </cell>
          <cell r="K230">
            <v>3599</v>
          </cell>
          <cell r="L230" t="str">
            <v>订单收入</v>
          </cell>
          <cell r="N230">
            <v>1</v>
          </cell>
          <cell r="O230">
            <v>40</v>
          </cell>
        </row>
        <row r="231">
          <cell r="A231" t="str">
            <v>260917-581215219343116</v>
          </cell>
          <cell r="H231">
            <v>46282.47282407407</v>
          </cell>
          <cell r="I231">
            <v>202609</v>
          </cell>
          <cell r="K231">
            <v>-3599</v>
          </cell>
          <cell r="L231" t="str">
            <v>交易退款</v>
          </cell>
          <cell r="N231">
            <v>1</v>
          </cell>
          <cell r="O231">
            <v>40</v>
          </cell>
        </row>
        <row r="232">
          <cell r="A232" t="str">
            <v>260917-581215219343116</v>
          </cell>
          <cell r="H232">
            <v>46282.4696412037</v>
          </cell>
          <cell r="I232">
            <v>202609</v>
          </cell>
          <cell r="K232">
            <v>-21.59</v>
          </cell>
          <cell r="L232" t="str">
            <v>基础技术服务费</v>
          </cell>
          <cell r="N232">
            <v>1</v>
          </cell>
          <cell r="O232">
            <v>40</v>
          </cell>
        </row>
        <row r="233">
          <cell r="A233" t="str">
            <v>260906-239075335712309</v>
          </cell>
          <cell r="H233">
            <v>46281.58045138889</v>
          </cell>
          <cell r="I233">
            <v>202609</v>
          </cell>
          <cell r="K233">
            <v>-50.39</v>
          </cell>
          <cell r="L233" t="str">
            <v>百亿补贴技术服务费</v>
          </cell>
          <cell r="N233">
            <v>1</v>
          </cell>
          <cell r="O233">
            <v>41</v>
          </cell>
        </row>
        <row r="234">
          <cell r="A234" t="str">
            <v>260906-239075335712309</v>
          </cell>
          <cell r="H234">
            <v>46281.58043981482</v>
          </cell>
          <cell r="I234">
            <v>202609</v>
          </cell>
          <cell r="K234">
            <v>-21.59</v>
          </cell>
          <cell r="L234" t="str">
            <v>基础技术服务费</v>
          </cell>
          <cell r="N234">
            <v>1</v>
          </cell>
          <cell r="O234">
            <v>41</v>
          </cell>
        </row>
        <row r="235">
          <cell r="A235" t="str">
            <v>260906-239075335712309</v>
          </cell>
          <cell r="H235">
            <v>46281.58043981482</v>
          </cell>
          <cell r="I235">
            <v>202609</v>
          </cell>
          <cell r="K235">
            <v>3599</v>
          </cell>
          <cell r="L235" t="str">
            <v>订单收入</v>
          </cell>
          <cell r="N235">
            <v>1</v>
          </cell>
          <cell r="O235">
            <v>41</v>
          </cell>
        </row>
        <row r="236">
          <cell r="A236" t="str">
            <v>260915-330941141331317</v>
          </cell>
          <cell r="H236">
            <v>46280.81730324074</v>
          </cell>
          <cell r="I236">
            <v>202609</v>
          </cell>
          <cell r="K236">
            <v>50.39</v>
          </cell>
          <cell r="L236" t="str">
            <v>百亿补贴技术服务费</v>
          </cell>
          <cell r="N236">
            <v>1</v>
          </cell>
          <cell r="O236">
            <v>41</v>
          </cell>
        </row>
        <row r="237">
          <cell r="A237" t="str">
            <v>260915-330941141331317</v>
          </cell>
          <cell r="H237">
            <v>46280.81659722222</v>
          </cell>
          <cell r="I237">
            <v>202609</v>
          </cell>
          <cell r="K237">
            <v>-50.39</v>
          </cell>
          <cell r="L237" t="str">
            <v>百亿补贴技术服务费</v>
          </cell>
          <cell r="N237">
            <v>1</v>
          </cell>
          <cell r="O237">
            <v>42</v>
          </cell>
        </row>
        <row r="238">
          <cell r="A238" t="str">
            <v>260915-330941141331317</v>
          </cell>
          <cell r="H238">
            <v>46280.81659722222</v>
          </cell>
          <cell r="I238">
            <v>202609</v>
          </cell>
          <cell r="K238">
            <v>3599</v>
          </cell>
          <cell r="L238" t="str">
            <v>订单收入</v>
          </cell>
          <cell r="N238">
            <v>1</v>
          </cell>
          <cell r="O238">
            <v>42</v>
          </cell>
        </row>
        <row r="239">
          <cell r="A239" t="str">
            <v>260915-330941141331317</v>
          </cell>
          <cell r="H239">
            <v>46280.81659722222</v>
          </cell>
          <cell r="I239">
            <v>202609</v>
          </cell>
          <cell r="K239">
            <v>-3599</v>
          </cell>
          <cell r="L239" t="str">
            <v>交易退款</v>
          </cell>
          <cell r="N239">
            <v>1</v>
          </cell>
          <cell r="O239">
            <v>42</v>
          </cell>
        </row>
        <row r="240">
          <cell r="A240" t="str">
            <v>260915-330941141331317</v>
          </cell>
          <cell r="H240">
            <v>46280.81659722222</v>
          </cell>
          <cell r="I240">
            <v>202609</v>
          </cell>
          <cell r="K240">
            <v>21.59</v>
          </cell>
          <cell r="L240" t="str">
            <v>基础技术服务费</v>
          </cell>
          <cell r="N240">
            <v>1</v>
          </cell>
          <cell r="O240">
            <v>42</v>
          </cell>
        </row>
        <row r="241">
          <cell r="A241" t="str">
            <v>260915-330941141331317</v>
          </cell>
          <cell r="H241">
            <v>46280.814351851855</v>
          </cell>
          <cell r="I241">
            <v>202609</v>
          </cell>
          <cell r="K241">
            <v>-21.59</v>
          </cell>
          <cell r="L241" t="str">
            <v>基础技术服务费</v>
          </cell>
          <cell r="N241">
            <v>1</v>
          </cell>
          <cell r="O241">
            <v>42</v>
          </cell>
        </row>
        <row r="242">
          <cell r="H242">
            <v>46280.00565972222</v>
          </cell>
          <cell r="I242">
            <v>202609</v>
          </cell>
          <cell r="K242">
            <v>690</v>
          </cell>
          <cell r="L242" t="str">
            <v>补贴汇入</v>
          </cell>
          <cell r="M242" t="str">
            <v>BO260825067002610</v>
          </cell>
          <cell r="N242">
            <v>2</v>
          </cell>
          <cell r="O242">
            <v>42</v>
          </cell>
        </row>
        <row r="243">
          <cell r="H243">
            <v>46280.005520833336</v>
          </cell>
          <cell r="I243">
            <v>202609</v>
          </cell>
          <cell r="K243">
            <v>310</v>
          </cell>
          <cell r="L243" t="str">
            <v>补贴汇入</v>
          </cell>
          <cell r="M243" t="str">
            <v>BO260904188542622</v>
          </cell>
          <cell r="N243">
            <v>3</v>
          </cell>
          <cell r="O243">
            <v>42</v>
          </cell>
        </row>
        <row r="244">
          <cell r="H244">
            <v>46280.005474537036</v>
          </cell>
          <cell r="I244">
            <v>202609</v>
          </cell>
          <cell r="K244">
            <v>600</v>
          </cell>
          <cell r="L244" t="str">
            <v>补贴汇入</v>
          </cell>
          <cell r="M244" t="str">
            <v>BO260828184556094</v>
          </cell>
          <cell r="N244">
            <v>4</v>
          </cell>
          <cell r="O244">
            <v>42</v>
          </cell>
        </row>
        <row r="245">
          <cell r="H245">
            <v>46280.00546296296</v>
          </cell>
          <cell r="I245">
            <v>202609</v>
          </cell>
          <cell r="K245">
            <v>660</v>
          </cell>
          <cell r="L245" t="str">
            <v>补贴汇入</v>
          </cell>
          <cell r="M245" t="str">
            <v>BO260904071810200</v>
          </cell>
          <cell r="N245">
            <v>5</v>
          </cell>
          <cell r="O245">
            <v>42</v>
          </cell>
        </row>
        <row r="246">
          <cell r="H246">
            <v>46280.00491898148</v>
          </cell>
          <cell r="I246">
            <v>202609</v>
          </cell>
          <cell r="K246">
            <v>1710</v>
          </cell>
          <cell r="L246" t="str">
            <v>补贴汇入</v>
          </cell>
          <cell r="M246" t="str">
            <v>BO260828184181181</v>
          </cell>
          <cell r="N246">
            <v>6</v>
          </cell>
          <cell r="O246">
            <v>42</v>
          </cell>
        </row>
        <row r="247">
          <cell r="A247" t="str">
            <v>260914-204398979441383</v>
          </cell>
          <cell r="H247">
            <v>46279.37978009259</v>
          </cell>
          <cell r="I247">
            <v>202609</v>
          </cell>
          <cell r="K247">
            <v>50.39</v>
          </cell>
          <cell r="L247" t="str">
            <v>百亿补贴技术服务费</v>
          </cell>
          <cell r="N247">
            <v>6</v>
          </cell>
          <cell r="O247">
            <v>42</v>
          </cell>
        </row>
        <row r="248">
          <cell r="A248" t="str">
            <v>260914-204398979441383</v>
          </cell>
          <cell r="H248">
            <v>46279.3790625</v>
          </cell>
          <cell r="I248">
            <v>202609</v>
          </cell>
          <cell r="K248">
            <v>3599</v>
          </cell>
          <cell r="L248" t="str">
            <v>订单收入</v>
          </cell>
          <cell r="N248">
            <v>6</v>
          </cell>
          <cell r="O248">
            <v>42</v>
          </cell>
        </row>
        <row r="249">
          <cell r="A249" t="str">
            <v>260914-204398979441383</v>
          </cell>
          <cell r="H249">
            <v>46279.3790625</v>
          </cell>
          <cell r="I249">
            <v>202609</v>
          </cell>
          <cell r="K249">
            <v>-50.39</v>
          </cell>
          <cell r="L249" t="str">
            <v>百亿补贴技术服务费</v>
          </cell>
          <cell r="N249">
            <v>6</v>
          </cell>
          <cell r="O249">
            <v>43</v>
          </cell>
        </row>
        <row r="250">
          <cell r="A250" t="str">
            <v>260914-204398979441383</v>
          </cell>
          <cell r="H250">
            <v>46279.3790625</v>
          </cell>
          <cell r="I250">
            <v>202609</v>
          </cell>
          <cell r="K250">
            <v>-3599</v>
          </cell>
          <cell r="L250" t="str">
            <v>交易退款</v>
          </cell>
          <cell r="N250">
            <v>6</v>
          </cell>
          <cell r="O250">
            <v>43</v>
          </cell>
        </row>
        <row r="251">
          <cell r="A251" t="str">
            <v>260914-204398979441383</v>
          </cell>
          <cell r="H251">
            <v>46279.3790625</v>
          </cell>
          <cell r="I251">
            <v>202609</v>
          </cell>
          <cell r="K251">
            <v>21.59</v>
          </cell>
          <cell r="L251" t="str">
            <v>基础技术服务费</v>
          </cell>
          <cell r="N251">
            <v>6</v>
          </cell>
          <cell r="O251">
            <v>43</v>
          </cell>
        </row>
        <row r="252">
          <cell r="A252" t="str">
            <v>260914-204398979441383</v>
          </cell>
          <cell r="H252">
            <v>46279.37516203704</v>
          </cell>
          <cell r="I252">
            <v>202609</v>
          </cell>
          <cell r="K252">
            <v>-21.59</v>
          </cell>
          <cell r="L252" t="str">
            <v>基础技术服务费</v>
          </cell>
          <cell r="N252">
            <v>6</v>
          </cell>
          <cell r="O252">
            <v>43</v>
          </cell>
        </row>
        <row r="253">
          <cell r="A253" t="str">
            <v>260902-023834170953239</v>
          </cell>
          <cell r="H253">
            <v>46278.44509259259</v>
          </cell>
          <cell r="I253">
            <v>202609</v>
          </cell>
          <cell r="K253">
            <v>-46.05</v>
          </cell>
          <cell r="L253" t="str">
            <v>百亿补贴技术服务费</v>
          </cell>
          <cell r="N253">
            <v>6</v>
          </cell>
          <cell r="O253">
            <v>44</v>
          </cell>
        </row>
        <row r="254">
          <cell r="A254" t="str">
            <v>260902-023834170953239</v>
          </cell>
          <cell r="H254">
            <v>46278.445081018515</v>
          </cell>
          <cell r="I254">
            <v>202609</v>
          </cell>
          <cell r="K254">
            <v>-19.73</v>
          </cell>
          <cell r="L254" t="str">
            <v>基础技术服务费</v>
          </cell>
          <cell r="N254">
            <v>6</v>
          </cell>
          <cell r="O254">
            <v>44</v>
          </cell>
        </row>
        <row r="255">
          <cell r="A255" t="str">
            <v>260902-023834170953239</v>
          </cell>
          <cell r="H255">
            <v>46278.445081018515</v>
          </cell>
          <cell r="I255">
            <v>202609</v>
          </cell>
          <cell r="K255">
            <v>2989</v>
          </cell>
          <cell r="L255" t="str">
            <v>订单收入</v>
          </cell>
          <cell r="N255">
            <v>6</v>
          </cell>
          <cell r="O255">
            <v>44</v>
          </cell>
        </row>
        <row r="256">
          <cell r="A256" t="str">
            <v>260902-023834170953239</v>
          </cell>
          <cell r="H256">
            <v>46278.445081018515</v>
          </cell>
          <cell r="I256">
            <v>202609</v>
          </cell>
          <cell r="K256">
            <v>300</v>
          </cell>
          <cell r="L256" t="str">
            <v>优惠券结算</v>
          </cell>
          <cell r="N256">
            <v>6</v>
          </cell>
          <cell r="O256">
            <v>44</v>
          </cell>
        </row>
        <row r="257">
          <cell r="A257" t="str">
            <v>260912-197436382781004</v>
          </cell>
          <cell r="H257">
            <v>46278.42428240741</v>
          </cell>
          <cell r="I257">
            <v>202609</v>
          </cell>
          <cell r="K257">
            <v>-0.17</v>
          </cell>
          <cell r="L257" t="str">
            <v>消费者体验提升计划</v>
          </cell>
          <cell r="N257">
            <v>6</v>
          </cell>
          <cell r="O257">
            <v>44</v>
          </cell>
        </row>
        <row r="258">
          <cell r="A258" t="str">
            <v>260819-249015866943849</v>
          </cell>
          <cell r="H258">
            <v>46277.81280092592</v>
          </cell>
          <cell r="I258">
            <v>202609</v>
          </cell>
          <cell r="K258">
            <v>-3</v>
          </cell>
          <cell r="L258" t="str">
            <v>售后补偿</v>
          </cell>
          <cell r="N258">
            <v>6</v>
          </cell>
          <cell r="O258">
            <v>44</v>
          </cell>
        </row>
        <row r="259">
          <cell r="A259" t="str">
            <v>260902-301318859091138</v>
          </cell>
          <cell r="H259">
            <v>46277.795752314814</v>
          </cell>
          <cell r="I259">
            <v>202609</v>
          </cell>
          <cell r="K259">
            <v>-46.05</v>
          </cell>
          <cell r="L259" t="str">
            <v>百亿补贴技术服务费</v>
          </cell>
          <cell r="N259">
            <v>6</v>
          </cell>
          <cell r="O259">
            <v>45</v>
          </cell>
        </row>
        <row r="260">
          <cell r="A260" t="str">
            <v>260902-301318859091138</v>
          </cell>
          <cell r="H260">
            <v>46277.79574074074</v>
          </cell>
          <cell r="I260">
            <v>202609</v>
          </cell>
          <cell r="K260">
            <v>2989</v>
          </cell>
          <cell r="L260" t="str">
            <v>订单收入</v>
          </cell>
          <cell r="N260">
            <v>6</v>
          </cell>
          <cell r="O260">
            <v>45</v>
          </cell>
        </row>
        <row r="261">
          <cell r="A261" t="str">
            <v>260902-301318859091138</v>
          </cell>
          <cell r="H261">
            <v>46277.79574074074</v>
          </cell>
          <cell r="I261">
            <v>202609</v>
          </cell>
          <cell r="K261">
            <v>-19.73</v>
          </cell>
          <cell r="L261" t="str">
            <v>基础技术服务费</v>
          </cell>
          <cell r="N261">
            <v>6</v>
          </cell>
          <cell r="O261">
            <v>45</v>
          </cell>
        </row>
        <row r="262">
          <cell r="A262" t="str">
            <v>260902-301318859091138</v>
          </cell>
          <cell r="H262">
            <v>46277.79574074074</v>
          </cell>
          <cell r="I262">
            <v>202609</v>
          </cell>
          <cell r="K262">
            <v>300</v>
          </cell>
          <cell r="L262" t="str">
            <v>优惠券结算</v>
          </cell>
          <cell r="N262">
            <v>6</v>
          </cell>
          <cell r="O262">
            <v>45</v>
          </cell>
        </row>
        <row r="263">
          <cell r="A263" t="str">
            <v>260902-032600235543041</v>
          </cell>
          <cell r="H263">
            <v>46277.44851851852</v>
          </cell>
          <cell r="I263">
            <v>202609</v>
          </cell>
          <cell r="K263">
            <v>-21.59</v>
          </cell>
          <cell r="L263" t="str">
            <v>基础技术服务费</v>
          </cell>
          <cell r="N263">
            <v>6</v>
          </cell>
          <cell r="O263">
            <v>45</v>
          </cell>
        </row>
        <row r="264">
          <cell r="A264" t="str">
            <v>260902-032600235543041</v>
          </cell>
          <cell r="H264">
            <v>46277.44851851852</v>
          </cell>
          <cell r="I264">
            <v>202609</v>
          </cell>
          <cell r="K264">
            <v>3599</v>
          </cell>
          <cell r="L264" t="str">
            <v>订单收入</v>
          </cell>
          <cell r="N264">
            <v>6</v>
          </cell>
          <cell r="O264">
            <v>45</v>
          </cell>
        </row>
        <row r="265">
          <cell r="A265" t="str">
            <v>260902-032600235543041</v>
          </cell>
          <cell r="H265">
            <v>46277.44851851852</v>
          </cell>
          <cell r="I265">
            <v>202609</v>
          </cell>
          <cell r="K265">
            <v>-50.39</v>
          </cell>
          <cell r="L265" t="str">
            <v>百亿补贴技术服务费</v>
          </cell>
          <cell r="N265">
            <v>6</v>
          </cell>
          <cell r="O265">
            <v>46</v>
          </cell>
        </row>
        <row r="266">
          <cell r="A266" t="str">
            <v>260910-121571950960582</v>
          </cell>
          <cell r="H266">
            <v>46276.75069444445</v>
          </cell>
          <cell r="I266">
            <v>202609</v>
          </cell>
          <cell r="K266">
            <v>-21.59</v>
          </cell>
          <cell r="L266" t="str">
            <v>基础技术服务费</v>
          </cell>
          <cell r="N266">
            <v>6</v>
          </cell>
          <cell r="O266">
            <v>46</v>
          </cell>
        </row>
        <row r="267">
          <cell r="A267" t="str">
            <v>260910-121571950960582</v>
          </cell>
          <cell r="H267">
            <v>46276.75069444445</v>
          </cell>
          <cell r="I267">
            <v>202609</v>
          </cell>
          <cell r="K267">
            <v>3599</v>
          </cell>
          <cell r="L267" t="str">
            <v>订单收入</v>
          </cell>
          <cell r="N267">
            <v>6</v>
          </cell>
          <cell r="O267">
            <v>46</v>
          </cell>
        </row>
        <row r="268">
          <cell r="A268" t="str">
            <v>260910-121571950960582</v>
          </cell>
          <cell r="H268">
            <v>46276.75069444445</v>
          </cell>
          <cell r="I268">
            <v>202609</v>
          </cell>
          <cell r="K268">
            <v>-50.39</v>
          </cell>
          <cell r="L268" t="str">
            <v>百亿补贴技术服务费</v>
          </cell>
          <cell r="N268">
            <v>6</v>
          </cell>
          <cell r="O268">
            <v>47</v>
          </cell>
        </row>
        <row r="269">
          <cell r="A269" t="str">
            <v>260821-292972172870794</v>
          </cell>
          <cell r="H269">
            <v>46276.68471064815</v>
          </cell>
          <cell r="I269">
            <v>202609</v>
          </cell>
          <cell r="K269">
            <v>-44.79</v>
          </cell>
          <cell r="L269" t="str">
            <v>百亿补贴技术服务费</v>
          </cell>
          <cell r="N269">
            <v>6</v>
          </cell>
          <cell r="O269">
            <v>48</v>
          </cell>
        </row>
        <row r="270">
          <cell r="A270" t="str">
            <v>260821-292972172870794</v>
          </cell>
          <cell r="H270">
            <v>46276.684699074074</v>
          </cell>
          <cell r="I270">
            <v>202609</v>
          </cell>
          <cell r="K270">
            <v>-19.19</v>
          </cell>
          <cell r="L270" t="str">
            <v>基础技术服务费</v>
          </cell>
          <cell r="N270">
            <v>6</v>
          </cell>
          <cell r="O270">
            <v>48</v>
          </cell>
        </row>
        <row r="271">
          <cell r="A271" t="str">
            <v>260821-292972172870794</v>
          </cell>
          <cell r="H271">
            <v>46276.684699074074</v>
          </cell>
          <cell r="I271">
            <v>202609</v>
          </cell>
          <cell r="K271">
            <v>3199</v>
          </cell>
          <cell r="L271" t="str">
            <v>订单收入</v>
          </cell>
          <cell r="N271">
            <v>6</v>
          </cell>
          <cell r="O271">
            <v>48</v>
          </cell>
        </row>
        <row r="272">
          <cell r="A272" t="str">
            <v>260906-100977928533874</v>
          </cell>
          <cell r="H272">
            <v>46276.43885416666</v>
          </cell>
          <cell r="I272">
            <v>202609</v>
          </cell>
          <cell r="K272">
            <v>50.39</v>
          </cell>
          <cell r="L272" t="str">
            <v>百亿补贴技术服务费</v>
          </cell>
          <cell r="N272">
            <v>6</v>
          </cell>
          <cell r="O272">
            <v>48</v>
          </cell>
        </row>
        <row r="273">
          <cell r="A273" t="str">
            <v>260906-100977928533874</v>
          </cell>
          <cell r="H273">
            <v>46276.43814814815</v>
          </cell>
          <cell r="I273">
            <v>202609</v>
          </cell>
          <cell r="K273">
            <v>-50.39</v>
          </cell>
          <cell r="L273" t="str">
            <v>百亿补贴技术服务费</v>
          </cell>
          <cell r="N273">
            <v>6</v>
          </cell>
          <cell r="O273">
            <v>49</v>
          </cell>
        </row>
        <row r="274">
          <cell r="A274" t="str">
            <v>260906-100977928533874</v>
          </cell>
          <cell r="H274">
            <v>46276.43813657408</v>
          </cell>
          <cell r="I274">
            <v>202609</v>
          </cell>
          <cell r="K274">
            <v>21.59</v>
          </cell>
          <cell r="L274" t="str">
            <v>基础技术服务费</v>
          </cell>
          <cell r="N274">
            <v>6</v>
          </cell>
          <cell r="O274">
            <v>49</v>
          </cell>
        </row>
        <row r="275">
          <cell r="A275" t="str">
            <v>260906-100977928533874</v>
          </cell>
          <cell r="H275">
            <v>46276.43813657408</v>
          </cell>
          <cell r="I275">
            <v>202609</v>
          </cell>
          <cell r="K275">
            <v>3299</v>
          </cell>
          <cell r="L275" t="str">
            <v>订单收入</v>
          </cell>
          <cell r="N275">
            <v>6</v>
          </cell>
          <cell r="O275">
            <v>49</v>
          </cell>
        </row>
        <row r="276">
          <cell r="A276" t="str">
            <v>260906-100977928533874</v>
          </cell>
          <cell r="H276">
            <v>46276.43813657408</v>
          </cell>
          <cell r="I276">
            <v>202609</v>
          </cell>
          <cell r="K276">
            <v>-300</v>
          </cell>
          <cell r="L276" t="str">
            <v>退款扣优惠券</v>
          </cell>
          <cell r="N276">
            <v>6</v>
          </cell>
          <cell r="O276">
            <v>49</v>
          </cell>
        </row>
        <row r="277">
          <cell r="A277" t="str">
            <v>260906-100977928533874</v>
          </cell>
          <cell r="H277">
            <v>46276.43813657408</v>
          </cell>
          <cell r="I277">
            <v>202609</v>
          </cell>
          <cell r="K277">
            <v>-3299</v>
          </cell>
          <cell r="L277" t="str">
            <v>交易退款</v>
          </cell>
          <cell r="N277">
            <v>6</v>
          </cell>
          <cell r="O277">
            <v>49</v>
          </cell>
        </row>
        <row r="278">
          <cell r="A278" t="str">
            <v>260906-100977928533874</v>
          </cell>
          <cell r="H278">
            <v>46276.43813657408</v>
          </cell>
          <cell r="I278">
            <v>202609</v>
          </cell>
          <cell r="K278">
            <v>300</v>
          </cell>
          <cell r="L278" t="str">
            <v>优惠券结算</v>
          </cell>
          <cell r="N278">
            <v>6</v>
          </cell>
          <cell r="O278">
            <v>49</v>
          </cell>
        </row>
        <row r="279">
          <cell r="A279" t="str">
            <v>260906-100977928533874</v>
          </cell>
          <cell r="H279">
            <v>46276.437106481484</v>
          </cell>
          <cell r="I279">
            <v>202609</v>
          </cell>
          <cell r="K279">
            <v>-21.59</v>
          </cell>
          <cell r="L279" t="str">
            <v>基础技术服务费</v>
          </cell>
          <cell r="N279">
            <v>6</v>
          </cell>
          <cell r="O279">
            <v>49</v>
          </cell>
        </row>
        <row r="280">
          <cell r="A280" t="str">
            <v>260910-161763847790976</v>
          </cell>
          <cell r="H280">
            <v>46276.437060185184</v>
          </cell>
          <cell r="I280">
            <v>202609</v>
          </cell>
          <cell r="K280">
            <v>-0.17</v>
          </cell>
          <cell r="L280" t="str">
            <v>消费者体验提升计划</v>
          </cell>
          <cell r="N280">
            <v>6</v>
          </cell>
          <cell r="O280">
            <v>49</v>
          </cell>
        </row>
        <row r="281">
          <cell r="A281" t="str">
            <v>260910-121571950960582</v>
          </cell>
          <cell r="H281">
            <v>46275.54525462963</v>
          </cell>
          <cell r="I281">
            <v>202609</v>
          </cell>
          <cell r="K281">
            <v>-0.17</v>
          </cell>
          <cell r="L281" t="str">
            <v>消费者体验提升计划</v>
          </cell>
          <cell r="N281">
            <v>6</v>
          </cell>
          <cell r="O281">
            <v>49</v>
          </cell>
        </row>
        <row r="282">
          <cell r="A282" t="str">
            <v>260831-567803921921008</v>
          </cell>
          <cell r="H282">
            <v>46275.47975694444</v>
          </cell>
          <cell r="I282">
            <v>202609</v>
          </cell>
          <cell r="K282">
            <v>-53.19</v>
          </cell>
          <cell r="L282" t="str">
            <v>百亿补贴技术服务费</v>
          </cell>
          <cell r="N282">
            <v>6</v>
          </cell>
          <cell r="O282">
            <v>50</v>
          </cell>
        </row>
        <row r="283">
          <cell r="A283" t="str">
            <v>260831-567803921921008</v>
          </cell>
          <cell r="H283">
            <v>46275.47975694444</v>
          </cell>
          <cell r="I283">
            <v>202609</v>
          </cell>
          <cell r="K283">
            <v>3799</v>
          </cell>
          <cell r="L283" t="str">
            <v>订单收入</v>
          </cell>
          <cell r="N283">
            <v>6</v>
          </cell>
          <cell r="O283">
            <v>50</v>
          </cell>
        </row>
        <row r="284">
          <cell r="A284" t="str">
            <v>260831-567803921921008</v>
          </cell>
          <cell r="H284">
            <v>46275.47975694444</v>
          </cell>
          <cell r="I284">
            <v>202609</v>
          </cell>
          <cell r="K284">
            <v>-22.79</v>
          </cell>
          <cell r="L284" t="str">
            <v>基础技术服务费</v>
          </cell>
          <cell r="N284">
            <v>6</v>
          </cell>
          <cell r="O284">
            <v>50</v>
          </cell>
        </row>
        <row r="285">
          <cell r="A285" t="str">
            <v>260910-136608488990712</v>
          </cell>
          <cell r="H285">
            <v>46275.475324074076</v>
          </cell>
          <cell r="I285">
            <v>202609</v>
          </cell>
          <cell r="K285">
            <v>-0.17</v>
          </cell>
          <cell r="L285" t="str">
            <v>消费者体验提升计划</v>
          </cell>
          <cell r="N285">
            <v>6</v>
          </cell>
          <cell r="O285">
            <v>50</v>
          </cell>
        </row>
        <row r="286">
          <cell r="A286" t="str">
            <v>260906-513817996803223</v>
          </cell>
          <cell r="H286">
            <v>46274.54570601852</v>
          </cell>
          <cell r="I286">
            <v>202609</v>
          </cell>
          <cell r="K286">
            <v>-46.05</v>
          </cell>
          <cell r="L286" t="str">
            <v>百亿补贴技术服务费</v>
          </cell>
          <cell r="N286">
            <v>6</v>
          </cell>
          <cell r="O286">
            <v>51</v>
          </cell>
        </row>
        <row r="287">
          <cell r="A287" t="str">
            <v>260906-513817996803223</v>
          </cell>
          <cell r="H287">
            <v>46274.54570601852</v>
          </cell>
          <cell r="I287">
            <v>202609</v>
          </cell>
          <cell r="K287">
            <v>3289</v>
          </cell>
          <cell r="L287" t="str">
            <v>订单收入</v>
          </cell>
          <cell r="N287">
            <v>6</v>
          </cell>
          <cell r="O287">
            <v>51</v>
          </cell>
        </row>
        <row r="288">
          <cell r="A288" t="str">
            <v>260906-513817996803223</v>
          </cell>
          <cell r="H288">
            <v>46274.54570601852</v>
          </cell>
          <cell r="I288">
            <v>202609</v>
          </cell>
          <cell r="K288">
            <v>-19.73</v>
          </cell>
          <cell r="L288" t="str">
            <v>基础技术服务费</v>
          </cell>
          <cell r="N288">
            <v>6</v>
          </cell>
          <cell r="O288">
            <v>51</v>
          </cell>
        </row>
        <row r="289">
          <cell r="A289" t="str">
            <v>260909-571117442591329</v>
          </cell>
          <cell r="H289">
            <v>46274.42149305555</v>
          </cell>
          <cell r="I289">
            <v>202609</v>
          </cell>
          <cell r="K289">
            <v>51.79</v>
          </cell>
          <cell r="L289" t="str">
            <v>百亿补贴技术服务费</v>
          </cell>
          <cell r="N289">
            <v>6</v>
          </cell>
          <cell r="O289">
            <v>51</v>
          </cell>
        </row>
        <row r="290">
          <cell r="A290" t="str">
            <v>260909-571117442591329</v>
          </cell>
          <cell r="H290">
            <v>46274.42077546296</v>
          </cell>
          <cell r="I290">
            <v>202609</v>
          </cell>
          <cell r="K290">
            <v>-51.79</v>
          </cell>
          <cell r="L290" t="str">
            <v>百亿补贴技术服务费</v>
          </cell>
          <cell r="N290">
            <v>6</v>
          </cell>
          <cell r="O290">
            <v>52</v>
          </cell>
        </row>
        <row r="291">
          <cell r="A291" t="str">
            <v>260909-571117442591329</v>
          </cell>
          <cell r="H291">
            <v>46274.42077546296</v>
          </cell>
          <cell r="I291">
            <v>202609</v>
          </cell>
          <cell r="K291">
            <v>-3699</v>
          </cell>
          <cell r="L291" t="str">
            <v>交易退款</v>
          </cell>
          <cell r="N291">
            <v>6</v>
          </cell>
          <cell r="O291">
            <v>52</v>
          </cell>
        </row>
        <row r="292">
          <cell r="A292" t="str">
            <v>260909-571117442591329</v>
          </cell>
          <cell r="H292">
            <v>46274.42077546296</v>
          </cell>
          <cell r="I292">
            <v>202609</v>
          </cell>
          <cell r="K292">
            <v>22.19</v>
          </cell>
          <cell r="L292" t="str">
            <v>基础技术服务费</v>
          </cell>
          <cell r="N292">
            <v>6</v>
          </cell>
          <cell r="O292">
            <v>52</v>
          </cell>
        </row>
        <row r="293">
          <cell r="A293" t="str">
            <v>260909-571117442591329</v>
          </cell>
          <cell r="H293">
            <v>46274.42077546296</v>
          </cell>
          <cell r="I293">
            <v>202609</v>
          </cell>
          <cell r="K293">
            <v>3699</v>
          </cell>
          <cell r="L293" t="str">
            <v>订单收入</v>
          </cell>
          <cell r="N293">
            <v>6</v>
          </cell>
          <cell r="O293">
            <v>52</v>
          </cell>
        </row>
        <row r="294">
          <cell r="A294" t="str">
            <v>260909-571117442591329</v>
          </cell>
          <cell r="H294">
            <v>46274.41920138889</v>
          </cell>
          <cell r="I294">
            <v>202609</v>
          </cell>
          <cell r="K294">
            <v>-22.19</v>
          </cell>
          <cell r="L294" t="str">
            <v>基础技术服务费</v>
          </cell>
          <cell r="N294">
            <v>6</v>
          </cell>
          <cell r="O294">
            <v>52</v>
          </cell>
        </row>
        <row r="295">
          <cell r="H295">
            <v>46273.400347222225</v>
          </cell>
          <cell r="I295">
            <v>202609</v>
          </cell>
          <cell r="K295">
            <v>21.59</v>
          </cell>
          <cell r="L295" t="str">
            <v>技术服务费返还</v>
          </cell>
          <cell r="M295" t="str">
            <v>BO260904188278880</v>
          </cell>
          <cell r="N295">
            <v>7</v>
          </cell>
          <cell r="O295">
            <v>52</v>
          </cell>
        </row>
        <row r="296">
          <cell r="A296" t="str">
            <v>260828-195999864430993</v>
          </cell>
          <cell r="H296">
            <v>46272.72820601852</v>
          </cell>
          <cell r="I296">
            <v>202609</v>
          </cell>
          <cell r="K296">
            <v>-51.79</v>
          </cell>
          <cell r="L296" t="str">
            <v>百亿补贴技术服务费</v>
          </cell>
          <cell r="N296">
            <v>7</v>
          </cell>
          <cell r="O296">
            <v>53</v>
          </cell>
        </row>
        <row r="297">
          <cell r="A297" t="str">
            <v>260828-195999864430993</v>
          </cell>
          <cell r="H297">
            <v>46272.72820601852</v>
          </cell>
          <cell r="I297">
            <v>202609</v>
          </cell>
          <cell r="K297">
            <v>340</v>
          </cell>
          <cell r="L297" t="str">
            <v>优惠券结算</v>
          </cell>
          <cell r="N297">
            <v>7</v>
          </cell>
          <cell r="O297">
            <v>53</v>
          </cell>
        </row>
        <row r="298">
          <cell r="A298" t="str">
            <v>260828-195999864430993</v>
          </cell>
          <cell r="H298">
            <v>46272.72820601852</v>
          </cell>
          <cell r="I298">
            <v>202609</v>
          </cell>
          <cell r="K298">
            <v>3359</v>
          </cell>
          <cell r="L298" t="str">
            <v>订单收入</v>
          </cell>
          <cell r="N298">
            <v>7</v>
          </cell>
          <cell r="O298">
            <v>53</v>
          </cell>
        </row>
        <row r="299">
          <cell r="A299" t="str">
            <v>260828-195999864430993</v>
          </cell>
          <cell r="H299">
            <v>46272.72820601852</v>
          </cell>
          <cell r="I299">
            <v>202609</v>
          </cell>
          <cell r="K299">
            <v>-22.19</v>
          </cell>
          <cell r="L299" t="str">
            <v>基础技术服务费</v>
          </cell>
          <cell r="N299">
            <v>7</v>
          </cell>
          <cell r="O299">
            <v>53</v>
          </cell>
        </row>
        <row r="300">
          <cell r="A300" t="str">
            <v>260821-096437552701746</v>
          </cell>
          <cell r="H300">
            <v>46272.59442129629</v>
          </cell>
          <cell r="I300">
            <v>202609</v>
          </cell>
          <cell r="K300">
            <v>-51.79</v>
          </cell>
          <cell r="L300" t="str">
            <v>百亿补贴技术服务费</v>
          </cell>
          <cell r="N300">
            <v>7</v>
          </cell>
          <cell r="O300">
            <v>54</v>
          </cell>
        </row>
        <row r="301">
          <cell r="A301" t="str">
            <v>260821-096437552701746</v>
          </cell>
          <cell r="H301">
            <v>46272.59442129629</v>
          </cell>
          <cell r="I301">
            <v>202609</v>
          </cell>
          <cell r="K301">
            <v>340</v>
          </cell>
          <cell r="L301" t="str">
            <v>优惠券结算</v>
          </cell>
          <cell r="N301">
            <v>7</v>
          </cell>
          <cell r="O301">
            <v>54</v>
          </cell>
        </row>
        <row r="302">
          <cell r="A302" t="str">
            <v>260821-096437552701746</v>
          </cell>
          <cell r="H302">
            <v>46272.59442129629</v>
          </cell>
          <cell r="I302">
            <v>202609</v>
          </cell>
          <cell r="K302">
            <v>-22.19</v>
          </cell>
          <cell r="L302" t="str">
            <v>基础技术服务费</v>
          </cell>
          <cell r="N302">
            <v>7</v>
          </cell>
          <cell r="O302">
            <v>54</v>
          </cell>
        </row>
        <row r="303">
          <cell r="A303" t="str">
            <v>260821-096437552701746</v>
          </cell>
          <cell r="H303">
            <v>46272.59442129629</v>
          </cell>
          <cell r="I303">
            <v>202609</v>
          </cell>
          <cell r="K303">
            <v>3359</v>
          </cell>
          <cell r="L303" t="str">
            <v>订单收入</v>
          </cell>
          <cell r="N303">
            <v>7</v>
          </cell>
          <cell r="O303">
            <v>54</v>
          </cell>
        </row>
        <row r="304">
          <cell r="A304" t="str">
            <v>260906-513817996803223</v>
          </cell>
          <cell r="H304">
            <v>46272.46888888889</v>
          </cell>
          <cell r="I304">
            <v>202609</v>
          </cell>
          <cell r="K304">
            <v>-0.17</v>
          </cell>
          <cell r="L304" t="str">
            <v>消费者体验提升计划</v>
          </cell>
          <cell r="N304">
            <v>7</v>
          </cell>
          <cell r="O304">
            <v>54</v>
          </cell>
        </row>
        <row r="305">
          <cell r="A305" t="str">
            <v>260827-236894328472192</v>
          </cell>
          <cell r="H305">
            <v>46272.465902777774</v>
          </cell>
          <cell r="I305">
            <v>202609</v>
          </cell>
          <cell r="K305">
            <v>-51.79</v>
          </cell>
          <cell r="L305" t="str">
            <v>百亿补贴技术服务费</v>
          </cell>
          <cell r="N305">
            <v>7</v>
          </cell>
          <cell r="O305">
            <v>55</v>
          </cell>
        </row>
        <row r="306">
          <cell r="A306" t="str">
            <v>260827-236894328472192</v>
          </cell>
          <cell r="H306">
            <v>46272.465891203705</v>
          </cell>
          <cell r="I306">
            <v>202609</v>
          </cell>
          <cell r="K306">
            <v>-22.19</v>
          </cell>
          <cell r="L306" t="str">
            <v>基础技术服务费</v>
          </cell>
          <cell r="N306">
            <v>7</v>
          </cell>
          <cell r="O306">
            <v>55</v>
          </cell>
        </row>
        <row r="307">
          <cell r="A307" t="str">
            <v>260827-236894328472192</v>
          </cell>
          <cell r="H307">
            <v>46272.465891203705</v>
          </cell>
          <cell r="I307">
            <v>202609</v>
          </cell>
          <cell r="K307">
            <v>340</v>
          </cell>
          <cell r="L307" t="str">
            <v>优惠券结算</v>
          </cell>
          <cell r="N307">
            <v>7</v>
          </cell>
          <cell r="O307">
            <v>55</v>
          </cell>
        </row>
        <row r="308">
          <cell r="A308" t="str">
            <v>260827-236894328472192</v>
          </cell>
          <cell r="H308">
            <v>46272.465891203705</v>
          </cell>
          <cell r="I308">
            <v>202609</v>
          </cell>
          <cell r="K308">
            <v>3359</v>
          </cell>
          <cell r="L308" t="str">
            <v>订单收入</v>
          </cell>
          <cell r="N308">
            <v>7</v>
          </cell>
          <cell r="O308">
            <v>55</v>
          </cell>
        </row>
        <row r="309">
          <cell r="A309" t="str">
            <v>260907-510457342393600</v>
          </cell>
          <cell r="H309">
            <v>46272.264502314814</v>
          </cell>
          <cell r="I309">
            <v>202609</v>
          </cell>
          <cell r="K309">
            <v>46.05</v>
          </cell>
          <cell r="L309" t="str">
            <v>百亿补贴技术服务费</v>
          </cell>
          <cell r="N309">
            <v>7</v>
          </cell>
          <cell r="O309">
            <v>55</v>
          </cell>
        </row>
        <row r="310">
          <cell r="A310" t="str">
            <v>260907-510457342393600</v>
          </cell>
          <cell r="H310">
            <v>46272.2637962963</v>
          </cell>
          <cell r="I310">
            <v>202609</v>
          </cell>
          <cell r="K310">
            <v>-46.05</v>
          </cell>
          <cell r="L310" t="str">
            <v>百亿补贴技术服务费</v>
          </cell>
          <cell r="N310">
            <v>7</v>
          </cell>
          <cell r="O310">
            <v>56</v>
          </cell>
        </row>
        <row r="311">
          <cell r="A311" t="str">
            <v>260907-510457342393600</v>
          </cell>
          <cell r="H311">
            <v>46272.26378472222</v>
          </cell>
          <cell r="I311">
            <v>202609</v>
          </cell>
          <cell r="K311">
            <v>19.73</v>
          </cell>
          <cell r="L311" t="str">
            <v>基础技术服务费</v>
          </cell>
          <cell r="N311">
            <v>7</v>
          </cell>
          <cell r="O311">
            <v>56</v>
          </cell>
        </row>
        <row r="312">
          <cell r="A312" t="str">
            <v>260907-510457342393600</v>
          </cell>
          <cell r="H312">
            <v>46272.26378472222</v>
          </cell>
          <cell r="I312">
            <v>202609</v>
          </cell>
          <cell r="K312">
            <v>3289</v>
          </cell>
          <cell r="L312" t="str">
            <v>订单收入</v>
          </cell>
          <cell r="N312">
            <v>7</v>
          </cell>
          <cell r="O312">
            <v>56</v>
          </cell>
        </row>
        <row r="313">
          <cell r="A313" t="str">
            <v>260907-510457342393600</v>
          </cell>
          <cell r="H313">
            <v>46272.26378472222</v>
          </cell>
          <cell r="I313">
            <v>202609</v>
          </cell>
          <cell r="K313">
            <v>-3289</v>
          </cell>
          <cell r="L313" t="str">
            <v>交易退款</v>
          </cell>
          <cell r="N313">
            <v>7</v>
          </cell>
          <cell r="O313">
            <v>56</v>
          </cell>
        </row>
        <row r="314">
          <cell r="A314" t="str">
            <v>260907-510457342393600</v>
          </cell>
          <cell r="H314">
            <v>46272.261967592596</v>
          </cell>
          <cell r="I314">
            <v>202609</v>
          </cell>
          <cell r="K314">
            <v>-19.73</v>
          </cell>
          <cell r="L314" t="str">
            <v>基础技术服务费</v>
          </cell>
          <cell r="N314">
            <v>7</v>
          </cell>
          <cell r="O314">
            <v>56</v>
          </cell>
        </row>
        <row r="315">
          <cell r="A315" t="str">
            <v>260906-441686505913600</v>
          </cell>
          <cell r="H315">
            <v>46271.94204861111</v>
          </cell>
          <cell r="I315">
            <v>202609</v>
          </cell>
          <cell r="K315">
            <v>46.05</v>
          </cell>
          <cell r="L315" t="str">
            <v>百亿补贴技术服务费</v>
          </cell>
          <cell r="N315">
            <v>7</v>
          </cell>
          <cell r="O315">
            <v>56</v>
          </cell>
        </row>
        <row r="316">
          <cell r="A316" t="str">
            <v>260906-441686505913600</v>
          </cell>
          <cell r="H316">
            <v>46271.941342592596</v>
          </cell>
          <cell r="I316">
            <v>202609</v>
          </cell>
          <cell r="K316">
            <v>-46.05</v>
          </cell>
          <cell r="L316" t="str">
            <v>百亿补贴技术服务费</v>
          </cell>
          <cell r="N316">
            <v>7</v>
          </cell>
          <cell r="O316">
            <v>57</v>
          </cell>
        </row>
        <row r="317">
          <cell r="A317" t="str">
            <v>260906-441686505913600</v>
          </cell>
          <cell r="H317">
            <v>46271.94133101852</v>
          </cell>
          <cell r="I317">
            <v>202609</v>
          </cell>
          <cell r="K317">
            <v>-3289</v>
          </cell>
          <cell r="L317" t="str">
            <v>交易退款</v>
          </cell>
          <cell r="N317">
            <v>7</v>
          </cell>
          <cell r="O317">
            <v>57</v>
          </cell>
        </row>
        <row r="318">
          <cell r="A318" t="str">
            <v>260906-441686505913600</v>
          </cell>
          <cell r="H318">
            <v>46271.94133101852</v>
          </cell>
          <cell r="I318">
            <v>202609</v>
          </cell>
          <cell r="K318">
            <v>19.73</v>
          </cell>
          <cell r="L318" t="str">
            <v>基础技术服务费</v>
          </cell>
          <cell r="N318">
            <v>7</v>
          </cell>
          <cell r="O318">
            <v>57</v>
          </cell>
        </row>
        <row r="319">
          <cell r="A319" t="str">
            <v>260906-441686505913600</v>
          </cell>
          <cell r="H319">
            <v>46271.94133101852</v>
          </cell>
          <cell r="I319">
            <v>202609</v>
          </cell>
          <cell r="K319">
            <v>3289</v>
          </cell>
          <cell r="L319" t="str">
            <v>订单收入</v>
          </cell>
          <cell r="N319">
            <v>7</v>
          </cell>
          <cell r="O319">
            <v>57</v>
          </cell>
        </row>
        <row r="320">
          <cell r="A320" t="str">
            <v>260906-441686505913600</v>
          </cell>
          <cell r="H320">
            <v>46271.93966435185</v>
          </cell>
          <cell r="I320">
            <v>202609</v>
          </cell>
          <cell r="K320">
            <v>-19.73</v>
          </cell>
          <cell r="L320" t="str">
            <v>基础技术服务费</v>
          </cell>
          <cell r="N320">
            <v>7</v>
          </cell>
          <cell r="O320">
            <v>57</v>
          </cell>
        </row>
        <row r="321">
          <cell r="A321" t="str">
            <v>260906-316150935080016</v>
          </cell>
          <cell r="H321">
            <v>46271.75488425926</v>
          </cell>
          <cell r="I321">
            <v>202609</v>
          </cell>
          <cell r="K321">
            <v>51.79</v>
          </cell>
          <cell r="L321" t="str">
            <v>百亿补贴技术服务费</v>
          </cell>
          <cell r="N321">
            <v>7</v>
          </cell>
          <cell r="O321">
            <v>57</v>
          </cell>
        </row>
        <row r="322">
          <cell r="A322" t="str">
            <v>260906-316150935080016</v>
          </cell>
          <cell r="H322">
            <v>46271.75417824074</v>
          </cell>
          <cell r="I322">
            <v>202609</v>
          </cell>
          <cell r="K322">
            <v>-51.79</v>
          </cell>
          <cell r="L322" t="str">
            <v>百亿补贴技术服务费</v>
          </cell>
          <cell r="N322">
            <v>7</v>
          </cell>
          <cell r="O322">
            <v>58</v>
          </cell>
        </row>
        <row r="323">
          <cell r="A323" t="str">
            <v>260906-316150935080016</v>
          </cell>
          <cell r="H323">
            <v>46271.754166666666</v>
          </cell>
          <cell r="I323">
            <v>202609</v>
          </cell>
          <cell r="K323">
            <v>3359</v>
          </cell>
          <cell r="L323" t="str">
            <v>订单收入</v>
          </cell>
          <cell r="N323">
            <v>7</v>
          </cell>
          <cell r="O323">
            <v>58</v>
          </cell>
        </row>
        <row r="324">
          <cell r="A324" t="str">
            <v>260906-316150935080016</v>
          </cell>
          <cell r="H324">
            <v>46271.754166666666</v>
          </cell>
          <cell r="I324">
            <v>202609</v>
          </cell>
          <cell r="K324">
            <v>-340</v>
          </cell>
          <cell r="L324" t="str">
            <v>退款扣优惠券</v>
          </cell>
          <cell r="N324">
            <v>7</v>
          </cell>
          <cell r="O324">
            <v>58</v>
          </cell>
        </row>
        <row r="325">
          <cell r="A325" t="str">
            <v>260906-316150935080016</v>
          </cell>
          <cell r="H325">
            <v>46271.754166666666</v>
          </cell>
          <cell r="I325">
            <v>202609</v>
          </cell>
          <cell r="K325">
            <v>22.19</v>
          </cell>
          <cell r="L325" t="str">
            <v>基础技术服务费</v>
          </cell>
          <cell r="N325">
            <v>7</v>
          </cell>
          <cell r="O325">
            <v>58</v>
          </cell>
        </row>
        <row r="326">
          <cell r="A326" t="str">
            <v>260906-316150935080016</v>
          </cell>
          <cell r="H326">
            <v>46271.754166666666</v>
          </cell>
          <cell r="I326">
            <v>202609</v>
          </cell>
          <cell r="K326">
            <v>-3359</v>
          </cell>
          <cell r="L326" t="str">
            <v>交易退款</v>
          </cell>
          <cell r="N326">
            <v>7</v>
          </cell>
          <cell r="O326">
            <v>58</v>
          </cell>
        </row>
        <row r="327">
          <cell r="A327" t="str">
            <v>260906-316150935080016</v>
          </cell>
          <cell r="H327">
            <v>46271.754166666666</v>
          </cell>
          <cell r="I327">
            <v>202609</v>
          </cell>
          <cell r="K327">
            <v>340</v>
          </cell>
          <cell r="L327" t="str">
            <v>优惠券结算</v>
          </cell>
          <cell r="N327">
            <v>7</v>
          </cell>
          <cell r="O327">
            <v>58</v>
          </cell>
        </row>
        <row r="328">
          <cell r="A328" t="str">
            <v>260906-316150935080016</v>
          </cell>
          <cell r="H328">
            <v>46271.7524537037</v>
          </cell>
          <cell r="I328">
            <v>202609</v>
          </cell>
          <cell r="K328">
            <v>-22.19</v>
          </cell>
          <cell r="L328" t="str">
            <v>基础技术服务费</v>
          </cell>
          <cell r="N328">
            <v>7</v>
          </cell>
          <cell r="O328">
            <v>58</v>
          </cell>
        </row>
        <row r="329">
          <cell r="A329" t="str">
            <v>260906-239075335712309</v>
          </cell>
          <cell r="H329">
            <v>46271.58829861111</v>
          </cell>
          <cell r="I329">
            <v>202609</v>
          </cell>
          <cell r="K329">
            <v>-0.17</v>
          </cell>
          <cell r="L329" t="str">
            <v>消费者体验提升计划</v>
          </cell>
          <cell r="N329">
            <v>7</v>
          </cell>
          <cell r="O329">
            <v>58</v>
          </cell>
        </row>
        <row r="330">
          <cell r="A330" t="str">
            <v>260906-128974865960016</v>
          </cell>
          <cell r="H330">
            <v>46271.57776620371</v>
          </cell>
          <cell r="I330">
            <v>202609</v>
          </cell>
          <cell r="K330">
            <v>51.79</v>
          </cell>
          <cell r="L330" t="str">
            <v>百亿补贴技术服务费</v>
          </cell>
          <cell r="N330">
            <v>7</v>
          </cell>
          <cell r="O330">
            <v>58</v>
          </cell>
        </row>
        <row r="331">
          <cell r="A331" t="str">
            <v>260906-128974865960016</v>
          </cell>
          <cell r="H331">
            <v>46271.577048611114</v>
          </cell>
          <cell r="I331">
            <v>202609</v>
          </cell>
          <cell r="K331">
            <v>-340</v>
          </cell>
          <cell r="L331" t="str">
            <v>退款扣优惠券</v>
          </cell>
          <cell r="N331">
            <v>7</v>
          </cell>
          <cell r="O331">
            <v>58</v>
          </cell>
        </row>
        <row r="332">
          <cell r="A332" t="str">
            <v>260906-128974865960016</v>
          </cell>
          <cell r="H332">
            <v>46271.577048611114</v>
          </cell>
          <cell r="I332">
            <v>202609</v>
          </cell>
          <cell r="K332">
            <v>3359</v>
          </cell>
          <cell r="L332" t="str">
            <v>订单收入</v>
          </cell>
          <cell r="N332">
            <v>7</v>
          </cell>
          <cell r="O332">
            <v>58</v>
          </cell>
        </row>
        <row r="333">
          <cell r="A333" t="str">
            <v>260906-128974865960016</v>
          </cell>
          <cell r="H333">
            <v>46271.577048611114</v>
          </cell>
          <cell r="I333">
            <v>202609</v>
          </cell>
          <cell r="K333">
            <v>-3359</v>
          </cell>
          <cell r="L333" t="str">
            <v>交易退款</v>
          </cell>
          <cell r="N333">
            <v>7</v>
          </cell>
          <cell r="O333">
            <v>58</v>
          </cell>
        </row>
        <row r="334">
          <cell r="A334" t="str">
            <v>260906-128974865960016</v>
          </cell>
          <cell r="H334">
            <v>46271.577048611114</v>
          </cell>
          <cell r="I334">
            <v>202609</v>
          </cell>
          <cell r="K334">
            <v>340</v>
          </cell>
          <cell r="L334" t="str">
            <v>优惠券结算</v>
          </cell>
          <cell r="N334">
            <v>7</v>
          </cell>
          <cell r="O334">
            <v>58</v>
          </cell>
        </row>
        <row r="335">
          <cell r="A335" t="str">
            <v>260906-128974865960016</v>
          </cell>
          <cell r="H335">
            <v>46271.577048611114</v>
          </cell>
          <cell r="I335">
            <v>202609</v>
          </cell>
          <cell r="K335">
            <v>22.19</v>
          </cell>
          <cell r="L335" t="str">
            <v>基础技术服务费</v>
          </cell>
          <cell r="N335">
            <v>7</v>
          </cell>
          <cell r="O335">
            <v>58</v>
          </cell>
        </row>
        <row r="336">
          <cell r="A336" t="str">
            <v>260906-128974865960016</v>
          </cell>
          <cell r="H336">
            <v>46271.577048611114</v>
          </cell>
          <cell r="I336">
            <v>202609</v>
          </cell>
          <cell r="K336">
            <v>-51.79</v>
          </cell>
          <cell r="L336" t="str">
            <v>百亿补贴技术服务费</v>
          </cell>
          <cell r="N336">
            <v>7</v>
          </cell>
          <cell r="O336">
            <v>59</v>
          </cell>
        </row>
        <row r="337">
          <cell r="A337" t="str">
            <v>260906-128974865960016</v>
          </cell>
          <cell r="H337">
            <v>46271.57586805556</v>
          </cell>
          <cell r="I337">
            <v>202609</v>
          </cell>
          <cell r="K337">
            <v>-22.19</v>
          </cell>
          <cell r="L337" t="str">
            <v>基础技术服务费</v>
          </cell>
          <cell r="N337">
            <v>7</v>
          </cell>
          <cell r="O337">
            <v>59</v>
          </cell>
        </row>
        <row r="338">
          <cell r="A338" t="str">
            <v>260826-514043420202579</v>
          </cell>
          <cell r="H338">
            <v>46271.45202546296</v>
          </cell>
          <cell r="I338">
            <v>202609</v>
          </cell>
          <cell r="K338">
            <v>2989</v>
          </cell>
          <cell r="L338" t="str">
            <v>订单收入</v>
          </cell>
          <cell r="N338">
            <v>7</v>
          </cell>
          <cell r="O338">
            <v>59</v>
          </cell>
        </row>
        <row r="339">
          <cell r="A339" t="str">
            <v>260826-514043420202579</v>
          </cell>
          <cell r="H339">
            <v>46271.45202546296</v>
          </cell>
          <cell r="I339">
            <v>202609</v>
          </cell>
          <cell r="K339">
            <v>-19.73</v>
          </cell>
          <cell r="L339" t="str">
            <v>基础技术服务费</v>
          </cell>
          <cell r="N339">
            <v>7</v>
          </cell>
          <cell r="O339">
            <v>59</v>
          </cell>
        </row>
        <row r="340">
          <cell r="A340" t="str">
            <v>260826-514043420202579</v>
          </cell>
          <cell r="H340">
            <v>46271.45202546296</v>
          </cell>
          <cell r="I340">
            <v>202609</v>
          </cell>
          <cell r="K340">
            <v>300</v>
          </cell>
          <cell r="L340" t="str">
            <v>优惠券结算</v>
          </cell>
          <cell r="N340">
            <v>7</v>
          </cell>
          <cell r="O340">
            <v>59</v>
          </cell>
        </row>
        <row r="341">
          <cell r="A341" t="str">
            <v>260826-514043420202579</v>
          </cell>
          <cell r="H341">
            <v>46271.45202546296</v>
          </cell>
          <cell r="I341">
            <v>202609</v>
          </cell>
          <cell r="K341">
            <v>-46.05</v>
          </cell>
          <cell r="L341" t="str">
            <v>百亿补贴技术服务费</v>
          </cell>
          <cell r="N341">
            <v>7</v>
          </cell>
          <cell r="O341">
            <v>60</v>
          </cell>
        </row>
        <row r="342">
          <cell r="A342" t="str">
            <v>260906-100977928533874</v>
          </cell>
          <cell r="H342">
            <v>46271.44841435185</v>
          </cell>
          <cell r="I342">
            <v>202609</v>
          </cell>
          <cell r="K342">
            <v>-0.17</v>
          </cell>
          <cell r="L342" t="str">
            <v>消费者体验提升计划</v>
          </cell>
          <cell r="N342">
            <v>7</v>
          </cell>
          <cell r="O342">
            <v>60</v>
          </cell>
        </row>
        <row r="343">
          <cell r="A343" t="str">
            <v>260826-272100236850975</v>
          </cell>
          <cell r="H343">
            <v>46271.44164351852</v>
          </cell>
          <cell r="I343">
            <v>202609</v>
          </cell>
          <cell r="K343">
            <v>-50.39</v>
          </cell>
          <cell r="L343" t="str">
            <v>百亿补贴技术服务费</v>
          </cell>
          <cell r="N343">
            <v>7</v>
          </cell>
          <cell r="O343">
            <v>61</v>
          </cell>
        </row>
        <row r="344">
          <cell r="A344" t="str">
            <v>260826-272100236850975</v>
          </cell>
          <cell r="H344">
            <v>46271.44164351852</v>
          </cell>
          <cell r="I344">
            <v>202609</v>
          </cell>
          <cell r="K344">
            <v>3599</v>
          </cell>
          <cell r="L344" t="str">
            <v>订单收入</v>
          </cell>
          <cell r="N344">
            <v>7</v>
          </cell>
          <cell r="O344">
            <v>61</v>
          </cell>
        </row>
        <row r="345">
          <cell r="A345" t="str">
            <v>260826-272100236850975</v>
          </cell>
          <cell r="H345">
            <v>46271.44164351852</v>
          </cell>
          <cell r="I345">
            <v>202609</v>
          </cell>
          <cell r="K345">
            <v>-21.59</v>
          </cell>
          <cell r="L345" t="str">
            <v>基础技术服务费</v>
          </cell>
          <cell r="N345">
            <v>7</v>
          </cell>
          <cell r="O345">
            <v>61</v>
          </cell>
        </row>
        <row r="346">
          <cell r="A346" t="str">
            <v>260905-329462649191655</v>
          </cell>
          <cell r="H346">
            <v>46270.99731481481</v>
          </cell>
          <cell r="I346">
            <v>202609</v>
          </cell>
          <cell r="K346">
            <v>50.39</v>
          </cell>
          <cell r="L346" t="str">
            <v>百亿补贴技术服务费</v>
          </cell>
          <cell r="N346">
            <v>7</v>
          </cell>
          <cell r="O346">
            <v>61</v>
          </cell>
        </row>
        <row r="347">
          <cell r="A347" t="str">
            <v>260905-329462649191655</v>
          </cell>
          <cell r="H347">
            <v>46270.9966087963</v>
          </cell>
          <cell r="I347">
            <v>202609</v>
          </cell>
          <cell r="K347">
            <v>300</v>
          </cell>
          <cell r="L347" t="str">
            <v>优惠券结算</v>
          </cell>
          <cell r="N347">
            <v>7</v>
          </cell>
          <cell r="O347">
            <v>61</v>
          </cell>
        </row>
        <row r="348">
          <cell r="A348" t="str">
            <v>260905-329462649191655</v>
          </cell>
          <cell r="H348">
            <v>46270.9966087963</v>
          </cell>
          <cell r="I348">
            <v>202609</v>
          </cell>
          <cell r="K348">
            <v>3299</v>
          </cell>
          <cell r="L348" t="str">
            <v>订单收入</v>
          </cell>
          <cell r="N348">
            <v>7</v>
          </cell>
          <cell r="O348">
            <v>61</v>
          </cell>
        </row>
        <row r="349">
          <cell r="A349" t="str">
            <v>260905-329462649191655</v>
          </cell>
          <cell r="H349">
            <v>46270.9966087963</v>
          </cell>
          <cell r="I349">
            <v>202609</v>
          </cell>
          <cell r="K349">
            <v>-50.39</v>
          </cell>
          <cell r="L349" t="str">
            <v>百亿补贴技术服务费</v>
          </cell>
          <cell r="N349">
            <v>7</v>
          </cell>
          <cell r="O349">
            <v>62</v>
          </cell>
        </row>
        <row r="350">
          <cell r="A350" t="str">
            <v>260905-329462649191655</v>
          </cell>
          <cell r="H350">
            <v>46270.9966087963</v>
          </cell>
          <cell r="I350">
            <v>202609</v>
          </cell>
          <cell r="K350">
            <v>-300</v>
          </cell>
          <cell r="L350" t="str">
            <v>退款扣优惠券</v>
          </cell>
          <cell r="N350">
            <v>7</v>
          </cell>
          <cell r="O350">
            <v>62</v>
          </cell>
        </row>
        <row r="351">
          <cell r="A351" t="str">
            <v>260905-329462649191655</v>
          </cell>
          <cell r="H351">
            <v>46270.9966087963</v>
          </cell>
          <cell r="I351">
            <v>202609</v>
          </cell>
          <cell r="K351">
            <v>21.59</v>
          </cell>
          <cell r="L351" t="str">
            <v>基础技术服务费</v>
          </cell>
          <cell r="N351">
            <v>7</v>
          </cell>
          <cell r="O351">
            <v>62</v>
          </cell>
        </row>
        <row r="352">
          <cell r="A352" t="str">
            <v>260905-329462649191655</v>
          </cell>
          <cell r="H352">
            <v>46270.9966087963</v>
          </cell>
          <cell r="I352">
            <v>202609</v>
          </cell>
          <cell r="K352">
            <v>-3299</v>
          </cell>
          <cell r="L352" t="str">
            <v>交易退款</v>
          </cell>
          <cell r="N352">
            <v>7</v>
          </cell>
          <cell r="O352">
            <v>62</v>
          </cell>
        </row>
        <row r="353">
          <cell r="A353" t="str">
            <v>260905-329462649191655</v>
          </cell>
          <cell r="H353">
            <v>46270.993125</v>
          </cell>
          <cell r="I353">
            <v>202609</v>
          </cell>
          <cell r="K353">
            <v>-21.59</v>
          </cell>
          <cell r="L353" t="str">
            <v>基础技术服务费</v>
          </cell>
          <cell r="N353">
            <v>7</v>
          </cell>
          <cell r="O353">
            <v>62</v>
          </cell>
        </row>
        <row r="354">
          <cell r="A354" t="str">
            <v>260905-594091784582553</v>
          </cell>
          <cell r="H354">
            <v>46270.79997685185</v>
          </cell>
          <cell r="I354">
            <v>202609</v>
          </cell>
          <cell r="K354">
            <v>53.19</v>
          </cell>
          <cell r="L354" t="str">
            <v>百亿补贴技术服务费</v>
          </cell>
          <cell r="N354">
            <v>7</v>
          </cell>
          <cell r="O354">
            <v>62</v>
          </cell>
        </row>
        <row r="355">
          <cell r="A355" t="str">
            <v>260905-594091784582553</v>
          </cell>
          <cell r="H355">
            <v>46270.79927083333</v>
          </cell>
          <cell r="I355">
            <v>202609</v>
          </cell>
          <cell r="K355">
            <v>-53.19</v>
          </cell>
          <cell r="L355" t="str">
            <v>百亿补贴技术服务费</v>
          </cell>
          <cell r="N355">
            <v>7</v>
          </cell>
          <cell r="O355">
            <v>63</v>
          </cell>
        </row>
        <row r="356">
          <cell r="A356" t="str">
            <v>260905-594091784582553</v>
          </cell>
          <cell r="H356">
            <v>46270.799259259256</v>
          </cell>
          <cell r="I356">
            <v>202609</v>
          </cell>
          <cell r="K356">
            <v>3799</v>
          </cell>
          <cell r="L356" t="str">
            <v>订单收入</v>
          </cell>
          <cell r="N356">
            <v>7</v>
          </cell>
          <cell r="O356">
            <v>63</v>
          </cell>
        </row>
        <row r="357">
          <cell r="A357" t="str">
            <v>260905-594091784582553</v>
          </cell>
          <cell r="H357">
            <v>46270.799259259256</v>
          </cell>
          <cell r="I357">
            <v>202609</v>
          </cell>
          <cell r="K357">
            <v>-3799</v>
          </cell>
          <cell r="L357" t="str">
            <v>交易退款</v>
          </cell>
          <cell r="N357">
            <v>7</v>
          </cell>
          <cell r="O357">
            <v>63</v>
          </cell>
        </row>
        <row r="358">
          <cell r="A358" t="str">
            <v>260905-594091784582553</v>
          </cell>
          <cell r="H358">
            <v>46270.799259259256</v>
          </cell>
          <cell r="I358">
            <v>202609</v>
          </cell>
          <cell r="K358">
            <v>22.79</v>
          </cell>
          <cell r="L358" t="str">
            <v>基础技术服务费</v>
          </cell>
          <cell r="N358">
            <v>7</v>
          </cell>
          <cell r="O358">
            <v>63</v>
          </cell>
        </row>
        <row r="359">
          <cell r="A359" t="str">
            <v>260905-594091784582553</v>
          </cell>
          <cell r="H359">
            <v>46270.79804398148</v>
          </cell>
          <cell r="I359">
            <v>202609</v>
          </cell>
          <cell r="K359">
            <v>-22.79</v>
          </cell>
          <cell r="L359" t="str">
            <v>基础技术服务费</v>
          </cell>
          <cell r="N359">
            <v>7</v>
          </cell>
          <cell r="O359">
            <v>63</v>
          </cell>
        </row>
        <row r="360">
          <cell r="A360" t="str">
            <v>260905-489978653001085</v>
          </cell>
          <cell r="H360">
            <v>46270.73751157407</v>
          </cell>
          <cell r="I360">
            <v>202609</v>
          </cell>
          <cell r="K360">
            <v>53.19</v>
          </cell>
          <cell r="L360" t="str">
            <v>百亿补贴技术服务费</v>
          </cell>
          <cell r="N360">
            <v>7</v>
          </cell>
          <cell r="O360">
            <v>63</v>
          </cell>
        </row>
        <row r="361">
          <cell r="A361" t="str">
            <v>260905-489978653001085</v>
          </cell>
          <cell r="H361">
            <v>46270.736805555556</v>
          </cell>
          <cell r="I361">
            <v>202609</v>
          </cell>
          <cell r="K361">
            <v>-53.19</v>
          </cell>
          <cell r="L361" t="str">
            <v>百亿补贴技术服务费</v>
          </cell>
          <cell r="N361">
            <v>7</v>
          </cell>
          <cell r="O361">
            <v>64</v>
          </cell>
        </row>
        <row r="362">
          <cell r="A362" t="str">
            <v>260905-489978653001085</v>
          </cell>
          <cell r="H362">
            <v>46270.73679398148</v>
          </cell>
          <cell r="I362">
            <v>202609</v>
          </cell>
          <cell r="K362">
            <v>22.79</v>
          </cell>
          <cell r="L362" t="str">
            <v>基础技术服务费</v>
          </cell>
          <cell r="N362">
            <v>7</v>
          </cell>
          <cell r="O362">
            <v>64</v>
          </cell>
        </row>
        <row r="363">
          <cell r="A363" t="str">
            <v>260905-489978653001085</v>
          </cell>
          <cell r="H363">
            <v>46270.73679398148</v>
          </cell>
          <cell r="I363">
            <v>202609</v>
          </cell>
          <cell r="K363">
            <v>3799</v>
          </cell>
          <cell r="L363" t="str">
            <v>订单收入</v>
          </cell>
          <cell r="N363">
            <v>7</v>
          </cell>
          <cell r="O363">
            <v>64</v>
          </cell>
        </row>
        <row r="364">
          <cell r="A364" t="str">
            <v>260905-489978653001085</v>
          </cell>
          <cell r="H364">
            <v>46270.73679398148</v>
          </cell>
          <cell r="I364">
            <v>202609</v>
          </cell>
          <cell r="K364">
            <v>-3799</v>
          </cell>
          <cell r="L364" t="str">
            <v>交易退款</v>
          </cell>
          <cell r="N364">
            <v>7</v>
          </cell>
          <cell r="O364">
            <v>64</v>
          </cell>
        </row>
        <row r="365">
          <cell r="A365" t="str">
            <v>260905-489978653001085</v>
          </cell>
          <cell r="H365">
            <v>46270.7337962963</v>
          </cell>
          <cell r="I365">
            <v>202609</v>
          </cell>
          <cell r="K365">
            <v>-22.79</v>
          </cell>
          <cell r="L365" t="str">
            <v>基础技术服务费</v>
          </cell>
          <cell r="N365">
            <v>7</v>
          </cell>
          <cell r="O365">
            <v>64</v>
          </cell>
        </row>
        <row r="366">
          <cell r="A366" t="str">
            <v>260905-148960734810447</v>
          </cell>
          <cell r="H366">
            <v>46270.72709490741</v>
          </cell>
          <cell r="I366">
            <v>202609</v>
          </cell>
          <cell r="K366">
            <v>50.39</v>
          </cell>
          <cell r="L366" t="str">
            <v>百亿补贴技术服务费</v>
          </cell>
          <cell r="N366">
            <v>7</v>
          </cell>
          <cell r="O366">
            <v>64</v>
          </cell>
        </row>
        <row r="367">
          <cell r="A367" t="str">
            <v>260905-148960734810447</v>
          </cell>
          <cell r="H367">
            <v>46270.726377314815</v>
          </cell>
          <cell r="I367">
            <v>202609</v>
          </cell>
          <cell r="K367">
            <v>21.59</v>
          </cell>
          <cell r="L367" t="str">
            <v>基础技术服务费</v>
          </cell>
          <cell r="N367">
            <v>7</v>
          </cell>
          <cell r="O367">
            <v>64</v>
          </cell>
        </row>
        <row r="368">
          <cell r="A368" t="str">
            <v>260905-148960734810447</v>
          </cell>
          <cell r="H368">
            <v>46270.726377314815</v>
          </cell>
          <cell r="I368">
            <v>202609</v>
          </cell>
          <cell r="K368">
            <v>3599</v>
          </cell>
          <cell r="L368" t="str">
            <v>订单收入</v>
          </cell>
          <cell r="N368">
            <v>7</v>
          </cell>
          <cell r="O368">
            <v>64</v>
          </cell>
        </row>
        <row r="369">
          <cell r="A369" t="str">
            <v>260905-148960734810447</v>
          </cell>
          <cell r="H369">
            <v>46270.726377314815</v>
          </cell>
          <cell r="I369">
            <v>202609</v>
          </cell>
          <cell r="K369">
            <v>-3599</v>
          </cell>
          <cell r="L369" t="str">
            <v>交易退款</v>
          </cell>
          <cell r="N369">
            <v>7</v>
          </cell>
          <cell r="O369">
            <v>64</v>
          </cell>
        </row>
        <row r="370">
          <cell r="A370" t="str">
            <v>260905-148960734810447</v>
          </cell>
          <cell r="H370">
            <v>46270.726377314815</v>
          </cell>
          <cell r="I370">
            <v>202609</v>
          </cell>
          <cell r="K370">
            <v>-50.39</v>
          </cell>
          <cell r="L370" t="str">
            <v>百亿补贴技术服务费</v>
          </cell>
          <cell r="N370">
            <v>7</v>
          </cell>
          <cell r="O370">
            <v>65</v>
          </cell>
        </row>
        <row r="371">
          <cell r="A371" t="str">
            <v>260905-148960734810447</v>
          </cell>
          <cell r="H371">
            <v>46270.723599537036</v>
          </cell>
          <cell r="I371">
            <v>202609</v>
          </cell>
          <cell r="K371">
            <v>-21.59</v>
          </cell>
          <cell r="L371" t="str">
            <v>基础技术服务费</v>
          </cell>
          <cell r="N371">
            <v>7</v>
          </cell>
          <cell r="O371">
            <v>65</v>
          </cell>
        </row>
        <row r="372">
          <cell r="A372" t="str">
            <v>260905-575469074750381</v>
          </cell>
          <cell r="H372">
            <v>46270.66111111111</v>
          </cell>
          <cell r="I372">
            <v>202609</v>
          </cell>
          <cell r="K372">
            <v>50.39</v>
          </cell>
          <cell r="L372" t="str">
            <v>百亿补贴技术服务费</v>
          </cell>
          <cell r="N372">
            <v>7</v>
          </cell>
          <cell r="O372">
            <v>65</v>
          </cell>
        </row>
        <row r="373">
          <cell r="A373" t="str">
            <v>260905-575469074750381</v>
          </cell>
          <cell r="H373">
            <v>46270.660405092596</v>
          </cell>
          <cell r="I373">
            <v>202609</v>
          </cell>
          <cell r="K373">
            <v>21.59</v>
          </cell>
          <cell r="L373" t="str">
            <v>基础技术服务费</v>
          </cell>
          <cell r="N373">
            <v>7</v>
          </cell>
          <cell r="O373">
            <v>65</v>
          </cell>
        </row>
        <row r="374">
          <cell r="A374" t="str">
            <v>260905-575469074750381</v>
          </cell>
          <cell r="H374">
            <v>46270.660405092596</v>
          </cell>
          <cell r="I374">
            <v>202609</v>
          </cell>
          <cell r="K374">
            <v>-3299</v>
          </cell>
          <cell r="L374" t="str">
            <v>交易退款</v>
          </cell>
          <cell r="N374">
            <v>7</v>
          </cell>
          <cell r="O374">
            <v>65</v>
          </cell>
        </row>
        <row r="375">
          <cell r="A375" t="str">
            <v>260905-575469074750381</v>
          </cell>
          <cell r="H375">
            <v>46270.660405092596</v>
          </cell>
          <cell r="I375">
            <v>202609</v>
          </cell>
          <cell r="K375">
            <v>300</v>
          </cell>
          <cell r="L375" t="str">
            <v>优惠券结算</v>
          </cell>
          <cell r="N375">
            <v>7</v>
          </cell>
          <cell r="O375">
            <v>65</v>
          </cell>
        </row>
        <row r="376">
          <cell r="A376" t="str">
            <v>260905-575469074750381</v>
          </cell>
          <cell r="H376">
            <v>46270.660405092596</v>
          </cell>
          <cell r="I376">
            <v>202609</v>
          </cell>
          <cell r="K376">
            <v>3299</v>
          </cell>
          <cell r="L376" t="str">
            <v>订单收入</v>
          </cell>
          <cell r="N376">
            <v>7</v>
          </cell>
          <cell r="O376">
            <v>65</v>
          </cell>
        </row>
        <row r="377">
          <cell r="A377" t="str">
            <v>260905-575469074750381</v>
          </cell>
          <cell r="H377">
            <v>46270.660405092596</v>
          </cell>
          <cell r="I377">
            <v>202609</v>
          </cell>
          <cell r="K377">
            <v>-300</v>
          </cell>
          <cell r="L377" t="str">
            <v>退款扣优惠券</v>
          </cell>
          <cell r="N377">
            <v>7</v>
          </cell>
          <cell r="O377">
            <v>65</v>
          </cell>
        </row>
        <row r="378">
          <cell r="A378" t="str">
            <v>260905-575469074750381</v>
          </cell>
          <cell r="H378">
            <v>46270.660405092596</v>
          </cell>
          <cell r="I378">
            <v>202609</v>
          </cell>
          <cell r="K378">
            <v>-50.39</v>
          </cell>
          <cell r="L378" t="str">
            <v>百亿补贴技术服务费</v>
          </cell>
          <cell r="N378">
            <v>7</v>
          </cell>
          <cell r="O378">
            <v>66</v>
          </cell>
        </row>
        <row r="379">
          <cell r="A379" t="str">
            <v>260905-575469074750381</v>
          </cell>
          <cell r="H379">
            <v>46270.65861111111</v>
          </cell>
          <cell r="I379">
            <v>202609</v>
          </cell>
          <cell r="K379">
            <v>-21.59</v>
          </cell>
          <cell r="L379" t="str">
            <v>基础技术服务费</v>
          </cell>
          <cell r="N379">
            <v>7</v>
          </cell>
          <cell r="O379">
            <v>66</v>
          </cell>
        </row>
        <row r="380">
          <cell r="A380" t="str">
            <v>260826-680106473883870</v>
          </cell>
          <cell r="H380">
            <v>46270.60828703704</v>
          </cell>
          <cell r="I380">
            <v>202609</v>
          </cell>
          <cell r="K380">
            <v>-51.79</v>
          </cell>
          <cell r="L380" t="str">
            <v>百亿补贴技术服务费</v>
          </cell>
          <cell r="N380">
            <v>7</v>
          </cell>
          <cell r="O380">
            <v>67</v>
          </cell>
        </row>
        <row r="381">
          <cell r="A381" t="str">
            <v>260826-680106473883870</v>
          </cell>
          <cell r="H381">
            <v>46270.60828703704</v>
          </cell>
          <cell r="I381">
            <v>202609</v>
          </cell>
          <cell r="K381">
            <v>340</v>
          </cell>
          <cell r="L381" t="str">
            <v>优惠券结算</v>
          </cell>
          <cell r="N381">
            <v>7</v>
          </cell>
          <cell r="O381">
            <v>67</v>
          </cell>
        </row>
        <row r="382">
          <cell r="A382" t="str">
            <v>260826-680106473883870</v>
          </cell>
          <cell r="H382">
            <v>46270.60828703704</v>
          </cell>
          <cell r="I382">
            <v>202609</v>
          </cell>
          <cell r="K382">
            <v>3359</v>
          </cell>
          <cell r="L382" t="str">
            <v>订单收入</v>
          </cell>
          <cell r="N382">
            <v>7</v>
          </cell>
          <cell r="O382">
            <v>67</v>
          </cell>
        </row>
        <row r="383">
          <cell r="A383" t="str">
            <v>260826-680106473883870</v>
          </cell>
          <cell r="H383">
            <v>46270.60828703704</v>
          </cell>
          <cell r="I383">
            <v>202609</v>
          </cell>
          <cell r="K383">
            <v>-22.19</v>
          </cell>
          <cell r="L383" t="str">
            <v>基础技术服务费</v>
          </cell>
          <cell r="N383">
            <v>7</v>
          </cell>
          <cell r="O383">
            <v>67</v>
          </cell>
        </row>
        <row r="384">
          <cell r="A384" t="str">
            <v>260904-018916318842228</v>
          </cell>
          <cell r="H384">
            <v>46269.89009259259</v>
          </cell>
          <cell r="I384">
            <v>202609</v>
          </cell>
          <cell r="K384">
            <v>50.39</v>
          </cell>
          <cell r="L384" t="str">
            <v>百亿补贴技术服务费</v>
          </cell>
          <cell r="N384">
            <v>7</v>
          </cell>
          <cell r="O384">
            <v>67</v>
          </cell>
        </row>
        <row r="385">
          <cell r="A385" t="str">
            <v>260904-018916318842228</v>
          </cell>
          <cell r="H385">
            <v>46269.889386574076</v>
          </cell>
          <cell r="I385">
            <v>202609</v>
          </cell>
          <cell r="K385">
            <v>-50.39</v>
          </cell>
          <cell r="L385" t="str">
            <v>百亿补贴技术服务费</v>
          </cell>
          <cell r="N385">
            <v>7</v>
          </cell>
          <cell r="O385">
            <v>68</v>
          </cell>
        </row>
        <row r="386">
          <cell r="A386" t="str">
            <v>260904-018916318842228</v>
          </cell>
          <cell r="H386">
            <v>46269.889386574076</v>
          </cell>
          <cell r="I386">
            <v>202609</v>
          </cell>
          <cell r="K386">
            <v>-3599</v>
          </cell>
          <cell r="L386" t="str">
            <v>交易退款</v>
          </cell>
          <cell r="N386">
            <v>7</v>
          </cell>
          <cell r="O386">
            <v>68</v>
          </cell>
        </row>
        <row r="387">
          <cell r="A387" t="str">
            <v>260904-018916318842228</v>
          </cell>
          <cell r="H387">
            <v>46269.889386574076</v>
          </cell>
          <cell r="I387">
            <v>202609</v>
          </cell>
          <cell r="K387">
            <v>21.59</v>
          </cell>
          <cell r="L387" t="str">
            <v>基础技术服务费</v>
          </cell>
          <cell r="N387">
            <v>7</v>
          </cell>
          <cell r="O387">
            <v>68</v>
          </cell>
        </row>
        <row r="388">
          <cell r="A388" t="str">
            <v>260904-018916318842228</v>
          </cell>
          <cell r="H388">
            <v>46269.889386574076</v>
          </cell>
          <cell r="I388">
            <v>202609</v>
          </cell>
          <cell r="K388">
            <v>3599</v>
          </cell>
          <cell r="L388" t="str">
            <v>订单收入</v>
          </cell>
          <cell r="N388">
            <v>7</v>
          </cell>
          <cell r="O388">
            <v>68</v>
          </cell>
        </row>
        <row r="389">
          <cell r="A389" t="str">
            <v>260904-018916318842228</v>
          </cell>
          <cell r="H389">
            <v>46269.8878125</v>
          </cell>
          <cell r="I389">
            <v>202609</v>
          </cell>
          <cell r="K389">
            <v>-21.59</v>
          </cell>
          <cell r="L389" t="str">
            <v>基础技术服务费</v>
          </cell>
          <cell r="N389">
            <v>7</v>
          </cell>
          <cell r="O389">
            <v>68</v>
          </cell>
        </row>
        <row r="390">
          <cell r="A390" t="str">
            <v>260902-665699019102672</v>
          </cell>
          <cell r="H390">
            <v>46269.80967592593</v>
          </cell>
          <cell r="I390">
            <v>202609</v>
          </cell>
          <cell r="K390">
            <v>-46.05</v>
          </cell>
          <cell r="L390" t="str">
            <v>百亿补贴技术服务费</v>
          </cell>
          <cell r="N390">
            <v>7</v>
          </cell>
          <cell r="O390">
            <v>69</v>
          </cell>
        </row>
        <row r="391">
          <cell r="A391" t="str">
            <v>260902-665699019102672</v>
          </cell>
          <cell r="H391">
            <v>46269.80966435185</v>
          </cell>
          <cell r="I391">
            <v>202609</v>
          </cell>
          <cell r="K391">
            <v>2989</v>
          </cell>
          <cell r="L391" t="str">
            <v>订单收入</v>
          </cell>
          <cell r="N391">
            <v>7</v>
          </cell>
          <cell r="O391">
            <v>69</v>
          </cell>
        </row>
        <row r="392">
          <cell r="A392" t="str">
            <v>260902-665699019102672</v>
          </cell>
          <cell r="H392">
            <v>46269.80966435185</v>
          </cell>
          <cell r="I392">
            <v>202609</v>
          </cell>
          <cell r="K392">
            <v>300</v>
          </cell>
          <cell r="L392" t="str">
            <v>优惠券结算</v>
          </cell>
          <cell r="N392">
            <v>7</v>
          </cell>
          <cell r="O392">
            <v>69</v>
          </cell>
        </row>
        <row r="393">
          <cell r="A393" t="str">
            <v>260902-665699019102672</v>
          </cell>
          <cell r="H393">
            <v>46269.80966435185</v>
          </cell>
          <cell r="I393">
            <v>202609</v>
          </cell>
          <cell r="K393">
            <v>-19.73</v>
          </cell>
          <cell r="L393" t="str">
            <v>基础技术服务费</v>
          </cell>
          <cell r="N393">
            <v>7</v>
          </cell>
          <cell r="O393">
            <v>69</v>
          </cell>
        </row>
        <row r="394">
          <cell r="A394" t="str">
            <v>260824-149013153371764</v>
          </cell>
          <cell r="H394">
            <v>46269.761099537034</v>
          </cell>
          <cell r="I394">
            <v>202609</v>
          </cell>
          <cell r="K394">
            <v>-134.39</v>
          </cell>
          <cell r="L394" t="str">
            <v>百亿补贴技术服务费</v>
          </cell>
          <cell r="N394">
            <v>7</v>
          </cell>
          <cell r="O394">
            <v>70</v>
          </cell>
        </row>
        <row r="395">
          <cell r="A395" t="str">
            <v>260824-149013153371764</v>
          </cell>
          <cell r="H395">
            <v>46269.761087962965</v>
          </cell>
          <cell r="I395">
            <v>202609</v>
          </cell>
          <cell r="K395">
            <v>300</v>
          </cell>
          <cell r="L395" t="str">
            <v>优惠券结算</v>
          </cell>
          <cell r="N395">
            <v>7</v>
          </cell>
          <cell r="O395">
            <v>70</v>
          </cell>
        </row>
        <row r="396">
          <cell r="A396" t="str">
            <v>260824-149013153371764</v>
          </cell>
          <cell r="H396">
            <v>46269.761087962965</v>
          </cell>
          <cell r="I396">
            <v>202609</v>
          </cell>
          <cell r="K396">
            <v>9299</v>
          </cell>
          <cell r="L396" t="str">
            <v>订单收入</v>
          </cell>
          <cell r="N396">
            <v>7</v>
          </cell>
          <cell r="O396">
            <v>70</v>
          </cell>
        </row>
        <row r="397">
          <cell r="A397" t="str">
            <v>260824-149013153371764</v>
          </cell>
          <cell r="H397">
            <v>46269.761087962965</v>
          </cell>
          <cell r="I397">
            <v>202609</v>
          </cell>
          <cell r="K397">
            <v>-57.59</v>
          </cell>
          <cell r="L397" t="str">
            <v>基础技术服务费</v>
          </cell>
          <cell r="N397">
            <v>7</v>
          </cell>
          <cell r="O397">
            <v>70</v>
          </cell>
        </row>
        <row r="398">
          <cell r="H398">
            <v>46269.41150462963</v>
          </cell>
          <cell r="I398">
            <v>202609</v>
          </cell>
          <cell r="K398">
            <v>-100000</v>
          </cell>
          <cell r="L398" t="str">
            <v>提现</v>
          </cell>
          <cell r="N398">
            <v>7</v>
          </cell>
          <cell r="O398">
            <v>70</v>
          </cell>
        </row>
        <row r="399">
          <cell r="A399" t="str">
            <v>260820-316607075930482</v>
          </cell>
          <cell r="H399">
            <v>46269.260300925926</v>
          </cell>
          <cell r="I399">
            <v>202609</v>
          </cell>
          <cell r="K399">
            <v>-41.99</v>
          </cell>
          <cell r="L399" t="str">
            <v>百亿补贴技术服务费</v>
          </cell>
          <cell r="N399">
            <v>7</v>
          </cell>
          <cell r="O399">
            <v>71</v>
          </cell>
        </row>
        <row r="400">
          <cell r="A400" t="str">
            <v>260820-316607075930482</v>
          </cell>
          <cell r="H400">
            <v>46269.260300925926</v>
          </cell>
          <cell r="I400">
            <v>202609</v>
          </cell>
          <cell r="K400">
            <v>-17.99</v>
          </cell>
          <cell r="L400" t="str">
            <v>基础技术服务费</v>
          </cell>
          <cell r="N400">
            <v>7</v>
          </cell>
          <cell r="O400">
            <v>71</v>
          </cell>
        </row>
        <row r="401">
          <cell r="A401" t="str">
            <v>260820-316607075930482</v>
          </cell>
          <cell r="H401">
            <v>46269.260300925926</v>
          </cell>
          <cell r="I401">
            <v>202609</v>
          </cell>
          <cell r="K401">
            <v>2999</v>
          </cell>
          <cell r="L401" t="str">
            <v>订单收入</v>
          </cell>
          <cell r="N401">
            <v>7</v>
          </cell>
          <cell r="O401">
            <v>71</v>
          </cell>
        </row>
        <row r="402">
          <cell r="A402" t="str">
            <v>260819-321535424863315</v>
          </cell>
          <cell r="H402">
            <v>46269.19766203704</v>
          </cell>
          <cell r="I402">
            <v>202609</v>
          </cell>
          <cell r="K402">
            <v>7899</v>
          </cell>
          <cell r="L402" t="str">
            <v>订单收入</v>
          </cell>
          <cell r="N402">
            <v>7</v>
          </cell>
          <cell r="O402">
            <v>71</v>
          </cell>
        </row>
        <row r="403">
          <cell r="A403" t="str">
            <v>260819-321535424863315</v>
          </cell>
          <cell r="H403">
            <v>46269.19766203704</v>
          </cell>
          <cell r="I403">
            <v>202609</v>
          </cell>
          <cell r="K403">
            <v>-49.19</v>
          </cell>
          <cell r="L403" t="str">
            <v>基础技术服务费</v>
          </cell>
          <cell r="N403">
            <v>7</v>
          </cell>
          <cell r="O403">
            <v>71</v>
          </cell>
        </row>
        <row r="404">
          <cell r="A404" t="str">
            <v>260819-321535424863315</v>
          </cell>
          <cell r="H404">
            <v>46269.19766203704</v>
          </cell>
          <cell r="I404">
            <v>202609</v>
          </cell>
          <cell r="K404">
            <v>-114.79</v>
          </cell>
          <cell r="L404" t="str">
            <v>百亿补贴技术服务费</v>
          </cell>
          <cell r="N404">
            <v>7</v>
          </cell>
          <cell r="O404">
            <v>72</v>
          </cell>
        </row>
        <row r="405">
          <cell r="A405" t="str">
            <v>260819-321535424863315</v>
          </cell>
          <cell r="H405">
            <v>46269.19766203704</v>
          </cell>
          <cell r="I405">
            <v>202609</v>
          </cell>
          <cell r="K405">
            <v>300</v>
          </cell>
          <cell r="L405" t="str">
            <v>优惠券结算</v>
          </cell>
          <cell r="N405">
            <v>7</v>
          </cell>
          <cell r="O405">
            <v>72</v>
          </cell>
        </row>
        <row r="406">
          <cell r="A406" t="str">
            <v>260901-505418892803156</v>
          </cell>
          <cell r="H406">
            <v>46268.8962962963</v>
          </cell>
          <cell r="I406">
            <v>202609</v>
          </cell>
          <cell r="K406">
            <v>-19.73</v>
          </cell>
          <cell r="L406" t="str">
            <v>基础技术服务费</v>
          </cell>
          <cell r="N406">
            <v>7</v>
          </cell>
          <cell r="O406">
            <v>72</v>
          </cell>
        </row>
        <row r="407">
          <cell r="A407" t="str">
            <v>260901-505418892803156</v>
          </cell>
          <cell r="H407">
            <v>46268.8962962963</v>
          </cell>
          <cell r="I407">
            <v>202609</v>
          </cell>
          <cell r="K407">
            <v>3289</v>
          </cell>
          <cell r="L407" t="str">
            <v>订单收入</v>
          </cell>
          <cell r="N407">
            <v>7</v>
          </cell>
          <cell r="O407">
            <v>72</v>
          </cell>
        </row>
        <row r="408">
          <cell r="A408" t="str">
            <v>260901-505418892803156</v>
          </cell>
          <cell r="H408">
            <v>46268.8962962963</v>
          </cell>
          <cell r="I408">
            <v>202609</v>
          </cell>
          <cell r="K408">
            <v>-46.05</v>
          </cell>
          <cell r="L408" t="str">
            <v>百亿补贴技术服务费</v>
          </cell>
          <cell r="N408">
            <v>7</v>
          </cell>
          <cell r="O408">
            <v>73</v>
          </cell>
        </row>
        <row r="409">
          <cell r="A409" t="str">
            <v>260903-051464169812913</v>
          </cell>
          <cell r="H409">
            <v>46268.70277777778</v>
          </cell>
          <cell r="I409">
            <v>202609</v>
          </cell>
          <cell r="K409">
            <v>50.39</v>
          </cell>
          <cell r="L409" t="str">
            <v>百亿补贴技术服务费</v>
          </cell>
          <cell r="N409">
            <v>7</v>
          </cell>
          <cell r="O409">
            <v>73</v>
          </cell>
        </row>
        <row r="410">
          <cell r="A410" t="str">
            <v>260903-051464169812913</v>
          </cell>
          <cell r="H410">
            <v>46268.702060185184</v>
          </cell>
          <cell r="I410">
            <v>202609</v>
          </cell>
          <cell r="K410">
            <v>-3599</v>
          </cell>
          <cell r="L410" t="str">
            <v>交易退款</v>
          </cell>
          <cell r="N410">
            <v>7</v>
          </cell>
          <cell r="O410">
            <v>73</v>
          </cell>
        </row>
        <row r="411">
          <cell r="A411" t="str">
            <v>260903-051464169812913</v>
          </cell>
          <cell r="H411">
            <v>46268.702060185184</v>
          </cell>
          <cell r="I411">
            <v>202609</v>
          </cell>
          <cell r="K411">
            <v>21.59</v>
          </cell>
          <cell r="L411" t="str">
            <v>基础技术服务费</v>
          </cell>
          <cell r="N411">
            <v>7</v>
          </cell>
          <cell r="O411">
            <v>73</v>
          </cell>
        </row>
        <row r="412">
          <cell r="A412" t="str">
            <v>260903-051464169812913</v>
          </cell>
          <cell r="H412">
            <v>46268.702060185184</v>
          </cell>
          <cell r="I412">
            <v>202609</v>
          </cell>
          <cell r="K412">
            <v>3599</v>
          </cell>
          <cell r="L412" t="str">
            <v>订单收入</v>
          </cell>
          <cell r="N412">
            <v>7</v>
          </cell>
          <cell r="O412">
            <v>73</v>
          </cell>
        </row>
        <row r="413">
          <cell r="A413" t="str">
            <v>260903-051464169812913</v>
          </cell>
          <cell r="H413">
            <v>46268.702060185184</v>
          </cell>
          <cell r="I413">
            <v>202609</v>
          </cell>
          <cell r="K413">
            <v>-50.39</v>
          </cell>
          <cell r="L413" t="str">
            <v>百亿补贴技术服务费</v>
          </cell>
          <cell r="N413">
            <v>7</v>
          </cell>
          <cell r="O413">
            <v>74</v>
          </cell>
        </row>
        <row r="414">
          <cell r="A414" t="str">
            <v>260903-051464169812913</v>
          </cell>
          <cell r="H414">
            <v>46268.70108796296</v>
          </cell>
          <cell r="I414">
            <v>202609</v>
          </cell>
          <cell r="K414">
            <v>-21.59</v>
          </cell>
          <cell r="L414" t="str">
            <v>基础技术服务费</v>
          </cell>
          <cell r="N414">
            <v>7</v>
          </cell>
          <cell r="O414">
            <v>74</v>
          </cell>
        </row>
        <row r="415">
          <cell r="A415" t="str">
            <v>260903-310053486891581</v>
          </cell>
          <cell r="H415">
            <v>46268.463125</v>
          </cell>
          <cell r="I415">
            <v>202609</v>
          </cell>
          <cell r="K415">
            <v>51.79</v>
          </cell>
          <cell r="L415" t="str">
            <v>百亿补贴技术服务费</v>
          </cell>
          <cell r="N415">
            <v>7</v>
          </cell>
          <cell r="O415">
            <v>74</v>
          </cell>
        </row>
        <row r="416">
          <cell r="A416" t="str">
            <v>260903-310053486891581</v>
          </cell>
          <cell r="H416">
            <v>46268.46241898148</v>
          </cell>
          <cell r="I416">
            <v>202609</v>
          </cell>
          <cell r="K416">
            <v>-51.79</v>
          </cell>
          <cell r="L416" t="str">
            <v>百亿补贴技术服务费</v>
          </cell>
          <cell r="N416">
            <v>7</v>
          </cell>
          <cell r="O416">
            <v>75</v>
          </cell>
        </row>
        <row r="417">
          <cell r="A417" t="str">
            <v>260903-310053486891581</v>
          </cell>
          <cell r="H417">
            <v>46268.46240740741</v>
          </cell>
          <cell r="I417">
            <v>202609</v>
          </cell>
          <cell r="K417">
            <v>22.19</v>
          </cell>
          <cell r="L417" t="str">
            <v>基础技术服务费</v>
          </cell>
          <cell r="N417">
            <v>7</v>
          </cell>
          <cell r="O417">
            <v>75</v>
          </cell>
        </row>
        <row r="418">
          <cell r="A418" t="str">
            <v>260903-310053486891581</v>
          </cell>
          <cell r="H418">
            <v>46268.46240740741</v>
          </cell>
          <cell r="I418">
            <v>202609</v>
          </cell>
          <cell r="K418">
            <v>340</v>
          </cell>
          <cell r="L418" t="str">
            <v>优惠券结算</v>
          </cell>
          <cell r="N418">
            <v>7</v>
          </cell>
          <cell r="O418">
            <v>75</v>
          </cell>
        </row>
        <row r="419">
          <cell r="A419" t="str">
            <v>260903-310053486891581</v>
          </cell>
          <cell r="H419">
            <v>46268.46240740741</v>
          </cell>
          <cell r="I419">
            <v>202609</v>
          </cell>
          <cell r="K419">
            <v>3359</v>
          </cell>
          <cell r="L419" t="str">
            <v>订单收入</v>
          </cell>
          <cell r="N419">
            <v>7</v>
          </cell>
          <cell r="O419">
            <v>75</v>
          </cell>
        </row>
        <row r="420">
          <cell r="A420" t="str">
            <v>260903-310053486891581</v>
          </cell>
          <cell r="H420">
            <v>46268.46240740741</v>
          </cell>
          <cell r="I420">
            <v>202609</v>
          </cell>
          <cell r="K420">
            <v>-3359</v>
          </cell>
          <cell r="L420" t="str">
            <v>交易退款</v>
          </cell>
          <cell r="N420">
            <v>7</v>
          </cell>
          <cell r="O420">
            <v>75</v>
          </cell>
        </row>
        <row r="421">
          <cell r="A421" t="str">
            <v>260903-310053486891581</v>
          </cell>
          <cell r="H421">
            <v>46268.46240740741</v>
          </cell>
          <cell r="I421">
            <v>202609</v>
          </cell>
          <cell r="K421">
            <v>-340</v>
          </cell>
          <cell r="L421" t="str">
            <v>退款扣优惠券</v>
          </cell>
          <cell r="N421">
            <v>7</v>
          </cell>
          <cell r="O421">
            <v>75</v>
          </cell>
        </row>
        <row r="422">
          <cell r="A422" t="str">
            <v>260903-310053486891581</v>
          </cell>
          <cell r="H422">
            <v>46268.46013888889</v>
          </cell>
          <cell r="I422">
            <v>202609</v>
          </cell>
          <cell r="K422">
            <v>-22.19</v>
          </cell>
          <cell r="L422" t="str">
            <v>基础技术服务费</v>
          </cell>
          <cell r="N422">
            <v>7</v>
          </cell>
          <cell r="O422">
            <v>75</v>
          </cell>
        </row>
        <row r="423">
          <cell r="A423" t="str">
            <v>260902-665699019102672</v>
          </cell>
          <cell r="H423">
            <v>46268.45243055555</v>
          </cell>
          <cell r="I423">
            <v>202609</v>
          </cell>
          <cell r="K423">
            <v>-0.26</v>
          </cell>
          <cell r="L423" t="str">
            <v>消费者体验提升计划</v>
          </cell>
          <cell r="N423">
            <v>7</v>
          </cell>
          <cell r="O423">
            <v>75</v>
          </cell>
        </row>
        <row r="424">
          <cell r="A424" t="str">
            <v>260902-023834170953239</v>
          </cell>
          <cell r="H424">
            <v>46268.45243055555</v>
          </cell>
          <cell r="I424">
            <v>202609</v>
          </cell>
          <cell r="K424">
            <v>-0.26</v>
          </cell>
          <cell r="L424" t="str">
            <v>消费者体验提升计划</v>
          </cell>
          <cell r="N424">
            <v>7</v>
          </cell>
          <cell r="O424">
            <v>75</v>
          </cell>
        </row>
        <row r="425">
          <cell r="A425" t="str">
            <v>260902-301318859091138</v>
          </cell>
          <cell r="H425">
            <v>46267.802928240744</v>
          </cell>
          <cell r="I425">
            <v>202609</v>
          </cell>
          <cell r="K425">
            <v>-0.26</v>
          </cell>
          <cell r="L425" t="str">
            <v>消费者体验提升计划</v>
          </cell>
          <cell r="N425">
            <v>7</v>
          </cell>
          <cell r="O425">
            <v>75</v>
          </cell>
        </row>
        <row r="426">
          <cell r="A426" t="str">
            <v>260817-479251668532839</v>
          </cell>
          <cell r="H426">
            <v>46267.694652777776</v>
          </cell>
          <cell r="I426">
            <v>202609</v>
          </cell>
          <cell r="K426">
            <v>100</v>
          </cell>
          <cell r="L426" t="str">
            <v>申诉补回</v>
          </cell>
          <cell r="N426">
            <v>7</v>
          </cell>
          <cell r="O426">
            <v>75</v>
          </cell>
        </row>
        <row r="427">
          <cell r="A427" t="str">
            <v>260817-479251668532839</v>
          </cell>
          <cell r="H427">
            <v>46267.62144675926</v>
          </cell>
          <cell r="I427">
            <v>202609</v>
          </cell>
          <cell r="K427">
            <v>-100</v>
          </cell>
          <cell r="L427" t="str">
            <v>售后补偿</v>
          </cell>
          <cell r="N427">
            <v>7</v>
          </cell>
          <cell r="O427">
            <v>75</v>
          </cell>
        </row>
        <row r="428">
          <cell r="A428" t="str">
            <v>260902-032600235543041</v>
          </cell>
          <cell r="H428">
            <v>46267.455509259256</v>
          </cell>
          <cell r="I428">
            <v>202609</v>
          </cell>
          <cell r="K428">
            <v>-0.26</v>
          </cell>
          <cell r="L428" t="str">
            <v>消费者体验提升计划</v>
          </cell>
          <cell r="N428">
            <v>7</v>
          </cell>
          <cell r="O428">
            <v>75</v>
          </cell>
        </row>
        <row r="429">
          <cell r="A429" t="str">
            <v>260902-672577687940258</v>
          </cell>
          <cell r="H429">
            <v>46267.042337962965</v>
          </cell>
          <cell r="I429">
            <v>202609</v>
          </cell>
          <cell r="K429">
            <v>50.39</v>
          </cell>
          <cell r="L429" t="str">
            <v>百亿补贴技术服务费</v>
          </cell>
          <cell r="N429">
            <v>7</v>
          </cell>
          <cell r="O429">
            <v>75</v>
          </cell>
        </row>
        <row r="430">
          <cell r="A430" t="str">
            <v>260902-672577687940258</v>
          </cell>
          <cell r="H430">
            <v>46267.04158564815</v>
          </cell>
          <cell r="I430">
            <v>202609</v>
          </cell>
          <cell r="K430">
            <v>-50.39</v>
          </cell>
          <cell r="L430" t="str">
            <v>百亿补贴技术服务费</v>
          </cell>
          <cell r="N430">
            <v>7</v>
          </cell>
          <cell r="O430">
            <v>76</v>
          </cell>
        </row>
        <row r="431">
          <cell r="A431" t="str">
            <v>260902-672577687940258</v>
          </cell>
          <cell r="H431">
            <v>46267.04157407407</v>
          </cell>
          <cell r="I431">
            <v>202609</v>
          </cell>
          <cell r="K431">
            <v>21.59</v>
          </cell>
          <cell r="L431" t="str">
            <v>基础技术服务费</v>
          </cell>
          <cell r="N431">
            <v>7</v>
          </cell>
          <cell r="O431">
            <v>76</v>
          </cell>
        </row>
        <row r="432">
          <cell r="A432" t="str">
            <v>260902-672577687940258</v>
          </cell>
          <cell r="H432">
            <v>46267.04157407407</v>
          </cell>
          <cell r="I432">
            <v>202609</v>
          </cell>
          <cell r="K432">
            <v>3599</v>
          </cell>
          <cell r="L432" t="str">
            <v>订单收入</v>
          </cell>
          <cell r="N432">
            <v>7</v>
          </cell>
          <cell r="O432">
            <v>76</v>
          </cell>
        </row>
        <row r="433">
          <cell r="A433" t="str">
            <v>260902-672577687940258</v>
          </cell>
          <cell r="H433">
            <v>46267.04157407407</v>
          </cell>
          <cell r="I433">
            <v>202609</v>
          </cell>
          <cell r="K433">
            <v>-3599</v>
          </cell>
          <cell r="L433" t="str">
            <v>交易退款</v>
          </cell>
          <cell r="N433">
            <v>7</v>
          </cell>
          <cell r="O433">
            <v>76</v>
          </cell>
        </row>
        <row r="434">
          <cell r="A434" t="str">
            <v>260902-672577687940258</v>
          </cell>
          <cell r="H434">
            <v>46267.0387962963</v>
          </cell>
          <cell r="I434">
            <v>202609</v>
          </cell>
          <cell r="K434">
            <v>-21.59</v>
          </cell>
          <cell r="L434" t="str">
            <v>基础技术服务费</v>
          </cell>
          <cell r="N434">
            <v>7</v>
          </cell>
          <cell r="O434">
            <v>76</v>
          </cell>
        </row>
        <row r="435">
          <cell r="A435" t="str">
            <v>260901-322950940160751</v>
          </cell>
          <cell r="H435">
            <v>46266.997349537036</v>
          </cell>
          <cell r="I435">
            <v>202609</v>
          </cell>
          <cell r="K435">
            <v>53.19</v>
          </cell>
          <cell r="L435" t="str">
            <v>百亿补贴技术服务费</v>
          </cell>
          <cell r="N435">
            <v>7</v>
          </cell>
          <cell r="O435">
            <v>76</v>
          </cell>
        </row>
        <row r="436">
          <cell r="A436" t="str">
            <v>260901-322950940160751</v>
          </cell>
          <cell r="H436">
            <v>46266.99659722222</v>
          </cell>
          <cell r="I436">
            <v>202609</v>
          </cell>
          <cell r="K436">
            <v>-53.19</v>
          </cell>
          <cell r="L436" t="str">
            <v>百亿补贴技术服务费</v>
          </cell>
          <cell r="N436">
            <v>7</v>
          </cell>
          <cell r="O436">
            <v>77</v>
          </cell>
        </row>
        <row r="437">
          <cell r="A437" t="str">
            <v>260901-322950940160751</v>
          </cell>
          <cell r="H437">
            <v>46266.99658564815</v>
          </cell>
          <cell r="I437">
            <v>202609</v>
          </cell>
          <cell r="K437">
            <v>22.79</v>
          </cell>
          <cell r="L437" t="str">
            <v>基础技术服务费</v>
          </cell>
          <cell r="N437">
            <v>7</v>
          </cell>
          <cell r="O437">
            <v>77</v>
          </cell>
        </row>
        <row r="438">
          <cell r="A438" t="str">
            <v>260901-322950940160751</v>
          </cell>
          <cell r="H438">
            <v>46266.99658564815</v>
          </cell>
          <cell r="I438">
            <v>202609</v>
          </cell>
          <cell r="K438">
            <v>-3799</v>
          </cell>
          <cell r="L438" t="str">
            <v>交易退款</v>
          </cell>
          <cell r="N438">
            <v>7</v>
          </cell>
          <cell r="O438">
            <v>77</v>
          </cell>
        </row>
        <row r="439">
          <cell r="A439" t="str">
            <v>260901-322950940160751</v>
          </cell>
          <cell r="H439">
            <v>46266.99658564815</v>
          </cell>
          <cell r="I439">
            <v>202609</v>
          </cell>
          <cell r="K439">
            <v>3799</v>
          </cell>
          <cell r="L439" t="str">
            <v>订单收入</v>
          </cell>
          <cell r="N439">
            <v>7</v>
          </cell>
          <cell r="O439">
            <v>77</v>
          </cell>
        </row>
        <row r="440">
          <cell r="A440" t="str">
            <v>260901-322950940160751</v>
          </cell>
          <cell r="H440">
            <v>46266.994780092595</v>
          </cell>
          <cell r="I440">
            <v>202609</v>
          </cell>
          <cell r="K440">
            <v>-22.79</v>
          </cell>
          <cell r="L440" t="str">
            <v>基础技术服务费</v>
          </cell>
          <cell r="N440">
            <v>7</v>
          </cell>
          <cell r="O440">
            <v>77</v>
          </cell>
        </row>
        <row r="441">
          <cell r="A441" t="str">
            <v>260901-505418892803156</v>
          </cell>
          <cell r="H441">
            <v>46266.76694444445</v>
          </cell>
          <cell r="I441">
            <v>202609</v>
          </cell>
          <cell r="K441">
            <v>-0.26</v>
          </cell>
          <cell r="L441" t="str">
            <v>消费者体验提升计划</v>
          </cell>
          <cell r="N441">
            <v>7</v>
          </cell>
          <cell r="O441">
            <v>77</v>
          </cell>
        </row>
        <row r="442">
          <cell r="A442" t="str">
            <v>260802-569198528023788</v>
          </cell>
          <cell r="H442">
            <v>46266.71596064815</v>
          </cell>
          <cell r="I442">
            <v>202609</v>
          </cell>
          <cell r="K442">
            <v>-51.77</v>
          </cell>
          <cell r="L442" t="str">
            <v>百亿补贴技术服务费</v>
          </cell>
          <cell r="N442">
            <v>7</v>
          </cell>
          <cell r="O442">
            <v>78</v>
          </cell>
        </row>
        <row r="443">
          <cell r="A443" t="str">
            <v>260802-569198528023788</v>
          </cell>
          <cell r="H443">
            <v>46266.715949074074</v>
          </cell>
          <cell r="I443">
            <v>202609</v>
          </cell>
          <cell r="K443">
            <v>3698</v>
          </cell>
          <cell r="L443" t="str">
            <v>订单收入</v>
          </cell>
          <cell r="N443">
            <v>7</v>
          </cell>
          <cell r="O443">
            <v>78</v>
          </cell>
        </row>
        <row r="444">
          <cell r="A444" t="str">
            <v>260802-569198528023788</v>
          </cell>
          <cell r="H444">
            <v>46266.715949074074</v>
          </cell>
          <cell r="I444">
            <v>202609</v>
          </cell>
          <cell r="K444">
            <v>-22.19</v>
          </cell>
          <cell r="L444" t="str">
            <v>基础技术服务费</v>
          </cell>
          <cell r="N444">
            <v>7</v>
          </cell>
          <cell r="O444">
            <v>78</v>
          </cell>
        </row>
        <row r="445">
          <cell r="A445" t="str">
            <v>260822-644287117651708</v>
          </cell>
          <cell r="H445">
            <v>46266.55615740741</v>
          </cell>
          <cell r="I445">
            <v>202609</v>
          </cell>
          <cell r="K445">
            <v>-45.21</v>
          </cell>
          <cell r="L445" t="str">
            <v>百亿补贴技术服务费</v>
          </cell>
          <cell r="N445">
            <v>7</v>
          </cell>
          <cell r="O445">
            <v>79</v>
          </cell>
        </row>
        <row r="446">
          <cell r="A446" t="str">
            <v>260822-644287117651708</v>
          </cell>
          <cell r="H446">
            <v>46266.55615740741</v>
          </cell>
          <cell r="I446">
            <v>202609</v>
          </cell>
          <cell r="K446">
            <v>3</v>
          </cell>
          <cell r="L446" t="str">
            <v>优惠券结算</v>
          </cell>
          <cell r="N446">
            <v>7</v>
          </cell>
          <cell r="O446">
            <v>79</v>
          </cell>
        </row>
        <row r="447">
          <cell r="A447" t="str">
            <v>260822-644287117651708</v>
          </cell>
          <cell r="H447">
            <v>46266.55615740741</v>
          </cell>
          <cell r="I447">
            <v>202609</v>
          </cell>
          <cell r="K447">
            <v>3226</v>
          </cell>
          <cell r="L447" t="str">
            <v>订单收入</v>
          </cell>
          <cell r="N447">
            <v>7</v>
          </cell>
          <cell r="O447">
            <v>79</v>
          </cell>
        </row>
        <row r="448">
          <cell r="A448" t="str">
            <v>260822-644287117651708</v>
          </cell>
          <cell r="H448">
            <v>46266.55615740741</v>
          </cell>
          <cell r="I448">
            <v>202609</v>
          </cell>
          <cell r="K448">
            <v>-19.37</v>
          </cell>
          <cell r="L448" t="str">
            <v>基础技术服务费</v>
          </cell>
          <cell r="N448">
            <v>7</v>
          </cell>
          <cell r="O448">
            <v>79</v>
          </cell>
        </row>
        <row r="449">
          <cell r="A449" t="str">
            <v>260821-152305692230188</v>
          </cell>
          <cell r="H449">
            <v>46266.45543981482</v>
          </cell>
          <cell r="I449">
            <v>202609</v>
          </cell>
          <cell r="K449">
            <v>-50.39</v>
          </cell>
          <cell r="L449" t="str">
            <v>百亿补贴技术服务费</v>
          </cell>
          <cell r="N449">
            <v>7</v>
          </cell>
          <cell r="O449">
            <v>80</v>
          </cell>
        </row>
        <row r="450">
          <cell r="A450" t="str">
            <v>260821-384491875851429</v>
          </cell>
          <cell r="H450">
            <v>46266.45543981482</v>
          </cell>
          <cell r="I450">
            <v>202609</v>
          </cell>
          <cell r="K450">
            <v>-50.39</v>
          </cell>
          <cell r="L450" t="str">
            <v>百亿补贴技术服务费</v>
          </cell>
          <cell r="N450">
            <v>7</v>
          </cell>
          <cell r="O450">
            <v>81</v>
          </cell>
        </row>
        <row r="451">
          <cell r="A451" t="str">
            <v>260821-152305692230188</v>
          </cell>
          <cell r="H451">
            <v>46266.45542824074</v>
          </cell>
          <cell r="I451">
            <v>202609</v>
          </cell>
          <cell r="K451">
            <v>3599</v>
          </cell>
          <cell r="L451" t="str">
            <v>订单收入</v>
          </cell>
          <cell r="N451">
            <v>7</v>
          </cell>
          <cell r="O451">
            <v>81</v>
          </cell>
        </row>
        <row r="452">
          <cell r="A452" t="str">
            <v>260821-384491875851429</v>
          </cell>
          <cell r="H452">
            <v>46266.45542824074</v>
          </cell>
          <cell r="I452">
            <v>202609</v>
          </cell>
          <cell r="K452">
            <v>340</v>
          </cell>
          <cell r="L452" t="str">
            <v>优惠券结算</v>
          </cell>
          <cell r="N452">
            <v>7</v>
          </cell>
          <cell r="O452">
            <v>81</v>
          </cell>
        </row>
        <row r="453">
          <cell r="A453" t="str">
            <v>260821-384491875851429</v>
          </cell>
          <cell r="H453">
            <v>46266.45542824074</v>
          </cell>
          <cell r="I453">
            <v>202609</v>
          </cell>
          <cell r="K453">
            <v>3259</v>
          </cell>
          <cell r="L453" t="str">
            <v>订单收入</v>
          </cell>
          <cell r="N453">
            <v>7</v>
          </cell>
          <cell r="O453">
            <v>81</v>
          </cell>
        </row>
        <row r="454">
          <cell r="A454" t="str">
            <v>260821-384491875851429</v>
          </cell>
          <cell r="H454">
            <v>46266.45542824074</v>
          </cell>
          <cell r="I454">
            <v>202609</v>
          </cell>
          <cell r="K454">
            <v>-21.59</v>
          </cell>
          <cell r="L454" t="str">
            <v>基础技术服务费</v>
          </cell>
          <cell r="N454">
            <v>7</v>
          </cell>
          <cell r="O454">
            <v>81</v>
          </cell>
        </row>
        <row r="455">
          <cell r="A455" t="str">
            <v>260821-152305692230188</v>
          </cell>
          <cell r="H455">
            <v>46266.45542824074</v>
          </cell>
          <cell r="I455">
            <v>202609</v>
          </cell>
          <cell r="K455">
            <v>-21.59</v>
          </cell>
          <cell r="L455" t="str">
            <v>基础技术服务费</v>
          </cell>
          <cell r="N455">
            <v>7</v>
          </cell>
          <cell r="O455">
            <v>81</v>
          </cell>
        </row>
        <row r="456">
          <cell r="A456" t="str">
            <v>260831-252816996641031</v>
          </cell>
          <cell r="H456">
            <v>46266.386724537035</v>
          </cell>
          <cell r="I456">
            <v>202609</v>
          </cell>
          <cell r="K456">
            <v>46.05</v>
          </cell>
          <cell r="L456" t="str">
            <v>百亿补贴技术服务费</v>
          </cell>
          <cell r="N456">
            <v>7</v>
          </cell>
          <cell r="O456">
            <v>81</v>
          </cell>
        </row>
        <row r="457">
          <cell r="A457" t="str">
            <v>260831-252816996641031</v>
          </cell>
          <cell r="H457">
            <v>46266.38601851852</v>
          </cell>
          <cell r="I457">
            <v>202609</v>
          </cell>
          <cell r="K457">
            <v>-46.05</v>
          </cell>
          <cell r="L457" t="str">
            <v>百亿补贴技术服务费</v>
          </cell>
          <cell r="N457">
            <v>7</v>
          </cell>
          <cell r="O457">
            <v>82</v>
          </cell>
        </row>
        <row r="458">
          <cell r="A458" t="str">
            <v>260831-252816996641031</v>
          </cell>
          <cell r="H458">
            <v>46266.38601851852</v>
          </cell>
          <cell r="I458">
            <v>202609</v>
          </cell>
          <cell r="K458">
            <v>19.73</v>
          </cell>
          <cell r="L458" t="str">
            <v>基础技术服务费</v>
          </cell>
          <cell r="N458">
            <v>7</v>
          </cell>
          <cell r="O458">
            <v>82</v>
          </cell>
        </row>
        <row r="459">
          <cell r="A459" t="str">
            <v>260831-252816996641031</v>
          </cell>
          <cell r="H459">
            <v>46266.38601851852</v>
          </cell>
          <cell r="I459">
            <v>202609</v>
          </cell>
          <cell r="K459">
            <v>-2239</v>
          </cell>
          <cell r="L459" t="str">
            <v>交易退款</v>
          </cell>
          <cell r="N459">
            <v>7</v>
          </cell>
          <cell r="O459">
            <v>82</v>
          </cell>
        </row>
        <row r="460">
          <cell r="A460" t="str">
            <v>260831-252816996641031</v>
          </cell>
          <cell r="H460">
            <v>46266.38601851852</v>
          </cell>
          <cell r="I460">
            <v>202609</v>
          </cell>
          <cell r="K460">
            <v>-1050</v>
          </cell>
          <cell r="L460" t="str">
            <v>退款扣优惠券</v>
          </cell>
          <cell r="N460">
            <v>7</v>
          </cell>
          <cell r="O460">
            <v>82</v>
          </cell>
        </row>
        <row r="461">
          <cell r="A461" t="str">
            <v>260831-252816996641031</v>
          </cell>
          <cell r="H461">
            <v>46266.38601851852</v>
          </cell>
          <cell r="I461">
            <v>202609</v>
          </cell>
          <cell r="K461">
            <v>1050</v>
          </cell>
          <cell r="L461" t="str">
            <v>优惠券结算</v>
          </cell>
          <cell r="N461">
            <v>7</v>
          </cell>
          <cell r="O461">
            <v>82</v>
          </cell>
        </row>
        <row r="462">
          <cell r="A462" t="str">
            <v>260831-252816996641031</v>
          </cell>
          <cell r="H462">
            <v>46266.38601851852</v>
          </cell>
          <cell r="I462">
            <v>202609</v>
          </cell>
          <cell r="K462">
            <v>2239</v>
          </cell>
          <cell r="L462" t="str">
            <v>订单收入</v>
          </cell>
          <cell r="N462">
            <v>7</v>
          </cell>
          <cell r="O462">
            <v>82</v>
          </cell>
        </row>
        <row r="463">
          <cell r="A463" t="str">
            <v>260831-252816996641031</v>
          </cell>
          <cell r="H463">
            <v>46266.3825462963</v>
          </cell>
          <cell r="I463">
            <v>202609</v>
          </cell>
          <cell r="K463">
            <v>-19.73</v>
          </cell>
          <cell r="L463" t="str">
            <v>基础技术服务费</v>
          </cell>
          <cell r="N463">
            <v>7</v>
          </cell>
          <cell r="O463">
            <v>82</v>
          </cell>
        </row>
        <row r="464">
          <cell r="A464" t="str">
            <v>260819-217652938392292</v>
          </cell>
          <cell r="H464">
            <v>46266.375543981485</v>
          </cell>
          <cell r="I464">
            <v>202609</v>
          </cell>
          <cell r="K464">
            <v>-114.79</v>
          </cell>
          <cell r="L464" t="str">
            <v>百亿补贴技术服务费</v>
          </cell>
          <cell r="N464">
            <v>7</v>
          </cell>
          <cell r="O464">
            <v>83</v>
          </cell>
        </row>
        <row r="465">
          <cell r="A465" t="str">
            <v>260819-217652938392292</v>
          </cell>
          <cell r="H465">
            <v>46266.375543981485</v>
          </cell>
          <cell r="I465">
            <v>202609</v>
          </cell>
          <cell r="K465">
            <v>300</v>
          </cell>
          <cell r="L465" t="str">
            <v>优惠券结算</v>
          </cell>
          <cell r="N465">
            <v>7</v>
          </cell>
          <cell r="O465">
            <v>83</v>
          </cell>
        </row>
        <row r="466">
          <cell r="A466" t="str">
            <v>260819-217652938392292</v>
          </cell>
          <cell r="H466">
            <v>46266.375543981485</v>
          </cell>
          <cell r="I466">
            <v>202609</v>
          </cell>
          <cell r="K466">
            <v>7899</v>
          </cell>
          <cell r="L466" t="str">
            <v>订单收入</v>
          </cell>
          <cell r="N466">
            <v>7</v>
          </cell>
          <cell r="O466">
            <v>83</v>
          </cell>
        </row>
        <row r="467">
          <cell r="A467" t="str">
            <v>260819-217652938392292</v>
          </cell>
          <cell r="H467">
            <v>46266.375543981485</v>
          </cell>
          <cell r="I467">
            <v>202609</v>
          </cell>
          <cell r="K467">
            <v>-49.19</v>
          </cell>
          <cell r="L467" t="str">
            <v>基础技术服务费</v>
          </cell>
          <cell r="N467">
            <v>7</v>
          </cell>
          <cell r="O467">
            <v>83</v>
          </cell>
        </row>
        <row r="468">
          <cell r="A468" t="str">
            <v>260831-137599424033503</v>
          </cell>
          <cell r="H468">
            <v>46266.08039351852</v>
          </cell>
          <cell r="I468">
            <v>202609</v>
          </cell>
          <cell r="K468">
            <v>46.05</v>
          </cell>
          <cell r="L468" t="str">
            <v>百亿补贴技术服务费</v>
          </cell>
          <cell r="N468">
            <v>7</v>
          </cell>
          <cell r="O468">
            <v>83</v>
          </cell>
        </row>
        <row r="469">
          <cell r="A469" t="str">
            <v>260831-137599424033503</v>
          </cell>
          <cell r="H469">
            <v>46266.0796875</v>
          </cell>
          <cell r="I469">
            <v>202609</v>
          </cell>
          <cell r="K469">
            <v>-46.05</v>
          </cell>
          <cell r="L469" t="str">
            <v>百亿补贴技术服务费</v>
          </cell>
          <cell r="N469">
            <v>7</v>
          </cell>
          <cell r="O469">
            <v>84</v>
          </cell>
        </row>
        <row r="470">
          <cell r="A470" t="str">
            <v>260831-137599424033503</v>
          </cell>
          <cell r="H470">
            <v>46266.079675925925</v>
          </cell>
          <cell r="I470">
            <v>202609</v>
          </cell>
          <cell r="K470">
            <v>19.73</v>
          </cell>
          <cell r="L470" t="str">
            <v>基础技术服务费</v>
          </cell>
          <cell r="N470">
            <v>7</v>
          </cell>
          <cell r="O470">
            <v>84</v>
          </cell>
        </row>
        <row r="471">
          <cell r="A471" t="str">
            <v>260831-137599424033503</v>
          </cell>
          <cell r="H471">
            <v>46266.079675925925</v>
          </cell>
          <cell r="I471">
            <v>202609</v>
          </cell>
          <cell r="K471">
            <v>-3289</v>
          </cell>
          <cell r="L471" t="str">
            <v>交易退款</v>
          </cell>
          <cell r="N471">
            <v>7</v>
          </cell>
          <cell r="O471">
            <v>84</v>
          </cell>
        </row>
        <row r="472">
          <cell r="A472" t="str">
            <v>260831-137599424033503</v>
          </cell>
          <cell r="H472">
            <v>46266.079675925925</v>
          </cell>
          <cell r="I472">
            <v>202609</v>
          </cell>
          <cell r="K472">
            <v>3289</v>
          </cell>
          <cell r="L472" t="str">
            <v>订单收入</v>
          </cell>
          <cell r="N472">
            <v>7</v>
          </cell>
          <cell r="O472">
            <v>84</v>
          </cell>
        </row>
        <row r="473">
          <cell r="A473" t="str">
            <v>260831-137599424033503</v>
          </cell>
          <cell r="H473">
            <v>46266.0759837963</v>
          </cell>
          <cell r="I473">
            <v>202609</v>
          </cell>
          <cell r="K473">
            <v>-19.73</v>
          </cell>
          <cell r="L473" t="str">
            <v>基础技术服务费</v>
          </cell>
          <cell r="N473">
            <v>7</v>
          </cell>
          <cell r="O473">
            <v>84</v>
          </cell>
        </row>
        <row r="474">
          <cell r="I474">
            <v>202609</v>
          </cell>
          <cell r="K474">
            <v>0</v>
          </cell>
          <cell r="N474">
            <v>7</v>
          </cell>
          <cell r="O474">
            <v>84</v>
          </cell>
        </row>
        <row r="475">
          <cell r="A475" t="str">
            <v>#支出合计：267笔-261511.07元</v>
          </cell>
          <cell r="I475">
            <v>202609</v>
          </cell>
          <cell r="K475">
            <v>0</v>
          </cell>
          <cell r="N475">
            <v>7</v>
          </cell>
          <cell r="O475">
            <v>84</v>
          </cell>
        </row>
        <row r="476">
          <cell r="A476" t="str">
            <v>#收入合计：203笔322901.93元</v>
          </cell>
          <cell r="I476">
            <v>202609</v>
          </cell>
          <cell r="K476">
            <v>0</v>
          </cell>
          <cell r="N476">
            <v>7</v>
          </cell>
          <cell r="O476">
            <v>84</v>
          </cell>
        </row>
        <row r="477">
          <cell r="A477" t="str">
            <v>#总计：61390.86元</v>
          </cell>
          <cell r="I477">
            <v>202609</v>
          </cell>
          <cell r="J477">
            <v>61390.86</v>
          </cell>
          <cell r="K477">
            <v>0</v>
          </cell>
          <cell r="N477">
            <v>7</v>
          </cell>
          <cell r="O477">
            <v>84</v>
          </cell>
        </row>
        <row r="478">
          <cell r="A478" t="str">
            <v>#导出时间：2026-10-14 10:36:33</v>
          </cell>
          <cell r="I478">
            <v>202609</v>
          </cell>
          <cell r="K478">
            <v>0</v>
          </cell>
          <cell r="N478">
            <v>7</v>
          </cell>
          <cell r="O478">
            <v>84</v>
          </cell>
        </row>
        <row r="479">
          <cell r="I479">
            <v>202609</v>
          </cell>
          <cell r="K479">
            <v>0</v>
          </cell>
          <cell r="N479">
            <v>7</v>
          </cell>
          <cell r="O479">
            <v>84</v>
          </cell>
        </row>
        <row r="480">
          <cell r="I480">
            <v>202609</v>
          </cell>
          <cell r="K480">
            <v>0</v>
          </cell>
          <cell r="N480">
            <v>7</v>
          </cell>
          <cell r="O480">
            <v>84</v>
          </cell>
        </row>
        <row r="481">
          <cell r="I481">
            <v>202609</v>
          </cell>
          <cell r="K481">
            <v>0</v>
          </cell>
          <cell r="N481">
            <v>7</v>
          </cell>
          <cell r="O481">
            <v>84</v>
          </cell>
        </row>
        <row r="482">
          <cell r="I482">
            <v>202609</v>
          </cell>
          <cell r="K482">
            <v>0</v>
          </cell>
          <cell r="N482">
            <v>7</v>
          </cell>
          <cell r="O482">
            <v>84</v>
          </cell>
        </row>
        <row r="483">
          <cell r="I483">
            <v>202609</v>
          </cell>
          <cell r="K483">
            <v>0</v>
          </cell>
          <cell r="N483">
            <v>7</v>
          </cell>
          <cell r="O483">
            <v>84</v>
          </cell>
        </row>
        <row r="484">
          <cell r="I484">
            <v>202609</v>
          </cell>
          <cell r="K484">
            <v>0</v>
          </cell>
          <cell r="N484">
            <v>7</v>
          </cell>
          <cell r="O484">
            <v>84</v>
          </cell>
        </row>
        <row r="485">
          <cell r="I485">
            <v>202609</v>
          </cell>
          <cell r="K485">
            <v>0</v>
          </cell>
          <cell r="N485">
            <v>7</v>
          </cell>
          <cell r="O485">
            <v>84</v>
          </cell>
        </row>
        <row r="486">
          <cell r="I486">
            <v>202609</v>
          </cell>
          <cell r="K486">
            <v>0</v>
          </cell>
          <cell r="N486">
            <v>7</v>
          </cell>
          <cell r="O486">
            <v>84</v>
          </cell>
        </row>
        <row r="487">
          <cell r="I487">
            <v>202609</v>
          </cell>
          <cell r="K487">
            <v>0</v>
          </cell>
          <cell r="N487">
            <v>7</v>
          </cell>
          <cell r="O487">
            <v>84</v>
          </cell>
        </row>
        <row r="488">
          <cell r="I488">
            <v>202609</v>
          </cell>
          <cell r="K488">
            <v>0</v>
          </cell>
          <cell r="N488">
            <v>7</v>
          </cell>
          <cell r="O488">
            <v>84</v>
          </cell>
        </row>
        <row r="489">
          <cell r="I489">
            <v>202609</v>
          </cell>
          <cell r="K489">
            <v>0</v>
          </cell>
          <cell r="N489">
            <v>7</v>
          </cell>
          <cell r="O489">
            <v>84</v>
          </cell>
        </row>
        <row r="490">
          <cell r="I490">
            <v>202609</v>
          </cell>
          <cell r="K490">
            <v>0</v>
          </cell>
          <cell r="N490">
            <v>7</v>
          </cell>
          <cell r="O490">
            <v>84</v>
          </cell>
        </row>
        <row r="491">
          <cell r="I491">
            <v>202609</v>
          </cell>
          <cell r="K491">
            <v>0</v>
          </cell>
          <cell r="N491">
            <v>7</v>
          </cell>
          <cell r="O491">
            <v>84</v>
          </cell>
        </row>
        <row r="492">
          <cell r="I492">
            <v>202609</v>
          </cell>
          <cell r="K492">
            <v>0</v>
          </cell>
          <cell r="N492">
            <v>7</v>
          </cell>
          <cell r="O492">
            <v>84</v>
          </cell>
        </row>
        <row r="493">
          <cell r="I493">
            <v>202609</v>
          </cell>
          <cell r="K493">
            <v>0</v>
          </cell>
          <cell r="N493">
            <v>7</v>
          </cell>
          <cell r="O493">
            <v>84</v>
          </cell>
        </row>
        <row r="494">
          <cell r="I494">
            <v>202609</v>
          </cell>
          <cell r="K494">
            <v>0</v>
          </cell>
          <cell r="N494">
            <v>7</v>
          </cell>
          <cell r="O494">
            <v>84</v>
          </cell>
        </row>
        <row r="495">
          <cell r="I495">
            <v>202609</v>
          </cell>
          <cell r="K495">
            <v>0</v>
          </cell>
          <cell r="N495">
            <v>7</v>
          </cell>
          <cell r="O495">
            <v>84</v>
          </cell>
        </row>
        <row r="496">
          <cell r="I496">
            <v>202609</v>
          </cell>
          <cell r="K496">
            <v>0</v>
          </cell>
          <cell r="N496">
            <v>7</v>
          </cell>
          <cell r="O496">
            <v>84</v>
          </cell>
        </row>
        <row r="497">
          <cell r="I497">
            <v>202609</v>
          </cell>
          <cell r="K497">
            <v>0</v>
          </cell>
          <cell r="N497">
            <v>7</v>
          </cell>
          <cell r="O497">
            <v>84</v>
          </cell>
        </row>
        <row r="498">
          <cell r="I498">
            <v>202609</v>
          </cell>
          <cell r="K498">
            <v>0</v>
          </cell>
          <cell r="N498">
            <v>7</v>
          </cell>
          <cell r="O498">
            <v>84</v>
          </cell>
        </row>
        <row r="499">
          <cell r="I499">
            <v>202609</v>
          </cell>
          <cell r="K499">
            <v>0</v>
          </cell>
          <cell r="N499">
            <v>7</v>
          </cell>
          <cell r="O499">
            <v>84</v>
          </cell>
        </row>
        <row r="500">
          <cell r="I500">
            <v>202609</v>
          </cell>
          <cell r="K500">
            <v>0</v>
          </cell>
          <cell r="N500">
            <v>7</v>
          </cell>
          <cell r="O500">
            <v>84</v>
          </cell>
        </row>
        <row r="501">
          <cell r="I501">
            <v>202609</v>
          </cell>
          <cell r="K501">
            <v>0</v>
          </cell>
          <cell r="N501">
            <v>7</v>
          </cell>
          <cell r="O501">
            <v>84</v>
          </cell>
        </row>
        <row r="502">
          <cell r="I502">
            <v>202609</v>
          </cell>
          <cell r="K502">
            <v>0</v>
          </cell>
          <cell r="N502">
            <v>7</v>
          </cell>
          <cell r="O502">
            <v>84</v>
          </cell>
        </row>
        <row r="503">
          <cell r="I503">
            <v>202609</v>
          </cell>
          <cell r="K503">
            <v>0</v>
          </cell>
          <cell r="N503">
            <v>7</v>
          </cell>
          <cell r="O503">
            <v>84</v>
          </cell>
        </row>
        <row r="504">
          <cell r="I504">
            <v>202609</v>
          </cell>
          <cell r="K504">
            <v>0</v>
          </cell>
          <cell r="N504">
            <v>7</v>
          </cell>
          <cell r="O504">
            <v>84</v>
          </cell>
        </row>
        <row r="505">
          <cell r="I505">
            <v>202609</v>
          </cell>
          <cell r="K505">
            <v>0</v>
          </cell>
          <cell r="N505">
            <v>7</v>
          </cell>
          <cell r="O505">
            <v>84</v>
          </cell>
        </row>
        <row r="506">
          <cell r="I506">
            <v>202609</v>
          </cell>
          <cell r="K506">
            <v>0</v>
          </cell>
          <cell r="N506">
            <v>7</v>
          </cell>
          <cell r="O506">
            <v>84</v>
          </cell>
        </row>
        <row r="507">
          <cell r="I507">
            <v>202609</v>
          </cell>
          <cell r="K507">
            <v>0</v>
          </cell>
          <cell r="N507">
            <v>7</v>
          </cell>
          <cell r="O507">
            <v>84</v>
          </cell>
        </row>
        <row r="508">
          <cell r="I508">
            <v>202609</v>
          </cell>
          <cell r="K508">
            <v>0</v>
          </cell>
          <cell r="N508">
            <v>7</v>
          </cell>
          <cell r="O508">
            <v>84</v>
          </cell>
        </row>
        <row r="509">
          <cell r="I509">
            <v>202609</v>
          </cell>
          <cell r="K509">
            <v>0</v>
          </cell>
          <cell r="N509">
            <v>7</v>
          </cell>
          <cell r="O509">
            <v>84</v>
          </cell>
        </row>
        <row r="510">
          <cell r="I510">
            <v>202609</v>
          </cell>
          <cell r="K510">
            <v>0</v>
          </cell>
          <cell r="N510">
            <v>7</v>
          </cell>
          <cell r="O510">
            <v>84</v>
          </cell>
        </row>
        <row r="511">
          <cell r="I511">
            <v>202609</v>
          </cell>
          <cell r="K511">
            <v>0</v>
          </cell>
          <cell r="N511">
            <v>7</v>
          </cell>
          <cell r="O511">
            <v>84</v>
          </cell>
        </row>
        <row r="512">
          <cell r="I512">
            <v>202609</v>
          </cell>
          <cell r="K512">
            <v>0</v>
          </cell>
          <cell r="N512">
            <v>7</v>
          </cell>
          <cell r="O512">
            <v>84</v>
          </cell>
        </row>
        <row r="513">
          <cell r="I513">
            <v>202609</v>
          </cell>
          <cell r="K513">
            <v>0</v>
          </cell>
          <cell r="N513">
            <v>7</v>
          </cell>
          <cell r="O513">
            <v>84</v>
          </cell>
        </row>
        <row r="514">
          <cell r="I514">
            <v>202609</v>
          </cell>
          <cell r="K514">
            <v>0</v>
          </cell>
          <cell r="N514">
            <v>7</v>
          </cell>
          <cell r="O514">
            <v>84</v>
          </cell>
        </row>
        <row r="515">
          <cell r="I515">
            <v>202609</v>
          </cell>
          <cell r="K515">
            <v>0</v>
          </cell>
          <cell r="N515">
            <v>7</v>
          </cell>
          <cell r="O515">
            <v>84</v>
          </cell>
        </row>
        <row r="516">
          <cell r="I516">
            <v>202609</v>
          </cell>
          <cell r="K516">
            <v>0</v>
          </cell>
          <cell r="N516">
            <v>7</v>
          </cell>
          <cell r="O516">
            <v>84</v>
          </cell>
        </row>
        <row r="517">
          <cell r="I517">
            <v>202609</v>
          </cell>
          <cell r="K517">
            <v>0</v>
          </cell>
          <cell r="N517">
            <v>7</v>
          </cell>
          <cell r="O517">
            <v>84</v>
          </cell>
        </row>
        <row r="518">
          <cell r="I518">
            <v>202609</v>
          </cell>
          <cell r="K518">
            <v>0</v>
          </cell>
          <cell r="N518">
            <v>7</v>
          </cell>
          <cell r="O518">
            <v>84</v>
          </cell>
        </row>
        <row r="519">
          <cell r="I519">
            <v>202609</v>
          </cell>
          <cell r="K519">
            <v>0</v>
          </cell>
          <cell r="N519">
            <v>7</v>
          </cell>
          <cell r="O519">
            <v>84</v>
          </cell>
        </row>
        <row r="520">
          <cell r="I520">
            <v>202609</v>
          </cell>
          <cell r="K520">
            <v>0</v>
          </cell>
          <cell r="N520">
            <v>7</v>
          </cell>
          <cell r="O520">
            <v>84</v>
          </cell>
        </row>
        <row r="521">
          <cell r="I521">
            <v>202609</v>
          </cell>
          <cell r="K521">
            <v>0</v>
          </cell>
          <cell r="N521">
            <v>7</v>
          </cell>
          <cell r="O521">
            <v>84</v>
          </cell>
        </row>
        <row r="522">
          <cell r="I522">
            <v>202609</v>
          </cell>
          <cell r="K522">
            <v>0</v>
          </cell>
          <cell r="N522">
            <v>7</v>
          </cell>
          <cell r="O522">
            <v>84</v>
          </cell>
        </row>
        <row r="523">
          <cell r="I523">
            <v>202609</v>
          </cell>
          <cell r="K523">
            <v>0</v>
          </cell>
          <cell r="N523">
            <v>7</v>
          </cell>
          <cell r="O523">
            <v>84</v>
          </cell>
        </row>
        <row r="524">
          <cell r="I524">
            <v>202609</v>
          </cell>
          <cell r="K524">
            <v>0</v>
          </cell>
          <cell r="N524">
            <v>7</v>
          </cell>
          <cell r="O524">
            <v>84</v>
          </cell>
        </row>
        <row r="525">
          <cell r="I525">
            <v>202609</v>
          </cell>
          <cell r="K525">
            <v>0</v>
          </cell>
          <cell r="N525">
            <v>7</v>
          </cell>
          <cell r="O525">
            <v>84</v>
          </cell>
        </row>
        <row r="526">
          <cell r="I526">
            <v>202609</v>
          </cell>
          <cell r="K526">
            <v>0</v>
          </cell>
          <cell r="N526">
            <v>7</v>
          </cell>
          <cell r="O526">
            <v>84</v>
          </cell>
        </row>
        <row r="527">
          <cell r="I527">
            <v>202609</v>
          </cell>
          <cell r="K527">
            <v>0</v>
          </cell>
          <cell r="N527">
            <v>7</v>
          </cell>
          <cell r="O527">
            <v>84</v>
          </cell>
        </row>
        <row r="528">
          <cell r="I528">
            <v>202609</v>
          </cell>
          <cell r="K528">
            <v>0</v>
          </cell>
          <cell r="N528">
            <v>7</v>
          </cell>
          <cell r="O528">
            <v>84</v>
          </cell>
        </row>
        <row r="529">
          <cell r="I529">
            <v>202609</v>
          </cell>
          <cell r="K529">
            <v>0</v>
          </cell>
          <cell r="N529">
            <v>7</v>
          </cell>
          <cell r="O529">
            <v>84</v>
          </cell>
        </row>
        <row r="530">
          <cell r="I530">
            <v>202609</v>
          </cell>
          <cell r="K530">
            <v>0</v>
          </cell>
          <cell r="N530">
            <v>7</v>
          </cell>
          <cell r="O530">
            <v>84</v>
          </cell>
        </row>
        <row r="531">
          <cell r="I531">
            <v>202609</v>
          </cell>
          <cell r="K531">
            <v>0</v>
          </cell>
          <cell r="N531">
            <v>7</v>
          </cell>
          <cell r="O531">
            <v>84</v>
          </cell>
        </row>
        <row r="532">
          <cell r="I532">
            <v>202609</v>
          </cell>
          <cell r="K532">
            <v>0</v>
          </cell>
          <cell r="N532">
            <v>7</v>
          </cell>
          <cell r="O532">
            <v>84</v>
          </cell>
        </row>
        <row r="533">
          <cell r="I533">
            <v>202609</v>
          </cell>
          <cell r="K533">
            <v>0</v>
          </cell>
          <cell r="N533">
            <v>7</v>
          </cell>
          <cell r="O533">
            <v>84</v>
          </cell>
        </row>
        <row r="534">
          <cell r="I534">
            <v>202609</v>
          </cell>
          <cell r="K534">
            <v>0</v>
          </cell>
          <cell r="N534">
            <v>7</v>
          </cell>
          <cell r="O534">
            <v>84</v>
          </cell>
        </row>
        <row r="535">
          <cell r="I535">
            <v>202609</v>
          </cell>
          <cell r="K535">
            <v>0</v>
          </cell>
          <cell r="N535">
            <v>7</v>
          </cell>
          <cell r="O535">
            <v>84</v>
          </cell>
        </row>
        <row r="536">
          <cell r="I536">
            <v>202609</v>
          </cell>
          <cell r="K536">
            <v>0</v>
          </cell>
          <cell r="N536">
            <v>7</v>
          </cell>
          <cell r="O536">
            <v>84</v>
          </cell>
        </row>
        <row r="537">
          <cell r="I537">
            <v>202609</v>
          </cell>
          <cell r="K537">
            <v>0</v>
          </cell>
          <cell r="N537">
            <v>7</v>
          </cell>
          <cell r="O537">
            <v>84</v>
          </cell>
        </row>
        <row r="538">
          <cell r="I538">
            <v>202609</v>
          </cell>
          <cell r="K538">
            <v>0</v>
          </cell>
          <cell r="N538">
            <v>7</v>
          </cell>
          <cell r="O538">
            <v>84</v>
          </cell>
        </row>
        <row r="539">
          <cell r="I539">
            <v>202609</v>
          </cell>
          <cell r="K539">
            <v>0</v>
          </cell>
          <cell r="N539">
            <v>7</v>
          </cell>
          <cell r="O539">
            <v>84</v>
          </cell>
        </row>
        <row r="540">
          <cell r="I540">
            <v>202609</v>
          </cell>
          <cell r="K540">
            <v>0</v>
          </cell>
          <cell r="N540">
            <v>7</v>
          </cell>
          <cell r="O540">
            <v>84</v>
          </cell>
        </row>
        <row r="541">
          <cell r="I541">
            <v>202609</v>
          </cell>
          <cell r="K541">
            <v>0</v>
          </cell>
          <cell r="N541">
            <v>7</v>
          </cell>
          <cell r="O541">
            <v>84</v>
          </cell>
        </row>
        <row r="542">
          <cell r="I542">
            <v>202609</v>
          </cell>
          <cell r="K542">
            <v>0</v>
          </cell>
          <cell r="N542">
            <v>7</v>
          </cell>
          <cell r="O542">
            <v>84</v>
          </cell>
        </row>
        <row r="543">
          <cell r="I543">
            <v>202609</v>
          </cell>
          <cell r="K543">
            <v>0</v>
          </cell>
          <cell r="N543">
            <v>7</v>
          </cell>
          <cell r="O543">
            <v>84</v>
          </cell>
        </row>
        <row r="544">
          <cell r="I544">
            <v>202609</v>
          </cell>
          <cell r="K544">
            <v>0</v>
          </cell>
          <cell r="N544">
            <v>7</v>
          </cell>
          <cell r="O544">
            <v>84</v>
          </cell>
        </row>
        <row r="545">
          <cell r="I545">
            <v>202609</v>
          </cell>
          <cell r="K545">
            <v>0</v>
          </cell>
          <cell r="N545">
            <v>7</v>
          </cell>
          <cell r="O545">
            <v>84</v>
          </cell>
        </row>
        <row r="546">
          <cell r="I546">
            <v>202609</v>
          </cell>
          <cell r="K546">
            <v>0</v>
          </cell>
          <cell r="N546">
            <v>7</v>
          </cell>
          <cell r="O546">
            <v>84</v>
          </cell>
        </row>
        <row r="547">
          <cell r="I547">
            <v>202609</v>
          </cell>
          <cell r="K547">
            <v>0</v>
          </cell>
          <cell r="N547">
            <v>7</v>
          </cell>
          <cell r="O547">
            <v>84</v>
          </cell>
        </row>
        <row r="548">
          <cell r="I548">
            <v>202609</v>
          </cell>
          <cell r="K548">
            <v>0</v>
          </cell>
          <cell r="N548">
            <v>7</v>
          </cell>
          <cell r="O548">
            <v>84</v>
          </cell>
        </row>
        <row r="549">
          <cell r="I549">
            <v>202609</v>
          </cell>
          <cell r="K549">
            <v>0</v>
          </cell>
          <cell r="N549">
            <v>7</v>
          </cell>
          <cell r="O549">
            <v>84</v>
          </cell>
        </row>
        <row r="550">
          <cell r="I550">
            <v>202609</v>
          </cell>
          <cell r="K550">
            <v>0</v>
          </cell>
          <cell r="N550">
            <v>7</v>
          </cell>
          <cell r="O550">
            <v>84</v>
          </cell>
        </row>
        <row r="551">
          <cell r="I551">
            <v>202609</v>
          </cell>
          <cell r="K551">
            <v>0</v>
          </cell>
          <cell r="N551">
            <v>7</v>
          </cell>
          <cell r="O551">
            <v>84</v>
          </cell>
        </row>
        <row r="552">
          <cell r="I552">
            <v>202609</v>
          </cell>
          <cell r="K552">
            <v>0</v>
          </cell>
          <cell r="N552">
            <v>7</v>
          </cell>
          <cell r="O552">
            <v>84</v>
          </cell>
        </row>
        <row r="553">
          <cell r="I553">
            <v>202609</v>
          </cell>
          <cell r="K553">
            <v>0</v>
          </cell>
          <cell r="N553">
            <v>7</v>
          </cell>
          <cell r="O553">
            <v>84</v>
          </cell>
        </row>
        <row r="554">
          <cell r="I554">
            <v>202609</v>
          </cell>
          <cell r="K554">
            <v>0</v>
          </cell>
          <cell r="N554">
            <v>7</v>
          </cell>
          <cell r="O554">
            <v>84</v>
          </cell>
        </row>
        <row r="555">
          <cell r="I555">
            <v>202609</v>
          </cell>
          <cell r="K555">
            <v>0</v>
          </cell>
          <cell r="N555">
            <v>7</v>
          </cell>
          <cell r="O555">
            <v>84</v>
          </cell>
        </row>
        <row r="556">
          <cell r="I556">
            <v>202609</v>
          </cell>
          <cell r="K556">
            <v>0</v>
          </cell>
          <cell r="N556">
            <v>7</v>
          </cell>
          <cell r="O556">
            <v>84</v>
          </cell>
        </row>
        <row r="557">
          <cell r="I557">
            <v>202609</v>
          </cell>
          <cell r="K557">
            <v>0</v>
          </cell>
          <cell r="N557">
            <v>7</v>
          </cell>
          <cell r="O557">
            <v>84</v>
          </cell>
        </row>
        <row r="558">
          <cell r="I558">
            <v>202609</v>
          </cell>
          <cell r="K558">
            <v>0</v>
          </cell>
          <cell r="N558">
            <v>7</v>
          </cell>
          <cell r="O558">
            <v>84</v>
          </cell>
        </row>
        <row r="559">
          <cell r="I559">
            <v>202609</v>
          </cell>
          <cell r="K559">
            <v>0</v>
          </cell>
          <cell r="N559">
            <v>7</v>
          </cell>
          <cell r="O559">
            <v>84</v>
          </cell>
        </row>
        <row r="560">
          <cell r="I560">
            <v>202609</v>
          </cell>
          <cell r="K560">
            <v>0</v>
          </cell>
          <cell r="N560">
            <v>7</v>
          </cell>
          <cell r="O560">
            <v>84</v>
          </cell>
        </row>
        <row r="561">
          <cell r="I561">
            <v>202609</v>
          </cell>
          <cell r="K561">
            <v>0</v>
          </cell>
          <cell r="N561">
            <v>7</v>
          </cell>
          <cell r="O561">
            <v>84</v>
          </cell>
        </row>
        <row r="562">
          <cell r="I562">
            <v>202609</v>
          </cell>
          <cell r="K562">
            <v>0</v>
          </cell>
          <cell r="N562">
            <v>7</v>
          </cell>
          <cell r="O562">
            <v>84</v>
          </cell>
        </row>
        <row r="563">
          <cell r="I563">
            <v>202609</v>
          </cell>
          <cell r="K563">
            <v>0</v>
          </cell>
          <cell r="N563">
            <v>7</v>
          </cell>
          <cell r="O563">
            <v>84</v>
          </cell>
        </row>
        <row r="564">
          <cell r="I564">
            <v>202609</v>
          </cell>
          <cell r="K564">
            <v>0</v>
          </cell>
          <cell r="N564">
            <v>7</v>
          </cell>
          <cell r="O564">
            <v>84</v>
          </cell>
        </row>
        <row r="565">
          <cell r="I565">
            <v>202609</v>
          </cell>
          <cell r="K565">
            <v>0</v>
          </cell>
          <cell r="N565">
            <v>7</v>
          </cell>
          <cell r="O565">
            <v>84</v>
          </cell>
        </row>
        <row r="566">
          <cell r="I566">
            <v>202609</v>
          </cell>
          <cell r="K566">
            <v>0</v>
          </cell>
          <cell r="N566">
            <v>7</v>
          </cell>
          <cell r="O566">
            <v>84</v>
          </cell>
        </row>
        <row r="567">
          <cell r="I567">
            <v>202609</v>
          </cell>
          <cell r="K567">
            <v>0</v>
          </cell>
          <cell r="N567">
            <v>7</v>
          </cell>
          <cell r="O567">
            <v>84</v>
          </cell>
        </row>
        <row r="568">
          <cell r="I568">
            <v>202609</v>
          </cell>
          <cell r="K568">
            <v>0</v>
          </cell>
          <cell r="N568">
            <v>7</v>
          </cell>
          <cell r="O568">
            <v>84</v>
          </cell>
        </row>
        <row r="569">
          <cell r="I569">
            <v>202609</v>
          </cell>
          <cell r="K569">
            <v>0</v>
          </cell>
          <cell r="N569">
            <v>7</v>
          </cell>
          <cell r="O569">
            <v>84</v>
          </cell>
        </row>
        <row r="570">
          <cell r="I570">
            <v>202609</v>
          </cell>
          <cell r="K570">
            <v>0</v>
          </cell>
          <cell r="N570">
            <v>7</v>
          </cell>
          <cell r="O570">
            <v>84</v>
          </cell>
        </row>
        <row r="571">
          <cell r="I571">
            <v>202609</v>
          </cell>
          <cell r="K571">
            <v>0</v>
          </cell>
          <cell r="N571">
            <v>7</v>
          </cell>
          <cell r="O571">
            <v>84</v>
          </cell>
        </row>
        <row r="572">
          <cell r="I572">
            <v>202609</v>
          </cell>
          <cell r="K572">
            <v>0</v>
          </cell>
          <cell r="N572">
            <v>7</v>
          </cell>
          <cell r="O572">
            <v>84</v>
          </cell>
        </row>
        <row r="573">
          <cell r="I573">
            <v>202609</v>
          </cell>
          <cell r="K573">
            <v>0</v>
          </cell>
          <cell r="N573">
            <v>7</v>
          </cell>
          <cell r="O573">
            <v>84</v>
          </cell>
        </row>
        <row r="574">
          <cell r="I574">
            <v>202609</v>
          </cell>
          <cell r="K574">
            <v>0</v>
          </cell>
          <cell r="N574">
            <v>7</v>
          </cell>
          <cell r="O574">
            <v>84</v>
          </cell>
        </row>
        <row r="575">
          <cell r="I575">
            <v>202609</v>
          </cell>
          <cell r="K575">
            <v>0</v>
          </cell>
          <cell r="N575">
            <v>7</v>
          </cell>
          <cell r="O575">
            <v>84</v>
          </cell>
        </row>
        <row r="576">
          <cell r="I576">
            <v>202609</v>
          </cell>
          <cell r="K576">
            <v>0</v>
          </cell>
          <cell r="N576">
            <v>7</v>
          </cell>
          <cell r="O576">
            <v>84</v>
          </cell>
        </row>
        <row r="577">
          <cell r="I577">
            <v>202609</v>
          </cell>
          <cell r="K577">
            <v>0</v>
          </cell>
          <cell r="N577">
            <v>7</v>
          </cell>
          <cell r="O577">
            <v>84</v>
          </cell>
        </row>
        <row r="578">
          <cell r="I578">
            <v>202609</v>
          </cell>
          <cell r="K578">
            <v>0</v>
          </cell>
          <cell r="N578">
            <v>7</v>
          </cell>
          <cell r="O578">
            <v>84</v>
          </cell>
        </row>
        <row r="579">
          <cell r="I579">
            <v>202609</v>
          </cell>
          <cell r="K579">
            <v>0</v>
          </cell>
          <cell r="N579">
            <v>7</v>
          </cell>
          <cell r="O579">
            <v>84</v>
          </cell>
        </row>
        <row r="580">
          <cell r="I580">
            <v>202609</v>
          </cell>
          <cell r="K580">
            <v>0</v>
          </cell>
          <cell r="N580">
            <v>7</v>
          </cell>
          <cell r="O580">
            <v>84</v>
          </cell>
        </row>
        <row r="581">
          <cell r="I581">
            <v>202609</v>
          </cell>
          <cell r="K581">
            <v>0</v>
          </cell>
          <cell r="N581">
            <v>7</v>
          </cell>
          <cell r="O581">
            <v>84</v>
          </cell>
        </row>
        <row r="582">
          <cell r="I582">
            <v>202609</v>
          </cell>
          <cell r="K582">
            <v>0</v>
          </cell>
          <cell r="N582">
            <v>7</v>
          </cell>
          <cell r="O582">
            <v>84</v>
          </cell>
        </row>
        <row r="583">
          <cell r="I583">
            <v>202609</v>
          </cell>
          <cell r="K583">
            <v>0</v>
          </cell>
          <cell r="N583">
            <v>7</v>
          </cell>
          <cell r="O583">
            <v>84</v>
          </cell>
        </row>
        <row r="584">
          <cell r="I584">
            <v>202609</v>
          </cell>
          <cell r="K584">
            <v>0</v>
          </cell>
          <cell r="N584">
            <v>7</v>
          </cell>
          <cell r="O584">
            <v>84</v>
          </cell>
        </row>
        <row r="585">
          <cell r="I585">
            <v>202609</v>
          </cell>
          <cell r="K585">
            <v>0</v>
          </cell>
          <cell r="N585">
            <v>7</v>
          </cell>
          <cell r="O585">
            <v>84</v>
          </cell>
        </row>
        <row r="586">
          <cell r="I586">
            <v>202609</v>
          </cell>
          <cell r="K586">
            <v>0</v>
          </cell>
          <cell r="N586">
            <v>7</v>
          </cell>
          <cell r="O586">
            <v>84</v>
          </cell>
        </row>
        <row r="587">
          <cell r="I587">
            <v>202609</v>
          </cell>
          <cell r="K587">
            <v>0</v>
          </cell>
          <cell r="N587">
            <v>7</v>
          </cell>
          <cell r="O587">
            <v>84</v>
          </cell>
        </row>
        <row r="588">
          <cell r="I588">
            <v>202609</v>
          </cell>
          <cell r="K588">
            <v>0</v>
          </cell>
          <cell r="N588">
            <v>7</v>
          </cell>
          <cell r="O588">
            <v>84</v>
          </cell>
        </row>
        <row r="589">
          <cell r="I589">
            <v>202609</v>
          </cell>
          <cell r="K589">
            <v>0</v>
          </cell>
          <cell r="N589">
            <v>7</v>
          </cell>
          <cell r="O589">
            <v>84</v>
          </cell>
        </row>
        <row r="590">
          <cell r="I590">
            <v>202609</v>
          </cell>
          <cell r="K590">
            <v>0</v>
          </cell>
          <cell r="N590">
            <v>7</v>
          </cell>
          <cell r="O590">
            <v>84</v>
          </cell>
        </row>
        <row r="591">
          <cell r="I591">
            <v>202609</v>
          </cell>
          <cell r="K591">
            <v>0</v>
          </cell>
          <cell r="N591">
            <v>7</v>
          </cell>
          <cell r="O591">
            <v>84</v>
          </cell>
        </row>
        <row r="592">
          <cell r="I592">
            <v>202609</v>
          </cell>
          <cell r="K592">
            <v>0</v>
          </cell>
          <cell r="N592">
            <v>7</v>
          </cell>
          <cell r="O592">
            <v>84</v>
          </cell>
        </row>
        <row r="593">
          <cell r="I593">
            <v>202609</v>
          </cell>
          <cell r="K593">
            <v>0</v>
          </cell>
          <cell r="N593">
            <v>7</v>
          </cell>
          <cell r="O593">
            <v>84</v>
          </cell>
        </row>
        <row r="594">
          <cell r="I594">
            <v>202609</v>
          </cell>
          <cell r="K594">
            <v>0</v>
          </cell>
          <cell r="N594">
            <v>7</v>
          </cell>
          <cell r="O594">
            <v>84</v>
          </cell>
        </row>
        <row r="595">
          <cell r="I595">
            <v>202609</v>
          </cell>
          <cell r="K595">
            <v>0</v>
          </cell>
          <cell r="N595">
            <v>7</v>
          </cell>
          <cell r="O595">
            <v>84</v>
          </cell>
        </row>
        <row r="596">
          <cell r="I596">
            <v>202609</v>
          </cell>
          <cell r="K596">
            <v>0</v>
          </cell>
          <cell r="N596">
            <v>7</v>
          </cell>
          <cell r="O596">
            <v>84</v>
          </cell>
        </row>
        <row r="597">
          <cell r="I597">
            <v>202609</v>
          </cell>
          <cell r="K597">
            <v>0</v>
          </cell>
          <cell r="N597">
            <v>7</v>
          </cell>
          <cell r="O597">
            <v>84</v>
          </cell>
        </row>
        <row r="598">
          <cell r="I598">
            <v>202609</v>
          </cell>
          <cell r="K598">
            <v>0</v>
          </cell>
          <cell r="N598">
            <v>7</v>
          </cell>
          <cell r="O598">
            <v>84</v>
          </cell>
        </row>
        <row r="599">
          <cell r="I599">
            <v>202609</v>
          </cell>
          <cell r="K599">
            <v>0</v>
          </cell>
          <cell r="N599">
            <v>7</v>
          </cell>
          <cell r="O599">
            <v>84</v>
          </cell>
        </row>
        <row r="600">
          <cell r="I600">
            <v>202609</v>
          </cell>
          <cell r="K600">
            <v>0</v>
          </cell>
          <cell r="N600">
            <v>7</v>
          </cell>
          <cell r="O600">
            <v>84</v>
          </cell>
        </row>
        <row r="601">
          <cell r="I601">
            <v>202609</v>
          </cell>
          <cell r="K601">
            <v>0</v>
          </cell>
          <cell r="N601">
            <v>7</v>
          </cell>
          <cell r="O601">
            <v>84</v>
          </cell>
        </row>
        <row r="602">
          <cell r="I602">
            <v>202609</v>
          </cell>
          <cell r="K602">
            <v>0</v>
          </cell>
          <cell r="N602">
            <v>7</v>
          </cell>
          <cell r="O602">
            <v>84</v>
          </cell>
        </row>
        <row r="603">
          <cell r="I603">
            <v>202609</v>
          </cell>
          <cell r="K603">
            <v>0</v>
          </cell>
          <cell r="N603">
            <v>7</v>
          </cell>
          <cell r="O603">
            <v>84</v>
          </cell>
        </row>
        <row r="604">
          <cell r="I604">
            <v>202609</v>
          </cell>
          <cell r="K604">
            <v>0</v>
          </cell>
          <cell r="N604">
            <v>7</v>
          </cell>
          <cell r="O604">
            <v>84</v>
          </cell>
        </row>
        <row r="605">
          <cell r="I605">
            <v>202609</v>
          </cell>
          <cell r="K605">
            <v>0</v>
          </cell>
          <cell r="N605">
            <v>7</v>
          </cell>
          <cell r="O605">
            <v>84</v>
          </cell>
        </row>
        <row r="606">
          <cell r="I606">
            <v>202609</v>
          </cell>
          <cell r="K606">
            <v>0</v>
          </cell>
          <cell r="N606">
            <v>7</v>
          </cell>
          <cell r="O606">
            <v>84</v>
          </cell>
        </row>
        <row r="607">
          <cell r="I607">
            <v>202609</v>
          </cell>
          <cell r="K607">
            <v>0</v>
          </cell>
          <cell r="N607">
            <v>7</v>
          </cell>
          <cell r="O607">
            <v>84</v>
          </cell>
        </row>
        <row r="608">
          <cell r="I608">
            <v>202609</v>
          </cell>
          <cell r="K608">
            <v>0</v>
          </cell>
          <cell r="N608">
            <v>7</v>
          </cell>
          <cell r="O608">
            <v>84</v>
          </cell>
        </row>
        <row r="609">
          <cell r="I609">
            <v>202609</v>
          </cell>
          <cell r="K609">
            <v>0</v>
          </cell>
          <cell r="N609">
            <v>7</v>
          </cell>
          <cell r="O609">
            <v>84</v>
          </cell>
        </row>
        <row r="610">
          <cell r="I610">
            <v>202609</v>
          </cell>
          <cell r="K610">
            <v>0</v>
          </cell>
          <cell r="N610">
            <v>7</v>
          </cell>
          <cell r="O610">
            <v>84</v>
          </cell>
        </row>
        <row r="611">
          <cell r="I611">
            <v>202609</v>
          </cell>
          <cell r="K611">
            <v>0</v>
          </cell>
          <cell r="N611">
            <v>7</v>
          </cell>
          <cell r="O611">
            <v>84</v>
          </cell>
        </row>
        <row r="612">
          <cell r="I612">
            <v>202609</v>
          </cell>
          <cell r="K612">
            <v>0</v>
          </cell>
          <cell r="N612">
            <v>7</v>
          </cell>
          <cell r="O612">
            <v>84</v>
          </cell>
        </row>
        <row r="613">
          <cell r="I613">
            <v>202609</v>
          </cell>
          <cell r="K613">
            <v>0</v>
          </cell>
          <cell r="N613">
            <v>7</v>
          </cell>
          <cell r="O613">
            <v>84</v>
          </cell>
        </row>
        <row r="614">
          <cell r="I614">
            <v>202609</v>
          </cell>
          <cell r="K614">
            <v>0</v>
          </cell>
          <cell r="N614">
            <v>7</v>
          </cell>
          <cell r="O614">
            <v>84</v>
          </cell>
        </row>
        <row r="615">
          <cell r="I615">
            <v>202609</v>
          </cell>
          <cell r="K615">
            <v>0</v>
          </cell>
          <cell r="N615">
            <v>7</v>
          </cell>
          <cell r="O615">
            <v>84</v>
          </cell>
        </row>
        <row r="616">
          <cell r="I616">
            <v>202609</v>
          </cell>
          <cell r="K616">
            <v>0</v>
          </cell>
          <cell r="N616">
            <v>7</v>
          </cell>
          <cell r="O616">
            <v>84</v>
          </cell>
        </row>
        <row r="617">
          <cell r="I617">
            <v>202609</v>
          </cell>
          <cell r="K617">
            <v>0</v>
          </cell>
          <cell r="N617">
            <v>7</v>
          </cell>
          <cell r="O617">
            <v>84</v>
          </cell>
        </row>
        <row r="618">
          <cell r="I618">
            <v>202609</v>
          </cell>
          <cell r="K618">
            <v>0</v>
          </cell>
          <cell r="N618">
            <v>7</v>
          </cell>
          <cell r="O618">
            <v>84</v>
          </cell>
        </row>
        <row r="619">
          <cell r="I619">
            <v>202609</v>
          </cell>
          <cell r="K619">
            <v>0</v>
          </cell>
          <cell r="N619">
            <v>7</v>
          </cell>
          <cell r="O619">
            <v>84</v>
          </cell>
        </row>
        <row r="620">
          <cell r="I620">
            <v>202609</v>
          </cell>
          <cell r="K620">
            <v>0</v>
          </cell>
          <cell r="N620">
            <v>7</v>
          </cell>
          <cell r="O620">
            <v>84</v>
          </cell>
        </row>
        <row r="621">
          <cell r="I621">
            <v>202609</v>
          </cell>
          <cell r="K621">
            <v>0</v>
          </cell>
          <cell r="N621">
            <v>7</v>
          </cell>
          <cell r="O621">
            <v>84</v>
          </cell>
        </row>
        <row r="622">
          <cell r="I622">
            <v>202609</v>
          </cell>
          <cell r="K622">
            <v>0</v>
          </cell>
          <cell r="N622">
            <v>7</v>
          </cell>
          <cell r="O622">
            <v>84</v>
          </cell>
        </row>
        <row r="623">
          <cell r="I623">
            <v>202609</v>
          </cell>
          <cell r="K623">
            <v>0</v>
          </cell>
          <cell r="N623">
            <v>7</v>
          </cell>
          <cell r="O623">
            <v>84</v>
          </cell>
        </row>
        <row r="624">
          <cell r="I624">
            <v>202609</v>
          </cell>
          <cell r="K624">
            <v>0</v>
          </cell>
          <cell r="N624">
            <v>7</v>
          </cell>
          <cell r="O624">
            <v>84</v>
          </cell>
        </row>
        <row r="625">
          <cell r="I625">
            <v>202609</v>
          </cell>
          <cell r="K625">
            <v>0</v>
          </cell>
          <cell r="N625">
            <v>7</v>
          </cell>
          <cell r="O625">
            <v>84</v>
          </cell>
        </row>
        <row r="626">
          <cell r="I626">
            <v>202609</v>
          </cell>
          <cell r="K626">
            <v>0</v>
          </cell>
          <cell r="N626">
            <v>7</v>
          </cell>
          <cell r="O626">
            <v>84</v>
          </cell>
        </row>
        <row r="627">
          <cell r="I627">
            <v>202609</v>
          </cell>
          <cell r="K627">
            <v>0</v>
          </cell>
          <cell r="N627">
            <v>7</v>
          </cell>
          <cell r="O627">
            <v>84</v>
          </cell>
        </row>
        <row r="628">
          <cell r="I628">
            <v>202609</v>
          </cell>
          <cell r="K628">
            <v>0</v>
          </cell>
          <cell r="N628">
            <v>7</v>
          </cell>
          <cell r="O628">
            <v>84</v>
          </cell>
        </row>
        <row r="629">
          <cell r="I629">
            <v>202609</v>
          </cell>
          <cell r="K629">
            <v>0</v>
          </cell>
          <cell r="N629">
            <v>7</v>
          </cell>
          <cell r="O629">
            <v>84</v>
          </cell>
        </row>
        <row r="630">
          <cell r="I630">
            <v>202609</v>
          </cell>
          <cell r="K630">
            <v>0</v>
          </cell>
          <cell r="N630">
            <v>7</v>
          </cell>
          <cell r="O630">
            <v>84</v>
          </cell>
        </row>
        <row r="631">
          <cell r="I631">
            <v>202609</v>
          </cell>
          <cell r="K631">
            <v>0</v>
          </cell>
          <cell r="N631">
            <v>7</v>
          </cell>
          <cell r="O631">
            <v>84</v>
          </cell>
        </row>
        <row r="632">
          <cell r="I632">
            <v>202609</v>
          </cell>
          <cell r="K632">
            <v>0</v>
          </cell>
          <cell r="N632">
            <v>7</v>
          </cell>
          <cell r="O632">
            <v>84</v>
          </cell>
        </row>
        <row r="633">
          <cell r="I633">
            <v>202609</v>
          </cell>
          <cell r="K633">
            <v>0</v>
          </cell>
          <cell r="N633">
            <v>7</v>
          </cell>
          <cell r="O633">
            <v>84</v>
          </cell>
        </row>
        <row r="634">
          <cell r="I634">
            <v>202609</v>
          </cell>
          <cell r="K634">
            <v>0</v>
          </cell>
          <cell r="N634">
            <v>7</v>
          </cell>
          <cell r="O634">
            <v>84</v>
          </cell>
        </row>
        <row r="635">
          <cell r="I635">
            <v>202609</v>
          </cell>
          <cell r="K635">
            <v>0</v>
          </cell>
          <cell r="N635">
            <v>7</v>
          </cell>
          <cell r="O635">
            <v>84</v>
          </cell>
        </row>
        <row r="636">
          <cell r="I636">
            <v>202609</v>
          </cell>
          <cell r="K636">
            <v>0</v>
          </cell>
          <cell r="N636">
            <v>7</v>
          </cell>
          <cell r="O636">
            <v>84</v>
          </cell>
        </row>
        <row r="637">
          <cell r="I637">
            <v>202609</v>
          </cell>
          <cell r="K637">
            <v>0</v>
          </cell>
          <cell r="N637">
            <v>7</v>
          </cell>
          <cell r="O637">
            <v>84</v>
          </cell>
        </row>
        <row r="638">
          <cell r="I638">
            <v>202609</v>
          </cell>
          <cell r="K638">
            <v>0</v>
          </cell>
          <cell r="N638">
            <v>7</v>
          </cell>
          <cell r="O638">
            <v>84</v>
          </cell>
        </row>
        <row r="639">
          <cell r="I639">
            <v>202609</v>
          </cell>
          <cell r="K639">
            <v>0</v>
          </cell>
          <cell r="N639">
            <v>7</v>
          </cell>
          <cell r="O639">
            <v>84</v>
          </cell>
        </row>
        <row r="640">
          <cell r="I640">
            <v>202609</v>
          </cell>
          <cell r="K640">
            <v>0</v>
          </cell>
          <cell r="N640">
            <v>7</v>
          </cell>
          <cell r="O640">
            <v>84</v>
          </cell>
        </row>
        <row r="641">
          <cell r="I641">
            <v>202609</v>
          </cell>
          <cell r="K641">
            <v>0</v>
          </cell>
          <cell r="N641">
            <v>7</v>
          </cell>
          <cell r="O641">
            <v>84</v>
          </cell>
        </row>
        <row r="642">
          <cell r="I642">
            <v>202609</v>
          </cell>
          <cell r="K642">
            <v>0</v>
          </cell>
          <cell r="N642">
            <v>7</v>
          </cell>
          <cell r="O642">
            <v>84</v>
          </cell>
        </row>
        <row r="643">
          <cell r="I643">
            <v>202609</v>
          </cell>
          <cell r="K643">
            <v>0</v>
          </cell>
          <cell r="N643">
            <v>7</v>
          </cell>
          <cell r="O643">
            <v>84</v>
          </cell>
        </row>
        <row r="644">
          <cell r="I644">
            <v>202609</v>
          </cell>
          <cell r="K644">
            <v>0</v>
          </cell>
          <cell r="N644">
            <v>7</v>
          </cell>
          <cell r="O644">
            <v>84</v>
          </cell>
        </row>
        <row r="645">
          <cell r="I645">
            <v>202609</v>
          </cell>
          <cell r="K645">
            <v>0</v>
          </cell>
          <cell r="N645">
            <v>7</v>
          </cell>
          <cell r="O645">
            <v>84</v>
          </cell>
        </row>
        <row r="646">
          <cell r="I646">
            <v>202609</v>
          </cell>
          <cell r="K646">
            <v>0</v>
          </cell>
          <cell r="N646">
            <v>7</v>
          </cell>
          <cell r="O646">
            <v>84</v>
          </cell>
        </row>
        <row r="647">
          <cell r="I647">
            <v>202609</v>
          </cell>
          <cell r="K647">
            <v>0</v>
          </cell>
          <cell r="N647">
            <v>7</v>
          </cell>
          <cell r="O647">
            <v>84</v>
          </cell>
        </row>
        <row r="648">
          <cell r="I648">
            <v>202609</v>
          </cell>
          <cell r="K648">
            <v>0</v>
          </cell>
          <cell r="N648">
            <v>7</v>
          </cell>
          <cell r="O648">
            <v>84</v>
          </cell>
        </row>
        <row r="649">
          <cell r="I649">
            <v>202609</v>
          </cell>
          <cell r="K649">
            <v>0</v>
          </cell>
          <cell r="N649">
            <v>7</v>
          </cell>
          <cell r="O649">
            <v>84</v>
          </cell>
        </row>
        <row r="650">
          <cell r="I650">
            <v>202609</v>
          </cell>
          <cell r="K650">
            <v>0</v>
          </cell>
          <cell r="N650">
            <v>7</v>
          </cell>
          <cell r="O650">
            <v>84</v>
          </cell>
        </row>
        <row r="651">
          <cell r="I651">
            <v>202609</v>
          </cell>
          <cell r="K651">
            <v>0</v>
          </cell>
          <cell r="N651">
            <v>7</v>
          </cell>
          <cell r="O651">
            <v>84</v>
          </cell>
        </row>
        <row r="652">
          <cell r="I652">
            <v>202609</v>
          </cell>
          <cell r="K652">
            <v>0</v>
          </cell>
          <cell r="N652">
            <v>7</v>
          </cell>
          <cell r="O652">
            <v>84</v>
          </cell>
        </row>
        <row r="653">
          <cell r="I653">
            <v>202609</v>
          </cell>
          <cell r="K653">
            <v>0</v>
          </cell>
          <cell r="N653">
            <v>7</v>
          </cell>
          <cell r="O653">
            <v>84</v>
          </cell>
        </row>
        <row r="654">
          <cell r="I654">
            <v>202609</v>
          </cell>
          <cell r="K654">
            <v>0</v>
          </cell>
          <cell r="N654">
            <v>7</v>
          </cell>
          <cell r="O654">
            <v>84</v>
          </cell>
        </row>
        <row r="655">
          <cell r="I655">
            <v>202609</v>
          </cell>
          <cell r="K655">
            <v>0</v>
          </cell>
          <cell r="N655">
            <v>7</v>
          </cell>
          <cell r="O655">
            <v>84</v>
          </cell>
        </row>
        <row r="656">
          <cell r="I656">
            <v>202609</v>
          </cell>
          <cell r="K656">
            <v>0</v>
          </cell>
          <cell r="N656">
            <v>7</v>
          </cell>
          <cell r="O656">
            <v>84</v>
          </cell>
        </row>
        <row r="657">
          <cell r="I657">
            <v>202609</v>
          </cell>
          <cell r="K657">
            <v>0</v>
          </cell>
          <cell r="N657">
            <v>7</v>
          </cell>
          <cell r="O657">
            <v>84</v>
          </cell>
        </row>
        <row r="658">
          <cell r="I658">
            <v>202609</v>
          </cell>
          <cell r="K658">
            <v>0</v>
          </cell>
          <cell r="N658">
            <v>7</v>
          </cell>
          <cell r="O658">
            <v>84</v>
          </cell>
        </row>
        <row r="659">
          <cell r="I659">
            <v>202609</v>
          </cell>
          <cell r="K659">
            <v>0</v>
          </cell>
          <cell r="N659">
            <v>7</v>
          </cell>
          <cell r="O659">
            <v>84</v>
          </cell>
        </row>
        <row r="660">
          <cell r="I660">
            <v>202609</v>
          </cell>
          <cell r="K660">
            <v>0</v>
          </cell>
          <cell r="N660">
            <v>7</v>
          </cell>
          <cell r="O660">
            <v>84</v>
          </cell>
        </row>
        <row r="661">
          <cell r="I661">
            <v>202609</v>
          </cell>
          <cell r="K661">
            <v>0</v>
          </cell>
          <cell r="N661">
            <v>7</v>
          </cell>
          <cell r="O661">
            <v>84</v>
          </cell>
        </row>
        <row r="662">
          <cell r="I662">
            <v>202609</v>
          </cell>
          <cell r="K662">
            <v>0</v>
          </cell>
          <cell r="N662">
            <v>7</v>
          </cell>
          <cell r="O662">
            <v>84</v>
          </cell>
        </row>
        <row r="663">
          <cell r="I663">
            <v>202609</v>
          </cell>
          <cell r="K663">
            <v>0</v>
          </cell>
          <cell r="N663">
            <v>7</v>
          </cell>
          <cell r="O663">
            <v>84</v>
          </cell>
        </row>
        <row r="664">
          <cell r="I664">
            <v>202609</v>
          </cell>
          <cell r="K664">
            <v>0</v>
          </cell>
          <cell r="N664">
            <v>7</v>
          </cell>
          <cell r="O664">
            <v>84</v>
          </cell>
        </row>
        <row r="665">
          <cell r="I665">
            <v>202609</v>
          </cell>
          <cell r="K665">
            <v>0</v>
          </cell>
          <cell r="N665">
            <v>7</v>
          </cell>
          <cell r="O665">
            <v>84</v>
          </cell>
        </row>
        <row r="666">
          <cell r="I666">
            <v>202609</v>
          </cell>
          <cell r="K666">
            <v>0</v>
          </cell>
          <cell r="N666">
            <v>7</v>
          </cell>
          <cell r="O666">
            <v>84</v>
          </cell>
        </row>
        <row r="667">
          <cell r="I667">
            <v>202609</v>
          </cell>
          <cell r="K667">
            <v>0</v>
          </cell>
          <cell r="N667">
            <v>7</v>
          </cell>
          <cell r="O667">
            <v>84</v>
          </cell>
        </row>
        <row r="668">
          <cell r="I668">
            <v>202609</v>
          </cell>
          <cell r="K668">
            <v>0</v>
          </cell>
          <cell r="N668">
            <v>7</v>
          </cell>
          <cell r="O668">
            <v>84</v>
          </cell>
        </row>
        <row r="669">
          <cell r="I669">
            <v>202609</v>
          </cell>
          <cell r="K669">
            <v>0</v>
          </cell>
          <cell r="N669">
            <v>7</v>
          </cell>
          <cell r="O669">
            <v>84</v>
          </cell>
        </row>
        <row r="670">
          <cell r="I670">
            <v>202609</v>
          </cell>
          <cell r="K670">
            <v>0</v>
          </cell>
          <cell r="N670">
            <v>7</v>
          </cell>
          <cell r="O670">
            <v>84</v>
          </cell>
        </row>
        <row r="671">
          <cell r="I671">
            <v>202609</v>
          </cell>
          <cell r="K671">
            <v>0</v>
          </cell>
          <cell r="N671">
            <v>7</v>
          </cell>
          <cell r="O671">
            <v>84</v>
          </cell>
        </row>
        <row r="672">
          <cell r="I672">
            <v>202609</v>
          </cell>
          <cell r="K672">
            <v>0</v>
          </cell>
          <cell r="N672">
            <v>7</v>
          </cell>
          <cell r="O672">
            <v>84</v>
          </cell>
        </row>
        <row r="673">
          <cell r="I673">
            <v>202609</v>
          </cell>
          <cell r="K673">
            <v>0</v>
          </cell>
          <cell r="N673">
            <v>7</v>
          </cell>
          <cell r="O673">
            <v>84</v>
          </cell>
        </row>
        <row r="674">
          <cell r="I674">
            <v>202609</v>
          </cell>
          <cell r="K674">
            <v>0</v>
          </cell>
          <cell r="N674">
            <v>7</v>
          </cell>
          <cell r="O674">
            <v>84</v>
          </cell>
        </row>
        <row r="675">
          <cell r="I675">
            <v>202609</v>
          </cell>
          <cell r="K675">
            <v>0</v>
          </cell>
          <cell r="N675">
            <v>7</v>
          </cell>
          <cell r="O675">
            <v>84</v>
          </cell>
        </row>
        <row r="676">
          <cell r="I676">
            <v>202609</v>
          </cell>
          <cell r="K676">
            <v>0</v>
          </cell>
          <cell r="N676">
            <v>7</v>
          </cell>
          <cell r="O676">
            <v>84</v>
          </cell>
        </row>
        <row r="677">
          <cell r="I677">
            <v>202609</v>
          </cell>
          <cell r="K677">
            <v>0</v>
          </cell>
          <cell r="N677">
            <v>7</v>
          </cell>
          <cell r="O677">
            <v>84</v>
          </cell>
        </row>
        <row r="678">
          <cell r="I678">
            <v>202609</v>
          </cell>
          <cell r="K678">
            <v>0</v>
          </cell>
          <cell r="N678">
            <v>7</v>
          </cell>
          <cell r="O678">
            <v>84</v>
          </cell>
        </row>
        <row r="679">
          <cell r="I679">
            <v>202609</v>
          </cell>
          <cell r="K679">
            <v>0</v>
          </cell>
          <cell r="N679">
            <v>7</v>
          </cell>
          <cell r="O679">
            <v>84</v>
          </cell>
        </row>
        <row r="680">
          <cell r="I680">
            <v>202609</v>
          </cell>
          <cell r="K680">
            <v>0</v>
          </cell>
          <cell r="N680">
            <v>7</v>
          </cell>
          <cell r="O680">
            <v>84</v>
          </cell>
        </row>
        <row r="681">
          <cell r="I681">
            <v>202609</v>
          </cell>
          <cell r="K681">
            <v>0</v>
          </cell>
          <cell r="N681">
            <v>7</v>
          </cell>
          <cell r="O681">
            <v>84</v>
          </cell>
        </row>
        <row r="682">
          <cell r="I682">
            <v>202609</v>
          </cell>
          <cell r="K682">
            <v>0</v>
          </cell>
          <cell r="N682">
            <v>7</v>
          </cell>
          <cell r="O682">
            <v>84</v>
          </cell>
        </row>
        <row r="683">
          <cell r="I683">
            <v>202609</v>
          </cell>
          <cell r="K683">
            <v>0</v>
          </cell>
          <cell r="N683">
            <v>7</v>
          </cell>
          <cell r="O683">
            <v>84</v>
          </cell>
        </row>
        <row r="684">
          <cell r="I684">
            <v>202609</v>
          </cell>
          <cell r="K684">
            <v>0</v>
          </cell>
          <cell r="N684">
            <v>7</v>
          </cell>
          <cell r="O684">
            <v>84</v>
          </cell>
        </row>
        <row r="685">
          <cell r="I685">
            <v>202609</v>
          </cell>
          <cell r="K685">
            <v>0</v>
          </cell>
          <cell r="N685">
            <v>7</v>
          </cell>
          <cell r="O685">
            <v>84</v>
          </cell>
        </row>
        <row r="686">
          <cell r="I686">
            <v>202609</v>
          </cell>
          <cell r="K686">
            <v>0</v>
          </cell>
          <cell r="N686">
            <v>7</v>
          </cell>
          <cell r="O686">
            <v>84</v>
          </cell>
        </row>
        <row r="687">
          <cell r="I687">
            <v>202609</v>
          </cell>
          <cell r="K687">
            <v>0</v>
          </cell>
          <cell r="N687">
            <v>7</v>
          </cell>
          <cell r="O687">
            <v>84</v>
          </cell>
        </row>
        <row r="688">
          <cell r="I688">
            <v>202609</v>
          </cell>
          <cell r="K688">
            <v>0</v>
          </cell>
          <cell r="N688">
            <v>7</v>
          </cell>
          <cell r="O688">
            <v>84</v>
          </cell>
        </row>
        <row r="689">
          <cell r="I689">
            <v>202609</v>
          </cell>
          <cell r="K689">
            <v>0</v>
          </cell>
          <cell r="N689">
            <v>7</v>
          </cell>
          <cell r="O689">
            <v>84</v>
          </cell>
        </row>
        <row r="690">
          <cell r="I690">
            <v>202609</v>
          </cell>
          <cell r="K690">
            <v>0</v>
          </cell>
          <cell r="N690">
            <v>7</v>
          </cell>
          <cell r="O690">
            <v>84</v>
          </cell>
        </row>
        <row r="691">
          <cell r="I691">
            <v>202609</v>
          </cell>
          <cell r="K691">
            <v>0</v>
          </cell>
          <cell r="N691">
            <v>7</v>
          </cell>
          <cell r="O691">
            <v>84</v>
          </cell>
        </row>
        <row r="692">
          <cell r="I692">
            <v>202609</v>
          </cell>
          <cell r="K692">
            <v>0</v>
          </cell>
          <cell r="N692">
            <v>7</v>
          </cell>
          <cell r="O692">
            <v>84</v>
          </cell>
        </row>
        <row r="693">
          <cell r="I693">
            <v>202609</v>
          </cell>
          <cell r="K693">
            <v>0</v>
          </cell>
          <cell r="N693">
            <v>7</v>
          </cell>
          <cell r="O693">
            <v>84</v>
          </cell>
        </row>
        <row r="694">
          <cell r="I694">
            <v>202609</v>
          </cell>
          <cell r="K694">
            <v>0</v>
          </cell>
          <cell r="N694">
            <v>7</v>
          </cell>
          <cell r="O694">
            <v>84</v>
          </cell>
        </row>
        <row r="695">
          <cell r="I695">
            <v>202609</v>
          </cell>
          <cell r="K695">
            <v>0</v>
          </cell>
          <cell r="N695">
            <v>7</v>
          </cell>
          <cell r="O695">
            <v>84</v>
          </cell>
        </row>
        <row r="696">
          <cell r="I696">
            <v>202609</v>
          </cell>
          <cell r="K696">
            <v>0</v>
          </cell>
          <cell r="N696">
            <v>7</v>
          </cell>
          <cell r="O696">
            <v>84</v>
          </cell>
        </row>
        <row r="697">
          <cell r="I697">
            <v>202609</v>
          </cell>
          <cell r="K697">
            <v>0</v>
          </cell>
          <cell r="N697">
            <v>7</v>
          </cell>
          <cell r="O697">
            <v>84</v>
          </cell>
        </row>
        <row r="698">
          <cell r="I698">
            <v>202609</v>
          </cell>
          <cell r="K698">
            <v>0</v>
          </cell>
          <cell r="N698">
            <v>7</v>
          </cell>
          <cell r="O698">
            <v>84</v>
          </cell>
        </row>
        <row r="699">
          <cell r="I699">
            <v>202609</v>
          </cell>
          <cell r="K699">
            <v>0</v>
          </cell>
          <cell r="N699">
            <v>7</v>
          </cell>
          <cell r="O699">
            <v>84</v>
          </cell>
        </row>
        <row r="700">
          <cell r="I700">
            <v>202609</v>
          </cell>
          <cell r="K700">
            <v>0</v>
          </cell>
          <cell r="N700">
            <v>7</v>
          </cell>
          <cell r="O700">
            <v>84</v>
          </cell>
        </row>
        <row r="701">
          <cell r="I701">
            <v>202609</v>
          </cell>
          <cell r="K701">
            <v>0</v>
          </cell>
          <cell r="N701">
            <v>7</v>
          </cell>
          <cell r="O701">
            <v>84</v>
          </cell>
        </row>
        <row r="702">
          <cell r="I702">
            <v>202609</v>
          </cell>
          <cell r="K702">
            <v>0</v>
          </cell>
          <cell r="N702">
            <v>7</v>
          </cell>
          <cell r="O702">
            <v>84</v>
          </cell>
        </row>
        <row r="703">
          <cell r="I703">
            <v>202609</v>
          </cell>
          <cell r="K703">
            <v>0</v>
          </cell>
          <cell r="N703">
            <v>7</v>
          </cell>
          <cell r="O703">
            <v>84</v>
          </cell>
        </row>
        <row r="704">
          <cell r="I704">
            <v>202609</v>
          </cell>
          <cell r="K704">
            <v>0</v>
          </cell>
          <cell r="N704">
            <v>7</v>
          </cell>
          <cell r="O704">
            <v>84</v>
          </cell>
        </row>
        <row r="705">
          <cell r="I705">
            <v>202609</v>
          </cell>
          <cell r="K705">
            <v>0</v>
          </cell>
          <cell r="N705">
            <v>7</v>
          </cell>
          <cell r="O705">
            <v>84</v>
          </cell>
        </row>
        <row r="706">
          <cell r="I706">
            <v>202609</v>
          </cell>
          <cell r="K706">
            <v>0</v>
          </cell>
          <cell r="N706">
            <v>7</v>
          </cell>
          <cell r="O706">
            <v>84</v>
          </cell>
        </row>
        <row r="707">
          <cell r="I707">
            <v>202609</v>
          </cell>
          <cell r="K707">
            <v>0</v>
          </cell>
          <cell r="N707">
            <v>7</v>
          </cell>
          <cell r="O707">
            <v>84</v>
          </cell>
        </row>
        <row r="708">
          <cell r="I708">
            <v>202609</v>
          </cell>
          <cell r="K708">
            <v>0</v>
          </cell>
          <cell r="N708">
            <v>7</v>
          </cell>
          <cell r="O708">
            <v>84</v>
          </cell>
        </row>
        <row r="709">
          <cell r="I709">
            <v>202609</v>
          </cell>
          <cell r="K709">
            <v>0</v>
          </cell>
          <cell r="N709">
            <v>7</v>
          </cell>
          <cell r="O709">
            <v>84</v>
          </cell>
        </row>
        <row r="710">
          <cell r="I710">
            <v>202609</v>
          </cell>
          <cell r="K710">
            <v>0</v>
          </cell>
          <cell r="N710">
            <v>7</v>
          </cell>
          <cell r="O710">
            <v>84</v>
          </cell>
        </row>
        <row r="711">
          <cell r="I711">
            <v>202609</v>
          </cell>
          <cell r="K711">
            <v>0</v>
          </cell>
          <cell r="N711">
            <v>7</v>
          </cell>
          <cell r="O711">
            <v>84</v>
          </cell>
        </row>
        <row r="712">
          <cell r="I712">
            <v>202609</v>
          </cell>
          <cell r="K712">
            <v>0</v>
          </cell>
          <cell r="N712">
            <v>7</v>
          </cell>
          <cell r="O712">
            <v>84</v>
          </cell>
        </row>
        <row r="713">
          <cell r="I713">
            <v>202609</v>
          </cell>
          <cell r="K713">
            <v>0</v>
          </cell>
          <cell r="N713">
            <v>7</v>
          </cell>
          <cell r="O713">
            <v>84</v>
          </cell>
        </row>
        <row r="714">
          <cell r="I714">
            <v>202609</v>
          </cell>
          <cell r="K714">
            <v>0</v>
          </cell>
          <cell r="N714">
            <v>7</v>
          </cell>
          <cell r="O714">
            <v>84</v>
          </cell>
        </row>
        <row r="715">
          <cell r="I715">
            <v>202609</v>
          </cell>
          <cell r="K715">
            <v>0</v>
          </cell>
          <cell r="N715">
            <v>7</v>
          </cell>
          <cell r="O715">
            <v>84</v>
          </cell>
        </row>
        <row r="716">
          <cell r="I716">
            <v>202609</v>
          </cell>
          <cell r="K716">
            <v>0</v>
          </cell>
          <cell r="N716">
            <v>7</v>
          </cell>
          <cell r="O716">
            <v>84</v>
          </cell>
        </row>
        <row r="717">
          <cell r="I717">
            <v>202609</v>
          </cell>
          <cell r="K717">
            <v>0</v>
          </cell>
          <cell r="N717">
            <v>7</v>
          </cell>
          <cell r="O717">
            <v>84</v>
          </cell>
        </row>
        <row r="718">
          <cell r="I718">
            <v>202609</v>
          </cell>
          <cell r="K718">
            <v>0</v>
          </cell>
          <cell r="N718">
            <v>7</v>
          </cell>
          <cell r="O718">
            <v>84</v>
          </cell>
        </row>
        <row r="719">
          <cell r="I719">
            <v>202609</v>
          </cell>
          <cell r="K719">
            <v>0</v>
          </cell>
          <cell r="N719">
            <v>7</v>
          </cell>
          <cell r="O719">
            <v>84</v>
          </cell>
        </row>
        <row r="720">
          <cell r="I720">
            <v>202609</v>
          </cell>
          <cell r="K720">
            <v>0</v>
          </cell>
          <cell r="N720">
            <v>7</v>
          </cell>
          <cell r="O720">
            <v>84</v>
          </cell>
        </row>
        <row r="721">
          <cell r="I721">
            <v>202609</v>
          </cell>
          <cell r="K721">
            <v>0</v>
          </cell>
          <cell r="N721">
            <v>7</v>
          </cell>
          <cell r="O721">
            <v>84</v>
          </cell>
        </row>
        <row r="722">
          <cell r="I722">
            <v>202609</v>
          </cell>
          <cell r="K722">
            <v>0</v>
          </cell>
          <cell r="N722">
            <v>7</v>
          </cell>
          <cell r="O722">
            <v>84</v>
          </cell>
        </row>
        <row r="723">
          <cell r="I723">
            <v>202609</v>
          </cell>
          <cell r="K723">
            <v>0</v>
          </cell>
          <cell r="N723">
            <v>7</v>
          </cell>
          <cell r="O723">
            <v>84</v>
          </cell>
        </row>
        <row r="724">
          <cell r="I724">
            <v>202609</v>
          </cell>
          <cell r="K724">
            <v>0</v>
          </cell>
          <cell r="N724">
            <v>7</v>
          </cell>
          <cell r="O724">
            <v>84</v>
          </cell>
        </row>
        <row r="725">
          <cell r="I725">
            <v>202609</v>
          </cell>
          <cell r="K725">
            <v>0</v>
          </cell>
          <cell r="N725">
            <v>7</v>
          </cell>
          <cell r="O725">
            <v>84</v>
          </cell>
        </row>
        <row r="726">
          <cell r="I726">
            <v>202609</v>
          </cell>
          <cell r="K726">
            <v>0</v>
          </cell>
          <cell r="N726">
            <v>7</v>
          </cell>
          <cell r="O726">
            <v>84</v>
          </cell>
        </row>
        <row r="727">
          <cell r="I727">
            <v>202609</v>
          </cell>
          <cell r="K727">
            <v>0</v>
          </cell>
          <cell r="N727">
            <v>7</v>
          </cell>
          <cell r="O727">
            <v>84</v>
          </cell>
        </row>
        <row r="728">
          <cell r="I728">
            <v>202609</v>
          </cell>
          <cell r="K728">
            <v>0</v>
          </cell>
          <cell r="N728">
            <v>7</v>
          </cell>
          <cell r="O728">
            <v>84</v>
          </cell>
        </row>
        <row r="729">
          <cell r="I729">
            <v>202609</v>
          </cell>
          <cell r="K729">
            <v>0</v>
          </cell>
          <cell r="N729">
            <v>7</v>
          </cell>
          <cell r="O729">
            <v>84</v>
          </cell>
        </row>
        <row r="730">
          <cell r="I730">
            <v>202609</v>
          </cell>
          <cell r="K730">
            <v>0</v>
          </cell>
          <cell r="N730">
            <v>7</v>
          </cell>
          <cell r="O730">
            <v>84</v>
          </cell>
        </row>
        <row r="731">
          <cell r="I731">
            <v>202609</v>
          </cell>
          <cell r="K731">
            <v>0</v>
          </cell>
          <cell r="N731">
            <v>7</v>
          </cell>
          <cell r="O731">
            <v>84</v>
          </cell>
        </row>
        <row r="732">
          <cell r="I732">
            <v>202609</v>
          </cell>
          <cell r="K732">
            <v>0</v>
          </cell>
          <cell r="N732">
            <v>7</v>
          </cell>
          <cell r="O732">
            <v>84</v>
          </cell>
        </row>
        <row r="733">
          <cell r="I733">
            <v>202609</v>
          </cell>
          <cell r="K733">
            <v>0</v>
          </cell>
          <cell r="N733">
            <v>7</v>
          </cell>
          <cell r="O733">
            <v>84</v>
          </cell>
        </row>
        <row r="734">
          <cell r="I734">
            <v>202609</v>
          </cell>
          <cell r="K734">
            <v>0</v>
          </cell>
          <cell r="N734">
            <v>7</v>
          </cell>
          <cell r="O734">
            <v>84</v>
          </cell>
        </row>
        <row r="735">
          <cell r="I735">
            <v>202609</v>
          </cell>
          <cell r="K735">
            <v>0</v>
          </cell>
          <cell r="N735">
            <v>7</v>
          </cell>
          <cell r="O735">
            <v>84</v>
          </cell>
        </row>
        <row r="736">
          <cell r="I736">
            <v>202609</v>
          </cell>
          <cell r="K736">
            <v>0</v>
          </cell>
          <cell r="N736">
            <v>7</v>
          </cell>
          <cell r="O736">
            <v>84</v>
          </cell>
        </row>
        <row r="737">
          <cell r="I737">
            <v>202609</v>
          </cell>
          <cell r="K737">
            <v>0</v>
          </cell>
          <cell r="N737">
            <v>7</v>
          </cell>
          <cell r="O737">
            <v>84</v>
          </cell>
        </row>
        <row r="738">
          <cell r="I738">
            <v>202609</v>
          </cell>
          <cell r="K738">
            <v>0</v>
          </cell>
          <cell r="N738">
            <v>7</v>
          </cell>
          <cell r="O738">
            <v>84</v>
          </cell>
        </row>
        <row r="739">
          <cell r="I739">
            <v>202609</v>
          </cell>
          <cell r="K739">
            <v>0</v>
          </cell>
          <cell r="N739">
            <v>7</v>
          </cell>
          <cell r="O739">
            <v>84</v>
          </cell>
        </row>
        <row r="740">
          <cell r="I740">
            <v>202609</v>
          </cell>
          <cell r="K740">
            <v>0</v>
          </cell>
          <cell r="N740">
            <v>7</v>
          </cell>
          <cell r="O740">
            <v>84</v>
          </cell>
        </row>
        <row r="741">
          <cell r="I741">
            <v>202609</v>
          </cell>
          <cell r="K741">
            <v>0</v>
          </cell>
          <cell r="N741">
            <v>7</v>
          </cell>
          <cell r="O741">
            <v>84</v>
          </cell>
        </row>
        <row r="742">
          <cell r="I742">
            <v>202609</v>
          </cell>
          <cell r="K742">
            <v>0</v>
          </cell>
          <cell r="N742">
            <v>7</v>
          </cell>
          <cell r="O742">
            <v>84</v>
          </cell>
        </row>
        <row r="743">
          <cell r="I743">
            <v>202609</v>
          </cell>
          <cell r="K743">
            <v>0</v>
          </cell>
          <cell r="N743">
            <v>7</v>
          </cell>
          <cell r="O743">
            <v>84</v>
          </cell>
        </row>
        <row r="744">
          <cell r="I744">
            <v>202609</v>
          </cell>
          <cell r="K744">
            <v>0</v>
          </cell>
          <cell r="N744">
            <v>7</v>
          </cell>
          <cell r="O744">
            <v>84</v>
          </cell>
        </row>
        <row r="745">
          <cell r="I745">
            <v>202609</v>
          </cell>
          <cell r="K745">
            <v>0</v>
          </cell>
          <cell r="N745">
            <v>7</v>
          </cell>
          <cell r="O745">
            <v>84</v>
          </cell>
        </row>
        <row r="746">
          <cell r="I746">
            <v>202609</v>
          </cell>
          <cell r="K746">
            <v>0</v>
          </cell>
          <cell r="N746">
            <v>7</v>
          </cell>
          <cell r="O746">
            <v>84</v>
          </cell>
        </row>
        <row r="747">
          <cell r="I747">
            <v>202609</v>
          </cell>
          <cell r="K747">
            <v>0</v>
          </cell>
          <cell r="N747">
            <v>7</v>
          </cell>
          <cell r="O747">
            <v>84</v>
          </cell>
        </row>
        <row r="748">
          <cell r="I748">
            <v>202609</v>
          </cell>
          <cell r="K748">
            <v>0</v>
          </cell>
          <cell r="N748">
            <v>7</v>
          </cell>
          <cell r="O748">
            <v>84</v>
          </cell>
        </row>
        <row r="749">
          <cell r="I749">
            <v>202609</v>
          </cell>
          <cell r="K749">
            <v>0</v>
          </cell>
          <cell r="N749">
            <v>7</v>
          </cell>
          <cell r="O749">
            <v>84</v>
          </cell>
        </row>
        <row r="750">
          <cell r="I750">
            <v>202609</v>
          </cell>
          <cell r="K750">
            <v>0</v>
          </cell>
          <cell r="N750">
            <v>7</v>
          </cell>
          <cell r="O750">
            <v>84</v>
          </cell>
        </row>
        <row r="751">
          <cell r="I751">
            <v>202609</v>
          </cell>
          <cell r="K751">
            <v>0</v>
          </cell>
          <cell r="N751">
            <v>7</v>
          </cell>
          <cell r="O751">
            <v>84</v>
          </cell>
        </row>
        <row r="752">
          <cell r="I752">
            <v>202609</v>
          </cell>
          <cell r="K752">
            <v>0</v>
          </cell>
          <cell r="N752">
            <v>7</v>
          </cell>
          <cell r="O752">
            <v>84</v>
          </cell>
        </row>
        <row r="753">
          <cell r="I753">
            <v>202609</v>
          </cell>
          <cell r="K753">
            <v>0</v>
          </cell>
          <cell r="N753">
            <v>7</v>
          </cell>
          <cell r="O753">
            <v>84</v>
          </cell>
        </row>
        <row r="754">
          <cell r="I754">
            <v>202609</v>
          </cell>
          <cell r="K754">
            <v>0</v>
          </cell>
          <cell r="N754">
            <v>7</v>
          </cell>
          <cell r="O754">
            <v>84</v>
          </cell>
        </row>
        <row r="755">
          <cell r="I755">
            <v>202609</v>
          </cell>
          <cell r="K755">
            <v>0</v>
          </cell>
          <cell r="N755">
            <v>7</v>
          </cell>
          <cell r="O755">
            <v>84</v>
          </cell>
        </row>
        <row r="756">
          <cell r="I756">
            <v>202609</v>
          </cell>
          <cell r="K756">
            <v>0</v>
          </cell>
          <cell r="N756">
            <v>7</v>
          </cell>
          <cell r="O756">
            <v>84</v>
          </cell>
        </row>
        <row r="757">
          <cell r="I757">
            <v>202609</v>
          </cell>
          <cell r="K757">
            <v>0</v>
          </cell>
          <cell r="N757">
            <v>7</v>
          </cell>
          <cell r="O757">
            <v>84</v>
          </cell>
        </row>
        <row r="758">
          <cell r="I758">
            <v>202609</v>
          </cell>
          <cell r="K758">
            <v>0</v>
          </cell>
          <cell r="N758">
            <v>7</v>
          </cell>
          <cell r="O758">
            <v>84</v>
          </cell>
        </row>
        <row r="759">
          <cell r="I759">
            <v>202609</v>
          </cell>
          <cell r="K759">
            <v>0</v>
          </cell>
          <cell r="N759">
            <v>7</v>
          </cell>
          <cell r="O759">
            <v>84</v>
          </cell>
        </row>
        <row r="760">
          <cell r="I760">
            <v>202609</v>
          </cell>
          <cell r="K760">
            <v>0</v>
          </cell>
          <cell r="N760">
            <v>7</v>
          </cell>
          <cell r="O760">
            <v>84</v>
          </cell>
        </row>
        <row r="761">
          <cell r="I761">
            <v>202609</v>
          </cell>
          <cell r="K761">
            <v>0</v>
          </cell>
          <cell r="N761">
            <v>7</v>
          </cell>
          <cell r="O761">
            <v>84</v>
          </cell>
        </row>
        <row r="762">
          <cell r="I762">
            <v>202609</v>
          </cell>
          <cell r="K762">
            <v>0</v>
          </cell>
          <cell r="N762">
            <v>7</v>
          </cell>
          <cell r="O762">
            <v>84</v>
          </cell>
        </row>
        <row r="763">
          <cell r="I763">
            <v>202609</v>
          </cell>
          <cell r="K763">
            <v>0</v>
          </cell>
          <cell r="N763">
            <v>7</v>
          </cell>
          <cell r="O763">
            <v>84</v>
          </cell>
        </row>
        <row r="764">
          <cell r="I764">
            <v>202609</v>
          </cell>
          <cell r="K764">
            <v>0</v>
          </cell>
          <cell r="N764">
            <v>7</v>
          </cell>
          <cell r="O764">
            <v>84</v>
          </cell>
        </row>
        <row r="765">
          <cell r="I765">
            <v>202609</v>
          </cell>
          <cell r="K765">
            <v>0</v>
          </cell>
          <cell r="N765">
            <v>7</v>
          </cell>
          <cell r="O765">
            <v>84</v>
          </cell>
        </row>
        <row r="766">
          <cell r="I766">
            <v>202609</v>
          </cell>
          <cell r="K766">
            <v>0</v>
          </cell>
          <cell r="N766">
            <v>7</v>
          </cell>
          <cell r="O766">
            <v>84</v>
          </cell>
        </row>
        <row r="767">
          <cell r="I767">
            <v>202609</v>
          </cell>
          <cell r="K767">
            <v>0</v>
          </cell>
          <cell r="N767">
            <v>7</v>
          </cell>
          <cell r="O767">
            <v>84</v>
          </cell>
        </row>
        <row r="768">
          <cell r="I768">
            <v>202609</v>
          </cell>
          <cell r="K768">
            <v>0</v>
          </cell>
          <cell r="N768">
            <v>7</v>
          </cell>
          <cell r="O768">
            <v>84</v>
          </cell>
        </row>
        <row r="769">
          <cell r="I769">
            <v>202609</v>
          </cell>
          <cell r="K769">
            <v>0</v>
          </cell>
          <cell r="N769">
            <v>7</v>
          </cell>
          <cell r="O769">
            <v>84</v>
          </cell>
        </row>
        <row r="770">
          <cell r="I770">
            <v>202609</v>
          </cell>
          <cell r="K770">
            <v>0</v>
          </cell>
          <cell r="N770">
            <v>7</v>
          </cell>
          <cell r="O770">
            <v>84</v>
          </cell>
        </row>
        <row r="771">
          <cell r="I771">
            <v>202609</v>
          </cell>
          <cell r="K771">
            <v>0</v>
          </cell>
          <cell r="N771">
            <v>7</v>
          </cell>
          <cell r="O771">
            <v>84</v>
          </cell>
        </row>
        <row r="772">
          <cell r="I772">
            <v>202609</v>
          </cell>
          <cell r="K772">
            <v>0</v>
          </cell>
          <cell r="N772">
            <v>7</v>
          </cell>
          <cell r="O772">
            <v>84</v>
          </cell>
        </row>
        <row r="773">
          <cell r="I773">
            <v>202609</v>
          </cell>
          <cell r="K773">
            <v>0</v>
          </cell>
          <cell r="N773">
            <v>7</v>
          </cell>
          <cell r="O773">
            <v>84</v>
          </cell>
        </row>
        <row r="774">
          <cell r="I774">
            <v>202609</v>
          </cell>
          <cell r="K774">
            <v>0</v>
          </cell>
          <cell r="N774">
            <v>7</v>
          </cell>
          <cell r="O774">
            <v>84</v>
          </cell>
        </row>
        <row r="775">
          <cell r="I775">
            <v>202609</v>
          </cell>
          <cell r="K775">
            <v>0</v>
          </cell>
          <cell r="N775">
            <v>7</v>
          </cell>
          <cell r="O775">
            <v>84</v>
          </cell>
        </row>
        <row r="776">
          <cell r="I776">
            <v>202609</v>
          </cell>
          <cell r="K776">
            <v>0</v>
          </cell>
          <cell r="N776">
            <v>7</v>
          </cell>
          <cell r="O776">
            <v>84</v>
          </cell>
        </row>
        <row r="777">
          <cell r="I777">
            <v>202609</v>
          </cell>
          <cell r="K777">
            <v>0</v>
          </cell>
          <cell r="N777">
            <v>7</v>
          </cell>
          <cell r="O777">
            <v>84</v>
          </cell>
        </row>
        <row r="778">
          <cell r="I778">
            <v>202609</v>
          </cell>
          <cell r="K778">
            <v>0</v>
          </cell>
          <cell r="N778">
            <v>7</v>
          </cell>
          <cell r="O778">
            <v>84</v>
          </cell>
        </row>
        <row r="779">
          <cell r="I779">
            <v>202609</v>
          </cell>
          <cell r="K779">
            <v>0</v>
          </cell>
          <cell r="N779">
            <v>7</v>
          </cell>
          <cell r="O779">
            <v>84</v>
          </cell>
        </row>
        <row r="780">
          <cell r="I780">
            <v>202609</v>
          </cell>
          <cell r="K780">
            <v>0</v>
          </cell>
          <cell r="N780">
            <v>7</v>
          </cell>
          <cell r="O780">
            <v>84</v>
          </cell>
        </row>
        <row r="781">
          <cell r="I781">
            <v>202609</v>
          </cell>
          <cell r="K781">
            <v>0</v>
          </cell>
          <cell r="N781">
            <v>7</v>
          </cell>
          <cell r="O781">
            <v>84</v>
          </cell>
        </row>
        <row r="782">
          <cell r="I782">
            <v>202609</v>
          </cell>
          <cell r="K782">
            <v>0</v>
          </cell>
          <cell r="N782">
            <v>7</v>
          </cell>
          <cell r="O782">
            <v>84</v>
          </cell>
        </row>
        <row r="783">
          <cell r="I783">
            <v>202609</v>
          </cell>
          <cell r="K783">
            <v>0</v>
          </cell>
          <cell r="N783">
            <v>7</v>
          </cell>
          <cell r="O783">
            <v>84</v>
          </cell>
        </row>
        <row r="784">
          <cell r="I784">
            <v>202609</v>
          </cell>
          <cell r="K784">
            <v>0</v>
          </cell>
          <cell r="N784">
            <v>7</v>
          </cell>
          <cell r="O784">
            <v>84</v>
          </cell>
        </row>
        <row r="785">
          <cell r="I785">
            <v>202609</v>
          </cell>
          <cell r="K785">
            <v>0</v>
          </cell>
          <cell r="N785">
            <v>7</v>
          </cell>
          <cell r="O785">
            <v>84</v>
          </cell>
        </row>
        <row r="786">
          <cell r="I786">
            <v>202609</v>
          </cell>
          <cell r="K786">
            <v>0</v>
          </cell>
          <cell r="N786">
            <v>7</v>
          </cell>
          <cell r="O786">
            <v>84</v>
          </cell>
        </row>
        <row r="787">
          <cell r="I787">
            <v>202609</v>
          </cell>
          <cell r="K787">
            <v>0</v>
          </cell>
          <cell r="N787">
            <v>7</v>
          </cell>
          <cell r="O787">
            <v>84</v>
          </cell>
        </row>
        <row r="788">
          <cell r="I788">
            <v>202609</v>
          </cell>
          <cell r="K788">
            <v>0</v>
          </cell>
          <cell r="N788">
            <v>7</v>
          </cell>
          <cell r="O788">
            <v>84</v>
          </cell>
        </row>
        <row r="789">
          <cell r="I789">
            <v>202609</v>
          </cell>
          <cell r="K789">
            <v>0</v>
          </cell>
          <cell r="N789">
            <v>7</v>
          </cell>
          <cell r="O789">
            <v>84</v>
          </cell>
        </row>
        <row r="790">
          <cell r="I790">
            <v>202609</v>
          </cell>
          <cell r="K790">
            <v>0</v>
          </cell>
          <cell r="N790">
            <v>7</v>
          </cell>
          <cell r="O790">
            <v>84</v>
          </cell>
        </row>
        <row r="791">
          <cell r="I791">
            <v>202609</v>
          </cell>
          <cell r="K791">
            <v>0</v>
          </cell>
          <cell r="N791">
            <v>7</v>
          </cell>
          <cell r="O791">
            <v>84</v>
          </cell>
        </row>
        <row r="792">
          <cell r="I792">
            <v>202609</v>
          </cell>
          <cell r="K792">
            <v>0</v>
          </cell>
          <cell r="N792">
            <v>7</v>
          </cell>
          <cell r="O792">
            <v>84</v>
          </cell>
        </row>
        <row r="793">
          <cell r="I793">
            <v>202609</v>
          </cell>
          <cell r="K793">
            <v>0</v>
          </cell>
          <cell r="N793">
            <v>7</v>
          </cell>
          <cell r="O793">
            <v>84</v>
          </cell>
        </row>
        <row r="794">
          <cell r="I794">
            <v>202609</v>
          </cell>
          <cell r="K794">
            <v>0</v>
          </cell>
          <cell r="N794">
            <v>7</v>
          </cell>
          <cell r="O794">
            <v>84</v>
          </cell>
        </row>
        <row r="795">
          <cell r="I795">
            <v>202609</v>
          </cell>
          <cell r="K795">
            <v>0</v>
          </cell>
          <cell r="N795">
            <v>7</v>
          </cell>
          <cell r="O795">
            <v>84</v>
          </cell>
        </row>
        <row r="796">
          <cell r="I796">
            <v>202609</v>
          </cell>
          <cell r="K796">
            <v>0</v>
          </cell>
          <cell r="N796">
            <v>7</v>
          </cell>
          <cell r="O796">
            <v>84</v>
          </cell>
        </row>
        <row r="797">
          <cell r="I797">
            <v>202609</v>
          </cell>
          <cell r="K797">
            <v>0</v>
          </cell>
          <cell r="N797">
            <v>7</v>
          </cell>
          <cell r="O797">
            <v>84</v>
          </cell>
        </row>
        <row r="798">
          <cell r="I798">
            <v>202609</v>
          </cell>
          <cell r="K798">
            <v>0</v>
          </cell>
          <cell r="N798">
            <v>7</v>
          </cell>
          <cell r="O798">
            <v>84</v>
          </cell>
        </row>
        <row r="799">
          <cell r="I799">
            <v>202609</v>
          </cell>
          <cell r="K799">
            <v>0</v>
          </cell>
          <cell r="N799">
            <v>7</v>
          </cell>
          <cell r="O799">
            <v>84</v>
          </cell>
        </row>
        <row r="800">
          <cell r="I800">
            <v>202609</v>
          </cell>
          <cell r="K800">
            <v>0</v>
          </cell>
          <cell r="N800">
            <v>7</v>
          </cell>
          <cell r="O800">
            <v>84</v>
          </cell>
        </row>
        <row r="801">
          <cell r="I801">
            <v>202609</v>
          </cell>
          <cell r="K801">
            <v>0</v>
          </cell>
          <cell r="N801">
            <v>7</v>
          </cell>
          <cell r="O801">
            <v>84</v>
          </cell>
        </row>
        <row r="802">
          <cell r="I802">
            <v>202609</v>
          </cell>
          <cell r="K802">
            <v>0</v>
          </cell>
          <cell r="N802">
            <v>7</v>
          </cell>
          <cell r="O802">
            <v>84</v>
          </cell>
        </row>
        <row r="803">
          <cell r="I803">
            <v>202609</v>
          </cell>
          <cell r="K803">
            <v>0</v>
          </cell>
          <cell r="N803">
            <v>7</v>
          </cell>
          <cell r="O803">
            <v>84</v>
          </cell>
        </row>
        <row r="804">
          <cell r="I804">
            <v>202609</v>
          </cell>
          <cell r="K804">
            <v>0</v>
          </cell>
          <cell r="N804">
            <v>7</v>
          </cell>
          <cell r="O804">
            <v>84</v>
          </cell>
        </row>
        <row r="805">
          <cell r="I805">
            <v>202609</v>
          </cell>
          <cell r="K805">
            <v>0</v>
          </cell>
          <cell r="N805">
            <v>7</v>
          </cell>
          <cell r="O805">
            <v>84</v>
          </cell>
        </row>
        <row r="806">
          <cell r="I806">
            <v>202609</v>
          </cell>
          <cell r="K806">
            <v>0</v>
          </cell>
          <cell r="N806">
            <v>7</v>
          </cell>
          <cell r="O806">
            <v>84</v>
          </cell>
        </row>
        <row r="807">
          <cell r="I807">
            <v>202609</v>
          </cell>
          <cell r="K807">
            <v>0</v>
          </cell>
          <cell r="N807">
            <v>7</v>
          </cell>
          <cell r="O807">
            <v>84</v>
          </cell>
        </row>
        <row r="808">
          <cell r="I808">
            <v>202609</v>
          </cell>
          <cell r="K808">
            <v>0</v>
          </cell>
          <cell r="N808">
            <v>7</v>
          </cell>
          <cell r="O808">
            <v>84</v>
          </cell>
        </row>
        <row r="809">
          <cell r="I809">
            <v>202609</v>
          </cell>
          <cell r="K809">
            <v>0</v>
          </cell>
          <cell r="N809">
            <v>7</v>
          </cell>
          <cell r="O809">
            <v>84</v>
          </cell>
        </row>
        <row r="810">
          <cell r="I810">
            <v>202609</v>
          </cell>
          <cell r="K810">
            <v>0</v>
          </cell>
          <cell r="N810">
            <v>7</v>
          </cell>
          <cell r="O810">
            <v>84</v>
          </cell>
        </row>
        <row r="811">
          <cell r="I811">
            <v>202609</v>
          </cell>
          <cell r="K811">
            <v>0</v>
          </cell>
          <cell r="N811">
            <v>7</v>
          </cell>
          <cell r="O811">
            <v>84</v>
          </cell>
        </row>
        <row r="812">
          <cell r="I812">
            <v>202609</v>
          </cell>
          <cell r="K812">
            <v>0</v>
          </cell>
          <cell r="N812">
            <v>7</v>
          </cell>
          <cell r="O812">
            <v>84</v>
          </cell>
        </row>
        <row r="813">
          <cell r="I813">
            <v>202609</v>
          </cell>
          <cell r="K813">
            <v>0</v>
          </cell>
          <cell r="N813">
            <v>7</v>
          </cell>
          <cell r="O813">
            <v>84</v>
          </cell>
        </row>
        <row r="814">
          <cell r="I814">
            <v>202609</v>
          </cell>
          <cell r="K814">
            <v>0</v>
          </cell>
          <cell r="N814">
            <v>7</v>
          </cell>
          <cell r="O814">
            <v>84</v>
          </cell>
        </row>
        <row r="815">
          <cell r="I815">
            <v>202609</v>
          </cell>
          <cell r="K815">
            <v>0</v>
          </cell>
          <cell r="N815">
            <v>7</v>
          </cell>
          <cell r="O815">
            <v>84</v>
          </cell>
        </row>
        <row r="816">
          <cell r="I816">
            <v>202609</v>
          </cell>
          <cell r="K816">
            <v>0</v>
          </cell>
          <cell r="N816">
            <v>7</v>
          </cell>
          <cell r="O816">
            <v>84</v>
          </cell>
        </row>
        <row r="817">
          <cell r="I817">
            <v>202609</v>
          </cell>
          <cell r="K817">
            <v>0</v>
          </cell>
          <cell r="N817">
            <v>7</v>
          </cell>
          <cell r="O817">
            <v>84</v>
          </cell>
        </row>
        <row r="818">
          <cell r="I818">
            <v>202609</v>
          </cell>
          <cell r="K818">
            <v>0</v>
          </cell>
          <cell r="N818">
            <v>7</v>
          </cell>
          <cell r="O818">
            <v>84</v>
          </cell>
        </row>
        <row r="819">
          <cell r="I819">
            <v>202609</v>
          </cell>
          <cell r="K819">
            <v>0</v>
          </cell>
          <cell r="N819">
            <v>7</v>
          </cell>
          <cell r="O819">
            <v>84</v>
          </cell>
        </row>
        <row r="820">
          <cell r="I820">
            <v>202609</v>
          </cell>
          <cell r="K820">
            <v>0</v>
          </cell>
          <cell r="N820">
            <v>7</v>
          </cell>
          <cell r="O820">
            <v>84</v>
          </cell>
        </row>
        <row r="821">
          <cell r="I821">
            <v>202609</v>
          </cell>
          <cell r="K821">
            <v>0</v>
          </cell>
          <cell r="N821">
            <v>7</v>
          </cell>
          <cell r="O821">
            <v>84</v>
          </cell>
        </row>
        <row r="822">
          <cell r="I822">
            <v>202609</v>
          </cell>
          <cell r="K822">
            <v>0</v>
          </cell>
          <cell r="N822">
            <v>7</v>
          </cell>
          <cell r="O822">
            <v>84</v>
          </cell>
        </row>
        <row r="823">
          <cell r="I823">
            <v>202609</v>
          </cell>
          <cell r="K823">
            <v>0</v>
          </cell>
          <cell r="N823">
            <v>7</v>
          </cell>
          <cell r="O823">
            <v>84</v>
          </cell>
        </row>
        <row r="824">
          <cell r="I824">
            <v>202609</v>
          </cell>
          <cell r="K824">
            <v>0</v>
          </cell>
          <cell r="N824">
            <v>7</v>
          </cell>
          <cell r="O824">
            <v>84</v>
          </cell>
        </row>
        <row r="825">
          <cell r="I825">
            <v>202609</v>
          </cell>
          <cell r="K825">
            <v>0</v>
          </cell>
          <cell r="N825">
            <v>7</v>
          </cell>
          <cell r="O825">
            <v>84</v>
          </cell>
        </row>
        <row r="826">
          <cell r="I826">
            <v>202609</v>
          </cell>
          <cell r="K826">
            <v>0</v>
          </cell>
          <cell r="N826">
            <v>7</v>
          </cell>
          <cell r="O826">
            <v>84</v>
          </cell>
        </row>
        <row r="827">
          <cell r="I827">
            <v>202609</v>
          </cell>
          <cell r="K827">
            <v>0</v>
          </cell>
          <cell r="N827">
            <v>7</v>
          </cell>
          <cell r="O827">
            <v>84</v>
          </cell>
        </row>
        <row r="828">
          <cell r="I828">
            <v>202609</v>
          </cell>
          <cell r="K828">
            <v>0</v>
          </cell>
          <cell r="N828">
            <v>7</v>
          </cell>
          <cell r="O828">
            <v>84</v>
          </cell>
        </row>
        <row r="829">
          <cell r="I829">
            <v>202609</v>
          </cell>
          <cell r="K829">
            <v>0</v>
          </cell>
          <cell r="N829">
            <v>7</v>
          </cell>
          <cell r="O829">
            <v>84</v>
          </cell>
        </row>
        <row r="830">
          <cell r="I830">
            <v>202609</v>
          </cell>
          <cell r="K830">
            <v>0</v>
          </cell>
          <cell r="N830">
            <v>7</v>
          </cell>
          <cell r="O830">
            <v>84</v>
          </cell>
        </row>
        <row r="831">
          <cell r="I831">
            <v>202609</v>
          </cell>
          <cell r="K831">
            <v>0</v>
          </cell>
          <cell r="N831">
            <v>7</v>
          </cell>
          <cell r="O831">
            <v>84</v>
          </cell>
        </row>
        <row r="832">
          <cell r="I832">
            <v>202609</v>
          </cell>
          <cell r="K832">
            <v>0</v>
          </cell>
          <cell r="N832">
            <v>7</v>
          </cell>
          <cell r="O832">
            <v>84</v>
          </cell>
        </row>
        <row r="833">
          <cell r="I833">
            <v>202609</v>
          </cell>
          <cell r="K833">
            <v>0</v>
          </cell>
          <cell r="N833">
            <v>7</v>
          </cell>
          <cell r="O833">
            <v>84</v>
          </cell>
        </row>
        <row r="834">
          <cell r="I834">
            <v>202609</v>
          </cell>
          <cell r="K834">
            <v>0</v>
          </cell>
          <cell r="N834">
            <v>7</v>
          </cell>
          <cell r="O834">
            <v>84</v>
          </cell>
        </row>
        <row r="835">
          <cell r="I835">
            <v>202609</v>
          </cell>
          <cell r="K835">
            <v>0</v>
          </cell>
          <cell r="N835">
            <v>7</v>
          </cell>
          <cell r="O835">
            <v>84</v>
          </cell>
        </row>
        <row r="836">
          <cell r="I836">
            <v>202609</v>
          </cell>
          <cell r="K836">
            <v>0</v>
          </cell>
          <cell r="N836">
            <v>7</v>
          </cell>
          <cell r="O836">
            <v>84</v>
          </cell>
        </row>
        <row r="837">
          <cell r="I837">
            <v>202609</v>
          </cell>
          <cell r="K837">
            <v>0</v>
          </cell>
          <cell r="N837">
            <v>7</v>
          </cell>
          <cell r="O837">
            <v>84</v>
          </cell>
        </row>
        <row r="838">
          <cell r="I838">
            <v>202609</v>
          </cell>
          <cell r="K838">
            <v>0</v>
          </cell>
          <cell r="N838">
            <v>7</v>
          </cell>
          <cell r="O838">
            <v>84</v>
          </cell>
        </row>
        <row r="839">
          <cell r="I839">
            <v>202609</v>
          </cell>
          <cell r="K839">
            <v>0</v>
          </cell>
          <cell r="N839">
            <v>7</v>
          </cell>
          <cell r="O839">
            <v>84</v>
          </cell>
        </row>
        <row r="840">
          <cell r="I840">
            <v>202609</v>
          </cell>
          <cell r="K840">
            <v>0</v>
          </cell>
          <cell r="N840">
            <v>7</v>
          </cell>
          <cell r="O840">
            <v>84</v>
          </cell>
        </row>
        <row r="841">
          <cell r="I841">
            <v>202609</v>
          </cell>
          <cell r="K841">
            <v>0</v>
          </cell>
          <cell r="N841">
            <v>7</v>
          </cell>
          <cell r="O841">
            <v>84</v>
          </cell>
        </row>
        <row r="842">
          <cell r="I842">
            <v>202609</v>
          </cell>
          <cell r="K842">
            <v>0</v>
          </cell>
          <cell r="N842">
            <v>7</v>
          </cell>
          <cell r="O842">
            <v>84</v>
          </cell>
        </row>
        <row r="843">
          <cell r="I843">
            <v>202609</v>
          </cell>
          <cell r="K843">
            <v>0</v>
          </cell>
          <cell r="N843">
            <v>7</v>
          </cell>
          <cell r="O843">
            <v>84</v>
          </cell>
        </row>
        <row r="844">
          <cell r="I844">
            <v>202609</v>
          </cell>
          <cell r="K844">
            <v>0</v>
          </cell>
          <cell r="N844">
            <v>7</v>
          </cell>
          <cell r="O844">
            <v>84</v>
          </cell>
        </row>
        <row r="845">
          <cell r="I845">
            <v>202609</v>
          </cell>
          <cell r="K845">
            <v>0</v>
          </cell>
          <cell r="N845">
            <v>7</v>
          </cell>
          <cell r="O845">
            <v>84</v>
          </cell>
        </row>
        <row r="846">
          <cell r="I846">
            <v>202609</v>
          </cell>
          <cell r="K846">
            <v>0</v>
          </cell>
          <cell r="N846">
            <v>7</v>
          </cell>
          <cell r="O846">
            <v>84</v>
          </cell>
        </row>
        <row r="847">
          <cell r="I847">
            <v>202609</v>
          </cell>
          <cell r="K847">
            <v>0</v>
          </cell>
          <cell r="N847">
            <v>7</v>
          </cell>
          <cell r="O847">
            <v>84</v>
          </cell>
        </row>
        <row r="848">
          <cell r="I848">
            <v>202609</v>
          </cell>
          <cell r="K848">
            <v>0</v>
          </cell>
          <cell r="N848">
            <v>7</v>
          </cell>
          <cell r="O848">
            <v>84</v>
          </cell>
        </row>
        <row r="849">
          <cell r="I849">
            <v>202609</v>
          </cell>
          <cell r="K849">
            <v>0</v>
          </cell>
          <cell r="N849">
            <v>7</v>
          </cell>
          <cell r="O849">
            <v>84</v>
          </cell>
        </row>
        <row r="850">
          <cell r="I850">
            <v>202609</v>
          </cell>
          <cell r="K850">
            <v>0</v>
          </cell>
          <cell r="N850">
            <v>7</v>
          </cell>
          <cell r="O850">
            <v>84</v>
          </cell>
        </row>
        <row r="851">
          <cell r="I851">
            <v>202609</v>
          </cell>
          <cell r="K851">
            <v>0</v>
          </cell>
          <cell r="N851">
            <v>7</v>
          </cell>
          <cell r="O851">
            <v>84</v>
          </cell>
        </row>
        <row r="852">
          <cell r="I852">
            <v>202609</v>
          </cell>
          <cell r="K852">
            <v>0</v>
          </cell>
          <cell r="N852">
            <v>7</v>
          </cell>
          <cell r="O852">
            <v>84</v>
          </cell>
        </row>
        <row r="853">
          <cell r="I853">
            <v>202609</v>
          </cell>
          <cell r="K853">
            <v>0</v>
          </cell>
          <cell r="N853">
            <v>7</v>
          </cell>
          <cell r="O853">
            <v>84</v>
          </cell>
        </row>
        <row r="854">
          <cell r="I854">
            <v>202609</v>
          </cell>
          <cell r="K854">
            <v>0</v>
          </cell>
          <cell r="N854">
            <v>7</v>
          </cell>
          <cell r="O854">
            <v>84</v>
          </cell>
        </row>
        <row r="855">
          <cell r="I855">
            <v>202609</v>
          </cell>
          <cell r="K855">
            <v>0</v>
          </cell>
          <cell r="N855">
            <v>7</v>
          </cell>
          <cell r="O855">
            <v>84</v>
          </cell>
        </row>
        <row r="856">
          <cell r="I856">
            <v>202609</v>
          </cell>
          <cell r="K856">
            <v>0</v>
          </cell>
          <cell r="N856">
            <v>7</v>
          </cell>
          <cell r="O856">
            <v>84</v>
          </cell>
        </row>
        <row r="857">
          <cell r="I857">
            <v>202609</v>
          </cell>
          <cell r="K857">
            <v>0</v>
          </cell>
          <cell r="N857">
            <v>7</v>
          </cell>
          <cell r="O857">
            <v>84</v>
          </cell>
        </row>
        <row r="858">
          <cell r="I858">
            <v>202609</v>
          </cell>
          <cell r="K858">
            <v>0</v>
          </cell>
          <cell r="N858">
            <v>7</v>
          </cell>
          <cell r="O858">
            <v>84</v>
          </cell>
        </row>
        <row r="859">
          <cell r="I859">
            <v>202609</v>
          </cell>
          <cell r="K859">
            <v>0</v>
          </cell>
          <cell r="N859">
            <v>7</v>
          </cell>
          <cell r="O859">
            <v>84</v>
          </cell>
        </row>
        <row r="860">
          <cell r="I860">
            <v>202609</v>
          </cell>
          <cell r="K860">
            <v>0</v>
          </cell>
          <cell r="N860">
            <v>7</v>
          </cell>
          <cell r="O860">
            <v>84</v>
          </cell>
        </row>
        <row r="861">
          <cell r="I861">
            <v>202609</v>
          </cell>
          <cell r="K861">
            <v>0</v>
          </cell>
          <cell r="N861">
            <v>7</v>
          </cell>
          <cell r="O861">
            <v>84</v>
          </cell>
        </row>
        <row r="862">
          <cell r="I862">
            <v>202609</v>
          </cell>
          <cell r="K862">
            <v>0</v>
          </cell>
          <cell r="N862">
            <v>7</v>
          </cell>
          <cell r="O862">
            <v>84</v>
          </cell>
        </row>
        <row r="863">
          <cell r="I863">
            <v>202609</v>
          </cell>
          <cell r="K863">
            <v>0</v>
          </cell>
          <cell r="N863">
            <v>7</v>
          </cell>
          <cell r="O863">
            <v>84</v>
          </cell>
        </row>
        <row r="864">
          <cell r="I864">
            <v>202609</v>
          </cell>
          <cell r="K864">
            <v>0</v>
          </cell>
          <cell r="N864">
            <v>7</v>
          </cell>
          <cell r="O864">
            <v>84</v>
          </cell>
        </row>
        <row r="865">
          <cell r="I865">
            <v>202609</v>
          </cell>
          <cell r="K865">
            <v>0</v>
          </cell>
          <cell r="N865">
            <v>7</v>
          </cell>
          <cell r="O865">
            <v>84</v>
          </cell>
        </row>
        <row r="866">
          <cell r="I866">
            <v>202609</v>
          </cell>
          <cell r="K866">
            <v>0</v>
          </cell>
          <cell r="N866">
            <v>7</v>
          </cell>
          <cell r="O866">
            <v>84</v>
          </cell>
        </row>
        <row r="867">
          <cell r="I867">
            <v>202609</v>
          </cell>
          <cell r="K867">
            <v>0</v>
          </cell>
          <cell r="N867">
            <v>7</v>
          </cell>
          <cell r="O867">
            <v>84</v>
          </cell>
        </row>
        <row r="868">
          <cell r="I868">
            <v>202609</v>
          </cell>
          <cell r="K868">
            <v>0</v>
          </cell>
          <cell r="N868">
            <v>7</v>
          </cell>
          <cell r="O868">
            <v>84</v>
          </cell>
        </row>
        <row r="869">
          <cell r="I869">
            <v>202609</v>
          </cell>
          <cell r="K869">
            <v>0</v>
          </cell>
          <cell r="N869">
            <v>7</v>
          </cell>
          <cell r="O869">
            <v>84</v>
          </cell>
        </row>
        <row r="870">
          <cell r="I870">
            <v>202609</v>
          </cell>
          <cell r="K870">
            <v>0</v>
          </cell>
          <cell r="N870">
            <v>7</v>
          </cell>
          <cell r="O870">
            <v>84</v>
          </cell>
        </row>
        <row r="871">
          <cell r="I871">
            <v>202609</v>
          </cell>
          <cell r="K871">
            <v>0</v>
          </cell>
          <cell r="N871">
            <v>7</v>
          </cell>
          <cell r="O871">
            <v>84</v>
          </cell>
        </row>
        <row r="872">
          <cell r="I872">
            <v>202609</v>
          </cell>
          <cell r="K872">
            <v>0</v>
          </cell>
          <cell r="N872">
            <v>7</v>
          </cell>
          <cell r="O872">
            <v>84</v>
          </cell>
        </row>
        <row r="873">
          <cell r="I873">
            <v>202609</v>
          </cell>
          <cell r="K873">
            <v>0</v>
          </cell>
          <cell r="N873">
            <v>7</v>
          </cell>
          <cell r="O873">
            <v>84</v>
          </cell>
        </row>
        <row r="874">
          <cell r="I874">
            <v>202609</v>
          </cell>
          <cell r="K874">
            <v>0</v>
          </cell>
          <cell r="N874">
            <v>7</v>
          </cell>
          <cell r="O874">
            <v>84</v>
          </cell>
        </row>
        <row r="875">
          <cell r="I875">
            <v>202609</v>
          </cell>
          <cell r="K875">
            <v>0</v>
          </cell>
          <cell r="N875">
            <v>7</v>
          </cell>
          <cell r="O875">
            <v>84</v>
          </cell>
        </row>
        <row r="876">
          <cell r="I876">
            <v>202609</v>
          </cell>
          <cell r="K876">
            <v>0</v>
          </cell>
          <cell r="N876">
            <v>7</v>
          </cell>
          <cell r="O876">
            <v>84</v>
          </cell>
        </row>
        <row r="877">
          <cell r="I877">
            <v>202609</v>
          </cell>
          <cell r="K877">
            <v>0</v>
          </cell>
          <cell r="N877">
            <v>7</v>
          </cell>
          <cell r="O877">
            <v>84</v>
          </cell>
        </row>
        <row r="878">
          <cell r="I878">
            <v>202609</v>
          </cell>
          <cell r="K878">
            <v>0</v>
          </cell>
          <cell r="N878">
            <v>7</v>
          </cell>
          <cell r="O878">
            <v>84</v>
          </cell>
        </row>
        <row r="879">
          <cell r="I879">
            <v>202609</v>
          </cell>
          <cell r="K879">
            <v>0</v>
          </cell>
          <cell r="N879">
            <v>7</v>
          </cell>
          <cell r="O879">
            <v>84</v>
          </cell>
        </row>
        <row r="880">
          <cell r="I880">
            <v>202609</v>
          </cell>
          <cell r="K880">
            <v>0</v>
          </cell>
          <cell r="N880">
            <v>7</v>
          </cell>
          <cell r="O880">
            <v>84</v>
          </cell>
        </row>
        <row r="881">
          <cell r="I881">
            <v>202609</v>
          </cell>
          <cell r="K881">
            <v>0</v>
          </cell>
          <cell r="N881">
            <v>7</v>
          </cell>
          <cell r="O881">
            <v>84</v>
          </cell>
        </row>
        <row r="882">
          <cell r="I882">
            <v>202609</v>
          </cell>
          <cell r="K882">
            <v>0</v>
          </cell>
          <cell r="N882">
            <v>7</v>
          </cell>
          <cell r="O882">
            <v>84</v>
          </cell>
        </row>
        <row r="883">
          <cell r="I883">
            <v>202609</v>
          </cell>
          <cell r="K883">
            <v>0</v>
          </cell>
          <cell r="N883">
            <v>7</v>
          </cell>
          <cell r="O883">
            <v>84</v>
          </cell>
        </row>
        <row r="884">
          <cell r="I884">
            <v>202609</v>
          </cell>
          <cell r="K884">
            <v>0</v>
          </cell>
          <cell r="N884">
            <v>7</v>
          </cell>
          <cell r="O884">
            <v>84</v>
          </cell>
        </row>
        <row r="885">
          <cell r="I885">
            <v>202609</v>
          </cell>
          <cell r="K885">
            <v>0</v>
          </cell>
          <cell r="N885">
            <v>7</v>
          </cell>
          <cell r="O885">
            <v>84</v>
          </cell>
        </row>
        <row r="886">
          <cell r="I886">
            <v>202609</v>
          </cell>
          <cell r="K886">
            <v>0</v>
          </cell>
          <cell r="N886">
            <v>7</v>
          </cell>
          <cell r="O886">
            <v>84</v>
          </cell>
        </row>
        <row r="887">
          <cell r="I887">
            <v>202609</v>
          </cell>
          <cell r="K887">
            <v>0</v>
          </cell>
          <cell r="N887">
            <v>7</v>
          </cell>
          <cell r="O887">
            <v>84</v>
          </cell>
        </row>
        <row r="888">
          <cell r="I888">
            <v>202609</v>
          </cell>
          <cell r="K888">
            <v>0</v>
          </cell>
          <cell r="N888">
            <v>7</v>
          </cell>
          <cell r="O888">
            <v>84</v>
          </cell>
        </row>
        <row r="889">
          <cell r="I889">
            <v>202609</v>
          </cell>
          <cell r="K889">
            <v>0</v>
          </cell>
          <cell r="N889">
            <v>7</v>
          </cell>
          <cell r="O889">
            <v>84</v>
          </cell>
        </row>
        <row r="890">
          <cell r="I890">
            <v>202609</v>
          </cell>
          <cell r="K890">
            <v>0</v>
          </cell>
          <cell r="N890">
            <v>7</v>
          </cell>
          <cell r="O890">
            <v>84</v>
          </cell>
        </row>
        <row r="891">
          <cell r="I891">
            <v>202609</v>
          </cell>
          <cell r="K891">
            <v>0</v>
          </cell>
          <cell r="N891">
            <v>7</v>
          </cell>
          <cell r="O891">
            <v>84</v>
          </cell>
        </row>
        <row r="892">
          <cell r="I892">
            <v>202609</v>
          </cell>
          <cell r="K892">
            <v>0</v>
          </cell>
          <cell r="N892">
            <v>7</v>
          </cell>
          <cell r="O892">
            <v>84</v>
          </cell>
        </row>
        <row r="893">
          <cell r="I893">
            <v>202609</v>
          </cell>
          <cell r="K893">
            <v>0</v>
          </cell>
          <cell r="N893">
            <v>7</v>
          </cell>
          <cell r="O893">
            <v>84</v>
          </cell>
        </row>
        <row r="894">
          <cell r="I894">
            <v>202609</v>
          </cell>
          <cell r="K894">
            <v>0</v>
          </cell>
          <cell r="N894">
            <v>7</v>
          </cell>
          <cell r="O894">
            <v>84</v>
          </cell>
        </row>
        <row r="895">
          <cell r="I895">
            <v>202609</v>
          </cell>
          <cell r="K895">
            <v>0</v>
          </cell>
          <cell r="N895">
            <v>7</v>
          </cell>
          <cell r="O895">
            <v>84</v>
          </cell>
        </row>
        <row r="896">
          <cell r="I896">
            <v>202609</v>
          </cell>
          <cell r="K896">
            <v>0</v>
          </cell>
          <cell r="N896">
            <v>7</v>
          </cell>
          <cell r="O896">
            <v>84</v>
          </cell>
        </row>
        <row r="897">
          <cell r="I897">
            <v>202609</v>
          </cell>
          <cell r="K897">
            <v>0</v>
          </cell>
          <cell r="N897">
            <v>7</v>
          </cell>
          <cell r="O897">
            <v>84</v>
          </cell>
        </row>
        <row r="898">
          <cell r="I898">
            <v>202609</v>
          </cell>
          <cell r="K898">
            <v>0</v>
          </cell>
          <cell r="N898">
            <v>7</v>
          </cell>
          <cell r="O898">
            <v>84</v>
          </cell>
        </row>
        <row r="899">
          <cell r="I899">
            <v>202609</v>
          </cell>
          <cell r="K899">
            <v>0</v>
          </cell>
          <cell r="N899">
            <v>7</v>
          </cell>
          <cell r="O899">
            <v>84</v>
          </cell>
        </row>
        <row r="900">
          <cell r="I900">
            <v>202609</v>
          </cell>
          <cell r="K900">
            <v>0</v>
          </cell>
          <cell r="N900">
            <v>7</v>
          </cell>
          <cell r="O900">
            <v>84</v>
          </cell>
        </row>
        <row r="901">
          <cell r="I901">
            <v>202609</v>
          </cell>
          <cell r="K901">
            <v>0</v>
          </cell>
          <cell r="N901">
            <v>7</v>
          </cell>
          <cell r="O901">
            <v>84</v>
          </cell>
        </row>
        <row r="902">
          <cell r="I902">
            <v>202609</v>
          </cell>
          <cell r="K902">
            <v>0</v>
          </cell>
          <cell r="N902">
            <v>7</v>
          </cell>
          <cell r="O902">
            <v>84</v>
          </cell>
        </row>
        <row r="903">
          <cell r="I903">
            <v>202609</v>
          </cell>
          <cell r="K903">
            <v>0</v>
          </cell>
          <cell r="N903">
            <v>7</v>
          </cell>
          <cell r="O903">
            <v>84</v>
          </cell>
        </row>
        <row r="904">
          <cell r="I904">
            <v>202609</v>
          </cell>
          <cell r="K904">
            <v>0</v>
          </cell>
          <cell r="N904">
            <v>7</v>
          </cell>
          <cell r="O904">
            <v>84</v>
          </cell>
        </row>
        <row r="905">
          <cell r="I905">
            <v>202609</v>
          </cell>
          <cell r="K905">
            <v>0</v>
          </cell>
          <cell r="N905">
            <v>7</v>
          </cell>
          <cell r="O905">
            <v>84</v>
          </cell>
        </row>
        <row r="906">
          <cell r="I906">
            <v>202609</v>
          </cell>
          <cell r="K906">
            <v>0</v>
          </cell>
          <cell r="N906">
            <v>7</v>
          </cell>
          <cell r="O906">
            <v>84</v>
          </cell>
        </row>
        <row r="907">
          <cell r="I907">
            <v>202609</v>
          </cell>
          <cell r="K907">
            <v>0</v>
          </cell>
          <cell r="N907">
            <v>7</v>
          </cell>
          <cell r="O907">
            <v>84</v>
          </cell>
        </row>
        <row r="908">
          <cell r="I908">
            <v>202609</v>
          </cell>
          <cell r="K908">
            <v>0</v>
          </cell>
          <cell r="N908">
            <v>7</v>
          </cell>
          <cell r="O908">
            <v>84</v>
          </cell>
        </row>
        <row r="909">
          <cell r="I909">
            <v>202609</v>
          </cell>
          <cell r="K909">
            <v>0</v>
          </cell>
          <cell r="N909">
            <v>7</v>
          </cell>
          <cell r="O909">
            <v>84</v>
          </cell>
        </row>
        <row r="910">
          <cell r="I910">
            <v>202609</v>
          </cell>
          <cell r="K910">
            <v>0</v>
          </cell>
          <cell r="N910">
            <v>7</v>
          </cell>
          <cell r="O910">
            <v>84</v>
          </cell>
        </row>
        <row r="911">
          <cell r="I911">
            <v>202609</v>
          </cell>
          <cell r="K911">
            <v>0</v>
          </cell>
          <cell r="N911">
            <v>7</v>
          </cell>
          <cell r="O911">
            <v>84</v>
          </cell>
        </row>
        <row r="912">
          <cell r="I912">
            <v>202609</v>
          </cell>
          <cell r="K912">
            <v>0</v>
          </cell>
          <cell r="N912">
            <v>7</v>
          </cell>
          <cell r="O912">
            <v>84</v>
          </cell>
        </row>
        <row r="913">
          <cell r="I913">
            <v>202609</v>
          </cell>
          <cell r="K913">
            <v>0</v>
          </cell>
          <cell r="N913">
            <v>7</v>
          </cell>
          <cell r="O913">
            <v>84</v>
          </cell>
        </row>
        <row r="914">
          <cell r="I914">
            <v>202609</v>
          </cell>
          <cell r="K914">
            <v>0</v>
          </cell>
          <cell r="N914">
            <v>7</v>
          </cell>
          <cell r="O914">
            <v>84</v>
          </cell>
        </row>
        <row r="915">
          <cell r="I915">
            <v>202609</v>
          </cell>
          <cell r="K915">
            <v>0</v>
          </cell>
          <cell r="N915">
            <v>7</v>
          </cell>
          <cell r="O915">
            <v>84</v>
          </cell>
        </row>
        <row r="916">
          <cell r="I916">
            <v>202609</v>
          </cell>
          <cell r="K916">
            <v>0</v>
          </cell>
          <cell r="N916">
            <v>7</v>
          </cell>
          <cell r="O916">
            <v>84</v>
          </cell>
        </row>
        <row r="917">
          <cell r="I917">
            <v>202609</v>
          </cell>
          <cell r="K917">
            <v>0</v>
          </cell>
          <cell r="N917">
            <v>7</v>
          </cell>
          <cell r="O917">
            <v>84</v>
          </cell>
        </row>
        <row r="918">
          <cell r="I918">
            <v>202609</v>
          </cell>
          <cell r="K918">
            <v>0</v>
          </cell>
          <cell r="N918">
            <v>7</v>
          </cell>
          <cell r="O918">
            <v>84</v>
          </cell>
        </row>
        <row r="919">
          <cell r="I919">
            <v>202609</v>
          </cell>
          <cell r="K919">
            <v>0</v>
          </cell>
          <cell r="N919">
            <v>7</v>
          </cell>
          <cell r="O919">
            <v>84</v>
          </cell>
        </row>
        <row r="920">
          <cell r="I920">
            <v>202609</v>
          </cell>
          <cell r="K920">
            <v>0</v>
          </cell>
          <cell r="N920">
            <v>7</v>
          </cell>
          <cell r="O920">
            <v>84</v>
          </cell>
        </row>
        <row r="921">
          <cell r="I921">
            <v>202609</v>
          </cell>
          <cell r="K921">
            <v>0</v>
          </cell>
          <cell r="N921">
            <v>7</v>
          </cell>
          <cell r="O921">
            <v>84</v>
          </cell>
        </row>
        <row r="922">
          <cell r="I922">
            <v>202609</v>
          </cell>
          <cell r="K922">
            <v>0</v>
          </cell>
          <cell r="N922">
            <v>7</v>
          </cell>
          <cell r="O922">
            <v>84</v>
          </cell>
        </row>
        <row r="923">
          <cell r="I923">
            <v>202609</v>
          </cell>
          <cell r="K923">
            <v>0</v>
          </cell>
          <cell r="N923">
            <v>7</v>
          </cell>
          <cell r="O923">
            <v>84</v>
          </cell>
        </row>
        <row r="924">
          <cell r="I924">
            <v>202609</v>
          </cell>
          <cell r="K924">
            <v>0</v>
          </cell>
          <cell r="N924">
            <v>7</v>
          </cell>
          <cell r="O924">
            <v>84</v>
          </cell>
        </row>
        <row r="925">
          <cell r="I925">
            <v>202609</v>
          </cell>
          <cell r="K925">
            <v>0</v>
          </cell>
          <cell r="N925">
            <v>7</v>
          </cell>
          <cell r="O925">
            <v>84</v>
          </cell>
        </row>
        <row r="926">
          <cell r="I926">
            <v>202609</v>
          </cell>
          <cell r="K926">
            <v>0</v>
          </cell>
          <cell r="N926">
            <v>7</v>
          </cell>
          <cell r="O926">
            <v>84</v>
          </cell>
        </row>
        <row r="927">
          <cell r="I927">
            <v>202609</v>
          </cell>
          <cell r="K927">
            <v>0</v>
          </cell>
          <cell r="N927">
            <v>7</v>
          </cell>
          <cell r="O927">
            <v>84</v>
          </cell>
        </row>
        <row r="928">
          <cell r="I928">
            <v>202609</v>
          </cell>
          <cell r="K928">
            <v>0</v>
          </cell>
          <cell r="N928">
            <v>7</v>
          </cell>
          <cell r="O928">
            <v>84</v>
          </cell>
        </row>
        <row r="929">
          <cell r="I929">
            <v>202609</v>
          </cell>
          <cell r="K929">
            <v>0</v>
          </cell>
          <cell r="N929">
            <v>7</v>
          </cell>
          <cell r="O929">
            <v>84</v>
          </cell>
        </row>
        <row r="930">
          <cell r="I930">
            <v>202609</v>
          </cell>
          <cell r="K930">
            <v>0</v>
          </cell>
          <cell r="N930">
            <v>7</v>
          </cell>
          <cell r="O930">
            <v>84</v>
          </cell>
        </row>
        <row r="931">
          <cell r="I931">
            <v>202609</v>
          </cell>
          <cell r="K931">
            <v>0</v>
          </cell>
          <cell r="N931">
            <v>7</v>
          </cell>
          <cell r="O931">
            <v>84</v>
          </cell>
        </row>
        <row r="932">
          <cell r="I932">
            <v>202609</v>
          </cell>
          <cell r="K932">
            <v>0</v>
          </cell>
          <cell r="N932">
            <v>7</v>
          </cell>
          <cell r="O932">
            <v>84</v>
          </cell>
        </row>
        <row r="933">
          <cell r="I933">
            <v>202609</v>
          </cell>
          <cell r="K933">
            <v>0</v>
          </cell>
          <cell r="N933">
            <v>7</v>
          </cell>
          <cell r="O933">
            <v>84</v>
          </cell>
        </row>
        <row r="934">
          <cell r="I934">
            <v>202609</v>
          </cell>
          <cell r="K934">
            <v>0</v>
          </cell>
          <cell r="N934">
            <v>7</v>
          </cell>
          <cell r="O934">
            <v>84</v>
          </cell>
        </row>
        <row r="935">
          <cell r="I935">
            <v>202609</v>
          </cell>
          <cell r="K935">
            <v>0</v>
          </cell>
          <cell r="N935">
            <v>7</v>
          </cell>
          <cell r="O935">
            <v>84</v>
          </cell>
        </row>
        <row r="936">
          <cell r="I936">
            <v>202609</v>
          </cell>
          <cell r="K936">
            <v>0</v>
          </cell>
          <cell r="N936">
            <v>7</v>
          </cell>
          <cell r="O936">
            <v>84</v>
          </cell>
        </row>
        <row r="937">
          <cell r="I937">
            <v>202609</v>
          </cell>
          <cell r="K937">
            <v>0</v>
          </cell>
          <cell r="N937">
            <v>7</v>
          </cell>
          <cell r="O937">
            <v>84</v>
          </cell>
        </row>
        <row r="938">
          <cell r="I938">
            <v>202609</v>
          </cell>
          <cell r="K938">
            <v>0</v>
          </cell>
          <cell r="N938">
            <v>7</v>
          </cell>
          <cell r="O938">
            <v>84</v>
          </cell>
        </row>
        <row r="939">
          <cell r="I939">
            <v>202609</v>
          </cell>
          <cell r="K939">
            <v>0</v>
          </cell>
          <cell r="N939">
            <v>7</v>
          </cell>
          <cell r="O939">
            <v>84</v>
          </cell>
        </row>
        <row r="940">
          <cell r="I940">
            <v>202609</v>
          </cell>
          <cell r="K940">
            <v>0</v>
          </cell>
          <cell r="N940">
            <v>7</v>
          </cell>
          <cell r="O940">
            <v>84</v>
          </cell>
        </row>
        <row r="941">
          <cell r="I941">
            <v>202609</v>
          </cell>
          <cell r="K941">
            <v>0</v>
          </cell>
          <cell r="N941">
            <v>7</v>
          </cell>
          <cell r="O941">
            <v>84</v>
          </cell>
        </row>
        <row r="942">
          <cell r="I942">
            <v>202609</v>
          </cell>
          <cell r="K942">
            <v>0</v>
          </cell>
          <cell r="N942">
            <v>7</v>
          </cell>
          <cell r="O942">
            <v>84</v>
          </cell>
        </row>
        <row r="943">
          <cell r="I943">
            <v>202609</v>
          </cell>
          <cell r="K943">
            <v>0</v>
          </cell>
          <cell r="N943">
            <v>7</v>
          </cell>
          <cell r="O943">
            <v>84</v>
          </cell>
        </row>
        <row r="944">
          <cell r="I944">
            <v>202609</v>
          </cell>
          <cell r="K944">
            <v>0</v>
          </cell>
          <cell r="N944">
            <v>7</v>
          </cell>
          <cell r="O944">
            <v>84</v>
          </cell>
        </row>
        <row r="945">
          <cell r="I945">
            <v>202609</v>
          </cell>
          <cell r="K945">
            <v>0</v>
          </cell>
          <cell r="N945">
            <v>7</v>
          </cell>
          <cell r="O945">
            <v>84</v>
          </cell>
        </row>
        <row r="946">
          <cell r="I946">
            <v>202609</v>
          </cell>
          <cell r="K946">
            <v>0</v>
          </cell>
          <cell r="N946">
            <v>7</v>
          </cell>
          <cell r="O946">
            <v>84</v>
          </cell>
        </row>
        <row r="947">
          <cell r="I947">
            <v>202609</v>
          </cell>
          <cell r="K947">
            <v>0</v>
          </cell>
          <cell r="N947">
            <v>7</v>
          </cell>
          <cell r="O947">
            <v>84</v>
          </cell>
        </row>
        <row r="948">
          <cell r="I948">
            <v>202609</v>
          </cell>
          <cell r="K948">
            <v>0</v>
          </cell>
          <cell r="N948">
            <v>7</v>
          </cell>
          <cell r="O948">
            <v>84</v>
          </cell>
        </row>
        <row r="949">
          <cell r="I949">
            <v>202609</v>
          </cell>
          <cell r="K949">
            <v>0</v>
          </cell>
          <cell r="N949">
            <v>7</v>
          </cell>
          <cell r="O949">
            <v>84</v>
          </cell>
        </row>
        <row r="950">
          <cell r="I950">
            <v>202609</v>
          </cell>
          <cell r="K950">
            <v>0</v>
          </cell>
          <cell r="N950">
            <v>7</v>
          </cell>
          <cell r="O950">
            <v>84</v>
          </cell>
        </row>
        <row r="951">
          <cell r="I951">
            <v>202609</v>
          </cell>
          <cell r="K951">
            <v>0</v>
          </cell>
          <cell r="N951">
            <v>7</v>
          </cell>
          <cell r="O951">
            <v>84</v>
          </cell>
        </row>
        <row r="952">
          <cell r="I952">
            <v>202609</v>
          </cell>
          <cell r="K952">
            <v>0</v>
          </cell>
          <cell r="N952">
            <v>7</v>
          </cell>
          <cell r="O952">
            <v>84</v>
          </cell>
        </row>
        <row r="953">
          <cell r="I953">
            <v>202609</v>
          </cell>
          <cell r="K953">
            <v>0</v>
          </cell>
          <cell r="N953">
            <v>7</v>
          </cell>
          <cell r="O953">
            <v>84</v>
          </cell>
        </row>
        <row r="954">
          <cell r="I954">
            <v>202609</v>
          </cell>
          <cell r="K954">
            <v>0</v>
          </cell>
          <cell r="N954">
            <v>7</v>
          </cell>
          <cell r="O954">
            <v>84</v>
          </cell>
        </row>
        <row r="955">
          <cell r="I955">
            <v>202609</v>
          </cell>
          <cell r="K955">
            <v>0</v>
          </cell>
          <cell r="N955">
            <v>7</v>
          </cell>
          <cell r="O955">
            <v>84</v>
          </cell>
        </row>
        <row r="956">
          <cell r="I956">
            <v>202609</v>
          </cell>
          <cell r="K956">
            <v>0</v>
          </cell>
          <cell r="N956">
            <v>7</v>
          </cell>
          <cell r="O956">
            <v>84</v>
          </cell>
        </row>
        <row r="957">
          <cell r="I957">
            <v>202609</v>
          </cell>
          <cell r="K957">
            <v>0</v>
          </cell>
          <cell r="N957">
            <v>7</v>
          </cell>
          <cell r="O957">
            <v>84</v>
          </cell>
        </row>
        <row r="958">
          <cell r="I958">
            <v>202609</v>
          </cell>
          <cell r="K958">
            <v>0</v>
          </cell>
          <cell r="N958">
            <v>7</v>
          </cell>
          <cell r="O958">
            <v>84</v>
          </cell>
        </row>
        <row r="959">
          <cell r="I959">
            <v>202609</v>
          </cell>
          <cell r="K959">
            <v>0</v>
          </cell>
          <cell r="N959">
            <v>7</v>
          </cell>
          <cell r="O959">
            <v>84</v>
          </cell>
        </row>
        <row r="960">
          <cell r="I960">
            <v>202609</v>
          </cell>
          <cell r="K960">
            <v>0</v>
          </cell>
          <cell r="N960">
            <v>7</v>
          </cell>
          <cell r="O960">
            <v>84</v>
          </cell>
        </row>
        <row r="961">
          <cell r="I961">
            <v>202609</v>
          </cell>
          <cell r="K961">
            <v>0</v>
          </cell>
          <cell r="N961">
            <v>7</v>
          </cell>
          <cell r="O961">
            <v>84</v>
          </cell>
        </row>
        <row r="962">
          <cell r="I962">
            <v>202609</v>
          </cell>
          <cell r="K962">
            <v>0</v>
          </cell>
          <cell r="N962">
            <v>7</v>
          </cell>
          <cell r="O962">
            <v>84</v>
          </cell>
        </row>
        <row r="963">
          <cell r="I963">
            <v>202609</v>
          </cell>
          <cell r="K963">
            <v>0</v>
          </cell>
          <cell r="N963">
            <v>7</v>
          </cell>
          <cell r="O963">
            <v>84</v>
          </cell>
        </row>
        <row r="964">
          <cell r="I964">
            <v>202609</v>
          </cell>
          <cell r="K964">
            <v>0</v>
          </cell>
          <cell r="N964">
            <v>7</v>
          </cell>
          <cell r="O964">
            <v>84</v>
          </cell>
        </row>
        <row r="965">
          <cell r="I965">
            <v>202609</v>
          </cell>
          <cell r="K965">
            <v>0</v>
          </cell>
          <cell r="N965">
            <v>7</v>
          </cell>
          <cell r="O965">
            <v>84</v>
          </cell>
        </row>
        <row r="966">
          <cell r="I966">
            <v>202609</v>
          </cell>
          <cell r="K966">
            <v>0</v>
          </cell>
          <cell r="N966">
            <v>7</v>
          </cell>
          <cell r="O966">
            <v>84</v>
          </cell>
        </row>
        <row r="967">
          <cell r="I967">
            <v>202609</v>
          </cell>
          <cell r="K967">
            <v>0</v>
          </cell>
          <cell r="N967">
            <v>7</v>
          </cell>
          <cell r="O967">
            <v>84</v>
          </cell>
        </row>
        <row r="968">
          <cell r="I968">
            <v>202609</v>
          </cell>
          <cell r="K968">
            <v>0</v>
          </cell>
          <cell r="N968">
            <v>7</v>
          </cell>
          <cell r="O968">
            <v>84</v>
          </cell>
        </row>
        <row r="969">
          <cell r="I969">
            <v>202609</v>
          </cell>
          <cell r="K969">
            <v>0</v>
          </cell>
          <cell r="N969">
            <v>7</v>
          </cell>
          <cell r="O969">
            <v>84</v>
          </cell>
        </row>
        <row r="970">
          <cell r="I970">
            <v>202609</v>
          </cell>
          <cell r="K970">
            <v>0</v>
          </cell>
          <cell r="N970">
            <v>7</v>
          </cell>
          <cell r="O970">
            <v>84</v>
          </cell>
        </row>
        <row r="971">
          <cell r="I971">
            <v>202609</v>
          </cell>
          <cell r="K971">
            <v>0</v>
          </cell>
          <cell r="N971">
            <v>7</v>
          </cell>
          <cell r="O971">
            <v>84</v>
          </cell>
        </row>
        <row r="972">
          <cell r="I972">
            <v>202609</v>
          </cell>
          <cell r="K972">
            <v>0</v>
          </cell>
          <cell r="N972">
            <v>7</v>
          </cell>
          <cell r="O972">
            <v>84</v>
          </cell>
        </row>
        <row r="973">
          <cell r="I973">
            <v>202609</v>
          </cell>
          <cell r="K973">
            <v>0</v>
          </cell>
          <cell r="N973">
            <v>7</v>
          </cell>
          <cell r="O973">
            <v>84</v>
          </cell>
        </row>
        <row r="974">
          <cell r="I974">
            <v>202609</v>
          </cell>
          <cell r="K974">
            <v>0</v>
          </cell>
          <cell r="N974">
            <v>7</v>
          </cell>
          <cell r="O974">
            <v>84</v>
          </cell>
        </row>
        <row r="975">
          <cell r="I975">
            <v>202609</v>
          </cell>
          <cell r="K975">
            <v>0</v>
          </cell>
          <cell r="N975">
            <v>7</v>
          </cell>
          <cell r="O975">
            <v>84</v>
          </cell>
        </row>
        <row r="976">
          <cell r="I976">
            <v>202609</v>
          </cell>
          <cell r="K976">
            <v>0</v>
          </cell>
          <cell r="N976">
            <v>7</v>
          </cell>
          <cell r="O976">
            <v>84</v>
          </cell>
        </row>
        <row r="977">
          <cell r="I977">
            <v>202609</v>
          </cell>
          <cell r="K977">
            <v>0</v>
          </cell>
          <cell r="N977">
            <v>7</v>
          </cell>
          <cell r="O977">
            <v>84</v>
          </cell>
        </row>
        <row r="978">
          <cell r="I978">
            <v>202609</v>
          </cell>
          <cell r="K978">
            <v>0</v>
          </cell>
          <cell r="N978">
            <v>7</v>
          </cell>
          <cell r="O978">
            <v>84</v>
          </cell>
        </row>
        <row r="979">
          <cell r="I979">
            <v>202609</v>
          </cell>
          <cell r="K979">
            <v>0</v>
          </cell>
          <cell r="N979">
            <v>7</v>
          </cell>
          <cell r="O979">
            <v>84</v>
          </cell>
        </row>
        <row r="980">
          <cell r="I980">
            <v>202609</v>
          </cell>
          <cell r="K980">
            <v>0</v>
          </cell>
          <cell r="N980">
            <v>7</v>
          </cell>
          <cell r="O980">
            <v>84</v>
          </cell>
        </row>
        <row r="981">
          <cell r="I981">
            <v>202609</v>
          </cell>
          <cell r="K981">
            <v>0</v>
          </cell>
          <cell r="N981">
            <v>7</v>
          </cell>
          <cell r="O981">
            <v>84</v>
          </cell>
        </row>
        <row r="982">
          <cell r="I982">
            <v>202609</v>
          </cell>
          <cell r="K982">
            <v>0</v>
          </cell>
          <cell r="N982">
            <v>7</v>
          </cell>
          <cell r="O982">
            <v>84</v>
          </cell>
        </row>
        <row r="983">
          <cell r="I983">
            <v>202609</v>
          </cell>
          <cell r="K983">
            <v>0</v>
          </cell>
          <cell r="N983">
            <v>7</v>
          </cell>
          <cell r="O983">
            <v>84</v>
          </cell>
        </row>
        <row r="984">
          <cell r="I984">
            <v>202609</v>
          </cell>
          <cell r="K984">
            <v>0</v>
          </cell>
          <cell r="N984">
            <v>7</v>
          </cell>
          <cell r="O984">
            <v>84</v>
          </cell>
        </row>
        <row r="985">
          <cell r="I985">
            <v>202609</v>
          </cell>
          <cell r="K985">
            <v>0</v>
          </cell>
          <cell r="N985">
            <v>7</v>
          </cell>
          <cell r="O985">
            <v>84</v>
          </cell>
        </row>
        <row r="986">
          <cell r="I986">
            <v>202609</v>
          </cell>
          <cell r="K986">
            <v>0</v>
          </cell>
          <cell r="N986">
            <v>7</v>
          </cell>
          <cell r="O986">
            <v>84</v>
          </cell>
        </row>
        <row r="987">
          <cell r="I987">
            <v>202609</v>
          </cell>
          <cell r="K987">
            <v>0</v>
          </cell>
          <cell r="N987">
            <v>7</v>
          </cell>
          <cell r="O987">
            <v>84</v>
          </cell>
        </row>
        <row r="988">
          <cell r="I988">
            <v>202609</v>
          </cell>
          <cell r="K988">
            <v>0</v>
          </cell>
          <cell r="N988">
            <v>7</v>
          </cell>
          <cell r="O988">
            <v>84</v>
          </cell>
        </row>
        <row r="989">
          <cell r="I989">
            <v>202609</v>
          </cell>
          <cell r="K989">
            <v>0</v>
          </cell>
          <cell r="N989">
            <v>7</v>
          </cell>
          <cell r="O989">
            <v>84</v>
          </cell>
        </row>
        <row r="990">
          <cell r="I990">
            <v>202609</v>
          </cell>
          <cell r="K990">
            <v>0</v>
          </cell>
          <cell r="N990">
            <v>7</v>
          </cell>
          <cell r="O990">
            <v>84</v>
          </cell>
        </row>
        <row r="991">
          <cell r="I991">
            <v>202609</v>
          </cell>
          <cell r="K991">
            <v>0</v>
          </cell>
          <cell r="N991">
            <v>7</v>
          </cell>
          <cell r="O991">
            <v>84</v>
          </cell>
        </row>
        <row r="992">
          <cell r="I992">
            <v>202609</v>
          </cell>
          <cell r="K992">
            <v>0</v>
          </cell>
          <cell r="N992">
            <v>7</v>
          </cell>
          <cell r="O992">
            <v>84</v>
          </cell>
        </row>
        <row r="993">
          <cell r="I993">
            <v>202609</v>
          </cell>
          <cell r="K993">
            <v>0</v>
          </cell>
          <cell r="N993">
            <v>7</v>
          </cell>
          <cell r="O993">
            <v>84</v>
          </cell>
        </row>
        <row r="994">
          <cell r="I994">
            <v>202609</v>
          </cell>
          <cell r="K994">
            <v>0</v>
          </cell>
          <cell r="N994">
            <v>7</v>
          </cell>
          <cell r="O994">
            <v>84</v>
          </cell>
        </row>
        <row r="995">
          <cell r="I995">
            <v>202609</v>
          </cell>
          <cell r="K995">
            <v>0</v>
          </cell>
          <cell r="N995">
            <v>7</v>
          </cell>
          <cell r="O995">
            <v>84</v>
          </cell>
        </row>
        <row r="996">
          <cell r="I996">
            <v>202609</v>
          </cell>
          <cell r="K996">
            <v>0</v>
          </cell>
          <cell r="N996">
            <v>7</v>
          </cell>
          <cell r="O996">
            <v>84</v>
          </cell>
        </row>
        <row r="997">
          <cell r="I997">
            <v>202609</v>
          </cell>
          <cell r="K997">
            <v>0</v>
          </cell>
          <cell r="N997">
            <v>7</v>
          </cell>
          <cell r="O997">
            <v>84</v>
          </cell>
        </row>
        <row r="998">
          <cell r="I998">
            <v>202609</v>
          </cell>
          <cell r="K998">
            <v>0</v>
          </cell>
          <cell r="N998">
            <v>7</v>
          </cell>
          <cell r="O998">
            <v>84</v>
          </cell>
        </row>
        <row r="999">
          <cell r="I999">
            <v>202609</v>
          </cell>
          <cell r="K999">
            <v>0</v>
          </cell>
          <cell r="N999">
            <v>7</v>
          </cell>
          <cell r="O999">
            <v>84</v>
          </cell>
        </row>
        <row r="1000">
          <cell r="I1000">
            <v>202609</v>
          </cell>
          <cell r="K1000">
            <v>0</v>
          </cell>
          <cell r="N1000">
            <v>7</v>
          </cell>
          <cell r="O1000">
            <v>84</v>
          </cell>
        </row>
        <row r="1001">
          <cell r="I1001">
            <v>202609</v>
          </cell>
          <cell r="K1001">
            <v>0</v>
          </cell>
          <cell r="N1001">
            <v>7</v>
          </cell>
          <cell r="O1001">
            <v>84</v>
          </cell>
        </row>
        <row r="1002">
          <cell r="I1002">
            <v>202609</v>
          </cell>
          <cell r="K1002">
            <v>0</v>
          </cell>
          <cell r="N1002">
            <v>7</v>
          </cell>
          <cell r="O1002">
            <v>84</v>
          </cell>
        </row>
        <row r="1003">
          <cell r="I1003">
            <v>202609</v>
          </cell>
          <cell r="K1003">
            <v>0</v>
          </cell>
          <cell r="N1003">
            <v>7</v>
          </cell>
          <cell r="O1003">
            <v>84</v>
          </cell>
        </row>
        <row r="1004">
          <cell r="I1004">
            <v>202609</v>
          </cell>
          <cell r="K1004">
            <v>0</v>
          </cell>
          <cell r="N1004">
            <v>7</v>
          </cell>
          <cell r="O1004">
            <v>84</v>
          </cell>
        </row>
        <row r="1005">
          <cell r="I1005">
            <v>202609</v>
          </cell>
          <cell r="K1005">
            <v>0</v>
          </cell>
          <cell r="N1005">
            <v>7</v>
          </cell>
          <cell r="O1005">
            <v>84</v>
          </cell>
        </row>
        <row r="1006">
          <cell r="I1006">
            <v>202609</v>
          </cell>
          <cell r="K1006">
            <v>0</v>
          </cell>
          <cell r="N1006">
            <v>7</v>
          </cell>
          <cell r="O1006">
            <v>84</v>
          </cell>
        </row>
        <row r="1007">
          <cell r="I1007">
            <v>202609</v>
          </cell>
          <cell r="K1007">
            <v>0</v>
          </cell>
          <cell r="N1007">
            <v>7</v>
          </cell>
          <cell r="O1007">
            <v>84</v>
          </cell>
        </row>
        <row r="1008">
          <cell r="I1008">
            <v>202609</v>
          </cell>
          <cell r="K1008">
            <v>0</v>
          </cell>
          <cell r="N1008">
            <v>7</v>
          </cell>
          <cell r="O1008">
            <v>84</v>
          </cell>
        </row>
        <row r="1009">
          <cell r="I1009">
            <v>202609</v>
          </cell>
          <cell r="K1009">
            <v>0</v>
          </cell>
          <cell r="N1009">
            <v>7</v>
          </cell>
          <cell r="O1009">
            <v>84</v>
          </cell>
        </row>
        <row r="1010">
          <cell r="I1010">
            <v>202609</v>
          </cell>
          <cell r="K1010">
            <v>0</v>
          </cell>
          <cell r="N1010">
            <v>7</v>
          </cell>
          <cell r="O1010">
            <v>84</v>
          </cell>
        </row>
        <row r="1011">
          <cell r="I1011">
            <v>202609</v>
          </cell>
          <cell r="K1011">
            <v>0</v>
          </cell>
          <cell r="N1011">
            <v>7</v>
          </cell>
          <cell r="O1011">
            <v>84</v>
          </cell>
        </row>
        <row r="1012">
          <cell r="I1012">
            <v>202609</v>
          </cell>
          <cell r="K1012">
            <v>0</v>
          </cell>
          <cell r="N1012">
            <v>7</v>
          </cell>
          <cell r="O1012">
            <v>84</v>
          </cell>
        </row>
        <row r="1013">
          <cell r="I1013">
            <v>202609</v>
          </cell>
          <cell r="K1013">
            <v>0</v>
          </cell>
          <cell r="N1013">
            <v>7</v>
          </cell>
          <cell r="O1013">
            <v>84</v>
          </cell>
        </row>
        <row r="1014">
          <cell r="I1014">
            <v>202609</v>
          </cell>
          <cell r="K1014">
            <v>0</v>
          </cell>
          <cell r="N1014">
            <v>7</v>
          </cell>
          <cell r="O1014">
            <v>84</v>
          </cell>
        </row>
        <row r="1015">
          <cell r="I1015">
            <v>202609</v>
          </cell>
          <cell r="K1015">
            <v>0</v>
          </cell>
          <cell r="N1015">
            <v>7</v>
          </cell>
          <cell r="O1015">
            <v>84</v>
          </cell>
        </row>
        <row r="1016">
          <cell r="I1016">
            <v>202609</v>
          </cell>
          <cell r="K1016">
            <v>0</v>
          </cell>
          <cell r="N1016">
            <v>7</v>
          </cell>
          <cell r="O1016">
            <v>84</v>
          </cell>
        </row>
        <row r="1017">
          <cell r="I1017">
            <v>202609</v>
          </cell>
          <cell r="K1017">
            <v>0</v>
          </cell>
          <cell r="N1017">
            <v>7</v>
          </cell>
          <cell r="O1017">
            <v>84</v>
          </cell>
        </row>
        <row r="1018">
          <cell r="I1018">
            <v>202609</v>
          </cell>
          <cell r="K1018">
            <v>0</v>
          </cell>
          <cell r="N1018">
            <v>7</v>
          </cell>
          <cell r="O1018">
            <v>84</v>
          </cell>
        </row>
        <row r="1019">
          <cell r="I1019">
            <v>202609</v>
          </cell>
          <cell r="K1019">
            <v>0</v>
          </cell>
          <cell r="N1019">
            <v>7</v>
          </cell>
          <cell r="O1019">
            <v>84</v>
          </cell>
        </row>
        <row r="1020">
          <cell r="I1020">
            <v>202609</v>
          </cell>
          <cell r="K1020">
            <v>0</v>
          </cell>
          <cell r="N1020">
            <v>7</v>
          </cell>
          <cell r="O1020">
            <v>84</v>
          </cell>
        </row>
        <row r="1021">
          <cell r="I1021">
            <v>202609</v>
          </cell>
          <cell r="K1021">
            <v>0</v>
          </cell>
          <cell r="N1021">
            <v>7</v>
          </cell>
          <cell r="O1021">
            <v>84</v>
          </cell>
        </row>
        <row r="1022">
          <cell r="I1022">
            <v>202609</v>
          </cell>
          <cell r="K1022">
            <v>0</v>
          </cell>
          <cell r="N1022">
            <v>7</v>
          </cell>
          <cell r="O1022">
            <v>84</v>
          </cell>
        </row>
        <row r="1023">
          <cell r="I1023">
            <v>202609</v>
          </cell>
          <cell r="K1023">
            <v>0</v>
          </cell>
          <cell r="N1023">
            <v>7</v>
          </cell>
          <cell r="O1023">
            <v>84</v>
          </cell>
        </row>
        <row r="1024">
          <cell r="I1024">
            <v>202609</v>
          </cell>
          <cell r="K1024">
            <v>0</v>
          </cell>
          <cell r="N1024">
            <v>7</v>
          </cell>
          <cell r="O1024">
            <v>84</v>
          </cell>
        </row>
        <row r="1025">
          <cell r="I1025">
            <v>202609</v>
          </cell>
          <cell r="K1025">
            <v>0</v>
          </cell>
          <cell r="N1025">
            <v>7</v>
          </cell>
          <cell r="O1025">
            <v>84</v>
          </cell>
        </row>
        <row r="1026">
          <cell r="I1026">
            <v>202609</v>
          </cell>
          <cell r="K1026">
            <v>0</v>
          </cell>
          <cell r="N1026">
            <v>7</v>
          </cell>
          <cell r="O1026">
            <v>84</v>
          </cell>
        </row>
        <row r="1027">
          <cell r="I1027">
            <v>202609</v>
          </cell>
          <cell r="K1027">
            <v>0</v>
          </cell>
          <cell r="N1027">
            <v>7</v>
          </cell>
          <cell r="O1027">
            <v>84</v>
          </cell>
        </row>
        <row r="1028">
          <cell r="I1028">
            <v>202609</v>
          </cell>
          <cell r="K1028">
            <v>0</v>
          </cell>
          <cell r="N1028">
            <v>7</v>
          </cell>
          <cell r="O1028">
            <v>84</v>
          </cell>
        </row>
        <row r="1029">
          <cell r="I1029">
            <v>202609</v>
          </cell>
          <cell r="K1029">
            <v>0</v>
          </cell>
          <cell r="N1029">
            <v>7</v>
          </cell>
          <cell r="O1029">
            <v>84</v>
          </cell>
        </row>
        <row r="1030">
          <cell r="I1030">
            <v>202609</v>
          </cell>
          <cell r="K1030">
            <v>0</v>
          </cell>
          <cell r="N1030">
            <v>7</v>
          </cell>
          <cell r="O1030">
            <v>84</v>
          </cell>
        </row>
        <row r="1031">
          <cell r="I1031">
            <v>202609</v>
          </cell>
          <cell r="K1031">
            <v>0</v>
          </cell>
          <cell r="N1031">
            <v>7</v>
          </cell>
          <cell r="O1031">
            <v>84</v>
          </cell>
        </row>
        <row r="1032">
          <cell r="I1032">
            <v>202609</v>
          </cell>
          <cell r="K1032">
            <v>0</v>
          </cell>
          <cell r="N1032">
            <v>7</v>
          </cell>
          <cell r="O1032">
            <v>84</v>
          </cell>
        </row>
        <row r="1033">
          <cell r="I1033">
            <v>202609</v>
          </cell>
          <cell r="K1033">
            <v>0</v>
          </cell>
          <cell r="N1033">
            <v>7</v>
          </cell>
          <cell r="O1033">
            <v>84</v>
          </cell>
        </row>
        <row r="1034">
          <cell r="I1034">
            <v>202609</v>
          </cell>
          <cell r="K1034">
            <v>0</v>
          </cell>
          <cell r="N1034">
            <v>7</v>
          </cell>
          <cell r="O1034">
            <v>84</v>
          </cell>
        </row>
        <row r="1035">
          <cell r="I1035">
            <v>202609</v>
          </cell>
          <cell r="K1035">
            <v>0</v>
          </cell>
          <cell r="N1035">
            <v>7</v>
          </cell>
          <cell r="O1035">
            <v>84</v>
          </cell>
        </row>
        <row r="1036">
          <cell r="I1036">
            <v>202609</v>
          </cell>
          <cell r="K1036">
            <v>0</v>
          </cell>
          <cell r="N1036">
            <v>7</v>
          </cell>
          <cell r="O1036">
            <v>84</v>
          </cell>
        </row>
        <row r="1037">
          <cell r="I1037">
            <v>202609</v>
          </cell>
          <cell r="K1037">
            <v>0</v>
          </cell>
          <cell r="N1037">
            <v>7</v>
          </cell>
          <cell r="O1037">
            <v>84</v>
          </cell>
        </row>
        <row r="1038">
          <cell r="I1038">
            <v>202609</v>
          </cell>
          <cell r="K1038">
            <v>0</v>
          </cell>
          <cell r="N1038">
            <v>7</v>
          </cell>
          <cell r="O1038">
            <v>84</v>
          </cell>
        </row>
        <row r="1039">
          <cell r="I1039">
            <v>202609</v>
          </cell>
          <cell r="K1039">
            <v>0</v>
          </cell>
          <cell r="N1039">
            <v>7</v>
          </cell>
          <cell r="O1039">
            <v>84</v>
          </cell>
        </row>
        <row r="1040">
          <cell r="I1040">
            <v>202609</v>
          </cell>
          <cell r="K1040">
            <v>0</v>
          </cell>
          <cell r="N1040">
            <v>7</v>
          </cell>
          <cell r="O1040">
            <v>84</v>
          </cell>
        </row>
        <row r="1041">
          <cell r="I1041">
            <v>202609</v>
          </cell>
          <cell r="K1041">
            <v>0</v>
          </cell>
          <cell r="N1041">
            <v>7</v>
          </cell>
          <cell r="O1041">
            <v>84</v>
          </cell>
        </row>
        <row r="1042">
          <cell r="I1042">
            <v>202609</v>
          </cell>
          <cell r="K1042">
            <v>0</v>
          </cell>
          <cell r="N1042">
            <v>7</v>
          </cell>
          <cell r="O1042">
            <v>84</v>
          </cell>
        </row>
        <row r="1043">
          <cell r="I1043">
            <v>202609</v>
          </cell>
          <cell r="K1043">
            <v>0</v>
          </cell>
          <cell r="N1043">
            <v>7</v>
          </cell>
          <cell r="O1043">
            <v>84</v>
          </cell>
        </row>
        <row r="1044">
          <cell r="I1044">
            <v>202609</v>
          </cell>
          <cell r="K1044">
            <v>0</v>
          </cell>
          <cell r="N1044">
            <v>7</v>
          </cell>
          <cell r="O1044">
            <v>84</v>
          </cell>
        </row>
        <row r="1045">
          <cell r="I1045">
            <v>202609</v>
          </cell>
          <cell r="K1045">
            <v>0</v>
          </cell>
          <cell r="N1045">
            <v>7</v>
          </cell>
          <cell r="O1045">
            <v>84</v>
          </cell>
        </row>
        <row r="1046">
          <cell r="I1046">
            <v>202609</v>
          </cell>
          <cell r="K1046">
            <v>0</v>
          </cell>
          <cell r="N1046">
            <v>7</v>
          </cell>
          <cell r="O1046">
            <v>84</v>
          </cell>
        </row>
        <row r="1047">
          <cell r="I1047">
            <v>202609</v>
          </cell>
          <cell r="K1047">
            <v>0</v>
          </cell>
          <cell r="N1047">
            <v>7</v>
          </cell>
          <cell r="O1047">
            <v>84</v>
          </cell>
        </row>
        <row r="1048">
          <cell r="I1048">
            <v>202609</v>
          </cell>
          <cell r="K1048">
            <v>0</v>
          </cell>
          <cell r="N1048">
            <v>7</v>
          </cell>
          <cell r="O1048">
            <v>84</v>
          </cell>
        </row>
        <row r="1049">
          <cell r="I1049">
            <v>202609</v>
          </cell>
          <cell r="K1049">
            <v>0</v>
          </cell>
          <cell r="N1049">
            <v>7</v>
          </cell>
          <cell r="O1049">
            <v>84</v>
          </cell>
        </row>
        <row r="1050">
          <cell r="I1050">
            <v>202609</v>
          </cell>
          <cell r="K1050">
            <v>0</v>
          </cell>
          <cell r="N1050">
            <v>7</v>
          </cell>
          <cell r="O1050">
            <v>84</v>
          </cell>
        </row>
        <row r="1051">
          <cell r="I1051">
            <v>202609</v>
          </cell>
          <cell r="K1051">
            <v>0</v>
          </cell>
          <cell r="N1051">
            <v>7</v>
          </cell>
          <cell r="O1051">
            <v>84</v>
          </cell>
        </row>
        <row r="1052">
          <cell r="I1052">
            <v>202609</v>
          </cell>
          <cell r="K1052">
            <v>0</v>
          </cell>
          <cell r="N1052">
            <v>7</v>
          </cell>
          <cell r="O1052">
            <v>84</v>
          </cell>
        </row>
        <row r="1053">
          <cell r="I1053">
            <v>202609</v>
          </cell>
          <cell r="K1053">
            <v>0</v>
          </cell>
          <cell r="N1053">
            <v>7</v>
          </cell>
          <cell r="O1053">
            <v>84</v>
          </cell>
        </row>
        <row r="1054">
          <cell r="I1054">
            <v>202609</v>
          </cell>
          <cell r="K1054">
            <v>0</v>
          </cell>
          <cell r="N1054">
            <v>7</v>
          </cell>
          <cell r="O1054">
            <v>84</v>
          </cell>
        </row>
        <row r="1055">
          <cell r="I1055">
            <v>202609</v>
          </cell>
          <cell r="K1055">
            <v>0</v>
          </cell>
          <cell r="N1055">
            <v>7</v>
          </cell>
          <cell r="O1055">
            <v>84</v>
          </cell>
        </row>
        <row r="1056">
          <cell r="I1056">
            <v>202609</v>
          </cell>
          <cell r="K1056">
            <v>0</v>
          </cell>
          <cell r="N1056">
            <v>7</v>
          </cell>
          <cell r="O1056">
            <v>84</v>
          </cell>
        </row>
        <row r="1057">
          <cell r="I1057">
            <v>202609</v>
          </cell>
          <cell r="K1057">
            <v>0</v>
          </cell>
          <cell r="N1057">
            <v>7</v>
          </cell>
          <cell r="O1057">
            <v>84</v>
          </cell>
        </row>
        <row r="1058">
          <cell r="I1058">
            <v>202609</v>
          </cell>
          <cell r="K1058">
            <v>0</v>
          </cell>
          <cell r="N1058">
            <v>7</v>
          </cell>
          <cell r="O1058">
            <v>84</v>
          </cell>
        </row>
        <row r="1059">
          <cell r="I1059">
            <v>202609</v>
          </cell>
          <cell r="K1059">
            <v>0</v>
          </cell>
          <cell r="N1059">
            <v>7</v>
          </cell>
          <cell r="O1059">
            <v>84</v>
          </cell>
        </row>
        <row r="1060">
          <cell r="I1060">
            <v>202609</v>
          </cell>
          <cell r="K1060">
            <v>0</v>
          </cell>
          <cell r="N1060">
            <v>7</v>
          </cell>
          <cell r="O1060">
            <v>84</v>
          </cell>
        </row>
        <row r="1061">
          <cell r="I1061">
            <v>202609</v>
          </cell>
          <cell r="K1061">
            <v>0</v>
          </cell>
          <cell r="N1061">
            <v>7</v>
          </cell>
          <cell r="O1061">
            <v>84</v>
          </cell>
        </row>
        <row r="1062">
          <cell r="I1062">
            <v>202609</v>
          </cell>
          <cell r="K1062">
            <v>0</v>
          </cell>
          <cell r="N1062">
            <v>7</v>
          </cell>
          <cell r="O1062">
            <v>84</v>
          </cell>
        </row>
        <row r="1063">
          <cell r="I1063">
            <v>202609</v>
          </cell>
          <cell r="K1063">
            <v>0</v>
          </cell>
          <cell r="N1063">
            <v>7</v>
          </cell>
          <cell r="O1063">
            <v>84</v>
          </cell>
        </row>
        <row r="1064">
          <cell r="I1064">
            <v>202609</v>
          </cell>
          <cell r="K1064">
            <v>0</v>
          </cell>
          <cell r="N1064">
            <v>7</v>
          </cell>
          <cell r="O1064">
            <v>84</v>
          </cell>
        </row>
        <row r="1065">
          <cell r="I1065">
            <v>202609</v>
          </cell>
          <cell r="K1065">
            <v>0</v>
          </cell>
          <cell r="N1065">
            <v>7</v>
          </cell>
          <cell r="O1065">
            <v>84</v>
          </cell>
        </row>
        <row r="1066">
          <cell r="I1066">
            <v>202609</v>
          </cell>
          <cell r="K1066">
            <v>0</v>
          </cell>
          <cell r="N1066">
            <v>7</v>
          </cell>
          <cell r="O1066">
            <v>84</v>
          </cell>
        </row>
        <row r="1067">
          <cell r="I1067">
            <v>202609</v>
          </cell>
          <cell r="K1067">
            <v>0</v>
          </cell>
          <cell r="N1067">
            <v>7</v>
          </cell>
          <cell r="O1067">
            <v>84</v>
          </cell>
        </row>
        <row r="1068">
          <cell r="I1068">
            <v>202609</v>
          </cell>
          <cell r="K1068">
            <v>0</v>
          </cell>
          <cell r="N1068">
            <v>7</v>
          </cell>
          <cell r="O1068">
            <v>84</v>
          </cell>
        </row>
        <row r="1069">
          <cell r="I1069">
            <v>202609</v>
          </cell>
          <cell r="K1069">
            <v>0</v>
          </cell>
          <cell r="N1069">
            <v>7</v>
          </cell>
          <cell r="O1069">
            <v>84</v>
          </cell>
        </row>
        <row r="1070">
          <cell r="I1070">
            <v>202609</v>
          </cell>
          <cell r="K1070">
            <v>0</v>
          </cell>
          <cell r="N1070">
            <v>7</v>
          </cell>
          <cell r="O1070">
            <v>84</v>
          </cell>
        </row>
        <row r="1071">
          <cell r="I1071">
            <v>202609</v>
          </cell>
          <cell r="K1071">
            <v>0</v>
          </cell>
          <cell r="N1071">
            <v>7</v>
          </cell>
          <cell r="O1071">
            <v>84</v>
          </cell>
        </row>
        <row r="1072">
          <cell r="I1072">
            <v>202609</v>
          </cell>
          <cell r="K1072">
            <v>0</v>
          </cell>
          <cell r="N1072">
            <v>7</v>
          </cell>
          <cell r="O1072">
            <v>84</v>
          </cell>
        </row>
        <row r="1073">
          <cell r="I1073">
            <v>202609</v>
          </cell>
          <cell r="K1073">
            <v>0</v>
          </cell>
          <cell r="N1073">
            <v>7</v>
          </cell>
          <cell r="O1073">
            <v>84</v>
          </cell>
        </row>
        <row r="1074">
          <cell r="I1074">
            <v>202609</v>
          </cell>
          <cell r="K1074">
            <v>0</v>
          </cell>
          <cell r="N1074">
            <v>7</v>
          </cell>
          <cell r="O1074">
            <v>84</v>
          </cell>
        </row>
        <row r="1075">
          <cell r="I1075">
            <v>202609</v>
          </cell>
          <cell r="K1075">
            <v>0</v>
          </cell>
          <cell r="N1075">
            <v>7</v>
          </cell>
          <cell r="O1075">
            <v>84</v>
          </cell>
        </row>
        <row r="1076">
          <cell r="I1076">
            <v>202609</v>
          </cell>
          <cell r="K1076">
            <v>0</v>
          </cell>
          <cell r="N1076">
            <v>7</v>
          </cell>
          <cell r="O1076">
            <v>84</v>
          </cell>
        </row>
        <row r="1077">
          <cell r="I1077">
            <v>202609</v>
          </cell>
          <cell r="K1077">
            <v>0</v>
          </cell>
          <cell r="N1077">
            <v>7</v>
          </cell>
          <cell r="O1077">
            <v>84</v>
          </cell>
        </row>
        <row r="1078">
          <cell r="I1078">
            <v>202609</v>
          </cell>
          <cell r="K1078">
            <v>0</v>
          </cell>
          <cell r="N1078">
            <v>7</v>
          </cell>
          <cell r="O1078">
            <v>84</v>
          </cell>
        </row>
        <row r="1079">
          <cell r="I1079">
            <v>202609</v>
          </cell>
          <cell r="K1079">
            <v>0</v>
          </cell>
          <cell r="N1079">
            <v>7</v>
          </cell>
          <cell r="O1079">
            <v>84</v>
          </cell>
        </row>
        <row r="1080">
          <cell r="I1080">
            <v>202609</v>
          </cell>
          <cell r="K1080">
            <v>0</v>
          </cell>
          <cell r="N1080">
            <v>7</v>
          </cell>
          <cell r="O1080">
            <v>84</v>
          </cell>
        </row>
        <row r="1081">
          <cell r="I1081">
            <v>202609</v>
          </cell>
          <cell r="K1081">
            <v>0</v>
          </cell>
          <cell r="N1081">
            <v>7</v>
          </cell>
          <cell r="O1081">
            <v>84</v>
          </cell>
        </row>
        <row r="1082">
          <cell r="I1082">
            <v>202609</v>
          </cell>
          <cell r="K1082">
            <v>0</v>
          </cell>
          <cell r="N1082">
            <v>7</v>
          </cell>
          <cell r="O1082">
            <v>84</v>
          </cell>
        </row>
        <row r="1083">
          <cell r="I1083">
            <v>202609</v>
          </cell>
          <cell r="K1083">
            <v>0</v>
          </cell>
          <cell r="N1083">
            <v>7</v>
          </cell>
          <cell r="O1083">
            <v>84</v>
          </cell>
        </row>
        <row r="1084">
          <cell r="I1084">
            <v>202609</v>
          </cell>
          <cell r="K1084">
            <v>0</v>
          </cell>
          <cell r="N1084">
            <v>7</v>
          </cell>
          <cell r="O1084">
            <v>84</v>
          </cell>
        </row>
        <row r="1085">
          <cell r="I1085">
            <v>202609</v>
          </cell>
          <cell r="K1085">
            <v>0</v>
          </cell>
          <cell r="N1085">
            <v>7</v>
          </cell>
          <cell r="O1085">
            <v>84</v>
          </cell>
        </row>
        <row r="1086">
          <cell r="I1086">
            <v>202609</v>
          </cell>
          <cell r="K1086">
            <v>0</v>
          </cell>
          <cell r="N1086">
            <v>7</v>
          </cell>
          <cell r="O1086">
            <v>84</v>
          </cell>
        </row>
        <row r="1087">
          <cell r="I1087">
            <v>202609</v>
          </cell>
          <cell r="K1087">
            <v>0</v>
          </cell>
          <cell r="N1087">
            <v>7</v>
          </cell>
          <cell r="O1087">
            <v>84</v>
          </cell>
        </row>
        <row r="1088">
          <cell r="I1088">
            <v>202609</v>
          </cell>
          <cell r="K1088">
            <v>0</v>
          </cell>
          <cell r="N1088">
            <v>7</v>
          </cell>
          <cell r="O1088">
            <v>84</v>
          </cell>
        </row>
        <row r="1089">
          <cell r="I1089">
            <v>202609</v>
          </cell>
          <cell r="K1089">
            <v>0</v>
          </cell>
          <cell r="N1089">
            <v>7</v>
          </cell>
          <cell r="O1089">
            <v>84</v>
          </cell>
        </row>
        <row r="1090">
          <cell r="I1090">
            <v>202609</v>
          </cell>
          <cell r="K1090">
            <v>0</v>
          </cell>
          <cell r="N1090">
            <v>7</v>
          </cell>
          <cell r="O1090">
            <v>84</v>
          </cell>
        </row>
        <row r="1091">
          <cell r="I1091">
            <v>202609</v>
          </cell>
          <cell r="K1091">
            <v>0</v>
          </cell>
          <cell r="N1091">
            <v>7</v>
          </cell>
          <cell r="O1091">
            <v>84</v>
          </cell>
        </row>
        <row r="1092">
          <cell r="I1092">
            <v>202609</v>
          </cell>
          <cell r="K1092">
            <v>0</v>
          </cell>
          <cell r="N1092">
            <v>7</v>
          </cell>
          <cell r="O1092">
            <v>84</v>
          </cell>
        </row>
        <row r="1093">
          <cell r="I1093">
            <v>202609</v>
          </cell>
          <cell r="K1093">
            <v>0</v>
          </cell>
          <cell r="N1093">
            <v>7</v>
          </cell>
          <cell r="O1093">
            <v>84</v>
          </cell>
        </row>
        <row r="1094">
          <cell r="I1094">
            <v>202609</v>
          </cell>
          <cell r="K1094">
            <v>0</v>
          </cell>
          <cell r="N1094">
            <v>7</v>
          </cell>
          <cell r="O1094">
            <v>84</v>
          </cell>
        </row>
        <row r="1095">
          <cell r="I1095">
            <v>202609</v>
          </cell>
          <cell r="K1095">
            <v>0</v>
          </cell>
          <cell r="N1095">
            <v>7</v>
          </cell>
          <cell r="O1095">
            <v>84</v>
          </cell>
        </row>
        <row r="1096">
          <cell r="I1096">
            <v>202609</v>
          </cell>
          <cell r="K1096">
            <v>0</v>
          </cell>
          <cell r="N1096">
            <v>7</v>
          </cell>
          <cell r="O1096">
            <v>84</v>
          </cell>
        </row>
        <row r="1097">
          <cell r="I1097">
            <v>202609</v>
          </cell>
          <cell r="K1097">
            <v>0</v>
          </cell>
          <cell r="N1097">
            <v>7</v>
          </cell>
          <cell r="O1097">
            <v>84</v>
          </cell>
        </row>
        <row r="1098">
          <cell r="I1098">
            <v>202609</v>
          </cell>
          <cell r="K1098">
            <v>0</v>
          </cell>
          <cell r="N1098">
            <v>7</v>
          </cell>
          <cell r="O1098">
            <v>84</v>
          </cell>
        </row>
        <row r="1099">
          <cell r="I1099">
            <v>202609</v>
          </cell>
          <cell r="K1099">
            <v>0</v>
          </cell>
          <cell r="N1099">
            <v>7</v>
          </cell>
          <cell r="O1099">
            <v>84</v>
          </cell>
        </row>
        <row r="1100">
          <cell r="I1100">
            <v>202609</v>
          </cell>
          <cell r="K1100">
            <v>0</v>
          </cell>
          <cell r="N1100">
            <v>7</v>
          </cell>
          <cell r="O1100">
            <v>84</v>
          </cell>
        </row>
        <row r="1101">
          <cell r="I1101">
            <v>202609</v>
          </cell>
          <cell r="K1101">
            <v>0</v>
          </cell>
          <cell r="N1101">
            <v>7</v>
          </cell>
          <cell r="O1101">
            <v>84</v>
          </cell>
        </row>
        <row r="1102">
          <cell r="I1102">
            <v>202609</v>
          </cell>
          <cell r="K1102">
            <v>0</v>
          </cell>
          <cell r="N1102">
            <v>7</v>
          </cell>
          <cell r="O1102">
            <v>84</v>
          </cell>
        </row>
        <row r="1103">
          <cell r="I1103">
            <v>202609</v>
          </cell>
          <cell r="K1103">
            <v>0</v>
          </cell>
          <cell r="N1103">
            <v>7</v>
          </cell>
          <cell r="O1103">
            <v>84</v>
          </cell>
        </row>
        <row r="1104">
          <cell r="I1104">
            <v>202609</v>
          </cell>
          <cell r="K1104">
            <v>0</v>
          </cell>
          <cell r="N1104">
            <v>7</v>
          </cell>
          <cell r="O1104">
            <v>84</v>
          </cell>
        </row>
        <row r="1105">
          <cell r="I1105">
            <v>202609</v>
          </cell>
          <cell r="K1105">
            <v>0</v>
          </cell>
          <cell r="N1105">
            <v>7</v>
          </cell>
          <cell r="O1105">
            <v>84</v>
          </cell>
        </row>
        <row r="1106">
          <cell r="I1106">
            <v>202609</v>
          </cell>
          <cell r="K1106">
            <v>0</v>
          </cell>
          <cell r="N1106">
            <v>7</v>
          </cell>
          <cell r="O1106">
            <v>84</v>
          </cell>
        </row>
        <row r="1107">
          <cell r="I1107">
            <v>202609</v>
          </cell>
          <cell r="K1107">
            <v>0</v>
          </cell>
          <cell r="N1107">
            <v>7</v>
          </cell>
          <cell r="O1107">
            <v>84</v>
          </cell>
        </row>
        <row r="1108">
          <cell r="I1108">
            <v>202609</v>
          </cell>
          <cell r="K1108">
            <v>0</v>
          </cell>
          <cell r="N1108">
            <v>7</v>
          </cell>
          <cell r="O1108">
            <v>84</v>
          </cell>
        </row>
        <row r="1109">
          <cell r="I1109">
            <v>202609</v>
          </cell>
          <cell r="K1109">
            <v>0</v>
          </cell>
          <cell r="N1109">
            <v>7</v>
          </cell>
          <cell r="O1109">
            <v>84</v>
          </cell>
        </row>
        <row r="1110">
          <cell r="I1110">
            <v>202609</v>
          </cell>
          <cell r="K1110">
            <v>0</v>
          </cell>
          <cell r="N1110">
            <v>7</v>
          </cell>
          <cell r="O1110">
            <v>84</v>
          </cell>
        </row>
        <row r="1111">
          <cell r="I1111">
            <v>202609</v>
          </cell>
          <cell r="K1111">
            <v>0</v>
          </cell>
          <cell r="N1111">
            <v>7</v>
          </cell>
          <cell r="O1111">
            <v>84</v>
          </cell>
        </row>
        <row r="1112">
          <cell r="I1112">
            <v>202609</v>
          </cell>
          <cell r="K1112">
            <v>0</v>
          </cell>
          <cell r="N1112">
            <v>7</v>
          </cell>
          <cell r="O1112">
            <v>84</v>
          </cell>
        </row>
        <row r="1113">
          <cell r="I1113">
            <v>202609</v>
          </cell>
          <cell r="K1113">
            <v>0</v>
          </cell>
          <cell r="N1113">
            <v>7</v>
          </cell>
          <cell r="O1113">
            <v>84</v>
          </cell>
        </row>
        <row r="1114">
          <cell r="I1114">
            <v>202609</v>
          </cell>
          <cell r="K1114">
            <v>0</v>
          </cell>
          <cell r="N1114">
            <v>7</v>
          </cell>
          <cell r="O1114">
            <v>84</v>
          </cell>
        </row>
        <row r="1115">
          <cell r="I1115">
            <v>202609</v>
          </cell>
          <cell r="K1115">
            <v>0</v>
          </cell>
          <cell r="N1115">
            <v>7</v>
          </cell>
          <cell r="O1115">
            <v>84</v>
          </cell>
        </row>
        <row r="1116">
          <cell r="I1116">
            <v>202609</v>
          </cell>
          <cell r="K1116">
            <v>0</v>
          </cell>
          <cell r="N1116">
            <v>7</v>
          </cell>
          <cell r="O1116">
            <v>84</v>
          </cell>
        </row>
        <row r="1117">
          <cell r="I1117">
            <v>202609</v>
          </cell>
          <cell r="K1117">
            <v>0</v>
          </cell>
          <cell r="N1117">
            <v>7</v>
          </cell>
          <cell r="O1117">
            <v>84</v>
          </cell>
        </row>
        <row r="1118">
          <cell r="I1118">
            <v>202609</v>
          </cell>
          <cell r="K1118">
            <v>0</v>
          </cell>
          <cell r="N1118">
            <v>7</v>
          </cell>
          <cell r="O1118">
            <v>84</v>
          </cell>
        </row>
        <row r="1119">
          <cell r="I1119">
            <v>202609</v>
          </cell>
          <cell r="K1119">
            <v>0</v>
          </cell>
          <cell r="N1119">
            <v>7</v>
          </cell>
          <cell r="O1119">
            <v>84</v>
          </cell>
        </row>
        <row r="1120">
          <cell r="I1120">
            <v>202609</v>
          </cell>
          <cell r="K1120">
            <v>0</v>
          </cell>
          <cell r="N1120">
            <v>7</v>
          </cell>
          <cell r="O1120">
            <v>84</v>
          </cell>
        </row>
        <row r="1121">
          <cell r="I1121">
            <v>202609</v>
          </cell>
          <cell r="K1121">
            <v>0</v>
          </cell>
          <cell r="N1121">
            <v>7</v>
          </cell>
          <cell r="O1121">
            <v>84</v>
          </cell>
        </row>
        <row r="1122">
          <cell r="I1122">
            <v>202609</v>
          </cell>
          <cell r="K1122">
            <v>0</v>
          </cell>
          <cell r="N1122">
            <v>7</v>
          </cell>
          <cell r="O1122">
            <v>84</v>
          </cell>
        </row>
        <row r="1123">
          <cell r="I1123">
            <v>202609</v>
          </cell>
          <cell r="K1123">
            <v>0</v>
          </cell>
          <cell r="N1123">
            <v>7</v>
          </cell>
          <cell r="O1123">
            <v>84</v>
          </cell>
        </row>
        <row r="1124">
          <cell r="I1124">
            <v>202609</v>
          </cell>
          <cell r="K1124">
            <v>0</v>
          </cell>
          <cell r="N1124">
            <v>7</v>
          </cell>
          <cell r="O1124">
            <v>84</v>
          </cell>
        </row>
        <row r="1125">
          <cell r="I1125">
            <v>202609</v>
          </cell>
          <cell r="K1125">
            <v>0</v>
          </cell>
          <cell r="N1125">
            <v>7</v>
          </cell>
          <cell r="O1125">
            <v>84</v>
          </cell>
        </row>
        <row r="1126">
          <cell r="I1126">
            <v>202609</v>
          </cell>
          <cell r="K1126">
            <v>0</v>
          </cell>
          <cell r="N1126">
            <v>7</v>
          </cell>
          <cell r="O1126">
            <v>84</v>
          </cell>
        </row>
        <row r="1127">
          <cell r="I1127">
            <v>202609</v>
          </cell>
          <cell r="K1127">
            <v>0</v>
          </cell>
          <cell r="N1127">
            <v>7</v>
          </cell>
          <cell r="O1127">
            <v>84</v>
          </cell>
        </row>
        <row r="1128">
          <cell r="I1128">
            <v>202609</v>
          </cell>
          <cell r="K1128">
            <v>0</v>
          </cell>
          <cell r="N1128">
            <v>7</v>
          </cell>
          <cell r="O1128">
            <v>84</v>
          </cell>
        </row>
        <row r="1129">
          <cell r="I1129">
            <v>202609</v>
          </cell>
          <cell r="K1129">
            <v>0</v>
          </cell>
          <cell r="N1129">
            <v>7</v>
          </cell>
          <cell r="O1129">
            <v>84</v>
          </cell>
        </row>
        <row r="1130">
          <cell r="I1130">
            <v>202609</v>
          </cell>
          <cell r="K1130">
            <v>0</v>
          </cell>
          <cell r="N1130">
            <v>7</v>
          </cell>
          <cell r="O1130">
            <v>84</v>
          </cell>
        </row>
        <row r="1131">
          <cell r="I1131">
            <v>202609</v>
          </cell>
          <cell r="K1131">
            <v>0</v>
          </cell>
          <cell r="N1131">
            <v>7</v>
          </cell>
          <cell r="O1131">
            <v>84</v>
          </cell>
        </row>
        <row r="1132">
          <cell r="I1132">
            <v>202609</v>
          </cell>
          <cell r="K1132">
            <v>0</v>
          </cell>
          <cell r="N1132">
            <v>7</v>
          </cell>
          <cell r="O1132">
            <v>84</v>
          </cell>
        </row>
        <row r="1133">
          <cell r="I1133">
            <v>202609</v>
          </cell>
          <cell r="K1133">
            <v>0</v>
          </cell>
          <cell r="N1133">
            <v>7</v>
          </cell>
          <cell r="O1133">
            <v>84</v>
          </cell>
        </row>
        <row r="1134">
          <cell r="I1134">
            <v>202609</v>
          </cell>
          <cell r="K1134">
            <v>0</v>
          </cell>
          <cell r="N1134">
            <v>7</v>
          </cell>
          <cell r="O1134">
            <v>84</v>
          </cell>
        </row>
        <row r="1135">
          <cell r="I1135">
            <v>202609</v>
          </cell>
          <cell r="K1135">
            <v>0</v>
          </cell>
          <cell r="N1135">
            <v>7</v>
          </cell>
          <cell r="O1135">
            <v>84</v>
          </cell>
        </row>
        <row r="1136">
          <cell r="I1136">
            <v>202609</v>
          </cell>
          <cell r="K1136">
            <v>0</v>
          </cell>
          <cell r="N1136">
            <v>7</v>
          </cell>
          <cell r="O1136">
            <v>84</v>
          </cell>
        </row>
        <row r="1137">
          <cell r="I1137">
            <v>202609</v>
          </cell>
          <cell r="K1137">
            <v>0</v>
          </cell>
          <cell r="N1137">
            <v>7</v>
          </cell>
          <cell r="O1137">
            <v>84</v>
          </cell>
        </row>
        <row r="1138">
          <cell r="I1138">
            <v>202609</v>
          </cell>
          <cell r="K1138">
            <v>0</v>
          </cell>
          <cell r="N1138">
            <v>7</v>
          </cell>
          <cell r="O1138">
            <v>84</v>
          </cell>
        </row>
        <row r="1139">
          <cell r="I1139">
            <v>202609</v>
          </cell>
          <cell r="K1139">
            <v>0</v>
          </cell>
          <cell r="N1139">
            <v>7</v>
          </cell>
          <cell r="O1139">
            <v>84</v>
          </cell>
        </row>
        <row r="1140">
          <cell r="I1140">
            <v>202609</v>
          </cell>
          <cell r="K1140">
            <v>0</v>
          </cell>
          <cell r="N1140">
            <v>7</v>
          </cell>
          <cell r="O1140">
            <v>84</v>
          </cell>
        </row>
        <row r="1141">
          <cell r="I1141">
            <v>202609</v>
          </cell>
          <cell r="K1141">
            <v>0</v>
          </cell>
          <cell r="N1141">
            <v>7</v>
          </cell>
          <cell r="O1141">
            <v>84</v>
          </cell>
        </row>
        <row r="1142">
          <cell r="I1142">
            <v>202609</v>
          </cell>
          <cell r="K1142">
            <v>0</v>
          </cell>
          <cell r="N1142">
            <v>7</v>
          </cell>
          <cell r="O1142">
            <v>84</v>
          </cell>
        </row>
        <row r="1143">
          <cell r="I1143">
            <v>202609</v>
          </cell>
          <cell r="K1143">
            <v>0</v>
          </cell>
          <cell r="N1143">
            <v>7</v>
          </cell>
          <cell r="O1143">
            <v>84</v>
          </cell>
        </row>
        <row r="1144">
          <cell r="I1144">
            <v>202609</v>
          </cell>
          <cell r="K1144">
            <v>0</v>
          </cell>
          <cell r="N1144">
            <v>7</v>
          </cell>
          <cell r="O1144">
            <v>84</v>
          </cell>
        </row>
        <row r="1145">
          <cell r="I1145">
            <v>202609</v>
          </cell>
          <cell r="K1145">
            <v>0</v>
          </cell>
          <cell r="N1145">
            <v>7</v>
          </cell>
          <cell r="O1145">
            <v>84</v>
          </cell>
        </row>
        <row r="1146">
          <cell r="I1146">
            <v>202609</v>
          </cell>
          <cell r="K1146">
            <v>0</v>
          </cell>
          <cell r="N1146">
            <v>7</v>
          </cell>
          <cell r="O1146">
            <v>84</v>
          </cell>
        </row>
        <row r="1147">
          <cell r="I1147">
            <v>202609</v>
          </cell>
          <cell r="K1147">
            <v>0</v>
          </cell>
          <cell r="N1147">
            <v>7</v>
          </cell>
          <cell r="O1147">
            <v>84</v>
          </cell>
        </row>
        <row r="1148">
          <cell r="I1148">
            <v>202609</v>
          </cell>
          <cell r="K1148">
            <v>0</v>
          </cell>
          <cell r="N1148">
            <v>7</v>
          </cell>
          <cell r="O1148">
            <v>84</v>
          </cell>
        </row>
        <row r="1149">
          <cell r="I1149">
            <v>202609</v>
          </cell>
          <cell r="K1149">
            <v>0</v>
          </cell>
          <cell r="N1149">
            <v>7</v>
          </cell>
          <cell r="O1149">
            <v>84</v>
          </cell>
        </row>
        <row r="1150">
          <cell r="I1150">
            <v>202609</v>
          </cell>
          <cell r="K1150">
            <v>0</v>
          </cell>
          <cell r="N1150">
            <v>7</v>
          </cell>
          <cell r="O1150">
            <v>84</v>
          </cell>
        </row>
        <row r="1151">
          <cell r="I1151">
            <v>202609</v>
          </cell>
          <cell r="K1151">
            <v>0</v>
          </cell>
          <cell r="N1151">
            <v>7</v>
          </cell>
          <cell r="O1151">
            <v>84</v>
          </cell>
        </row>
        <row r="1152">
          <cell r="I1152">
            <v>202609</v>
          </cell>
          <cell r="K1152">
            <v>0</v>
          </cell>
          <cell r="N1152">
            <v>7</v>
          </cell>
          <cell r="O1152">
            <v>84</v>
          </cell>
        </row>
        <row r="1153">
          <cell r="I1153">
            <v>202609</v>
          </cell>
          <cell r="K1153">
            <v>0</v>
          </cell>
          <cell r="N1153">
            <v>7</v>
          </cell>
          <cell r="O1153">
            <v>84</v>
          </cell>
        </row>
        <row r="1154">
          <cell r="I1154">
            <v>202609</v>
          </cell>
          <cell r="K1154">
            <v>0</v>
          </cell>
          <cell r="N1154">
            <v>7</v>
          </cell>
          <cell r="O1154">
            <v>84</v>
          </cell>
        </row>
        <row r="1155">
          <cell r="I1155">
            <v>202609</v>
          </cell>
          <cell r="K1155">
            <v>0</v>
          </cell>
          <cell r="N1155">
            <v>7</v>
          </cell>
          <cell r="O1155">
            <v>84</v>
          </cell>
        </row>
        <row r="1156">
          <cell r="I1156">
            <v>202609</v>
          </cell>
          <cell r="K1156">
            <v>0</v>
          </cell>
          <cell r="N1156">
            <v>7</v>
          </cell>
          <cell r="O1156">
            <v>84</v>
          </cell>
        </row>
        <row r="1157">
          <cell r="I1157">
            <v>202609</v>
          </cell>
          <cell r="K1157">
            <v>0</v>
          </cell>
          <cell r="N1157">
            <v>7</v>
          </cell>
          <cell r="O1157">
            <v>84</v>
          </cell>
        </row>
        <row r="1158">
          <cell r="I1158">
            <v>202609</v>
          </cell>
          <cell r="K1158">
            <v>0</v>
          </cell>
          <cell r="N1158">
            <v>7</v>
          </cell>
          <cell r="O1158">
            <v>84</v>
          </cell>
        </row>
        <row r="1159">
          <cell r="I1159">
            <v>202609</v>
          </cell>
          <cell r="K1159">
            <v>0</v>
          </cell>
          <cell r="N1159">
            <v>7</v>
          </cell>
          <cell r="O1159">
            <v>84</v>
          </cell>
        </row>
        <row r="1160">
          <cell r="I1160">
            <v>202609</v>
          </cell>
          <cell r="K1160">
            <v>0</v>
          </cell>
          <cell r="N1160">
            <v>7</v>
          </cell>
          <cell r="O1160">
            <v>84</v>
          </cell>
        </row>
        <row r="1161">
          <cell r="I1161">
            <v>202609</v>
          </cell>
          <cell r="K1161">
            <v>0</v>
          </cell>
          <cell r="N1161">
            <v>7</v>
          </cell>
          <cell r="O1161">
            <v>84</v>
          </cell>
        </row>
        <row r="1162">
          <cell r="I1162">
            <v>202609</v>
          </cell>
          <cell r="K1162">
            <v>0</v>
          </cell>
          <cell r="N1162">
            <v>7</v>
          </cell>
          <cell r="O1162">
            <v>84</v>
          </cell>
        </row>
        <row r="1163">
          <cell r="I1163">
            <v>202609</v>
          </cell>
          <cell r="K1163">
            <v>0</v>
          </cell>
          <cell r="N1163">
            <v>7</v>
          </cell>
          <cell r="O1163">
            <v>84</v>
          </cell>
        </row>
        <row r="1164">
          <cell r="I1164">
            <v>202609</v>
          </cell>
          <cell r="K1164">
            <v>0</v>
          </cell>
          <cell r="N1164">
            <v>7</v>
          </cell>
          <cell r="O1164">
            <v>84</v>
          </cell>
        </row>
        <row r="1165">
          <cell r="I1165">
            <v>202609</v>
          </cell>
          <cell r="K1165">
            <v>0</v>
          </cell>
          <cell r="N1165">
            <v>7</v>
          </cell>
          <cell r="O1165">
            <v>84</v>
          </cell>
        </row>
        <row r="1166">
          <cell r="I1166">
            <v>202609</v>
          </cell>
          <cell r="K1166">
            <v>0</v>
          </cell>
          <cell r="N1166">
            <v>7</v>
          </cell>
          <cell r="O1166">
            <v>84</v>
          </cell>
        </row>
        <row r="1167">
          <cell r="I1167">
            <v>202609</v>
          </cell>
          <cell r="K1167">
            <v>0</v>
          </cell>
          <cell r="N1167">
            <v>7</v>
          </cell>
          <cell r="O1167">
            <v>84</v>
          </cell>
        </row>
        <row r="1168">
          <cell r="I1168">
            <v>202609</v>
          </cell>
          <cell r="K1168">
            <v>0</v>
          </cell>
          <cell r="N1168">
            <v>7</v>
          </cell>
          <cell r="O1168">
            <v>84</v>
          </cell>
        </row>
        <row r="1169">
          <cell r="I1169">
            <v>202609</v>
          </cell>
          <cell r="K1169">
            <v>0</v>
          </cell>
          <cell r="N1169">
            <v>7</v>
          </cell>
          <cell r="O1169">
            <v>84</v>
          </cell>
        </row>
        <row r="1170">
          <cell r="I1170">
            <v>202609</v>
          </cell>
          <cell r="K1170">
            <v>0</v>
          </cell>
          <cell r="N1170">
            <v>7</v>
          </cell>
          <cell r="O1170">
            <v>84</v>
          </cell>
        </row>
        <row r="1171">
          <cell r="I1171">
            <v>202609</v>
          </cell>
          <cell r="K1171">
            <v>0</v>
          </cell>
          <cell r="N1171">
            <v>7</v>
          </cell>
          <cell r="O1171">
            <v>84</v>
          </cell>
        </row>
        <row r="1172">
          <cell r="I1172">
            <v>202609</v>
          </cell>
          <cell r="K1172">
            <v>0</v>
          </cell>
          <cell r="N1172">
            <v>7</v>
          </cell>
          <cell r="O1172">
            <v>84</v>
          </cell>
        </row>
        <row r="1173">
          <cell r="I1173">
            <v>202609</v>
          </cell>
          <cell r="K1173">
            <v>0</v>
          </cell>
          <cell r="N1173">
            <v>7</v>
          </cell>
          <cell r="O1173">
            <v>84</v>
          </cell>
        </row>
        <row r="1174">
          <cell r="I1174">
            <v>202609</v>
          </cell>
          <cell r="K1174">
            <v>0</v>
          </cell>
          <cell r="N1174">
            <v>7</v>
          </cell>
          <cell r="O1174">
            <v>84</v>
          </cell>
        </row>
        <row r="1175">
          <cell r="I1175">
            <v>202609</v>
          </cell>
          <cell r="K1175">
            <v>0</v>
          </cell>
          <cell r="N1175">
            <v>7</v>
          </cell>
          <cell r="O1175">
            <v>84</v>
          </cell>
        </row>
        <row r="1176">
          <cell r="I1176">
            <v>202609</v>
          </cell>
          <cell r="K1176">
            <v>0</v>
          </cell>
          <cell r="N1176">
            <v>7</v>
          </cell>
          <cell r="O1176">
            <v>84</v>
          </cell>
        </row>
        <row r="1177">
          <cell r="I1177">
            <v>202609</v>
          </cell>
          <cell r="K1177">
            <v>0</v>
          </cell>
          <cell r="N1177">
            <v>7</v>
          </cell>
          <cell r="O1177">
            <v>84</v>
          </cell>
        </row>
        <row r="1178">
          <cell r="I1178">
            <v>202609</v>
          </cell>
          <cell r="K1178">
            <v>0</v>
          </cell>
          <cell r="N1178">
            <v>7</v>
          </cell>
          <cell r="O1178">
            <v>84</v>
          </cell>
        </row>
        <row r="1179">
          <cell r="I1179">
            <v>202609</v>
          </cell>
          <cell r="K1179">
            <v>0</v>
          </cell>
          <cell r="N1179">
            <v>7</v>
          </cell>
          <cell r="O1179">
            <v>84</v>
          </cell>
        </row>
        <row r="1180">
          <cell r="I1180">
            <v>202609</v>
          </cell>
          <cell r="K1180">
            <v>0</v>
          </cell>
          <cell r="N1180">
            <v>7</v>
          </cell>
          <cell r="O1180">
            <v>84</v>
          </cell>
        </row>
        <row r="1181">
          <cell r="I1181">
            <v>202609</v>
          </cell>
          <cell r="K1181">
            <v>0</v>
          </cell>
          <cell r="N1181">
            <v>7</v>
          </cell>
          <cell r="O1181">
            <v>84</v>
          </cell>
        </row>
        <row r="1182">
          <cell r="I1182">
            <v>202609</v>
          </cell>
          <cell r="K1182">
            <v>0</v>
          </cell>
          <cell r="N1182">
            <v>7</v>
          </cell>
          <cell r="O1182">
            <v>84</v>
          </cell>
        </row>
        <row r="1183">
          <cell r="I1183">
            <v>202609</v>
          </cell>
          <cell r="K1183">
            <v>0</v>
          </cell>
          <cell r="N1183">
            <v>7</v>
          </cell>
          <cell r="O1183">
            <v>84</v>
          </cell>
        </row>
        <row r="1184">
          <cell r="I1184">
            <v>202609</v>
          </cell>
          <cell r="K1184">
            <v>0</v>
          </cell>
          <cell r="N1184">
            <v>7</v>
          </cell>
          <cell r="O1184">
            <v>84</v>
          </cell>
        </row>
        <row r="1185">
          <cell r="I1185">
            <v>202609</v>
          </cell>
          <cell r="K1185">
            <v>0</v>
          </cell>
          <cell r="N1185">
            <v>7</v>
          </cell>
          <cell r="O1185">
            <v>84</v>
          </cell>
        </row>
        <row r="1186">
          <cell r="I1186">
            <v>202609</v>
          </cell>
          <cell r="K1186">
            <v>0</v>
          </cell>
          <cell r="N1186">
            <v>7</v>
          </cell>
          <cell r="O1186">
            <v>84</v>
          </cell>
        </row>
        <row r="1187">
          <cell r="I1187">
            <v>202609</v>
          </cell>
          <cell r="K1187">
            <v>0</v>
          </cell>
          <cell r="N1187">
            <v>7</v>
          </cell>
          <cell r="O1187">
            <v>84</v>
          </cell>
        </row>
        <row r="1188">
          <cell r="I1188">
            <v>202609</v>
          </cell>
          <cell r="K1188">
            <v>0</v>
          </cell>
          <cell r="N1188">
            <v>7</v>
          </cell>
          <cell r="O1188">
            <v>84</v>
          </cell>
        </row>
        <row r="1189">
          <cell r="I1189">
            <v>202609</v>
          </cell>
          <cell r="K1189">
            <v>0</v>
          </cell>
          <cell r="N1189">
            <v>7</v>
          </cell>
          <cell r="O1189">
            <v>84</v>
          </cell>
        </row>
        <row r="1190">
          <cell r="I1190">
            <v>202609</v>
          </cell>
          <cell r="K1190">
            <v>0</v>
          </cell>
          <cell r="N1190">
            <v>7</v>
          </cell>
          <cell r="O1190">
            <v>84</v>
          </cell>
        </row>
        <row r="1191">
          <cell r="I1191">
            <v>202609</v>
          </cell>
          <cell r="K1191">
            <v>0</v>
          </cell>
          <cell r="N1191">
            <v>7</v>
          </cell>
          <cell r="O1191">
            <v>84</v>
          </cell>
        </row>
        <row r="1192">
          <cell r="I1192">
            <v>202609</v>
          </cell>
          <cell r="K1192">
            <v>0</v>
          </cell>
          <cell r="N1192">
            <v>7</v>
          </cell>
          <cell r="O1192">
            <v>84</v>
          </cell>
        </row>
        <row r="1193">
          <cell r="I1193">
            <v>202609</v>
          </cell>
          <cell r="K1193">
            <v>0</v>
          </cell>
          <cell r="N1193">
            <v>7</v>
          </cell>
          <cell r="O1193">
            <v>84</v>
          </cell>
        </row>
        <row r="1194">
          <cell r="I1194">
            <v>202609</v>
          </cell>
          <cell r="K1194">
            <v>0</v>
          </cell>
          <cell r="N1194">
            <v>7</v>
          </cell>
          <cell r="O1194">
            <v>84</v>
          </cell>
        </row>
        <row r="1195">
          <cell r="I1195">
            <v>202609</v>
          </cell>
          <cell r="K1195">
            <v>0</v>
          </cell>
          <cell r="N1195">
            <v>7</v>
          </cell>
          <cell r="O1195">
            <v>84</v>
          </cell>
        </row>
        <row r="1196">
          <cell r="I1196">
            <v>202609</v>
          </cell>
          <cell r="K1196">
            <v>0</v>
          </cell>
          <cell r="N1196">
            <v>7</v>
          </cell>
          <cell r="O1196">
            <v>84</v>
          </cell>
        </row>
        <row r="1197">
          <cell r="I1197">
            <v>202609</v>
          </cell>
          <cell r="K1197">
            <v>0</v>
          </cell>
          <cell r="N1197">
            <v>7</v>
          </cell>
          <cell r="O1197">
            <v>84</v>
          </cell>
        </row>
        <row r="1198">
          <cell r="I1198">
            <v>202609</v>
          </cell>
          <cell r="K1198">
            <v>0</v>
          </cell>
          <cell r="N1198">
            <v>7</v>
          </cell>
          <cell r="O1198">
            <v>84</v>
          </cell>
        </row>
        <row r="1199">
          <cell r="I1199">
            <v>202609</v>
          </cell>
          <cell r="K1199">
            <v>0</v>
          </cell>
          <cell r="N1199">
            <v>7</v>
          </cell>
          <cell r="O1199">
            <v>84</v>
          </cell>
        </row>
        <row r="1200">
          <cell r="I1200">
            <v>202609</v>
          </cell>
          <cell r="K1200">
            <v>0</v>
          </cell>
          <cell r="N1200">
            <v>7</v>
          </cell>
          <cell r="O1200">
            <v>84</v>
          </cell>
        </row>
        <row r="1201">
          <cell r="I1201">
            <v>202609</v>
          </cell>
          <cell r="K1201">
            <v>0</v>
          </cell>
          <cell r="N1201">
            <v>7</v>
          </cell>
          <cell r="O1201">
            <v>84</v>
          </cell>
        </row>
        <row r="1202">
          <cell r="I1202">
            <v>202609</v>
          </cell>
          <cell r="K1202">
            <v>0</v>
          </cell>
          <cell r="N1202">
            <v>7</v>
          </cell>
          <cell r="O1202">
            <v>84</v>
          </cell>
        </row>
        <row r="1203">
          <cell r="I1203">
            <v>202609</v>
          </cell>
          <cell r="K1203">
            <v>0</v>
          </cell>
          <cell r="N1203">
            <v>7</v>
          </cell>
          <cell r="O1203">
            <v>84</v>
          </cell>
        </row>
        <row r="1204">
          <cell r="I1204">
            <v>202609</v>
          </cell>
          <cell r="K1204">
            <v>0</v>
          </cell>
          <cell r="N1204">
            <v>7</v>
          </cell>
          <cell r="O1204">
            <v>84</v>
          </cell>
        </row>
        <row r="1205">
          <cell r="I1205">
            <v>202609</v>
          </cell>
          <cell r="K1205">
            <v>0</v>
          </cell>
          <cell r="N1205">
            <v>7</v>
          </cell>
          <cell r="O1205">
            <v>84</v>
          </cell>
        </row>
        <row r="1206">
          <cell r="I1206">
            <v>202609</v>
          </cell>
          <cell r="K1206">
            <v>0</v>
          </cell>
          <cell r="N1206">
            <v>7</v>
          </cell>
          <cell r="O1206">
            <v>84</v>
          </cell>
        </row>
        <row r="1207">
          <cell r="I1207">
            <v>202609</v>
          </cell>
          <cell r="K1207">
            <v>0</v>
          </cell>
          <cell r="N1207">
            <v>7</v>
          </cell>
          <cell r="O1207">
            <v>84</v>
          </cell>
        </row>
        <row r="1208">
          <cell r="I1208">
            <v>202609</v>
          </cell>
          <cell r="K1208">
            <v>0</v>
          </cell>
          <cell r="N1208">
            <v>7</v>
          </cell>
          <cell r="O1208">
            <v>84</v>
          </cell>
        </row>
        <row r="1209">
          <cell r="I1209">
            <v>202609</v>
          </cell>
          <cell r="K1209">
            <v>0</v>
          </cell>
          <cell r="N1209">
            <v>7</v>
          </cell>
          <cell r="O1209">
            <v>84</v>
          </cell>
        </row>
        <row r="1210">
          <cell r="I1210">
            <v>202609</v>
          </cell>
          <cell r="K1210">
            <v>0</v>
          </cell>
          <cell r="N1210">
            <v>7</v>
          </cell>
          <cell r="O1210">
            <v>84</v>
          </cell>
        </row>
        <row r="1211">
          <cell r="I1211">
            <v>202609</v>
          </cell>
          <cell r="K1211">
            <v>0</v>
          </cell>
          <cell r="N1211">
            <v>7</v>
          </cell>
          <cell r="O1211">
            <v>84</v>
          </cell>
        </row>
        <row r="1212">
          <cell r="I1212">
            <v>202609</v>
          </cell>
          <cell r="K1212">
            <v>0</v>
          </cell>
          <cell r="N1212">
            <v>7</v>
          </cell>
          <cell r="O1212">
            <v>84</v>
          </cell>
        </row>
        <row r="1213">
          <cell r="I1213">
            <v>202609</v>
          </cell>
          <cell r="K1213">
            <v>0</v>
          </cell>
          <cell r="N1213">
            <v>7</v>
          </cell>
          <cell r="O1213">
            <v>84</v>
          </cell>
        </row>
        <row r="1214">
          <cell r="I1214">
            <v>202609</v>
          </cell>
          <cell r="K1214">
            <v>0</v>
          </cell>
          <cell r="N1214">
            <v>7</v>
          </cell>
          <cell r="O1214">
            <v>84</v>
          </cell>
        </row>
        <row r="1215">
          <cell r="I1215">
            <v>202609</v>
          </cell>
          <cell r="K1215">
            <v>0</v>
          </cell>
          <cell r="N1215">
            <v>7</v>
          </cell>
          <cell r="O1215">
            <v>84</v>
          </cell>
        </row>
        <row r="1216">
          <cell r="I1216">
            <v>202609</v>
          </cell>
          <cell r="K1216">
            <v>0</v>
          </cell>
          <cell r="N1216">
            <v>7</v>
          </cell>
          <cell r="O1216">
            <v>84</v>
          </cell>
        </row>
        <row r="1217">
          <cell r="I1217">
            <v>202609</v>
          </cell>
          <cell r="K1217">
            <v>0</v>
          </cell>
          <cell r="N1217">
            <v>7</v>
          </cell>
          <cell r="O1217">
            <v>84</v>
          </cell>
        </row>
        <row r="1218">
          <cell r="I1218">
            <v>202609</v>
          </cell>
          <cell r="K1218">
            <v>0</v>
          </cell>
          <cell r="N1218">
            <v>7</v>
          </cell>
          <cell r="O1218">
            <v>84</v>
          </cell>
        </row>
        <row r="1219">
          <cell r="I1219">
            <v>202609</v>
          </cell>
          <cell r="K1219">
            <v>0</v>
          </cell>
          <cell r="N1219">
            <v>7</v>
          </cell>
          <cell r="O1219">
            <v>84</v>
          </cell>
        </row>
        <row r="1220">
          <cell r="I1220">
            <v>202609</v>
          </cell>
          <cell r="K1220">
            <v>0</v>
          </cell>
          <cell r="N1220">
            <v>7</v>
          </cell>
          <cell r="O1220">
            <v>84</v>
          </cell>
        </row>
        <row r="1221">
          <cell r="I1221">
            <v>202609</v>
          </cell>
          <cell r="K1221">
            <v>0</v>
          </cell>
          <cell r="N1221">
            <v>7</v>
          </cell>
          <cell r="O1221">
            <v>84</v>
          </cell>
        </row>
        <row r="1222">
          <cell r="I1222">
            <v>202609</v>
          </cell>
          <cell r="K1222">
            <v>0</v>
          </cell>
          <cell r="N1222">
            <v>7</v>
          </cell>
          <cell r="O1222">
            <v>84</v>
          </cell>
        </row>
        <row r="1223">
          <cell r="I1223">
            <v>202609</v>
          </cell>
          <cell r="K1223">
            <v>0</v>
          </cell>
          <cell r="N1223">
            <v>7</v>
          </cell>
          <cell r="O1223">
            <v>84</v>
          </cell>
        </row>
        <row r="1224">
          <cell r="I1224">
            <v>202609</v>
          </cell>
          <cell r="K1224">
            <v>0</v>
          </cell>
          <cell r="N1224">
            <v>7</v>
          </cell>
          <cell r="O1224">
            <v>84</v>
          </cell>
        </row>
        <row r="1225">
          <cell r="I1225">
            <v>202609</v>
          </cell>
          <cell r="K1225">
            <v>0</v>
          </cell>
          <cell r="N1225">
            <v>7</v>
          </cell>
          <cell r="O1225">
            <v>84</v>
          </cell>
        </row>
        <row r="1226">
          <cell r="I1226">
            <v>202609</v>
          </cell>
          <cell r="K1226">
            <v>0</v>
          </cell>
          <cell r="N1226">
            <v>7</v>
          </cell>
          <cell r="O1226">
            <v>84</v>
          </cell>
        </row>
        <row r="1227">
          <cell r="I1227">
            <v>202609</v>
          </cell>
          <cell r="K1227">
            <v>0</v>
          </cell>
          <cell r="N1227">
            <v>7</v>
          </cell>
          <cell r="O1227">
            <v>84</v>
          </cell>
        </row>
        <row r="1228">
          <cell r="I1228">
            <v>202609</v>
          </cell>
          <cell r="K1228">
            <v>0</v>
          </cell>
          <cell r="N1228">
            <v>7</v>
          </cell>
          <cell r="O1228">
            <v>84</v>
          </cell>
        </row>
        <row r="1229">
          <cell r="I1229">
            <v>202609</v>
          </cell>
          <cell r="K1229">
            <v>0</v>
          </cell>
          <cell r="N1229">
            <v>7</v>
          </cell>
          <cell r="O1229">
            <v>84</v>
          </cell>
        </row>
        <row r="1230">
          <cell r="I1230">
            <v>202609</v>
          </cell>
          <cell r="K1230">
            <v>0</v>
          </cell>
          <cell r="N1230">
            <v>7</v>
          </cell>
          <cell r="O1230">
            <v>84</v>
          </cell>
        </row>
        <row r="1231">
          <cell r="I1231">
            <v>202609</v>
          </cell>
          <cell r="K1231">
            <v>0</v>
          </cell>
          <cell r="N1231">
            <v>7</v>
          </cell>
          <cell r="O1231">
            <v>84</v>
          </cell>
        </row>
        <row r="1232">
          <cell r="I1232">
            <v>202609</v>
          </cell>
          <cell r="K1232">
            <v>0</v>
          </cell>
          <cell r="N1232">
            <v>7</v>
          </cell>
          <cell r="O1232">
            <v>84</v>
          </cell>
        </row>
        <row r="1233">
          <cell r="I1233">
            <v>202609</v>
          </cell>
          <cell r="K1233">
            <v>0</v>
          </cell>
          <cell r="N1233">
            <v>7</v>
          </cell>
          <cell r="O1233">
            <v>84</v>
          </cell>
        </row>
        <row r="1234">
          <cell r="I1234">
            <v>202609</v>
          </cell>
          <cell r="K1234">
            <v>0</v>
          </cell>
          <cell r="N1234">
            <v>7</v>
          </cell>
          <cell r="O1234">
            <v>84</v>
          </cell>
        </row>
        <row r="1235">
          <cell r="I1235">
            <v>202609</v>
          </cell>
          <cell r="K1235">
            <v>0</v>
          </cell>
          <cell r="N1235">
            <v>7</v>
          </cell>
          <cell r="O1235">
            <v>84</v>
          </cell>
        </row>
        <row r="1236">
          <cell r="I1236">
            <v>202609</v>
          </cell>
          <cell r="K1236">
            <v>0</v>
          </cell>
          <cell r="N1236">
            <v>7</v>
          </cell>
          <cell r="O1236">
            <v>84</v>
          </cell>
        </row>
        <row r="1237">
          <cell r="I1237">
            <v>202609</v>
          </cell>
          <cell r="K1237">
            <v>0</v>
          </cell>
          <cell r="N1237">
            <v>7</v>
          </cell>
          <cell r="O1237">
            <v>84</v>
          </cell>
        </row>
        <row r="1238">
          <cell r="I1238">
            <v>202609</v>
          </cell>
          <cell r="K1238">
            <v>0</v>
          </cell>
          <cell r="N1238">
            <v>7</v>
          </cell>
          <cell r="O1238">
            <v>84</v>
          </cell>
        </row>
        <row r="1239">
          <cell r="I1239">
            <v>202609</v>
          </cell>
          <cell r="K1239">
            <v>0</v>
          </cell>
          <cell r="N1239">
            <v>7</v>
          </cell>
          <cell r="O1239">
            <v>84</v>
          </cell>
        </row>
        <row r="1240">
          <cell r="I1240">
            <v>202609</v>
          </cell>
          <cell r="K1240">
            <v>0</v>
          </cell>
          <cell r="N1240">
            <v>7</v>
          </cell>
          <cell r="O1240">
            <v>84</v>
          </cell>
        </row>
        <row r="1241">
          <cell r="I1241">
            <v>202609</v>
          </cell>
          <cell r="K1241">
            <v>0</v>
          </cell>
          <cell r="N1241">
            <v>7</v>
          </cell>
          <cell r="O1241">
            <v>84</v>
          </cell>
        </row>
        <row r="1242">
          <cell r="I1242">
            <v>202609</v>
          </cell>
          <cell r="K1242">
            <v>0</v>
          </cell>
          <cell r="N1242">
            <v>7</v>
          </cell>
          <cell r="O1242">
            <v>84</v>
          </cell>
        </row>
        <row r="1243">
          <cell r="I1243">
            <v>202609</v>
          </cell>
          <cell r="K1243">
            <v>0</v>
          </cell>
          <cell r="N1243">
            <v>7</v>
          </cell>
          <cell r="O1243">
            <v>84</v>
          </cell>
        </row>
        <row r="1244">
          <cell r="I1244">
            <v>202609</v>
          </cell>
          <cell r="K1244">
            <v>0</v>
          </cell>
          <cell r="N1244">
            <v>7</v>
          </cell>
          <cell r="O1244">
            <v>84</v>
          </cell>
        </row>
        <row r="1245">
          <cell r="I1245">
            <v>202609</v>
          </cell>
          <cell r="K1245">
            <v>0</v>
          </cell>
          <cell r="N1245">
            <v>7</v>
          </cell>
          <cell r="O1245">
            <v>84</v>
          </cell>
        </row>
        <row r="1246">
          <cell r="I1246">
            <v>202609</v>
          </cell>
          <cell r="K1246">
            <v>0</v>
          </cell>
          <cell r="N1246">
            <v>7</v>
          </cell>
          <cell r="O1246">
            <v>84</v>
          </cell>
        </row>
        <row r="1247">
          <cell r="I1247">
            <v>202609</v>
          </cell>
          <cell r="K1247">
            <v>0</v>
          </cell>
          <cell r="N1247">
            <v>7</v>
          </cell>
          <cell r="O1247">
            <v>84</v>
          </cell>
        </row>
        <row r="1248">
          <cell r="I1248">
            <v>202609</v>
          </cell>
          <cell r="K1248">
            <v>0</v>
          </cell>
          <cell r="N1248">
            <v>7</v>
          </cell>
          <cell r="O1248">
            <v>84</v>
          </cell>
        </row>
        <row r="1249">
          <cell r="I1249">
            <v>202609</v>
          </cell>
          <cell r="K1249">
            <v>0</v>
          </cell>
          <cell r="N1249">
            <v>7</v>
          </cell>
          <cell r="O1249">
            <v>84</v>
          </cell>
        </row>
        <row r="1250">
          <cell r="I1250">
            <v>202609</v>
          </cell>
          <cell r="K1250">
            <v>0</v>
          </cell>
          <cell r="N1250">
            <v>7</v>
          </cell>
          <cell r="O1250">
            <v>84</v>
          </cell>
        </row>
        <row r="1251">
          <cell r="I1251">
            <v>202609</v>
          </cell>
          <cell r="K1251">
            <v>0</v>
          </cell>
          <cell r="N1251">
            <v>7</v>
          </cell>
          <cell r="O1251">
            <v>84</v>
          </cell>
        </row>
        <row r="1252">
          <cell r="I1252">
            <v>202609</v>
          </cell>
          <cell r="K1252">
            <v>0</v>
          </cell>
          <cell r="N1252">
            <v>7</v>
          </cell>
          <cell r="O1252">
            <v>84</v>
          </cell>
        </row>
        <row r="1253">
          <cell r="I1253">
            <v>202609</v>
          </cell>
          <cell r="K1253">
            <v>0</v>
          </cell>
          <cell r="N1253">
            <v>7</v>
          </cell>
          <cell r="O1253">
            <v>84</v>
          </cell>
        </row>
        <row r="1254">
          <cell r="I1254">
            <v>202609</v>
          </cell>
          <cell r="K1254">
            <v>0</v>
          </cell>
          <cell r="N1254">
            <v>7</v>
          </cell>
          <cell r="O1254">
            <v>84</v>
          </cell>
        </row>
        <row r="1255">
          <cell r="I1255">
            <v>202609</v>
          </cell>
          <cell r="K1255">
            <v>0</v>
          </cell>
          <cell r="N1255">
            <v>7</v>
          </cell>
          <cell r="O1255">
            <v>84</v>
          </cell>
        </row>
        <row r="1256">
          <cell r="I1256">
            <v>202609</v>
          </cell>
          <cell r="K1256">
            <v>0</v>
          </cell>
          <cell r="N1256">
            <v>7</v>
          </cell>
          <cell r="O1256">
            <v>84</v>
          </cell>
        </row>
        <row r="1257">
          <cell r="I1257">
            <v>202609</v>
          </cell>
          <cell r="K1257">
            <v>0</v>
          </cell>
          <cell r="N1257">
            <v>7</v>
          </cell>
          <cell r="O1257">
            <v>84</v>
          </cell>
        </row>
        <row r="1258">
          <cell r="I1258">
            <v>202609</v>
          </cell>
          <cell r="K1258">
            <v>0</v>
          </cell>
          <cell r="N1258">
            <v>7</v>
          </cell>
          <cell r="O1258">
            <v>84</v>
          </cell>
        </row>
        <row r="1259">
          <cell r="I1259">
            <v>202609</v>
          </cell>
          <cell r="K1259">
            <v>0</v>
          </cell>
          <cell r="N1259">
            <v>7</v>
          </cell>
          <cell r="O1259">
            <v>84</v>
          </cell>
        </row>
        <row r="1260">
          <cell r="I1260">
            <v>202609</v>
          </cell>
          <cell r="K1260">
            <v>0</v>
          </cell>
          <cell r="N1260">
            <v>7</v>
          </cell>
          <cell r="O1260">
            <v>84</v>
          </cell>
        </row>
        <row r="1261">
          <cell r="I1261">
            <v>202609</v>
          </cell>
          <cell r="K1261">
            <v>0</v>
          </cell>
          <cell r="N1261">
            <v>7</v>
          </cell>
          <cell r="O1261">
            <v>84</v>
          </cell>
        </row>
        <row r="1262">
          <cell r="I1262">
            <v>202609</v>
          </cell>
          <cell r="K1262">
            <v>0</v>
          </cell>
          <cell r="N1262">
            <v>7</v>
          </cell>
          <cell r="O1262">
            <v>84</v>
          </cell>
        </row>
        <row r="1263">
          <cell r="I1263">
            <v>202609</v>
          </cell>
          <cell r="K1263">
            <v>0</v>
          </cell>
          <cell r="N1263">
            <v>7</v>
          </cell>
          <cell r="O1263">
            <v>84</v>
          </cell>
        </row>
        <row r="1264">
          <cell r="I1264">
            <v>202609</v>
          </cell>
          <cell r="K1264">
            <v>0</v>
          </cell>
          <cell r="N1264">
            <v>7</v>
          </cell>
          <cell r="O1264">
            <v>84</v>
          </cell>
        </row>
        <row r="1265">
          <cell r="I1265">
            <v>202609</v>
          </cell>
          <cell r="K1265">
            <v>0</v>
          </cell>
          <cell r="N1265">
            <v>7</v>
          </cell>
          <cell r="O1265">
            <v>84</v>
          </cell>
        </row>
        <row r="1266">
          <cell r="I1266">
            <v>202609</v>
          </cell>
          <cell r="K1266">
            <v>0</v>
          </cell>
          <cell r="N1266">
            <v>7</v>
          </cell>
          <cell r="O1266">
            <v>84</v>
          </cell>
        </row>
        <row r="1267">
          <cell r="I1267">
            <v>202609</v>
          </cell>
          <cell r="K1267">
            <v>0</v>
          </cell>
          <cell r="N1267">
            <v>7</v>
          </cell>
          <cell r="O1267">
            <v>84</v>
          </cell>
        </row>
        <row r="1268">
          <cell r="I1268">
            <v>202609</v>
          </cell>
          <cell r="K1268">
            <v>0</v>
          </cell>
          <cell r="N1268">
            <v>7</v>
          </cell>
          <cell r="O1268">
            <v>84</v>
          </cell>
        </row>
        <row r="1269">
          <cell r="I1269">
            <v>202609</v>
          </cell>
          <cell r="K1269">
            <v>0</v>
          </cell>
          <cell r="N1269">
            <v>7</v>
          </cell>
          <cell r="O1269">
            <v>84</v>
          </cell>
        </row>
        <row r="1270">
          <cell r="I1270">
            <v>202609</v>
          </cell>
          <cell r="K1270">
            <v>0</v>
          </cell>
          <cell r="N1270">
            <v>7</v>
          </cell>
          <cell r="O1270">
            <v>84</v>
          </cell>
        </row>
        <row r="1271">
          <cell r="I1271">
            <v>202609</v>
          </cell>
          <cell r="K1271">
            <v>0</v>
          </cell>
          <cell r="N1271">
            <v>7</v>
          </cell>
          <cell r="O1271">
            <v>84</v>
          </cell>
        </row>
        <row r="1272">
          <cell r="I1272">
            <v>202609</v>
          </cell>
          <cell r="K1272">
            <v>0</v>
          </cell>
          <cell r="N1272">
            <v>7</v>
          </cell>
          <cell r="O1272">
            <v>84</v>
          </cell>
        </row>
        <row r="1273">
          <cell r="I1273">
            <v>202609</v>
          </cell>
          <cell r="K1273">
            <v>0</v>
          </cell>
          <cell r="N1273">
            <v>7</v>
          </cell>
          <cell r="O1273">
            <v>84</v>
          </cell>
        </row>
        <row r="1274">
          <cell r="I1274">
            <v>202609</v>
          </cell>
          <cell r="K1274">
            <v>0</v>
          </cell>
          <cell r="N1274">
            <v>7</v>
          </cell>
          <cell r="O1274">
            <v>84</v>
          </cell>
        </row>
        <row r="1275">
          <cell r="I1275">
            <v>202609</v>
          </cell>
          <cell r="K1275">
            <v>0</v>
          </cell>
          <cell r="N1275">
            <v>7</v>
          </cell>
          <cell r="O1275">
            <v>84</v>
          </cell>
        </row>
        <row r="1276">
          <cell r="I1276">
            <v>202609</v>
          </cell>
          <cell r="K1276">
            <v>0</v>
          </cell>
          <cell r="N1276">
            <v>7</v>
          </cell>
          <cell r="O1276">
            <v>84</v>
          </cell>
        </row>
        <row r="1277">
          <cell r="I1277">
            <v>202609</v>
          </cell>
          <cell r="K1277">
            <v>0</v>
          </cell>
          <cell r="N1277">
            <v>7</v>
          </cell>
          <cell r="O1277">
            <v>84</v>
          </cell>
        </row>
        <row r="1278">
          <cell r="I1278">
            <v>202609</v>
          </cell>
          <cell r="K1278">
            <v>0</v>
          </cell>
          <cell r="N1278">
            <v>7</v>
          </cell>
          <cell r="O1278">
            <v>84</v>
          </cell>
        </row>
        <row r="1279">
          <cell r="I1279">
            <v>202609</v>
          </cell>
          <cell r="K1279">
            <v>0</v>
          </cell>
          <cell r="N1279">
            <v>7</v>
          </cell>
          <cell r="O1279">
            <v>84</v>
          </cell>
        </row>
        <row r="1280">
          <cell r="I1280">
            <v>202609</v>
          </cell>
          <cell r="K1280">
            <v>0</v>
          </cell>
          <cell r="N1280">
            <v>7</v>
          </cell>
          <cell r="O1280">
            <v>84</v>
          </cell>
        </row>
        <row r="1281">
          <cell r="I1281">
            <v>202609</v>
          </cell>
          <cell r="K1281">
            <v>0</v>
          </cell>
          <cell r="N1281">
            <v>7</v>
          </cell>
          <cell r="O1281">
            <v>84</v>
          </cell>
        </row>
        <row r="1282">
          <cell r="I1282">
            <v>202609</v>
          </cell>
          <cell r="K1282">
            <v>0</v>
          </cell>
          <cell r="N1282">
            <v>7</v>
          </cell>
          <cell r="O1282">
            <v>84</v>
          </cell>
        </row>
        <row r="1283">
          <cell r="I1283">
            <v>202609</v>
          </cell>
          <cell r="K1283">
            <v>0</v>
          </cell>
          <cell r="N1283">
            <v>7</v>
          </cell>
          <cell r="O1283">
            <v>84</v>
          </cell>
        </row>
        <row r="1284">
          <cell r="I1284">
            <v>202609</v>
          </cell>
          <cell r="K1284">
            <v>0</v>
          </cell>
          <cell r="N1284">
            <v>7</v>
          </cell>
          <cell r="O1284">
            <v>84</v>
          </cell>
        </row>
        <row r="1285">
          <cell r="I1285">
            <v>202609</v>
          </cell>
          <cell r="K1285">
            <v>0</v>
          </cell>
          <cell r="N1285">
            <v>7</v>
          </cell>
          <cell r="O1285">
            <v>84</v>
          </cell>
        </row>
        <row r="1286">
          <cell r="I1286">
            <v>202609</v>
          </cell>
          <cell r="K1286">
            <v>0</v>
          </cell>
          <cell r="N1286">
            <v>7</v>
          </cell>
          <cell r="O1286">
            <v>84</v>
          </cell>
        </row>
        <row r="1287">
          <cell r="I1287">
            <v>202609</v>
          </cell>
          <cell r="K1287">
            <v>0</v>
          </cell>
          <cell r="N1287">
            <v>7</v>
          </cell>
          <cell r="O1287">
            <v>84</v>
          </cell>
        </row>
        <row r="1288">
          <cell r="I1288">
            <v>202609</v>
          </cell>
          <cell r="K1288">
            <v>0</v>
          </cell>
          <cell r="N1288">
            <v>7</v>
          </cell>
          <cell r="O1288">
            <v>84</v>
          </cell>
        </row>
        <row r="1289">
          <cell r="I1289">
            <v>202609</v>
          </cell>
          <cell r="K1289">
            <v>0</v>
          </cell>
          <cell r="N1289">
            <v>7</v>
          </cell>
          <cell r="O1289">
            <v>84</v>
          </cell>
        </row>
        <row r="1290">
          <cell r="I1290">
            <v>202609</v>
          </cell>
          <cell r="K1290">
            <v>0</v>
          </cell>
          <cell r="N1290">
            <v>7</v>
          </cell>
          <cell r="O1290">
            <v>84</v>
          </cell>
        </row>
        <row r="1291">
          <cell r="I1291">
            <v>202609</v>
          </cell>
          <cell r="K1291">
            <v>0</v>
          </cell>
          <cell r="N1291">
            <v>7</v>
          </cell>
          <cell r="O1291">
            <v>84</v>
          </cell>
        </row>
        <row r="1292">
          <cell r="I1292">
            <v>202609</v>
          </cell>
          <cell r="K1292">
            <v>0</v>
          </cell>
          <cell r="N1292">
            <v>7</v>
          </cell>
          <cell r="O1292">
            <v>84</v>
          </cell>
        </row>
        <row r="1293">
          <cell r="I1293">
            <v>202609</v>
          </cell>
          <cell r="K1293">
            <v>0</v>
          </cell>
          <cell r="N1293">
            <v>7</v>
          </cell>
          <cell r="O1293">
            <v>84</v>
          </cell>
        </row>
        <row r="1294">
          <cell r="I1294">
            <v>202609</v>
          </cell>
          <cell r="K1294">
            <v>0</v>
          </cell>
          <cell r="N1294">
            <v>7</v>
          </cell>
          <cell r="O1294">
            <v>84</v>
          </cell>
        </row>
        <row r="1295">
          <cell r="I1295">
            <v>202609</v>
          </cell>
          <cell r="K1295">
            <v>0</v>
          </cell>
          <cell r="N1295">
            <v>7</v>
          </cell>
          <cell r="O1295">
            <v>84</v>
          </cell>
        </row>
        <row r="1296">
          <cell r="I1296">
            <v>202609</v>
          </cell>
          <cell r="K1296">
            <v>0</v>
          </cell>
          <cell r="N1296">
            <v>7</v>
          </cell>
          <cell r="O1296">
            <v>84</v>
          </cell>
        </row>
        <row r="1297">
          <cell r="I1297">
            <v>202609</v>
          </cell>
          <cell r="K1297">
            <v>0</v>
          </cell>
          <cell r="N1297">
            <v>7</v>
          </cell>
          <cell r="O1297">
            <v>84</v>
          </cell>
        </row>
        <row r="1298">
          <cell r="I1298">
            <v>202609</v>
          </cell>
          <cell r="K1298">
            <v>0</v>
          </cell>
          <cell r="N1298">
            <v>7</v>
          </cell>
          <cell r="O1298">
            <v>84</v>
          </cell>
        </row>
        <row r="1299">
          <cell r="I1299">
            <v>202609</v>
          </cell>
          <cell r="K1299">
            <v>0</v>
          </cell>
          <cell r="N1299">
            <v>7</v>
          </cell>
          <cell r="O1299">
            <v>84</v>
          </cell>
        </row>
        <row r="1300">
          <cell r="I1300">
            <v>202609</v>
          </cell>
          <cell r="K1300">
            <v>0</v>
          </cell>
          <cell r="N1300">
            <v>7</v>
          </cell>
          <cell r="O1300">
            <v>84</v>
          </cell>
        </row>
        <row r="1301">
          <cell r="I1301">
            <v>202609</v>
          </cell>
          <cell r="K1301">
            <v>0</v>
          </cell>
          <cell r="N1301">
            <v>7</v>
          </cell>
          <cell r="O1301">
            <v>84</v>
          </cell>
        </row>
        <row r="1302">
          <cell r="I1302">
            <v>202609</v>
          </cell>
          <cell r="K1302">
            <v>0</v>
          </cell>
          <cell r="N1302">
            <v>7</v>
          </cell>
          <cell r="O1302">
            <v>84</v>
          </cell>
        </row>
        <row r="1303">
          <cell r="I1303">
            <v>202609</v>
          </cell>
          <cell r="K1303">
            <v>0</v>
          </cell>
          <cell r="N1303">
            <v>7</v>
          </cell>
          <cell r="O1303">
            <v>84</v>
          </cell>
        </row>
        <row r="1304">
          <cell r="I1304">
            <v>202609</v>
          </cell>
          <cell r="K1304">
            <v>0</v>
          </cell>
          <cell r="N1304">
            <v>7</v>
          </cell>
          <cell r="O1304">
            <v>84</v>
          </cell>
        </row>
        <row r="1305">
          <cell r="I1305">
            <v>202609</v>
          </cell>
          <cell r="K1305">
            <v>0</v>
          </cell>
          <cell r="N1305">
            <v>7</v>
          </cell>
          <cell r="O1305">
            <v>84</v>
          </cell>
        </row>
        <row r="1306">
          <cell r="I1306">
            <v>202609</v>
          </cell>
          <cell r="K1306">
            <v>0</v>
          </cell>
          <cell r="N1306">
            <v>7</v>
          </cell>
          <cell r="O1306">
            <v>84</v>
          </cell>
        </row>
        <row r="1307">
          <cell r="I1307">
            <v>202609</v>
          </cell>
          <cell r="K1307">
            <v>0</v>
          </cell>
          <cell r="N1307">
            <v>7</v>
          </cell>
          <cell r="O1307">
            <v>84</v>
          </cell>
        </row>
        <row r="1308">
          <cell r="I1308">
            <v>202609</v>
          </cell>
          <cell r="K1308">
            <v>0</v>
          </cell>
          <cell r="N1308">
            <v>7</v>
          </cell>
          <cell r="O1308">
            <v>84</v>
          </cell>
        </row>
        <row r="1309">
          <cell r="I1309">
            <v>202609</v>
          </cell>
          <cell r="K1309">
            <v>0</v>
          </cell>
          <cell r="N1309">
            <v>7</v>
          </cell>
          <cell r="O1309">
            <v>84</v>
          </cell>
        </row>
        <row r="1310">
          <cell r="I1310">
            <v>202609</v>
          </cell>
          <cell r="K1310">
            <v>0</v>
          </cell>
          <cell r="N1310">
            <v>7</v>
          </cell>
          <cell r="O1310">
            <v>84</v>
          </cell>
        </row>
        <row r="1311">
          <cell r="I1311">
            <v>202609</v>
          </cell>
          <cell r="K1311">
            <v>0</v>
          </cell>
          <cell r="N1311">
            <v>7</v>
          </cell>
          <cell r="O1311">
            <v>84</v>
          </cell>
        </row>
        <row r="1312">
          <cell r="I1312">
            <v>202609</v>
          </cell>
          <cell r="K1312">
            <v>0</v>
          </cell>
          <cell r="N1312">
            <v>7</v>
          </cell>
          <cell r="O1312">
            <v>84</v>
          </cell>
        </row>
        <row r="1313">
          <cell r="I1313">
            <v>202609</v>
          </cell>
          <cell r="K1313">
            <v>0</v>
          </cell>
          <cell r="N1313">
            <v>7</v>
          </cell>
          <cell r="O1313">
            <v>84</v>
          </cell>
        </row>
        <row r="1314">
          <cell r="I1314">
            <v>202609</v>
          </cell>
          <cell r="K1314">
            <v>0</v>
          </cell>
          <cell r="N1314">
            <v>7</v>
          </cell>
          <cell r="O1314">
            <v>84</v>
          </cell>
        </row>
        <row r="1315">
          <cell r="I1315">
            <v>202609</v>
          </cell>
          <cell r="K1315">
            <v>0</v>
          </cell>
          <cell r="N1315">
            <v>7</v>
          </cell>
          <cell r="O1315">
            <v>84</v>
          </cell>
        </row>
        <row r="1316">
          <cell r="I1316">
            <v>202609</v>
          </cell>
          <cell r="K1316">
            <v>0</v>
          </cell>
          <cell r="N1316">
            <v>7</v>
          </cell>
          <cell r="O1316">
            <v>84</v>
          </cell>
        </row>
        <row r="1317">
          <cell r="I1317">
            <v>202609</v>
          </cell>
          <cell r="K1317">
            <v>0</v>
          </cell>
          <cell r="N1317">
            <v>7</v>
          </cell>
          <cell r="O1317">
            <v>84</v>
          </cell>
        </row>
        <row r="1318">
          <cell r="I1318">
            <v>202609</v>
          </cell>
          <cell r="K1318">
            <v>0</v>
          </cell>
          <cell r="N1318">
            <v>7</v>
          </cell>
          <cell r="O1318">
            <v>84</v>
          </cell>
        </row>
        <row r="1319">
          <cell r="I1319">
            <v>202609</v>
          </cell>
          <cell r="K1319">
            <v>0</v>
          </cell>
          <cell r="N1319">
            <v>7</v>
          </cell>
          <cell r="O1319">
            <v>84</v>
          </cell>
        </row>
        <row r="1320">
          <cell r="I1320">
            <v>202609</v>
          </cell>
          <cell r="K1320">
            <v>0</v>
          </cell>
          <cell r="N1320">
            <v>7</v>
          </cell>
          <cell r="O1320">
            <v>84</v>
          </cell>
        </row>
        <row r="1321">
          <cell r="I1321">
            <v>202609</v>
          </cell>
          <cell r="K1321">
            <v>0</v>
          </cell>
          <cell r="N1321">
            <v>7</v>
          </cell>
          <cell r="O1321">
            <v>84</v>
          </cell>
        </row>
        <row r="1322">
          <cell r="I1322">
            <v>202609</v>
          </cell>
          <cell r="K1322">
            <v>0</v>
          </cell>
          <cell r="N1322">
            <v>7</v>
          </cell>
          <cell r="O1322">
            <v>84</v>
          </cell>
        </row>
        <row r="1323">
          <cell r="I1323">
            <v>202609</v>
          </cell>
          <cell r="K1323">
            <v>0</v>
          </cell>
          <cell r="N1323">
            <v>7</v>
          </cell>
          <cell r="O1323">
            <v>84</v>
          </cell>
        </row>
        <row r="1324">
          <cell r="I1324">
            <v>202609</v>
          </cell>
          <cell r="K1324">
            <v>0</v>
          </cell>
          <cell r="N1324">
            <v>7</v>
          </cell>
          <cell r="O1324">
            <v>84</v>
          </cell>
        </row>
        <row r="1325">
          <cell r="I1325">
            <v>202609</v>
          </cell>
          <cell r="K1325">
            <v>0</v>
          </cell>
          <cell r="N1325">
            <v>7</v>
          </cell>
          <cell r="O1325">
            <v>84</v>
          </cell>
        </row>
        <row r="1326">
          <cell r="I1326">
            <v>202609</v>
          </cell>
          <cell r="K1326">
            <v>0</v>
          </cell>
          <cell r="N1326">
            <v>7</v>
          </cell>
          <cell r="O1326">
            <v>84</v>
          </cell>
        </row>
        <row r="1327">
          <cell r="I1327">
            <v>202609</v>
          </cell>
          <cell r="K1327">
            <v>0</v>
          </cell>
          <cell r="N1327">
            <v>7</v>
          </cell>
          <cell r="O1327">
            <v>84</v>
          </cell>
        </row>
        <row r="1328">
          <cell r="I1328">
            <v>202609</v>
          </cell>
          <cell r="K1328">
            <v>0</v>
          </cell>
          <cell r="N1328">
            <v>7</v>
          </cell>
          <cell r="O1328">
            <v>84</v>
          </cell>
        </row>
        <row r="1329">
          <cell r="I1329">
            <v>202609</v>
          </cell>
          <cell r="K1329">
            <v>0</v>
          </cell>
          <cell r="N1329">
            <v>7</v>
          </cell>
          <cell r="O1329">
            <v>84</v>
          </cell>
        </row>
        <row r="1330">
          <cell r="I1330">
            <v>202609</v>
          </cell>
          <cell r="K1330">
            <v>0</v>
          </cell>
          <cell r="N1330">
            <v>7</v>
          </cell>
          <cell r="O1330">
            <v>84</v>
          </cell>
        </row>
        <row r="1331">
          <cell r="I1331">
            <v>202609</v>
          </cell>
          <cell r="K1331">
            <v>0</v>
          </cell>
          <cell r="N1331">
            <v>7</v>
          </cell>
          <cell r="O1331">
            <v>84</v>
          </cell>
        </row>
        <row r="1332">
          <cell r="I1332">
            <v>202609</v>
          </cell>
          <cell r="K1332">
            <v>0</v>
          </cell>
          <cell r="N1332">
            <v>7</v>
          </cell>
          <cell r="O1332">
            <v>84</v>
          </cell>
        </row>
        <row r="1333">
          <cell r="I1333">
            <v>202609</v>
          </cell>
          <cell r="K1333">
            <v>0</v>
          </cell>
          <cell r="N1333">
            <v>7</v>
          </cell>
          <cell r="O1333">
            <v>84</v>
          </cell>
        </row>
        <row r="1334">
          <cell r="I1334">
            <v>202609</v>
          </cell>
          <cell r="K1334">
            <v>0</v>
          </cell>
          <cell r="N1334">
            <v>7</v>
          </cell>
          <cell r="O1334">
            <v>84</v>
          </cell>
        </row>
        <row r="1335">
          <cell r="I1335">
            <v>202609</v>
          </cell>
          <cell r="K1335">
            <v>0</v>
          </cell>
          <cell r="N1335">
            <v>7</v>
          </cell>
          <cell r="O1335">
            <v>84</v>
          </cell>
        </row>
        <row r="1336">
          <cell r="I1336">
            <v>202609</v>
          </cell>
          <cell r="K1336">
            <v>0</v>
          </cell>
          <cell r="N1336">
            <v>7</v>
          </cell>
          <cell r="O1336">
            <v>84</v>
          </cell>
        </row>
        <row r="1337">
          <cell r="I1337">
            <v>202609</v>
          </cell>
          <cell r="K1337">
            <v>0</v>
          </cell>
          <cell r="N1337">
            <v>7</v>
          </cell>
          <cell r="O1337">
            <v>84</v>
          </cell>
        </row>
        <row r="1338">
          <cell r="I1338">
            <v>202609</v>
          </cell>
          <cell r="K1338">
            <v>0</v>
          </cell>
          <cell r="N1338">
            <v>7</v>
          </cell>
          <cell r="O1338">
            <v>84</v>
          </cell>
        </row>
        <row r="1339">
          <cell r="I1339">
            <v>202609</v>
          </cell>
          <cell r="K1339">
            <v>0</v>
          </cell>
          <cell r="N1339">
            <v>7</v>
          </cell>
          <cell r="O1339">
            <v>84</v>
          </cell>
        </row>
        <row r="1340">
          <cell r="I1340">
            <v>202609</v>
          </cell>
          <cell r="K1340">
            <v>0</v>
          </cell>
          <cell r="N1340">
            <v>7</v>
          </cell>
          <cell r="O1340">
            <v>84</v>
          </cell>
        </row>
        <row r="1341">
          <cell r="I1341">
            <v>202609</v>
          </cell>
          <cell r="K1341">
            <v>0</v>
          </cell>
          <cell r="N1341">
            <v>7</v>
          </cell>
          <cell r="O1341">
            <v>84</v>
          </cell>
        </row>
        <row r="1342">
          <cell r="I1342">
            <v>202609</v>
          </cell>
          <cell r="K1342">
            <v>0</v>
          </cell>
          <cell r="N1342">
            <v>7</v>
          </cell>
          <cell r="O1342">
            <v>84</v>
          </cell>
        </row>
        <row r="1343">
          <cell r="I1343">
            <v>202609</v>
          </cell>
          <cell r="K1343">
            <v>0</v>
          </cell>
          <cell r="N1343">
            <v>7</v>
          </cell>
          <cell r="O1343">
            <v>84</v>
          </cell>
        </row>
        <row r="1344">
          <cell r="I1344">
            <v>202609</v>
          </cell>
          <cell r="K1344">
            <v>0</v>
          </cell>
          <cell r="N1344">
            <v>7</v>
          </cell>
          <cell r="O1344">
            <v>84</v>
          </cell>
        </row>
        <row r="1345">
          <cell r="I1345">
            <v>202609</v>
          </cell>
          <cell r="K1345">
            <v>0</v>
          </cell>
          <cell r="N1345">
            <v>7</v>
          </cell>
          <cell r="O1345">
            <v>84</v>
          </cell>
        </row>
        <row r="1346">
          <cell r="I1346">
            <v>202609</v>
          </cell>
          <cell r="K1346">
            <v>0</v>
          </cell>
          <cell r="N1346">
            <v>7</v>
          </cell>
          <cell r="O1346">
            <v>84</v>
          </cell>
        </row>
        <row r="1347">
          <cell r="I1347">
            <v>202609</v>
          </cell>
          <cell r="K1347">
            <v>0</v>
          </cell>
          <cell r="N1347">
            <v>7</v>
          </cell>
          <cell r="O1347">
            <v>84</v>
          </cell>
        </row>
        <row r="1348">
          <cell r="I1348">
            <v>202609</v>
          </cell>
          <cell r="K1348">
            <v>0</v>
          </cell>
          <cell r="N1348">
            <v>7</v>
          </cell>
          <cell r="O1348">
            <v>84</v>
          </cell>
        </row>
        <row r="1349">
          <cell r="I1349">
            <v>202609</v>
          </cell>
          <cell r="K1349">
            <v>0</v>
          </cell>
          <cell r="N1349">
            <v>7</v>
          </cell>
          <cell r="O1349">
            <v>84</v>
          </cell>
        </row>
        <row r="1350">
          <cell r="I1350">
            <v>202609</v>
          </cell>
          <cell r="K1350">
            <v>0</v>
          </cell>
          <cell r="N1350">
            <v>7</v>
          </cell>
          <cell r="O1350">
            <v>84</v>
          </cell>
        </row>
        <row r="1351">
          <cell r="I1351">
            <v>202609</v>
          </cell>
          <cell r="K1351">
            <v>0</v>
          </cell>
          <cell r="N1351">
            <v>7</v>
          </cell>
          <cell r="O1351">
            <v>84</v>
          </cell>
        </row>
        <row r="1352">
          <cell r="I1352">
            <v>202609</v>
          </cell>
          <cell r="K1352">
            <v>0</v>
          </cell>
          <cell r="N1352">
            <v>7</v>
          </cell>
          <cell r="O1352">
            <v>84</v>
          </cell>
        </row>
        <row r="1353">
          <cell r="I1353">
            <v>202609</v>
          </cell>
          <cell r="K1353">
            <v>0</v>
          </cell>
          <cell r="N1353">
            <v>7</v>
          </cell>
          <cell r="O1353">
            <v>84</v>
          </cell>
        </row>
        <row r="1354">
          <cell r="I1354">
            <v>202609</v>
          </cell>
          <cell r="K1354">
            <v>0</v>
          </cell>
          <cell r="N1354">
            <v>7</v>
          </cell>
          <cell r="O1354">
            <v>84</v>
          </cell>
        </row>
        <row r="1355">
          <cell r="I1355">
            <v>202609</v>
          </cell>
          <cell r="K1355">
            <v>0</v>
          </cell>
          <cell r="N1355">
            <v>7</v>
          </cell>
          <cell r="O1355">
            <v>84</v>
          </cell>
        </row>
        <row r="1356">
          <cell r="I1356">
            <v>202609</v>
          </cell>
          <cell r="K1356">
            <v>0</v>
          </cell>
          <cell r="N1356">
            <v>7</v>
          </cell>
          <cell r="O1356">
            <v>84</v>
          </cell>
        </row>
        <row r="1357">
          <cell r="I1357">
            <v>202609</v>
          </cell>
          <cell r="K1357">
            <v>0</v>
          </cell>
          <cell r="N1357">
            <v>7</v>
          </cell>
          <cell r="O1357">
            <v>84</v>
          </cell>
        </row>
        <row r="1358">
          <cell r="I1358">
            <v>202609</v>
          </cell>
          <cell r="K1358">
            <v>0</v>
          </cell>
          <cell r="N1358">
            <v>7</v>
          </cell>
          <cell r="O1358">
            <v>84</v>
          </cell>
        </row>
        <row r="1359">
          <cell r="I1359">
            <v>202609</v>
          </cell>
          <cell r="K1359">
            <v>0</v>
          </cell>
          <cell r="N1359">
            <v>7</v>
          </cell>
          <cell r="O1359">
            <v>84</v>
          </cell>
        </row>
        <row r="1360">
          <cell r="I1360">
            <v>202609</v>
          </cell>
          <cell r="K1360">
            <v>0</v>
          </cell>
          <cell r="N1360">
            <v>7</v>
          </cell>
          <cell r="O1360">
            <v>84</v>
          </cell>
        </row>
        <row r="1361">
          <cell r="I1361">
            <v>202609</v>
          </cell>
          <cell r="K1361">
            <v>0</v>
          </cell>
          <cell r="N1361">
            <v>7</v>
          </cell>
          <cell r="O1361">
            <v>84</v>
          </cell>
        </row>
        <row r="1362">
          <cell r="I1362">
            <v>202609</v>
          </cell>
          <cell r="K1362">
            <v>0</v>
          </cell>
          <cell r="N1362">
            <v>7</v>
          </cell>
          <cell r="O1362">
            <v>84</v>
          </cell>
        </row>
        <row r="1363">
          <cell r="I1363">
            <v>202609</v>
          </cell>
          <cell r="K1363">
            <v>0</v>
          </cell>
          <cell r="N1363">
            <v>7</v>
          </cell>
          <cell r="O1363">
            <v>84</v>
          </cell>
        </row>
        <row r="1364">
          <cell r="I1364">
            <v>202609</v>
          </cell>
          <cell r="K1364">
            <v>0</v>
          </cell>
          <cell r="N1364">
            <v>7</v>
          </cell>
          <cell r="O1364">
            <v>84</v>
          </cell>
        </row>
        <row r="1365">
          <cell r="I1365">
            <v>202609</v>
          </cell>
          <cell r="K1365">
            <v>0</v>
          </cell>
          <cell r="N1365">
            <v>7</v>
          </cell>
          <cell r="O1365">
            <v>84</v>
          </cell>
        </row>
        <row r="1366">
          <cell r="I1366">
            <v>202609</v>
          </cell>
          <cell r="K1366">
            <v>0</v>
          </cell>
          <cell r="N1366">
            <v>7</v>
          </cell>
          <cell r="O1366">
            <v>84</v>
          </cell>
        </row>
        <row r="1367">
          <cell r="I1367">
            <v>202609</v>
          </cell>
          <cell r="K1367">
            <v>0</v>
          </cell>
          <cell r="N1367">
            <v>7</v>
          </cell>
          <cell r="O1367">
            <v>84</v>
          </cell>
        </row>
        <row r="1368">
          <cell r="I1368">
            <v>202609</v>
          </cell>
          <cell r="K1368">
            <v>0</v>
          </cell>
          <cell r="N1368">
            <v>7</v>
          </cell>
          <cell r="O1368">
            <v>84</v>
          </cell>
        </row>
        <row r="1369">
          <cell r="I1369">
            <v>202609</v>
          </cell>
          <cell r="K1369">
            <v>0</v>
          </cell>
          <cell r="N1369">
            <v>7</v>
          </cell>
          <cell r="O1369">
            <v>84</v>
          </cell>
        </row>
        <row r="1370">
          <cell r="I1370">
            <v>202609</v>
          </cell>
          <cell r="K1370">
            <v>0</v>
          </cell>
          <cell r="N1370">
            <v>7</v>
          </cell>
          <cell r="O1370">
            <v>84</v>
          </cell>
        </row>
        <row r="1371">
          <cell r="I1371">
            <v>202609</v>
          </cell>
          <cell r="K1371">
            <v>0</v>
          </cell>
          <cell r="N1371">
            <v>7</v>
          </cell>
          <cell r="O1371">
            <v>84</v>
          </cell>
        </row>
        <row r="1372">
          <cell r="I1372">
            <v>202609</v>
          </cell>
          <cell r="K1372">
            <v>0</v>
          </cell>
          <cell r="N1372">
            <v>7</v>
          </cell>
          <cell r="O1372">
            <v>84</v>
          </cell>
        </row>
        <row r="1373">
          <cell r="I1373">
            <v>202609</v>
          </cell>
          <cell r="K1373">
            <v>0</v>
          </cell>
          <cell r="N1373">
            <v>7</v>
          </cell>
          <cell r="O1373">
            <v>84</v>
          </cell>
        </row>
        <row r="1374">
          <cell r="I1374">
            <v>202609</v>
          </cell>
          <cell r="K1374">
            <v>0</v>
          </cell>
          <cell r="N1374">
            <v>7</v>
          </cell>
          <cell r="O1374">
            <v>84</v>
          </cell>
        </row>
        <row r="1375">
          <cell r="I1375">
            <v>202609</v>
          </cell>
          <cell r="K1375">
            <v>0</v>
          </cell>
          <cell r="N1375">
            <v>7</v>
          </cell>
          <cell r="O1375">
            <v>84</v>
          </cell>
        </row>
        <row r="1376">
          <cell r="I1376">
            <v>202609</v>
          </cell>
          <cell r="K1376">
            <v>0</v>
          </cell>
          <cell r="N1376">
            <v>7</v>
          </cell>
          <cell r="O1376">
            <v>84</v>
          </cell>
        </row>
        <row r="1377">
          <cell r="I1377">
            <v>202609</v>
          </cell>
          <cell r="K1377">
            <v>0</v>
          </cell>
          <cell r="N1377">
            <v>7</v>
          </cell>
          <cell r="O1377">
            <v>84</v>
          </cell>
        </row>
        <row r="1378">
          <cell r="I1378">
            <v>202609</v>
          </cell>
          <cell r="K1378">
            <v>0</v>
          </cell>
          <cell r="N1378">
            <v>7</v>
          </cell>
          <cell r="O1378">
            <v>84</v>
          </cell>
        </row>
        <row r="1379">
          <cell r="I1379">
            <v>202609</v>
          </cell>
          <cell r="K1379">
            <v>0</v>
          </cell>
          <cell r="N1379">
            <v>7</v>
          </cell>
          <cell r="O1379">
            <v>84</v>
          </cell>
        </row>
        <row r="1380">
          <cell r="I1380">
            <v>202609</v>
          </cell>
          <cell r="K1380">
            <v>0</v>
          </cell>
          <cell r="N1380">
            <v>7</v>
          </cell>
          <cell r="O1380">
            <v>84</v>
          </cell>
        </row>
        <row r="1381">
          <cell r="I1381">
            <v>202609</v>
          </cell>
          <cell r="K1381">
            <v>0</v>
          </cell>
          <cell r="N1381">
            <v>7</v>
          </cell>
          <cell r="O1381">
            <v>84</v>
          </cell>
        </row>
        <row r="1382">
          <cell r="I1382">
            <v>202609</v>
          </cell>
          <cell r="K1382">
            <v>0</v>
          </cell>
          <cell r="N1382">
            <v>7</v>
          </cell>
          <cell r="O1382">
            <v>84</v>
          </cell>
        </row>
        <row r="1383">
          <cell r="I1383">
            <v>202609</v>
          </cell>
          <cell r="K1383">
            <v>0</v>
          </cell>
          <cell r="N1383">
            <v>7</v>
          </cell>
          <cell r="O1383">
            <v>84</v>
          </cell>
        </row>
        <row r="1384">
          <cell r="I1384">
            <v>202609</v>
          </cell>
          <cell r="K1384">
            <v>0</v>
          </cell>
          <cell r="N1384">
            <v>7</v>
          </cell>
          <cell r="O1384">
            <v>84</v>
          </cell>
        </row>
        <row r="1385">
          <cell r="I1385">
            <v>202609</v>
          </cell>
          <cell r="K1385">
            <v>0</v>
          </cell>
          <cell r="N1385">
            <v>7</v>
          </cell>
          <cell r="O1385">
            <v>84</v>
          </cell>
        </row>
        <row r="1386">
          <cell r="I1386">
            <v>202609</v>
          </cell>
          <cell r="K1386">
            <v>0</v>
          </cell>
          <cell r="N1386">
            <v>7</v>
          </cell>
          <cell r="O1386">
            <v>84</v>
          </cell>
        </row>
        <row r="1387">
          <cell r="I1387">
            <v>202609</v>
          </cell>
          <cell r="K1387">
            <v>0</v>
          </cell>
          <cell r="N1387">
            <v>7</v>
          </cell>
          <cell r="O1387">
            <v>84</v>
          </cell>
        </row>
        <row r="1388">
          <cell r="I1388">
            <v>202609</v>
          </cell>
          <cell r="K1388">
            <v>0</v>
          </cell>
          <cell r="N1388">
            <v>7</v>
          </cell>
          <cell r="O1388">
            <v>84</v>
          </cell>
        </row>
        <row r="1389">
          <cell r="I1389">
            <v>202609</v>
          </cell>
          <cell r="K1389">
            <v>0</v>
          </cell>
          <cell r="N1389">
            <v>7</v>
          </cell>
          <cell r="O1389">
            <v>84</v>
          </cell>
        </row>
        <row r="1390">
          <cell r="I1390">
            <v>202609</v>
          </cell>
          <cell r="K1390">
            <v>0</v>
          </cell>
          <cell r="N1390">
            <v>7</v>
          </cell>
          <cell r="O1390">
            <v>84</v>
          </cell>
        </row>
        <row r="1391">
          <cell r="I1391">
            <v>202609</v>
          </cell>
          <cell r="K1391">
            <v>0</v>
          </cell>
          <cell r="N1391">
            <v>7</v>
          </cell>
          <cell r="O1391">
            <v>84</v>
          </cell>
        </row>
        <row r="1392">
          <cell r="I1392">
            <v>202609</v>
          </cell>
          <cell r="K1392">
            <v>0</v>
          </cell>
          <cell r="N1392">
            <v>7</v>
          </cell>
          <cell r="O1392">
            <v>84</v>
          </cell>
        </row>
        <row r="1393">
          <cell r="I1393">
            <v>202609</v>
          </cell>
          <cell r="K1393">
            <v>0</v>
          </cell>
          <cell r="N1393">
            <v>7</v>
          </cell>
          <cell r="O1393">
            <v>84</v>
          </cell>
        </row>
        <row r="1394">
          <cell r="I1394">
            <v>202609</v>
          </cell>
          <cell r="K1394">
            <v>0</v>
          </cell>
          <cell r="N1394">
            <v>7</v>
          </cell>
          <cell r="O1394">
            <v>84</v>
          </cell>
        </row>
        <row r="1395">
          <cell r="I1395">
            <v>202609</v>
          </cell>
          <cell r="K1395">
            <v>0</v>
          </cell>
          <cell r="N1395">
            <v>7</v>
          </cell>
          <cell r="O1395">
            <v>84</v>
          </cell>
        </row>
        <row r="1396">
          <cell r="I1396">
            <v>202609</v>
          </cell>
          <cell r="K1396">
            <v>0</v>
          </cell>
          <cell r="N1396">
            <v>7</v>
          </cell>
          <cell r="O1396">
            <v>84</v>
          </cell>
        </row>
        <row r="1397">
          <cell r="I1397">
            <v>202609</v>
          </cell>
          <cell r="K1397">
            <v>0</v>
          </cell>
          <cell r="N1397">
            <v>7</v>
          </cell>
          <cell r="O1397">
            <v>84</v>
          </cell>
        </row>
        <row r="1398">
          <cell r="I1398">
            <v>202609</v>
          </cell>
          <cell r="K1398">
            <v>0</v>
          </cell>
          <cell r="N1398">
            <v>7</v>
          </cell>
          <cell r="O1398">
            <v>84</v>
          </cell>
        </row>
        <row r="1399">
          <cell r="I1399">
            <v>202609</v>
          </cell>
          <cell r="K1399">
            <v>0</v>
          </cell>
          <cell r="N1399">
            <v>7</v>
          </cell>
          <cell r="O1399">
            <v>84</v>
          </cell>
        </row>
        <row r="1400">
          <cell r="I1400">
            <v>202609</v>
          </cell>
          <cell r="K1400">
            <v>0</v>
          </cell>
          <cell r="N1400">
            <v>7</v>
          </cell>
          <cell r="O1400">
            <v>84</v>
          </cell>
        </row>
        <row r="1401">
          <cell r="I1401">
            <v>202609</v>
          </cell>
          <cell r="K1401">
            <v>0</v>
          </cell>
          <cell r="N1401">
            <v>7</v>
          </cell>
          <cell r="O1401">
            <v>84</v>
          </cell>
        </row>
        <row r="1402">
          <cell r="I1402">
            <v>202609</v>
          </cell>
          <cell r="K1402">
            <v>0</v>
          </cell>
          <cell r="N1402">
            <v>7</v>
          </cell>
          <cell r="O1402">
            <v>84</v>
          </cell>
        </row>
        <row r="1403">
          <cell r="I1403">
            <v>202609</v>
          </cell>
          <cell r="K1403">
            <v>0</v>
          </cell>
          <cell r="N1403">
            <v>7</v>
          </cell>
          <cell r="O1403">
            <v>84</v>
          </cell>
        </row>
        <row r="1404">
          <cell r="I1404">
            <v>202609</v>
          </cell>
          <cell r="K1404">
            <v>0</v>
          </cell>
          <cell r="N1404">
            <v>7</v>
          </cell>
          <cell r="O1404">
            <v>84</v>
          </cell>
        </row>
        <row r="1405">
          <cell r="I1405">
            <v>202609</v>
          </cell>
          <cell r="K1405">
            <v>0</v>
          </cell>
          <cell r="N1405">
            <v>7</v>
          </cell>
          <cell r="O1405">
            <v>84</v>
          </cell>
        </row>
        <row r="1406">
          <cell r="I1406">
            <v>202609</v>
          </cell>
          <cell r="K1406">
            <v>0</v>
          </cell>
          <cell r="N1406">
            <v>7</v>
          </cell>
          <cell r="O1406">
            <v>84</v>
          </cell>
        </row>
        <row r="1407">
          <cell r="I1407">
            <v>202609</v>
          </cell>
          <cell r="K1407">
            <v>0</v>
          </cell>
          <cell r="N1407">
            <v>7</v>
          </cell>
          <cell r="O1407">
            <v>84</v>
          </cell>
        </row>
        <row r="1408">
          <cell r="I1408">
            <v>202609</v>
          </cell>
          <cell r="K1408">
            <v>0</v>
          </cell>
          <cell r="N1408">
            <v>7</v>
          </cell>
          <cell r="O1408">
            <v>84</v>
          </cell>
        </row>
        <row r="1409">
          <cell r="I1409">
            <v>202609</v>
          </cell>
          <cell r="K1409">
            <v>0</v>
          </cell>
          <cell r="N1409">
            <v>7</v>
          </cell>
          <cell r="O1409">
            <v>84</v>
          </cell>
        </row>
        <row r="1410">
          <cell r="I1410">
            <v>202609</v>
          </cell>
          <cell r="K1410">
            <v>0</v>
          </cell>
          <cell r="N1410">
            <v>7</v>
          </cell>
          <cell r="O1410">
            <v>84</v>
          </cell>
        </row>
        <row r="1411">
          <cell r="I1411">
            <v>202609</v>
          </cell>
          <cell r="K1411">
            <v>0</v>
          </cell>
          <cell r="N1411">
            <v>7</v>
          </cell>
          <cell r="O1411">
            <v>84</v>
          </cell>
        </row>
        <row r="1412">
          <cell r="I1412">
            <v>202609</v>
          </cell>
          <cell r="K1412">
            <v>0</v>
          </cell>
          <cell r="N1412">
            <v>7</v>
          </cell>
          <cell r="O1412">
            <v>84</v>
          </cell>
        </row>
        <row r="1413">
          <cell r="I1413">
            <v>202609</v>
          </cell>
          <cell r="K1413">
            <v>0</v>
          </cell>
          <cell r="N1413">
            <v>7</v>
          </cell>
          <cell r="O1413">
            <v>84</v>
          </cell>
        </row>
        <row r="1414">
          <cell r="I1414">
            <v>202609</v>
          </cell>
          <cell r="K1414">
            <v>0</v>
          </cell>
          <cell r="N1414">
            <v>7</v>
          </cell>
          <cell r="O1414">
            <v>84</v>
          </cell>
        </row>
        <row r="1415">
          <cell r="I1415">
            <v>202609</v>
          </cell>
          <cell r="K1415">
            <v>0</v>
          </cell>
          <cell r="N1415">
            <v>7</v>
          </cell>
          <cell r="O1415">
            <v>84</v>
          </cell>
        </row>
        <row r="1416">
          <cell r="I1416">
            <v>202609</v>
          </cell>
          <cell r="K1416">
            <v>0</v>
          </cell>
          <cell r="N1416">
            <v>7</v>
          </cell>
          <cell r="O1416">
            <v>84</v>
          </cell>
        </row>
        <row r="1417">
          <cell r="I1417">
            <v>202609</v>
          </cell>
          <cell r="K1417">
            <v>0</v>
          </cell>
          <cell r="N1417">
            <v>7</v>
          </cell>
          <cell r="O1417">
            <v>84</v>
          </cell>
        </row>
        <row r="1418">
          <cell r="I1418">
            <v>202609</v>
          </cell>
          <cell r="K1418">
            <v>0</v>
          </cell>
          <cell r="N1418">
            <v>7</v>
          </cell>
          <cell r="O1418">
            <v>84</v>
          </cell>
        </row>
        <row r="1419">
          <cell r="I1419">
            <v>202609</v>
          </cell>
          <cell r="K1419">
            <v>0</v>
          </cell>
          <cell r="N1419">
            <v>7</v>
          </cell>
          <cell r="O1419">
            <v>84</v>
          </cell>
        </row>
        <row r="1420">
          <cell r="I1420">
            <v>202609</v>
          </cell>
          <cell r="K1420">
            <v>0</v>
          </cell>
          <cell r="N1420">
            <v>7</v>
          </cell>
          <cell r="O1420">
            <v>84</v>
          </cell>
        </row>
        <row r="1421">
          <cell r="I1421">
            <v>202609</v>
          </cell>
          <cell r="K1421">
            <v>0</v>
          </cell>
          <cell r="N1421">
            <v>7</v>
          </cell>
          <cell r="O1421">
            <v>84</v>
          </cell>
        </row>
        <row r="1422">
          <cell r="I1422">
            <v>202609</v>
          </cell>
          <cell r="K1422">
            <v>0</v>
          </cell>
          <cell r="N1422">
            <v>7</v>
          </cell>
          <cell r="O1422">
            <v>84</v>
          </cell>
        </row>
        <row r="1423">
          <cell r="I1423">
            <v>202609</v>
          </cell>
          <cell r="K1423">
            <v>0</v>
          </cell>
          <cell r="N1423">
            <v>7</v>
          </cell>
          <cell r="O1423">
            <v>84</v>
          </cell>
        </row>
        <row r="1424">
          <cell r="I1424">
            <v>202609</v>
          </cell>
          <cell r="K1424">
            <v>0</v>
          </cell>
          <cell r="N1424">
            <v>7</v>
          </cell>
          <cell r="O1424">
            <v>84</v>
          </cell>
        </row>
        <row r="1425">
          <cell r="I1425">
            <v>202609</v>
          </cell>
          <cell r="K1425">
            <v>0</v>
          </cell>
          <cell r="N1425">
            <v>7</v>
          </cell>
          <cell r="O1425">
            <v>84</v>
          </cell>
        </row>
        <row r="1426">
          <cell r="I1426">
            <v>202609</v>
          </cell>
          <cell r="K1426">
            <v>0</v>
          </cell>
          <cell r="N1426">
            <v>7</v>
          </cell>
          <cell r="O1426">
            <v>84</v>
          </cell>
        </row>
        <row r="1427">
          <cell r="I1427">
            <v>202609</v>
          </cell>
          <cell r="K1427">
            <v>0</v>
          </cell>
          <cell r="N1427">
            <v>7</v>
          </cell>
          <cell r="O1427">
            <v>84</v>
          </cell>
        </row>
        <row r="1428">
          <cell r="I1428">
            <v>202609</v>
          </cell>
          <cell r="K1428">
            <v>0</v>
          </cell>
          <cell r="N1428">
            <v>7</v>
          </cell>
          <cell r="O1428">
            <v>84</v>
          </cell>
        </row>
        <row r="1429">
          <cell r="I1429">
            <v>202609</v>
          </cell>
          <cell r="K1429">
            <v>0</v>
          </cell>
          <cell r="N1429">
            <v>7</v>
          </cell>
          <cell r="O1429">
            <v>84</v>
          </cell>
        </row>
        <row r="1430">
          <cell r="I1430">
            <v>202609</v>
          </cell>
          <cell r="K1430">
            <v>0</v>
          </cell>
          <cell r="N1430">
            <v>7</v>
          </cell>
          <cell r="O1430">
            <v>84</v>
          </cell>
        </row>
        <row r="1431">
          <cell r="I1431">
            <v>202609</v>
          </cell>
          <cell r="K1431">
            <v>0</v>
          </cell>
          <cell r="N1431">
            <v>7</v>
          </cell>
          <cell r="O1431">
            <v>84</v>
          </cell>
        </row>
        <row r="1432">
          <cell r="I1432">
            <v>202609</v>
          </cell>
          <cell r="K1432">
            <v>0</v>
          </cell>
          <cell r="N1432">
            <v>7</v>
          </cell>
          <cell r="O1432">
            <v>84</v>
          </cell>
        </row>
        <row r="1433">
          <cell r="I1433">
            <v>202609</v>
          </cell>
          <cell r="K1433">
            <v>0</v>
          </cell>
          <cell r="N1433">
            <v>7</v>
          </cell>
          <cell r="O1433">
            <v>84</v>
          </cell>
        </row>
        <row r="1434">
          <cell r="I1434">
            <v>202609</v>
          </cell>
          <cell r="K1434">
            <v>0</v>
          </cell>
          <cell r="N1434">
            <v>7</v>
          </cell>
          <cell r="O1434">
            <v>84</v>
          </cell>
        </row>
        <row r="1435">
          <cell r="I1435">
            <v>202609</v>
          </cell>
          <cell r="K1435">
            <v>0</v>
          </cell>
          <cell r="N1435">
            <v>7</v>
          </cell>
          <cell r="O1435">
            <v>84</v>
          </cell>
        </row>
        <row r="1436">
          <cell r="I1436">
            <v>202609</v>
          </cell>
          <cell r="K1436">
            <v>0</v>
          </cell>
          <cell r="N1436">
            <v>7</v>
          </cell>
          <cell r="O1436">
            <v>84</v>
          </cell>
        </row>
        <row r="1437">
          <cell r="I1437">
            <v>202609</v>
          </cell>
          <cell r="K1437">
            <v>0</v>
          </cell>
          <cell r="N1437">
            <v>7</v>
          </cell>
          <cell r="O1437">
            <v>84</v>
          </cell>
        </row>
        <row r="1438">
          <cell r="I1438">
            <v>202609</v>
          </cell>
          <cell r="K1438">
            <v>0</v>
          </cell>
          <cell r="N1438">
            <v>7</v>
          </cell>
          <cell r="O1438">
            <v>84</v>
          </cell>
        </row>
        <row r="1439">
          <cell r="I1439">
            <v>202609</v>
          </cell>
          <cell r="K1439">
            <v>0</v>
          </cell>
          <cell r="N1439">
            <v>7</v>
          </cell>
          <cell r="O1439">
            <v>84</v>
          </cell>
        </row>
        <row r="1440">
          <cell r="I1440">
            <v>202609</v>
          </cell>
          <cell r="K1440">
            <v>0</v>
          </cell>
          <cell r="N1440">
            <v>7</v>
          </cell>
          <cell r="O1440">
            <v>84</v>
          </cell>
        </row>
        <row r="1441">
          <cell r="I1441">
            <v>202609</v>
          </cell>
          <cell r="K1441">
            <v>0</v>
          </cell>
          <cell r="N1441">
            <v>7</v>
          </cell>
          <cell r="O1441">
            <v>84</v>
          </cell>
        </row>
        <row r="1442">
          <cell r="I1442">
            <v>202609</v>
          </cell>
          <cell r="K1442">
            <v>0</v>
          </cell>
          <cell r="N1442">
            <v>7</v>
          </cell>
          <cell r="O1442">
            <v>84</v>
          </cell>
        </row>
        <row r="1443">
          <cell r="I1443">
            <v>202609</v>
          </cell>
          <cell r="K1443">
            <v>0</v>
          </cell>
          <cell r="N1443">
            <v>7</v>
          </cell>
          <cell r="O1443">
            <v>84</v>
          </cell>
        </row>
        <row r="1444">
          <cell r="I1444">
            <v>202609</v>
          </cell>
          <cell r="K1444">
            <v>0</v>
          </cell>
          <cell r="N1444">
            <v>7</v>
          </cell>
          <cell r="O1444">
            <v>84</v>
          </cell>
        </row>
        <row r="1445">
          <cell r="I1445">
            <v>202609</v>
          </cell>
          <cell r="K1445">
            <v>0</v>
          </cell>
          <cell r="N1445">
            <v>7</v>
          </cell>
          <cell r="O1445">
            <v>84</v>
          </cell>
        </row>
        <row r="1446">
          <cell r="I1446">
            <v>202609</v>
          </cell>
          <cell r="K1446">
            <v>0</v>
          </cell>
          <cell r="N1446">
            <v>7</v>
          </cell>
          <cell r="O1446">
            <v>84</v>
          </cell>
        </row>
        <row r="1447">
          <cell r="I1447">
            <v>202609</v>
          </cell>
          <cell r="K1447">
            <v>0</v>
          </cell>
          <cell r="N1447">
            <v>7</v>
          </cell>
          <cell r="O1447">
            <v>84</v>
          </cell>
        </row>
        <row r="1448">
          <cell r="I1448">
            <v>202609</v>
          </cell>
          <cell r="K1448">
            <v>0</v>
          </cell>
          <cell r="N1448">
            <v>7</v>
          </cell>
          <cell r="O1448">
            <v>84</v>
          </cell>
        </row>
        <row r="1449">
          <cell r="I1449">
            <v>202609</v>
          </cell>
          <cell r="K1449">
            <v>0</v>
          </cell>
          <cell r="N1449">
            <v>7</v>
          </cell>
          <cell r="O1449">
            <v>84</v>
          </cell>
        </row>
        <row r="1450">
          <cell r="I1450">
            <v>202609</v>
          </cell>
          <cell r="K1450">
            <v>0</v>
          </cell>
          <cell r="N1450">
            <v>7</v>
          </cell>
          <cell r="O1450">
            <v>84</v>
          </cell>
        </row>
        <row r="1451">
          <cell r="I1451">
            <v>202609</v>
          </cell>
          <cell r="K1451">
            <v>0</v>
          </cell>
          <cell r="N1451">
            <v>7</v>
          </cell>
          <cell r="O1451">
            <v>84</v>
          </cell>
        </row>
        <row r="1452">
          <cell r="I1452">
            <v>202609</v>
          </cell>
          <cell r="K1452">
            <v>0</v>
          </cell>
          <cell r="N1452">
            <v>7</v>
          </cell>
          <cell r="O1452">
            <v>84</v>
          </cell>
        </row>
        <row r="1453">
          <cell r="I1453">
            <v>202609</v>
          </cell>
          <cell r="K1453">
            <v>0</v>
          </cell>
          <cell r="N1453">
            <v>7</v>
          </cell>
          <cell r="O1453">
            <v>84</v>
          </cell>
        </row>
        <row r="1454">
          <cell r="I1454">
            <v>202609</v>
          </cell>
          <cell r="K1454">
            <v>0</v>
          </cell>
          <cell r="N1454">
            <v>7</v>
          </cell>
          <cell r="O1454">
            <v>84</v>
          </cell>
        </row>
        <row r="1455">
          <cell r="I1455">
            <v>202609</v>
          </cell>
          <cell r="K1455">
            <v>0</v>
          </cell>
          <cell r="N1455">
            <v>7</v>
          </cell>
          <cell r="O1455">
            <v>84</v>
          </cell>
        </row>
        <row r="1456">
          <cell r="I1456">
            <v>202609</v>
          </cell>
          <cell r="K1456">
            <v>0</v>
          </cell>
          <cell r="N1456">
            <v>7</v>
          </cell>
          <cell r="O1456">
            <v>84</v>
          </cell>
        </row>
        <row r="1457">
          <cell r="I1457">
            <v>202609</v>
          </cell>
          <cell r="K1457">
            <v>0</v>
          </cell>
          <cell r="N1457">
            <v>7</v>
          </cell>
          <cell r="O1457">
            <v>84</v>
          </cell>
        </row>
        <row r="1458">
          <cell r="I1458">
            <v>202609</v>
          </cell>
          <cell r="K1458">
            <v>0</v>
          </cell>
          <cell r="N1458">
            <v>7</v>
          </cell>
          <cell r="O1458">
            <v>84</v>
          </cell>
        </row>
        <row r="1459">
          <cell r="I1459">
            <v>202609</v>
          </cell>
          <cell r="K1459">
            <v>0</v>
          </cell>
          <cell r="N1459">
            <v>7</v>
          </cell>
          <cell r="O1459">
            <v>84</v>
          </cell>
        </row>
        <row r="1460">
          <cell r="I1460">
            <v>202609</v>
          </cell>
          <cell r="K1460">
            <v>0</v>
          </cell>
          <cell r="N1460">
            <v>7</v>
          </cell>
          <cell r="O1460">
            <v>84</v>
          </cell>
        </row>
        <row r="1461">
          <cell r="I1461">
            <v>202609</v>
          </cell>
          <cell r="K1461">
            <v>0</v>
          </cell>
          <cell r="N1461">
            <v>7</v>
          </cell>
          <cell r="O1461">
            <v>84</v>
          </cell>
        </row>
        <row r="1462">
          <cell r="I1462">
            <v>202609</v>
          </cell>
          <cell r="K1462">
            <v>0</v>
          </cell>
          <cell r="N1462">
            <v>7</v>
          </cell>
          <cell r="O1462">
            <v>84</v>
          </cell>
        </row>
        <row r="1463">
          <cell r="I1463">
            <v>202609</v>
          </cell>
          <cell r="K1463">
            <v>0</v>
          </cell>
          <cell r="N1463">
            <v>7</v>
          </cell>
          <cell r="O1463">
            <v>84</v>
          </cell>
        </row>
        <row r="1464">
          <cell r="I1464">
            <v>202609</v>
          </cell>
          <cell r="K1464">
            <v>0</v>
          </cell>
          <cell r="N1464">
            <v>7</v>
          </cell>
          <cell r="O1464">
            <v>84</v>
          </cell>
        </row>
        <row r="1465">
          <cell r="I1465">
            <v>202609</v>
          </cell>
          <cell r="K1465">
            <v>0</v>
          </cell>
          <cell r="N1465">
            <v>7</v>
          </cell>
          <cell r="O1465">
            <v>84</v>
          </cell>
        </row>
        <row r="1466">
          <cell r="I1466">
            <v>202609</v>
          </cell>
          <cell r="K1466">
            <v>0</v>
          </cell>
          <cell r="N1466">
            <v>7</v>
          </cell>
          <cell r="O1466">
            <v>84</v>
          </cell>
        </row>
        <row r="1467">
          <cell r="I1467">
            <v>202609</v>
          </cell>
          <cell r="K1467">
            <v>0</v>
          </cell>
          <cell r="N1467">
            <v>7</v>
          </cell>
          <cell r="O1467">
            <v>84</v>
          </cell>
        </row>
        <row r="1468">
          <cell r="I1468">
            <v>202609</v>
          </cell>
          <cell r="K1468">
            <v>0</v>
          </cell>
          <cell r="N1468">
            <v>7</v>
          </cell>
          <cell r="O1468">
            <v>84</v>
          </cell>
        </row>
        <row r="1469">
          <cell r="I1469">
            <v>202609</v>
          </cell>
          <cell r="K1469">
            <v>0</v>
          </cell>
          <cell r="N1469">
            <v>7</v>
          </cell>
          <cell r="O1469">
            <v>84</v>
          </cell>
        </row>
        <row r="1470">
          <cell r="I1470">
            <v>202609</v>
          </cell>
          <cell r="K1470">
            <v>0</v>
          </cell>
          <cell r="N1470">
            <v>7</v>
          </cell>
          <cell r="O1470">
            <v>84</v>
          </cell>
        </row>
        <row r="1471">
          <cell r="I1471">
            <v>202609</v>
          </cell>
          <cell r="K1471">
            <v>0</v>
          </cell>
          <cell r="N1471">
            <v>7</v>
          </cell>
          <cell r="O1471">
            <v>84</v>
          </cell>
        </row>
        <row r="1472">
          <cell r="I1472">
            <v>202609</v>
          </cell>
          <cell r="K1472">
            <v>0</v>
          </cell>
          <cell r="N1472">
            <v>7</v>
          </cell>
          <cell r="O1472">
            <v>84</v>
          </cell>
        </row>
        <row r="1473">
          <cell r="I1473">
            <v>202609</v>
          </cell>
          <cell r="K1473">
            <v>0</v>
          </cell>
          <cell r="N1473">
            <v>7</v>
          </cell>
          <cell r="O1473">
            <v>84</v>
          </cell>
        </row>
        <row r="1474">
          <cell r="I1474">
            <v>202609</v>
          </cell>
          <cell r="K1474">
            <v>0</v>
          </cell>
          <cell r="N1474">
            <v>7</v>
          </cell>
          <cell r="O1474">
            <v>84</v>
          </cell>
        </row>
        <row r="1475">
          <cell r="I1475">
            <v>202609</v>
          </cell>
          <cell r="K1475">
            <v>0</v>
          </cell>
          <cell r="N1475">
            <v>7</v>
          </cell>
          <cell r="O1475">
            <v>84</v>
          </cell>
        </row>
        <row r="1476">
          <cell r="I1476">
            <v>202609</v>
          </cell>
          <cell r="K1476">
            <v>0</v>
          </cell>
          <cell r="N1476">
            <v>7</v>
          </cell>
          <cell r="O1476">
            <v>84</v>
          </cell>
        </row>
        <row r="1477">
          <cell r="I1477">
            <v>202609</v>
          </cell>
          <cell r="K1477">
            <v>0</v>
          </cell>
          <cell r="N1477">
            <v>7</v>
          </cell>
          <cell r="O1477">
            <v>84</v>
          </cell>
        </row>
        <row r="1478">
          <cell r="I1478">
            <v>202609</v>
          </cell>
          <cell r="K1478">
            <v>0</v>
          </cell>
          <cell r="N1478">
            <v>7</v>
          </cell>
          <cell r="O1478">
            <v>84</v>
          </cell>
        </row>
        <row r="1479">
          <cell r="I1479">
            <v>202609</v>
          </cell>
          <cell r="K1479">
            <v>0</v>
          </cell>
          <cell r="N1479">
            <v>7</v>
          </cell>
          <cell r="O1479">
            <v>84</v>
          </cell>
        </row>
        <row r="1480">
          <cell r="I1480">
            <v>202609</v>
          </cell>
          <cell r="K1480">
            <v>0</v>
          </cell>
          <cell r="N1480">
            <v>7</v>
          </cell>
          <cell r="O1480">
            <v>84</v>
          </cell>
        </row>
        <row r="1481">
          <cell r="I1481">
            <v>202609</v>
          </cell>
          <cell r="K1481">
            <v>0</v>
          </cell>
          <cell r="N1481">
            <v>7</v>
          </cell>
          <cell r="O1481">
            <v>84</v>
          </cell>
        </row>
        <row r="1482">
          <cell r="I1482">
            <v>202609</v>
          </cell>
          <cell r="K1482">
            <v>0</v>
          </cell>
          <cell r="N1482">
            <v>7</v>
          </cell>
          <cell r="O1482">
            <v>84</v>
          </cell>
        </row>
        <row r="1483">
          <cell r="I1483">
            <v>202609</v>
          </cell>
          <cell r="K1483">
            <v>0</v>
          </cell>
          <cell r="N1483">
            <v>7</v>
          </cell>
          <cell r="O1483">
            <v>84</v>
          </cell>
        </row>
        <row r="1484">
          <cell r="I1484">
            <v>202609</v>
          </cell>
          <cell r="K1484">
            <v>0</v>
          </cell>
          <cell r="N1484">
            <v>7</v>
          </cell>
          <cell r="O1484">
            <v>84</v>
          </cell>
        </row>
        <row r="1485">
          <cell r="I1485">
            <v>202609</v>
          </cell>
          <cell r="K1485">
            <v>0</v>
          </cell>
          <cell r="N1485">
            <v>7</v>
          </cell>
          <cell r="O1485">
            <v>84</v>
          </cell>
        </row>
        <row r="1486">
          <cell r="I1486">
            <v>202609</v>
          </cell>
          <cell r="K1486">
            <v>0</v>
          </cell>
          <cell r="N1486">
            <v>7</v>
          </cell>
          <cell r="O1486">
            <v>84</v>
          </cell>
        </row>
        <row r="1487">
          <cell r="I1487">
            <v>202609</v>
          </cell>
          <cell r="K1487">
            <v>0</v>
          </cell>
          <cell r="N1487">
            <v>7</v>
          </cell>
          <cell r="O1487">
            <v>84</v>
          </cell>
        </row>
        <row r="1488">
          <cell r="I1488">
            <v>202609</v>
          </cell>
          <cell r="K1488">
            <v>0</v>
          </cell>
          <cell r="N1488">
            <v>7</v>
          </cell>
          <cell r="O1488">
            <v>84</v>
          </cell>
        </row>
        <row r="1489">
          <cell r="I1489">
            <v>202609</v>
          </cell>
          <cell r="K1489">
            <v>0</v>
          </cell>
          <cell r="N1489">
            <v>7</v>
          </cell>
          <cell r="O1489">
            <v>84</v>
          </cell>
        </row>
        <row r="1490">
          <cell r="I1490">
            <v>202609</v>
          </cell>
          <cell r="K1490">
            <v>0</v>
          </cell>
          <cell r="N1490">
            <v>7</v>
          </cell>
          <cell r="O1490">
            <v>84</v>
          </cell>
        </row>
        <row r="1491">
          <cell r="I1491">
            <v>202609</v>
          </cell>
          <cell r="K1491">
            <v>0</v>
          </cell>
          <cell r="N1491">
            <v>7</v>
          </cell>
          <cell r="O1491">
            <v>84</v>
          </cell>
        </row>
        <row r="1492">
          <cell r="I1492">
            <v>202609</v>
          </cell>
          <cell r="K1492">
            <v>0</v>
          </cell>
          <cell r="N1492">
            <v>7</v>
          </cell>
          <cell r="O1492">
            <v>84</v>
          </cell>
        </row>
        <row r="1493">
          <cell r="I1493">
            <v>202609</v>
          </cell>
          <cell r="K1493">
            <v>0</v>
          </cell>
          <cell r="N1493">
            <v>7</v>
          </cell>
          <cell r="O1493">
            <v>84</v>
          </cell>
        </row>
        <row r="1494">
          <cell r="I1494">
            <v>202609</v>
          </cell>
          <cell r="K1494">
            <v>0</v>
          </cell>
          <cell r="N1494">
            <v>7</v>
          </cell>
          <cell r="O1494">
            <v>84</v>
          </cell>
        </row>
        <row r="1495">
          <cell r="I1495">
            <v>202609</v>
          </cell>
          <cell r="K1495">
            <v>0</v>
          </cell>
          <cell r="N1495">
            <v>7</v>
          </cell>
          <cell r="O1495">
            <v>84</v>
          </cell>
        </row>
        <row r="1496">
          <cell r="I1496">
            <v>202609</v>
          </cell>
          <cell r="K1496">
            <v>0</v>
          </cell>
          <cell r="N1496">
            <v>7</v>
          </cell>
          <cell r="O1496">
            <v>84</v>
          </cell>
        </row>
        <row r="1497">
          <cell r="I1497">
            <v>202609</v>
          </cell>
          <cell r="K1497">
            <v>0</v>
          </cell>
          <cell r="N1497">
            <v>7</v>
          </cell>
          <cell r="O1497">
            <v>84</v>
          </cell>
        </row>
        <row r="1498">
          <cell r="I1498">
            <v>202609</v>
          </cell>
          <cell r="K1498">
            <v>0</v>
          </cell>
          <cell r="N1498">
            <v>7</v>
          </cell>
          <cell r="O1498">
            <v>84</v>
          </cell>
        </row>
        <row r="1499">
          <cell r="I1499">
            <v>202609</v>
          </cell>
          <cell r="K1499">
            <v>0</v>
          </cell>
          <cell r="N1499">
            <v>7</v>
          </cell>
          <cell r="O1499">
            <v>84</v>
          </cell>
        </row>
        <row r="1500">
          <cell r="I1500">
            <v>202609</v>
          </cell>
          <cell r="K1500">
            <v>0</v>
          </cell>
          <cell r="N1500">
            <v>7</v>
          </cell>
          <cell r="O1500">
            <v>84</v>
          </cell>
        </row>
        <row r="1501">
          <cell r="I1501">
            <v>202609</v>
          </cell>
          <cell r="K1501">
            <v>0</v>
          </cell>
          <cell r="N1501">
            <v>7</v>
          </cell>
          <cell r="O1501">
            <v>84</v>
          </cell>
        </row>
        <row r="1502">
          <cell r="I1502">
            <v>202609</v>
          </cell>
          <cell r="K1502">
            <v>0</v>
          </cell>
          <cell r="N1502">
            <v>7</v>
          </cell>
          <cell r="O1502">
            <v>84</v>
          </cell>
        </row>
        <row r="1503">
          <cell r="I1503">
            <v>202609</v>
          </cell>
          <cell r="K1503">
            <v>0</v>
          </cell>
          <cell r="N1503">
            <v>7</v>
          </cell>
          <cell r="O1503">
            <v>84</v>
          </cell>
        </row>
        <row r="1504">
          <cell r="I1504">
            <v>202609</v>
          </cell>
          <cell r="K1504">
            <v>0</v>
          </cell>
          <cell r="N1504">
            <v>7</v>
          </cell>
          <cell r="O1504">
            <v>84</v>
          </cell>
        </row>
        <row r="1505">
          <cell r="I1505">
            <v>202609</v>
          </cell>
          <cell r="K1505">
            <v>0</v>
          </cell>
          <cell r="N1505">
            <v>7</v>
          </cell>
          <cell r="O1505">
            <v>84</v>
          </cell>
        </row>
        <row r="1506">
          <cell r="I1506">
            <v>202609</v>
          </cell>
          <cell r="K1506">
            <v>0</v>
          </cell>
          <cell r="N1506">
            <v>7</v>
          </cell>
          <cell r="O1506">
            <v>84</v>
          </cell>
        </row>
        <row r="1507">
          <cell r="I1507">
            <v>202609</v>
          </cell>
          <cell r="K1507">
            <v>0</v>
          </cell>
          <cell r="N1507">
            <v>7</v>
          </cell>
          <cell r="O1507">
            <v>84</v>
          </cell>
        </row>
        <row r="1508">
          <cell r="I1508">
            <v>202609</v>
          </cell>
          <cell r="K1508">
            <v>0</v>
          </cell>
          <cell r="N1508">
            <v>7</v>
          </cell>
          <cell r="O1508">
            <v>84</v>
          </cell>
        </row>
        <row r="1509">
          <cell r="I1509">
            <v>202609</v>
          </cell>
          <cell r="K1509">
            <v>0</v>
          </cell>
          <cell r="N1509">
            <v>7</v>
          </cell>
          <cell r="O1509">
            <v>84</v>
          </cell>
        </row>
        <row r="1510">
          <cell r="I1510">
            <v>202609</v>
          </cell>
          <cell r="K1510">
            <v>0</v>
          </cell>
          <cell r="N1510">
            <v>7</v>
          </cell>
          <cell r="O1510">
            <v>84</v>
          </cell>
        </row>
        <row r="1511">
          <cell r="I1511">
            <v>202609</v>
          </cell>
          <cell r="K1511">
            <v>0</v>
          </cell>
          <cell r="N1511">
            <v>7</v>
          </cell>
          <cell r="O1511">
            <v>84</v>
          </cell>
        </row>
        <row r="1512">
          <cell r="I1512">
            <v>202609</v>
          </cell>
          <cell r="K1512">
            <v>0</v>
          </cell>
          <cell r="N1512">
            <v>7</v>
          </cell>
          <cell r="O1512">
            <v>84</v>
          </cell>
        </row>
        <row r="1513">
          <cell r="I1513">
            <v>202609</v>
          </cell>
          <cell r="K1513">
            <v>0</v>
          </cell>
          <cell r="N1513">
            <v>7</v>
          </cell>
          <cell r="O1513">
            <v>84</v>
          </cell>
        </row>
        <row r="1514">
          <cell r="I1514">
            <v>202609</v>
          </cell>
          <cell r="K1514">
            <v>0</v>
          </cell>
          <cell r="N1514">
            <v>7</v>
          </cell>
          <cell r="O1514">
            <v>84</v>
          </cell>
        </row>
        <row r="1515">
          <cell r="I1515">
            <v>202609</v>
          </cell>
          <cell r="K1515">
            <v>0</v>
          </cell>
          <cell r="N1515">
            <v>7</v>
          </cell>
          <cell r="O1515">
            <v>84</v>
          </cell>
        </row>
        <row r="1516">
          <cell r="I1516">
            <v>202609</v>
          </cell>
          <cell r="K1516">
            <v>0</v>
          </cell>
          <cell r="N1516">
            <v>7</v>
          </cell>
          <cell r="O1516">
            <v>84</v>
          </cell>
        </row>
        <row r="1517">
          <cell r="I1517">
            <v>202609</v>
          </cell>
          <cell r="K1517">
            <v>0</v>
          </cell>
          <cell r="N1517">
            <v>7</v>
          </cell>
          <cell r="O1517">
            <v>84</v>
          </cell>
        </row>
        <row r="1518">
          <cell r="I1518">
            <v>202609</v>
          </cell>
          <cell r="K1518">
            <v>0</v>
          </cell>
          <cell r="N1518">
            <v>7</v>
          </cell>
          <cell r="O1518">
            <v>84</v>
          </cell>
        </row>
        <row r="1519">
          <cell r="I1519">
            <v>202609</v>
          </cell>
          <cell r="K1519">
            <v>0</v>
          </cell>
          <cell r="N1519">
            <v>7</v>
          </cell>
          <cell r="O1519">
            <v>84</v>
          </cell>
        </row>
        <row r="1520">
          <cell r="I1520">
            <v>202609</v>
          </cell>
          <cell r="K1520">
            <v>0</v>
          </cell>
          <cell r="N1520">
            <v>7</v>
          </cell>
          <cell r="O1520">
            <v>84</v>
          </cell>
        </row>
        <row r="1521">
          <cell r="I1521">
            <v>202609</v>
          </cell>
          <cell r="K1521">
            <v>0</v>
          </cell>
          <cell r="N1521">
            <v>7</v>
          </cell>
          <cell r="O1521">
            <v>84</v>
          </cell>
        </row>
        <row r="1522">
          <cell r="I1522">
            <v>202609</v>
          </cell>
          <cell r="K1522">
            <v>0</v>
          </cell>
          <cell r="N1522">
            <v>7</v>
          </cell>
          <cell r="O1522">
            <v>84</v>
          </cell>
        </row>
        <row r="1523">
          <cell r="I1523">
            <v>202609</v>
          </cell>
          <cell r="K1523">
            <v>0</v>
          </cell>
          <cell r="N1523">
            <v>7</v>
          </cell>
          <cell r="O1523">
            <v>84</v>
          </cell>
        </row>
        <row r="1524">
          <cell r="I1524">
            <v>202609</v>
          </cell>
          <cell r="K1524">
            <v>0</v>
          </cell>
          <cell r="N1524">
            <v>7</v>
          </cell>
          <cell r="O1524">
            <v>84</v>
          </cell>
        </row>
        <row r="1525">
          <cell r="I1525">
            <v>202609</v>
          </cell>
          <cell r="K1525">
            <v>0</v>
          </cell>
          <cell r="N1525">
            <v>7</v>
          </cell>
          <cell r="O1525">
            <v>84</v>
          </cell>
        </row>
        <row r="1526">
          <cell r="I1526">
            <v>202609</v>
          </cell>
          <cell r="K1526">
            <v>0</v>
          </cell>
          <cell r="N1526">
            <v>7</v>
          </cell>
          <cell r="O1526">
            <v>84</v>
          </cell>
        </row>
        <row r="1527">
          <cell r="I1527">
            <v>202609</v>
          </cell>
          <cell r="K1527">
            <v>0</v>
          </cell>
          <cell r="N1527">
            <v>7</v>
          </cell>
          <cell r="O1527">
            <v>84</v>
          </cell>
        </row>
        <row r="1528">
          <cell r="I1528">
            <v>202609</v>
          </cell>
          <cell r="K1528">
            <v>0</v>
          </cell>
          <cell r="N1528">
            <v>7</v>
          </cell>
          <cell r="O1528">
            <v>84</v>
          </cell>
        </row>
        <row r="1529">
          <cell r="I1529">
            <v>202609</v>
          </cell>
          <cell r="K1529">
            <v>0</v>
          </cell>
          <cell r="N1529">
            <v>7</v>
          </cell>
          <cell r="O1529">
            <v>84</v>
          </cell>
        </row>
        <row r="1530">
          <cell r="I1530">
            <v>202609</v>
          </cell>
          <cell r="K1530">
            <v>0</v>
          </cell>
          <cell r="N1530">
            <v>7</v>
          </cell>
          <cell r="O1530">
            <v>84</v>
          </cell>
        </row>
        <row r="1531">
          <cell r="I1531">
            <v>202609</v>
          </cell>
          <cell r="K1531">
            <v>0</v>
          </cell>
          <cell r="N1531">
            <v>7</v>
          </cell>
          <cell r="O1531">
            <v>84</v>
          </cell>
        </row>
        <row r="1532">
          <cell r="I1532">
            <v>202609</v>
          </cell>
          <cell r="K1532">
            <v>0</v>
          </cell>
          <cell r="N1532">
            <v>7</v>
          </cell>
          <cell r="O1532">
            <v>84</v>
          </cell>
        </row>
        <row r="1533">
          <cell r="I1533">
            <v>202609</v>
          </cell>
          <cell r="K1533">
            <v>0</v>
          </cell>
          <cell r="N1533">
            <v>7</v>
          </cell>
          <cell r="O1533">
            <v>84</v>
          </cell>
        </row>
        <row r="1534">
          <cell r="I1534">
            <v>202609</v>
          </cell>
          <cell r="K1534">
            <v>0</v>
          </cell>
          <cell r="N1534">
            <v>7</v>
          </cell>
          <cell r="O1534">
            <v>84</v>
          </cell>
        </row>
        <row r="1535">
          <cell r="I1535">
            <v>202609</v>
          </cell>
          <cell r="K1535">
            <v>0</v>
          </cell>
          <cell r="N1535">
            <v>7</v>
          </cell>
          <cell r="O1535">
            <v>84</v>
          </cell>
        </row>
        <row r="1536">
          <cell r="I1536">
            <v>202609</v>
          </cell>
          <cell r="K1536">
            <v>0</v>
          </cell>
          <cell r="N1536">
            <v>7</v>
          </cell>
          <cell r="O1536">
            <v>84</v>
          </cell>
        </row>
        <row r="1537">
          <cell r="I1537">
            <v>202609</v>
          </cell>
          <cell r="K1537">
            <v>0</v>
          </cell>
          <cell r="N1537">
            <v>7</v>
          </cell>
          <cell r="O1537">
            <v>84</v>
          </cell>
        </row>
        <row r="1538">
          <cell r="I1538">
            <v>202609</v>
          </cell>
          <cell r="K1538">
            <v>0</v>
          </cell>
          <cell r="N1538">
            <v>7</v>
          </cell>
          <cell r="O1538">
            <v>84</v>
          </cell>
        </row>
        <row r="1539">
          <cell r="I1539">
            <v>202609</v>
          </cell>
          <cell r="K1539">
            <v>0</v>
          </cell>
          <cell r="N1539">
            <v>7</v>
          </cell>
          <cell r="O1539">
            <v>84</v>
          </cell>
        </row>
        <row r="1540">
          <cell r="I1540">
            <v>202609</v>
          </cell>
          <cell r="K1540">
            <v>0</v>
          </cell>
          <cell r="N1540">
            <v>7</v>
          </cell>
          <cell r="O1540">
            <v>84</v>
          </cell>
        </row>
        <row r="1541">
          <cell r="I1541">
            <v>202609</v>
          </cell>
          <cell r="K1541">
            <v>0</v>
          </cell>
          <cell r="N1541">
            <v>7</v>
          </cell>
          <cell r="O1541">
            <v>84</v>
          </cell>
        </row>
        <row r="1542">
          <cell r="I1542">
            <v>202609</v>
          </cell>
          <cell r="K1542">
            <v>0</v>
          </cell>
          <cell r="N1542">
            <v>7</v>
          </cell>
          <cell r="O1542">
            <v>84</v>
          </cell>
        </row>
        <row r="1543">
          <cell r="I1543">
            <v>202609</v>
          </cell>
          <cell r="K1543">
            <v>0</v>
          </cell>
          <cell r="N1543">
            <v>7</v>
          </cell>
          <cell r="O1543">
            <v>84</v>
          </cell>
        </row>
        <row r="1544">
          <cell r="I1544">
            <v>202609</v>
          </cell>
          <cell r="K1544">
            <v>0</v>
          </cell>
          <cell r="N1544">
            <v>7</v>
          </cell>
          <cell r="O1544">
            <v>84</v>
          </cell>
        </row>
        <row r="1545">
          <cell r="I1545">
            <v>202609</v>
          </cell>
          <cell r="K1545">
            <v>0</v>
          </cell>
          <cell r="N1545">
            <v>7</v>
          </cell>
          <cell r="O1545">
            <v>84</v>
          </cell>
        </row>
        <row r="1546">
          <cell r="I1546">
            <v>202609</v>
          </cell>
          <cell r="K1546">
            <v>0</v>
          </cell>
          <cell r="N1546">
            <v>7</v>
          </cell>
          <cell r="O1546">
            <v>84</v>
          </cell>
        </row>
        <row r="1547">
          <cell r="I1547">
            <v>202609</v>
          </cell>
          <cell r="K1547">
            <v>0</v>
          </cell>
          <cell r="N1547">
            <v>7</v>
          </cell>
          <cell r="O1547">
            <v>84</v>
          </cell>
        </row>
        <row r="1548">
          <cell r="I1548">
            <v>202609</v>
          </cell>
          <cell r="K1548">
            <v>0</v>
          </cell>
          <cell r="N1548">
            <v>7</v>
          </cell>
          <cell r="O1548">
            <v>84</v>
          </cell>
        </row>
        <row r="1549">
          <cell r="I1549">
            <v>202609</v>
          </cell>
          <cell r="K1549">
            <v>0</v>
          </cell>
          <cell r="N1549">
            <v>7</v>
          </cell>
          <cell r="O1549">
            <v>84</v>
          </cell>
        </row>
        <row r="1550">
          <cell r="I1550">
            <v>202609</v>
          </cell>
          <cell r="K1550">
            <v>0</v>
          </cell>
          <cell r="N1550">
            <v>7</v>
          </cell>
          <cell r="O1550">
            <v>84</v>
          </cell>
        </row>
        <row r="1551">
          <cell r="I1551">
            <v>202609</v>
          </cell>
          <cell r="K1551">
            <v>0</v>
          </cell>
          <cell r="N1551">
            <v>7</v>
          </cell>
          <cell r="O1551">
            <v>84</v>
          </cell>
        </row>
        <row r="1552">
          <cell r="I1552">
            <v>202609</v>
          </cell>
          <cell r="K1552">
            <v>0</v>
          </cell>
          <cell r="N1552">
            <v>7</v>
          </cell>
          <cell r="O1552">
            <v>84</v>
          </cell>
        </row>
        <row r="1553">
          <cell r="I1553">
            <v>202609</v>
          </cell>
          <cell r="K1553">
            <v>0</v>
          </cell>
          <cell r="N1553">
            <v>7</v>
          </cell>
          <cell r="O1553">
            <v>84</v>
          </cell>
        </row>
        <row r="1554">
          <cell r="I1554">
            <v>202609</v>
          </cell>
          <cell r="K1554">
            <v>0</v>
          </cell>
          <cell r="N1554">
            <v>7</v>
          </cell>
          <cell r="O1554">
            <v>84</v>
          </cell>
        </row>
        <row r="1555">
          <cell r="I1555">
            <v>202609</v>
          </cell>
          <cell r="K1555">
            <v>0</v>
          </cell>
          <cell r="N1555">
            <v>7</v>
          </cell>
          <cell r="O1555">
            <v>84</v>
          </cell>
        </row>
        <row r="1556">
          <cell r="I1556">
            <v>202609</v>
          </cell>
          <cell r="K1556">
            <v>0</v>
          </cell>
          <cell r="N1556">
            <v>7</v>
          </cell>
          <cell r="O1556">
            <v>84</v>
          </cell>
        </row>
        <row r="1557">
          <cell r="I1557">
            <v>202609</v>
          </cell>
          <cell r="K1557">
            <v>0</v>
          </cell>
          <cell r="N1557">
            <v>7</v>
          </cell>
          <cell r="O1557">
            <v>84</v>
          </cell>
        </row>
        <row r="1558">
          <cell r="I1558">
            <v>202609</v>
          </cell>
          <cell r="K1558">
            <v>0</v>
          </cell>
          <cell r="N1558">
            <v>7</v>
          </cell>
          <cell r="O1558">
            <v>84</v>
          </cell>
        </row>
        <row r="1559">
          <cell r="I1559">
            <v>202609</v>
          </cell>
          <cell r="K1559">
            <v>0</v>
          </cell>
          <cell r="N1559">
            <v>7</v>
          </cell>
          <cell r="O1559">
            <v>84</v>
          </cell>
        </row>
        <row r="1560">
          <cell r="I1560">
            <v>202609</v>
          </cell>
          <cell r="K1560">
            <v>0</v>
          </cell>
          <cell r="N1560">
            <v>7</v>
          </cell>
          <cell r="O1560">
            <v>84</v>
          </cell>
        </row>
        <row r="1561">
          <cell r="I1561">
            <v>202609</v>
          </cell>
          <cell r="K1561">
            <v>0</v>
          </cell>
          <cell r="N1561">
            <v>7</v>
          </cell>
          <cell r="O1561">
            <v>84</v>
          </cell>
        </row>
        <row r="1562">
          <cell r="I1562">
            <v>202609</v>
          </cell>
          <cell r="K1562">
            <v>0</v>
          </cell>
          <cell r="N1562">
            <v>7</v>
          </cell>
          <cell r="O1562">
            <v>84</v>
          </cell>
        </row>
        <row r="1563">
          <cell r="I1563">
            <v>202609</v>
          </cell>
          <cell r="K1563">
            <v>0</v>
          </cell>
          <cell r="N1563">
            <v>7</v>
          </cell>
          <cell r="O1563">
            <v>84</v>
          </cell>
        </row>
        <row r="1564">
          <cell r="I1564">
            <v>202609</v>
          </cell>
          <cell r="K1564">
            <v>0</v>
          </cell>
          <cell r="N1564">
            <v>7</v>
          </cell>
          <cell r="O1564">
            <v>84</v>
          </cell>
        </row>
        <row r="1565">
          <cell r="I1565">
            <v>202609</v>
          </cell>
          <cell r="K1565">
            <v>0</v>
          </cell>
          <cell r="N1565">
            <v>7</v>
          </cell>
          <cell r="O1565">
            <v>84</v>
          </cell>
        </row>
        <row r="1566">
          <cell r="I1566">
            <v>202609</v>
          </cell>
          <cell r="K1566">
            <v>0</v>
          </cell>
          <cell r="N1566">
            <v>7</v>
          </cell>
          <cell r="O1566">
            <v>84</v>
          </cell>
        </row>
        <row r="1567">
          <cell r="I1567">
            <v>202609</v>
          </cell>
          <cell r="K1567">
            <v>0</v>
          </cell>
          <cell r="N1567">
            <v>7</v>
          </cell>
          <cell r="O1567">
            <v>84</v>
          </cell>
        </row>
        <row r="1568">
          <cell r="I1568">
            <v>202609</v>
          </cell>
          <cell r="K1568">
            <v>0</v>
          </cell>
          <cell r="N1568">
            <v>7</v>
          </cell>
          <cell r="O1568">
            <v>84</v>
          </cell>
        </row>
        <row r="1569">
          <cell r="I1569">
            <v>202609</v>
          </cell>
          <cell r="K1569">
            <v>0</v>
          </cell>
          <cell r="N1569">
            <v>7</v>
          </cell>
          <cell r="O1569">
            <v>84</v>
          </cell>
        </row>
        <row r="1570">
          <cell r="I1570">
            <v>202609</v>
          </cell>
          <cell r="K1570">
            <v>0</v>
          </cell>
          <cell r="N1570">
            <v>7</v>
          </cell>
          <cell r="O1570">
            <v>84</v>
          </cell>
        </row>
        <row r="1571">
          <cell r="I1571">
            <v>202609</v>
          </cell>
          <cell r="K1571">
            <v>0</v>
          </cell>
          <cell r="N1571">
            <v>7</v>
          </cell>
          <cell r="O1571">
            <v>84</v>
          </cell>
        </row>
        <row r="1572">
          <cell r="I1572">
            <v>202609</v>
          </cell>
          <cell r="K1572">
            <v>0</v>
          </cell>
          <cell r="N1572">
            <v>7</v>
          </cell>
          <cell r="O1572">
            <v>84</v>
          </cell>
        </row>
        <row r="1573">
          <cell r="I1573">
            <v>202609</v>
          </cell>
          <cell r="K1573">
            <v>0</v>
          </cell>
          <cell r="N1573">
            <v>7</v>
          </cell>
          <cell r="O1573">
            <v>84</v>
          </cell>
        </row>
        <row r="1574">
          <cell r="I1574">
            <v>202609</v>
          </cell>
          <cell r="K1574">
            <v>0</v>
          </cell>
          <cell r="N1574">
            <v>7</v>
          </cell>
          <cell r="O1574">
            <v>84</v>
          </cell>
        </row>
        <row r="1575">
          <cell r="I1575">
            <v>202609</v>
          </cell>
          <cell r="K1575">
            <v>0</v>
          </cell>
          <cell r="N1575">
            <v>7</v>
          </cell>
          <cell r="O1575">
            <v>84</v>
          </cell>
        </row>
        <row r="1576">
          <cell r="I1576">
            <v>202609</v>
          </cell>
          <cell r="K1576">
            <v>0</v>
          </cell>
          <cell r="N1576">
            <v>7</v>
          </cell>
          <cell r="O1576">
            <v>84</v>
          </cell>
        </row>
        <row r="1577">
          <cell r="I1577">
            <v>202609</v>
          </cell>
          <cell r="K1577">
            <v>0</v>
          </cell>
          <cell r="N1577">
            <v>7</v>
          </cell>
          <cell r="O1577">
            <v>84</v>
          </cell>
        </row>
        <row r="1578">
          <cell r="I1578">
            <v>202609</v>
          </cell>
          <cell r="K1578">
            <v>0</v>
          </cell>
          <cell r="N1578">
            <v>7</v>
          </cell>
          <cell r="O1578">
            <v>84</v>
          </cell>
        </row>
        <row r="1579">
          <cell r="I1579">
            <v>202609</v>
          </cell>
          <cell r="K1579">
            <v>0</v>
          </cell>
          <cell r="N1579">
            <v>7</v>
          </cell>
          <cell r="O1579">
            <v>84</v>
          </cell>
        </row>
        <row r="1580">
          <cell r="I1580">
            <v>202609</v>
          </cell>
          <cell r="K1580">
            <v>0</v>
          </cell>
          <cell r="N1580">
            <v>7</v>
          </cell>
          <cell r="O1580">
            <v>84</v>
          </cell>
        </row>
        <row r="1581">
          <cell r="I1581">
            <v>202609</v>
          </cell>
          <cell r="K1581">
            <v>0</v>
          </cell>
          <cell r="N1581">
            <v>7</v>
          </cell>
          <cell r="O1581">
            <v>84</v>
          </cell>
        </row>
        <row r="1582">
          <cell r="I1582">
            <v>202609</v>
          </cell>
          <cell r="K1582">
            <v>0</v>
          </cell>
          <cell r="N1582">
            <v>7</v>
          </cell>
          <cell r="O1582">
            <v>84</v>
          </cell>
        </row>
        <row r="1583">
          <cell r="I1583">
            <v>202609</v>
          </cell>
          <cell r="K1583">
            <v>0</v>
          </cell>
          <cell r="N1583">
            <v>7</v>
          </cell>
          <cell r="O1583">
            <v>84</v>
          </cell>
        </row>
        <row r="1584">
          <cell r="I1584">
            <v>202609</v>
          </cell>
          <cell r="K1584">
            <v>0</v>
          </cell>
          <cell r="N1584">
            <v>7</v>
          </cell>
          <cell r="O1584">
            <v>84</v>
          </cell>
        </row>
        <row r="1585">
          <cell r="I1585">
            <v>202609</v>
          </cell>
          <cell r="K1585">
            <v>0</v>
          </cell>
          <cell r="N1585">
            <v>7</v>
          </cell>
          <cell r="O1585">
            <v>84</v>
          </cell>
        </row>
        <row r="1586">
          <cell r="I1586">
            <v>202609</v>
          </cell>
          <cell r="K1586">
            <v>0</v>
          </cell>
          <cell r="N1586">
            <v>7</v>
          </cell>
          <cell r="O1586">
            <v>84</v>
          </cell>
        </row>
        <row r="1587">
          <cell r="I1587">
            <v>202609</v>
          </cell>
          <cell r="K1587">
            <v>0</v>
          </cell>
          <cell r="N1587">
            <v>7</v>
          </cell>
          <cell r="O1587">
            <v>84</v>
          </cell>
        </row>
        <row r="1588">
          <cell r="I1588">
            <v>202609</v>
          </cell>
          <cell r="K1588">
            <v>0</v>
          </cell>
          <cell r="N1588">
            <v>7</v>
          </cell>
          <cell r="O1588">
            <v>84</v>
          </cell>
        </row>
        <row r="1589">
          <cell r="I1589">
            <v>202609</v>
          </cell>
          <cell r="K1589">
            <v>0</v>
          </cell>
          <cell r="N1589">
            <v>7</v>
          </cell>
          <cell r="O1589">
            <v>84</v>
          </cell>
        </row>
        <row r="1590">
          <cell r="I1590">
            <v>202609</v>
          </cell>
          <cell r="K1590">
            <v>0</v>
          </cell>
          <cell r="N1590">
            <v>7</v>
          </cell>
          <cell r="O1590">
            <v>84</v>
          </cell>
        </row>
        <row r="1591">
          <cell r="I1591">
            <v>202609</v>
          </cell>
          <cell r="K1591">
            <v>0</v>
          </cell>
          <cell r="N1591">
            <v>7</v>
          </cell>
          <cell r="O1591">
            <v>84</v>
          </cell>
        </row>
        <row r="1592">
          <cell r="I1592">
            <v>202609</v>
          </cell>
          <cell r="K1592">
            <v>0</v>
          </cell>
          <cell r="N1592">
            <v>7</v>
          </cell>
          <cell r="O1592">
            <v>84</v>
          </cell>
        </row>
        <row r="1593">
          <cell r="I1593">
            <v>202609</v>
          </cell>
          <cell r="K1593">
            <v>0</v>
          </cell>
          <cell r="N1593">
            <v>7</v>
          </cell>
          <cell r="O1593">
            <v>84</v>
          </cell>
        </row>
        <row r="1594">
          <cell r="I1594">
            <v>202609</v>
          </cell>
          <cell r="K1594">
            <v>0</v>
          </cell>
          <cell r="N1594">
            <v>7</v>
          </cell>
          <cell r="O1594">
            <v>84</v>
          </cell>
        </row>
        <row r="1595">
          <cell r="I1595">
            <v>202609</v>
          </cell>
          <cell r="K1595">
            <v>0</v>
          </cell>
          <cell r="N1595">
            <v>7</v>
          </cell>
          <cell r="O1595">
            <v>84</v>
          </cell>
        </row>
        <row r="1596">
          <cell r="I1596">
            <v>202609</v>
          </cell>
          <cell r="K1596">
            <v>0</v>
          </cell>
          <cell r="N1596">
            <v>7</v>
          </cell>
          <cell r="O1596">
            <v>84</v>
          </cell>
        </row>
        <row r="1597">
          <cell r="I1597">
            <v>202609</v>
          </cell>
          <cell r="K1597">
            <v>0</v>
          </cell>
          <cell r="N1597">
            <v>7</v>
          </cell>
          <cell r="O1597">
            <v>84</v>
          </cell>
        </row>
        <row r="1598">
          <cell r="I1598">
            <v>202609</v>
          </cell>
          <cell r="K1598">
            <v>0</v>
          </cell>
          <cell r="N1598">
            <v>7</v>
          </cell>
          <cell r="O1598">
            <v>84</v>
          </cell>
        </row>
        <row r="1599">
          <cell r="I1599">
            <v>202609</v>
          </cell>
          <cell r="K1599">
            <v>0</v>
          </cell>
          <cell r="N1599">
            <v>7</v>
          </cell>
          <cell r="O1599">
            <v>84</v>
          </cell>
        </row>
        <row r="1600">
          <cell r="I1600">
            <v>202609</v>
          </cell>
          <cell r="K1600">
            <v>0</v>
          </cell>
          <cell r="N1600">
            <v>7</v>
          </cell>
          <cell r="O1600">
            <v>84</v>
          </cell>
        </row>
        <row r="1601">
          <cell r="I1601">
            <v>202609</v>
          </cell>
          <cell r="K1601">
            <v>0</v>
          </cell>
          <cell r="N1601">
            <v>7</v>
          </cell>
          <cell r="O1601">
            <v>84</v>
          </cell>
        </row>
        <row r="1602">
          <cell r="I1602">
            <v>202609</v>
          </cell>
          <cell r="K1602">
            <v>0</v>
          </cell>
          <cell r="N1602">
            <v>7</v>
          </cell>
          <cell r="O1602">
            <v>84</v>
          </cell>
        </row>
        <row r="1603">
          <cell r="I1603">
            <v>202609</v>
          </cell>
          <cell r="K1603">
            <v>0</v>
          </cell>
          <cell r="N1603">
            <v>7</v>
          </cell>
          <cell r="O1603">
            <v>84</v>
          </cell>
        </row>
        <row r="1604">
          <cell r="I1604">
            <v>202609</v>
          </cell>
          <cell r="K1604">
            <v>0</v>
          </cell>
          <cell r="N1604">
            <v>7</v>
          </cell>
          <cell r="O1604">
            <v>84</v>
          </cell>
        </row>
        <row r="1605">
          <cell r="I1605">
            <v>202609</v>
          </cell>
          <cell r="K1605">
            <v>0</v>
          </cell>
          <cell r="N1605">
            <v>7</v>
          </cell>
          <cell r="O1605">
            <v>84</v>
          </cell>
        </row>
        <row r="1606">
          <cell r="I1606">
            <v>202609</v>
          </cell>
          <cell r="K1606">
            <v>0</v>
          </cell>
          <cell r="N1606">
            <v>7</v>
          </cell>
          <cell r="O1606">
            <v>84</v>
          </cell>
        </row>
        <row r="1607">
          <cell r="I1607">
            <v>202609</v>
          </cell>
          <cell r="K1607">
            <v>0</v>
          </cell>
          <cell r="N1607">
            <v>7</v>
          </cell>
          <cell r="O1607">
            <v>84</v>
          </cell>
        </row>
        <row r="1608">
          <cell r="I1608">
            <v>202609</v>
          </cell>
          <cell r="K1608">
            <v>0</v>
          </cell>
          <cell r="N1608">
            <v>7</v>
          </cell>
          <cell r="O1608">
            <v>84</v>
          </cell>
        </row>
        <row r="1609">
          <cell r="I1609">
            <v>202609</v>
          </cell>
          <cell r="K1609">
            <v>0</v>
          </cell>
          <cell r="N1609">
            <v>7</v>
          </cell>
          <cell r="O1609">
            <v>84</v>
          </cell>
        </row>
        <row r="1610">
          <cell r="I1610">
            <v>202609</v>
          </cell>
          <cell r="K1610">
            <v>0</v>
          </cell>
          <cell r="N1610">
            <v>7</v>
          </cell>
          <cell r="O1610">
            <v>84</v>
          </cell>
        </row>
        <row r="1611">
          <cell r="I1611">
            <v>202609</v>
          </cell>
          <cell r="K1611">
            <v>0</v>
          </cell>
          <cell r="N1611">
            <v>7</v>
          </cell>
          <cell r="O1611">
            <v>84</v>
          </cell>
        </row>
        <row r="1612">
          <cell r="I1612">
            <v>202609</v>
          </cell>
          <cell r="K1612">
            <v>0</v>
          </cell>
          <cell r="N1612">
            <v>7</v>
          </cell>
          <cell r="O1612">
            <v>84</v>
          </cell>
        </row>
        <row r="1613">
          <cell r="I1613">
            <v>202609</v>
          </cell>
          <cell r="K1613">
            <v>0</v>
          </cell>
          <cell r="N1613">
            <v>7</v>
          </cell>
          <cell r="O1613">
            <v>84</v>
          </cell>
        </row>
        <row r="1614">
          <cell r="I1614">
            <v>202609</v>
          </cell>
          <cell r="K1614">
            <v>0</v>
          </cell>
          <cell r="N1614">
            <v>7</v>
          </cell>
          <cell r="O1614">
            <v>84</v>
          </cell>
        </row>
        <row r="1615">
          <cell r="I1615">
            <v>202609</v>
          </cell>
          <cell r="K1615">
            <v>0</v>
          </cell>
          <cell r="N1615">
            <v>7</v>
          </cell>
          <cell r="O1615">
            <v>84</v>
          </cell>
        </row>
        <row r="1616">
          <cell r="I1616">
            <v>202609</v>
          </cell>
          <cell r="K1616">
            <v>0</v>
          </cell>
          <cell r="N1616">
            <v>7</v>
          </cell>
          <cell r="O1616">
            <v>84</v>
          </cell>
        </row>
        <row r="1617">
          <cell r="I1617">
            <v>202609</v>
          </cell>
          <cell r="K1617">
            <v>0</v>
          </cell>
          <cell r="N1617">
            <v>7</v>
          </cell>
          <cell r="O1617">
            <v>84</v>
          </cell>
        </row>
        <row r="1618">
          <cell r="I1618">
            <v>202609</v>
          </cell>
          <cell r="K1618">
            <v>0</v>
          </cell>
          <cell r="N1618">
            <v>7</v>
          </cell>
          <cell r="O1618">
            <v>84</v>
          </cell>
        </row>
        <row r="1619">
          <cell r="I1619">
            <v>202609</v>
          </cell>
          <cell r="K1619">
            <v>0</v>
          </cell>
          <cell r="N1619">
            <v>7</v>
          </cell>
          <cell r="O1619">
            <v>84</v>
          </cell>
        </row>
        <row r="1620">
          <cell r="I1620">
            <v>202609</v>
          </cell>
          <cell r="K1620">
            <v>0</v>
          </cell>
          <cell r="N1620">
            <v>7</v>
          </cell>
          <cell r="O1620">
            <v>84</v>
          </cell>
        </row>
        <row r="1621">
          <cell r="I1621">
            <v>202609</v>
          </cell>
          <cell r="K1621">
            <v>0</v>
          </cell>
          <cell r="N1621">
            <v>7</v>
          </cell>
          <cell r="O1621">
            <v>84</v>
          </cell>
        </row>
        <row r="1622">
          <cell r="I1622">
            <v>202609</v>
          </cell>
          <cell r="K1622">
            <v>0</v>
          </cell>
          <cell r="N1622">
            <v>7</v>
          </cell>
          <cell r="O1622">
            <v>84</v>
          </cell>
        </row>
        <row r="1623">
          <cell r="I1623">
            <v>202609</v>
          </cell>
          <cell r="K1623">
            <v>0</v>
          </cell>
          <cell r="N1623">
            <v>7</v>
          </cell>
          <cell r="O1623">
            <v>84</v>
          </cell>
        </row>
        <row r="1624">
          <cell r="I1624">
            <v>202609</v>
          </cell>
          <cell r="K1624">
            <v>0</v>
          </cell>
          <cell r="N1624">
            <v>7</v>
          </cell>
          <cell r="O1624">
            <v>84</v>
          </cell>
        </row>
        <row r="1625">
          <cell r="I1625">
            <v>202609</v>
          </cell>
          <cell r="K1625">
            <v>0</v>
          </cell>
          <cell r="N1625">
            <v>7</v>
          </cell>
          <cell r="O1625">
            <v>84</v>
          </cell>
        </row>
        <row r="1626">
          <cell r="I1626">
            <v>202609</v>
          </cell>
          <cell r="K1626">
            <v>0</v>
          </cell>
          <cell r="N1626">
            <v>7</v>
          </cell>
          <cell r="O1626">
            <v>84</v>
          </cell>
        </row>
        <row r="1627">
          <cell r="I1627">
            <v>202609</v>
          </cell>
          <cell r="K1627">
            <v>0</v>
          </cell>
          <cell r="N1627">
            <v>7</v>
          </cell>
          <cell r="O1627">
            <v>84</v>
          </cell>
        </row>
        <row r="1628">
          <cell r="I1628">
            <v>202609</v>
          </cell>
          <cell r="K1628">
            <v>0</v>
          </cell>
          <cell r="N1628">
            <v>7</v>
          </cell>
          <cell r="O1628">
            <v>84</v>
          </cell>
        </row>
        <row r="1629">
          <cell r="I1629">
            <v>202609</v>
          </cell>
          <cell r="K1629">
            <v>0</v>
          </cell>
          <cell r="N1629">
            <v>7</v>
          </cell>
          <cell r="O1629">
            <v>84</v>
          </cell>
        </row>
        <row r="1630">
          <cell r="I1630">
            <v>202609</v>
          </cell>
          <cell r="K1630">
            <v>0</v>
          </cell>
          <cell r="N1630">
            <v>7</v>
          </cell>
          <cell r="O1630">
            <v>84</v>
          </cell>
        </row>
        <row r="1631">
          <cell r="I1631">
            <v>202609</v>
          </cell>
          <cell r="K1631">
            <v>0</v>
          </cell>
          <cell r="N1631">
            <v>7</v>
          </cell>
          <cell r="O1631">
            <v>84</v>
          </cell>
        </row>
        <row r="1632">
          <cell r="I1632">
            <v>202609</v>
          </cell>
          <cell r="K1632">
            <v>0</v>
          </cell>
          <cell r="N1632">
            <v>7</v>
          </cell>
          <cell r="O1632">
            <v>84</v>
          </cell>
        </row>
        <row r="1633">
          <cell r="I1633">
            <v>202609</v>
          </cell>
          <cell r="K1633">
            <v>0</v>
          </cell>
          <cell r="N1633">
            <v>7</v>
          </cell>
          <cell r="O1633">
            <v>84</v>
          </cell>
        </row>
        <row r="1634">
          <cell r="I1634">
            <v>202609</v>
          </cell>
          <cell r="K1634">
            <v>0</v>
          </cell>
          <cell r="N1634">
            <v>7</v>
          </cell>
          <cell r="O1634">
            <v>84</v>
          </cell>
        </row>
        <row r="1635">
          <cell r="I1635">
            <v>202609</v>
          </cell>
          <cell r="K1635">
            <v>0</v>
          </cell>
          <cell r="N1635">
            <v>7</v>
          </cell>
          <cell r="O1635">
            <v>84</v>
          </cell>
        </row>
        <row r="1636">
          <cell r="I1636">
            <v>202609</v>
          </cell>
          <cell r="K1636">
            <v>0</v>
          </cell>
          <cell r="N1636">
            <v>7</v>
          </cell>
          <cell r="O1636">
            <v>84</v>
          </cell>
        </row>
        <row r="1637">
          <cell r="I1637">
            <v>202609</v>
          </cell>
          <cell r="K1637">
            <v>0</v>
          </cell>
          <cell r="N1637">
            <v>7</v>
          </cell>
          <cell r="O1637">
            <v>84</v>
          </cell>
        </row>
        <row r="1638">
          <cell r="I1638">
            <v>202609</v>
          </cell>
          <cell r="K1638">
            <v>0</v>
          </cell>
          <cell r="N1638">
            <v>7</v>
          </cell>
          <cell r="O1638">
            <v>84</v>
          </cell>
        </row>
        <row r="1639">
          <cell r="I1639">
            <v>202609</v>
          </cell>
          <cell r="K1639">
            <v>0</v>
          </cell>
          <cell r="N1639">
            <v>7</v>
          </cell>
          <cell r="O1639">
            <v>84</v>
          </cell>
        </row>
        <row r="1640">
          <cell r="I1640">
            <v>202609</v>
          </cell>
          <cell r="K1640">
            <v>0</v>
          </cell>
          <cell r="N1640">
            <v>7</v>
          </cell>
          <cell r="O1640">
            <v>84</v>
          </cell>
        </row>
        <row r="1641">
          <cell r="I1641">
            <v>202609</v>
          </cell>
          <cell r="K1641">
            <v>0</v>
          </cell>
          <cell r="N1641">
            <v>7</v>
          </cell>
          <cell r="O1641">
            <v>84</v>
          </cell>
        </row>
        <row r="1642">
          <cell r="I1642">
            <v>202609</v>
          </cell>
          <cell r="K1642">
            <v>0</v>
          </cell>
          <cell r="N1642">
            <v>7</v>
          </cell>
          <cell r="O1642">
            <v>84</v>
          </cell>
        </row>
        <row r="1643">
          <cell r="I1643">
            <v>202609</v>
          </cell>
          <cell r="K1643">
            <v>0</v>
          </cell>
          <cell r="N1643">
            <v>7</v>
          </cell>
          <cell r="O1643">
            <v>84</v>
          </cell>
        </row>
        <row r="1644">
          <cell r="I1644">
            <v>202609</v>
          </cell>
          <cell r="K1644">
            <v>0</v>
          </cell>
          <cell r="N1644">
            <v>7</v>
          </cell>
          <cell r="O1644">
            <v>84</v>
          </cell>
        </row>
        <row r="1645">
          <cell r="I1645">
            <v>202609</v>
          </cell>
          <cell r="K1645">
            <v>0</v>
          </cell>
          <cell r="N1645">
            <v>7</v>
          </cell>
          <cell r="O1645">
            <v>84</v>
          </cell>
        </row>
        <row r="1646">
          <cell r="I1646">
            <v>202609</v>
          </cell>
          <cell r="K1646">
            <v>0</v>
          </cell>
          <cell r="N1646">
            <v>7</v>
          </cell>
          <cell r="O1646">
            <v>84</v>
          </cell>
        </row>
        <row r="1647">
          <cell r="I1647">
            <v>202609</v>
          </cell>
          <cell r="K1647">
            <v>0</v>
          </cell>
          <cell r="N1647">
            <v>7</v>
          </cell>
          <cell r="O1647">
            <v>84</v>
          </cell>
        </row>
        <row r="1648">
          <cell r="I1648">
            <v>202609</v>
          </cell>
          <cell r="K1648">
            <v>0</v>
          </cell>
          <cell r="N1648">
            <v>7</v>
          </cell>
          <cell r="O1648">
            <v>84</v>
          </cell>
        </row>
        <row r="1649">
          <cell r="I1649">
            <v>202609</v>
          </cell>
          <cell r="K1649">
            <v>0</v>
          </cell>
          <cell r="N1649">
            <v>7</v>
          </cell>
          <cell r="O1649">
            <v>84</v>
          </cell>
        </row>
        <row r="1650">
          <cell r="I1650">
            <v>202609</v>
          </cell>
          <cell r="K1650">
            <v>0</v>
          </cell>
          <cell r="N1650">
            <v>7</v>
          </cell>
          <cell r="O1650">
            <v>84</v>
          </cell>
        </row>
        <row r="1651">
          <cell r="I1651">
            <v>202609</v>
          </cell>
          <cell r="K1651">
            <v>0</v>
          </cell>
          <cell r="N1651">
            <v>7</v>
          </cell>
          <cell r="O1651">
            <v>84</v>
          </cell>
        </row>
        <row r="1652">
          <cell r="I1652">
            <v>202609</v>
          </cell>
          <cell r="K1652">
            <v>0</v>
          </cell>
          <cell r="N1652">
            <v>7</v>
          </cell>
          <cell r="O1652">
            <v>84</v>
          </cell>
        </row>
        <row r="1653">
          <cell r="I1653">
            <v>202609</v>
          </cell>
          <cell r="K1653">
            <v>0</v>
          </cell>
          <cell r="N1653">
            <v>7</v>
          </cell>
          <cell r="O1653">
            <v>84</v>
          </cell>
        </row>
        <row r="1654">
          <cell r="I1654">
            <v>202609</v>
          </cell>
          <cell r="K1654">
            <v>0</v>
          </cell>
          <cell r="N1654">
            <v>7</v>
          </cell>
          <cell r="O1654">
            <v>84</v>
          </cell>
        </row>
        <row r="1655">
          <cell r="I1655">
            <v>202609</v>
          </cell>
          <cell r="K1655">
            <v>0</v>
          </cell>
          <cell r="N1655">
            <v>7</v>
          </cell>
          <cell r="O1655">
            <v>84</v>
          </cell>
        </row>
        <row r="1656">
          <cell r="I1656">
            <v>202609</v>
          </cell>
          <cell r="K1656">
            <v>0</v>
          </cell>
          <cell r="N1656">
            <v>7</v>
          </cell>
          <cell r="O1656">
            <v>84</v>
          </cell>
        </row>
        <row r="1657">
          <cell r="I1657">
            <v>202609</v>
          </cell>
          <cell r="K1657">
            <v>0</v>
          </cell>
          <cell r="N1657">
            <v>7</v>
          </cell>
          <cell r="O1657">
            <v>84</v>
          </cell>
        </row>
        <row r="1658">
          <cell r="I1658">
            <v>202609</v>
          </cell>
          <cell r="K1658">
            <v>0</v>
          </cell>
          <cell r="N1658">
            <v>7</v>
          </cell>
          <cell r="O1658">
            <v>84</v>
          </cell>
        </row>
        <row r="1659">
          <cell r="I1659">
            <v>202609</v>
          </cell>
          <cell r="K1659">
            <v>0</v>
          </cell>
          <cell r="N1659">
            <v>7</v>
          </cell>
          <cell r="O1659">
            <v>84</v>
          </cell>
        </row>
        <row r="1660">
          <cell r="I1660">
            <v>202609</v>
          </cell>
          <cell r="K1660">
            <v>0</v>
          </cell>
          <cell r="N1660">
            <v>7</v>
          </cell>
          <cell r="O1660">
            <v>84</v>
          </cell>
        </row>
        <row r="1661">
          <cell r="I1661">
            <v>202609</v>
          </cell>
          <cell r="K1661">
            <v>0</v>
          </cell>
          <cell r="N1661">
            <v>7</v>
          </cell>
          <cell r="O1661">
            <v>84</v>
          </cell>
        </row>
        <row r="1662">
          <cell r="I1662">
            <v>202609</v>
          </cell>
          <cell r="K1662">
            <v>0</v>
          </cell>
          <cell r="N1662">
            <v>7</v>
          </cell>
          <cell r="O1662">
            <v>84</v>
          </cell>
        </row>
        <row r="1663">
          <cell r="I1663">
            <v>202609</v>
          </cell>
          <cell r="K1663">
            <v>0</v>
          </cell>
          <cell r="N1663">
            <v>7</v>
          </cell>
          <cell r="O1663">
            <v>84</v>
          </cell>
        </row>
        <row r="1664">
          <cell r="I1664">
            <v>202609</v>
          </cell>
          <cell r="K1664">
            <v>0</v>
          </cell>
          <cell r="N1664">
            <v>7</v>
          </cell>
          <cell r="O1664">
            <v>84</v>
          </cell>
        </row>
        <row r="1665">
          <cell r="I1665">
            <v>202609</v>
          </cell>
          <cell r="K1665">
            <v>0</v>
          </cell>
          <cell r="N1665">
            <v>7</v>
          </cell>
          <cell r="O1665">
            <v>84</v>
          </cell>
        </row>
        <row r="1666">
          <cell r="I1666">
            <v>202609</v>
          </cell>
          <cell r="K1666">
            <v>0</v>
          </cell>
          <cell r="N1666">
            <v>7</v>
          </cell>
          <cell r="O1666">
            <v>84</v>
          </cell>
        </row>
        <row r="1667">
          <cell r="I1667">
            <v>202609</v>
          </cell>
          <cell r="K1667">
            <v>0</v>
          </cell>
          <cell r="N1667">
            <v>7</v>
          </cell>
          <cell r="O1667">
            <v>84</v>
          </cell>
        </row>
        <row r="1668">
          <cell r="I1668">
            <v>202609</v>
          </cell>
          <cell r="K1668">
            <v>0</v>
          </cell>
          <cell r="N1668">
            <v>7</v>
          </cell>
          <cell r="O1668">
            <v>84</v>
          </cell>
        </row>
        <row r="1669">
          <cell r="I1669">
            <v>202609</v>
          </cell>
          <cell r="K1669">
            <v>0</v>
          </cell>
          <cell r="N1669">
            <v>7</v>
          </cell>
          <cell r="O1669">
            <v>84</v>
          </cell>
        </row>
        <row r="1670">
          <cell r="I1670">
            <v>202609</v>
          </cell>
          <cell r="K1670">
            <v>0</v>
          </cell>
          <cell r="N1670">
            <v>7</v>
          </cell>
          <cell r="O1670">
            <v>84</v>
          </cell>
        </row>
        <row r="1671">
          <cell r="I1671">
            <v>202609</v>
          </cell>
          <cell r="K1671">
            <v>0</v>
          </cell>
          <cell r="N1671">
            <v>7</v>
          </cell>
          <cell r="O1671">
            <v>84</v>
          </cell>
        </row>
        <row r="1672">
          <cell r="I1672">
            <v>202609</v>
          </cell>
          <cell r="K1672">
            <v>0</v>
          </cell>
          <cell r="N1672">
            <v>7</v>
          </cell>
          <cell r="O1672">
            <v>84</v>
          </cell>
        </row>
        <row r="1673">
          <cell r="I1673">
            <v>202609</v>
          </cell>
          <cell r="K1673">
            <v>0</v>
          </cell>
          <cell r="N1673">
            <v>7</v>
          </cell>
          <cell r="O1673">
            <v>84</v>
          </cell>
        </row>
        <row r="1674">
          <cell r="I1674">
            <v>202609</v>
          </cell>
          <cell r="K1674">
            <v>0</v>
          </cell>
          <cell r="N1674">
            <v>7</v>
          </cell>
          <cell r="O1674">
            <v>84</v>
          </cell>
        </row>
        <row r="1675">
          <cell r="I1675">
            <v>202609</v>
          </cell>
          <cell r="K1675">
            <v>0</v>
          </cell>
          <cell r="N1675">
            <v>7</v>
          </cell>
          <cell r="O1675">
            <v>84</v>
          </cell>
        </row>
        <row r="1676">
          <cell r="I1676">
            <v>202609</v>
          </cell>
          <cell r="K1676">
            <v>0</v>
          </cell>
          <cell r="N1676">
            <v>7</v>
          </cell>
          <cell r="O1676">
            <v>84</v>
          </cell>
        </row>
        <row r="1677">
          <cell r="I1677">
            <v>202609</v>
          </cell>
          <cell r="K1677">
            <v>0</v>
          </cell>
          <cell r="N1677">
            <v>7</v>
          </cell>
          <cell r="O1677">
            <v>84</v>
          </cell>
        </row>
        <row r="1678">
          <cell r="I1678">
            <v>202609</v>
          </cell>
          <cell r="K1678">
            <v>0</v>
          </cell>
          <cell r="N1678">
            <v>7</v>
          </cell>
          <cell r="O1678">
            <v>84</v>
          </cell>
        </row>
        <row r="1679">
          <cell r="I1679">
            <v>202609</v>
          </cell>
          <cell r="K1679">
            <v>0</v>
          </cell>
          <cell r="N1679">
            <v>7</v>
          </cell>
          <cell r="O1679">
            <v>84</v>
          </cell>
        </row>
        <row r="1680">
          <cell r="I1680">
            <v>202609</v>
          </cell>
          <cell r="K1680">
            <v>0</v>
          </cell>
          <cell r="N1680">
            <v>7</v>
          </cell>
          <cell r="O1680">
            <v>84</v>
          </cell>
        </row>
        <row r="1681">
          <cell r="I1681">
            <v>202609</v>
          </cell>
          <cell r="K1681">
            <v>0</v>
          </cell>
          <cell r="N1681">
            <v>7</v>
          </cell>
          <cell r="O1681">
            <v>84</v>
          </cell>
        </row>
        <row r="1682">
          <cell r="I1682">
            <v>202609</v>
          </cell>
          <cell r="K1682">
            <v>0</v>
          </cell>
          <cell r="N1682">
            <v>7</v>
          </cell>
          <cell r="O1682">
            <v>84</v>
          </cell>
        </row>
        <row r="1683">
          <cell r="I1683">
            <v>202609</v>
          </cell>
          <cell r="K1683">
            <v>0</v>
          </cell>
          <cell r="N1683">
            <v>7</v>
          </cell>
          <cell r="O1683">
            <v>84</v>
          </cell>
        </row>
        <row r="1684">
          <cell r="I1684">
            <v>202609</v>
          </cell>
          <cell r="K1684">
            <v>0</v>
          </cell>
          <cell r="N1684">
            <v>7</v>
          </cell>
          <cell r="O1684">
            <v>84</v>
          </cell>
        </row>
        <row r="1685">
          <cell r="I1685">
            <v>202609</v>
          </cell>
          <cell r="K1685">
            <v>0</v>
          </cell>
          <cell r="N1685">
            <v>7</v>
          </cell>
          <cell r="O1685">
            <v>84</v>
          </cell>
        </row>
        <row r="1686">
          <cell r="I1686">
            <v>202609</v>
          </cell>
          <cell r="K1686">
            <v>0</v>
          </cell>
          <cell r="N1686">
            <v>7</v>
          </cell>
          <cell r="O1686">
            <v>84</v>
          </cell>
        </row>
        <row r="1687">
          <cell r="I1687">
            <v>202609</v>
          </cell>
          <cell r="K1687">
            <v>0</v>
          </cell>
          <cell r="N1687">
            <v>7</v>
          </cell>
          <cell r="O1687">
            <v>84</v>
          </cell>
        </row>
        <row r="1688">
          <cell r="I1688">
            <v>202609</v>
          </cell>
          <cell r="K1688">
            <v>0</v>
          </cell>
          <cell r="N1688">
            <v>7</v>
          </cell>
          <cell r="O1688">
            <v>84</v>
          </cell>
        </row>
        <row r="1689">
          <cell r="I1689">
            <v>202609</v>
          </cell>
          <cell r="K1689">
            <v>0</v>
          </cell>
          <cell r="N1689">
            <v>7</v>
          </cell>
          <cell r="O1689">
            <v>84</v>
          </cell>
        </row>
        <row r="1690">
          <cell r="I1690">
            <v>202609</v>
          </cell>
          <cell r="K1690">
            <v>0</v>
          </cell>
          <cell r="N1690">
            <v>7</v>
          </cell>
          <cell r="O1690">
            <v>84</v>
          </cell>
        </row>
        <row r="1691">
          <cell r="I1691">
            <v>202609</v>
          </cell>
          <cell r="K1691">
            <v>0</v>
          </cell>
          <cell r="N1691">
            <v>7</v>
          </cell>
          <cell r="O1691">
            <v>84</v>
          </cell>
        </row>
        <row r="1692">
          <cell r="I1692">
            <v>202609</v>
          </cell>
          <cell r="K1692">
            <v>0</v>
          </cell>
          <cell r="N1692">
            <v>7</v>
          </cell>
          <cell r="O1692">
            <v>84</v>
          </cell>
        </row>
        <row r="1693">
          <cell r="I1693">
            <v>202609</v>
          </cell>
          <cell r="K1693">
            <v>0</v>
          </cell>
          <cell r="N1693">
            <v>7</v>
          </cell>
          <cell r="O1693">
            <v>84</v>
          </cell>
        </row>
        <row r="1694">
          <cell r="I1694">
            <v>202609</v>
          </cell>
          <cell r="K1694">
            <v>0</v>
          </cell>
          <cell r="N1694">
            <v>7</v>
          </cell>
          <cell r="O1694">
            <v>84</v>
          </cell>
        </row>
        <row r="1695">
          <cell r="I1695">
            <v>202609</v>
          </cell>
          <cell r="K1695">
            <v>0</v>
          </cell>
          <cell r="N1695">
            <v>7</v>
          </cell>
          <cell r="O1695">
            <v>84</v>
          </cell>
        </row>
        <row r="1696">
          <cell r="I1696">
            <v>202609</v>
          </cell>
          <cell r="K1696">
            <v>0</v>
          </cell>
          <cell r="N1696">
            <v>7</v>
          </cell>
          <cell r="O1696">
            <v>84</v>
          </cell>
        </row>
        <row r="1697">
          <cell r="I1697">
            <v>202609</v>
          </cell>
          <cell r="K1697">
            <v>0</v>
          </cell>
          <cell r="N1697">
            <v>7</v>
          </cell>
          <cell r="O1697">
            <v>84</v>
          </cell>
        </row>
        <row r="1698">
          <cell r="I1698">
            <v>202609</v>
          </cell>
          <cell r="K1698">
            <v>0</v>
          </cell>
          <cell r="N1698">
            <v>7</v>
          </cell>
          <cell r="O1698">
            <v>84</v>
          </cell>
        </row>
        <row r="1699">
          <cell r="I1699">
            <v>202609</v>
          </cell>
          <cell r="K1699">
            <v>0</v>
          </cell>
          <cell r="N1699">
            <v>7</v>
          </cell>
          <cell r="O1699">
            <v>84</v>
          </cell>
        </row>
        <row r="1700">
          <cell r="I1700">
            <v>202609</v>
          </cell>
          <cell r="K1700">
            <v>0</v>
          </cell>
          <cell r="N1700">
            <v>7</v>
          </cell>
          <cell r="O1700">
            <v>84</v>
          </cell>
        </row>
        <row r="1701">
          <cell r="I1701">
            <v>202609</v>
          </cell>
          <cell r="K1701">
            <v>0</v>
          </cell>
          <cell r="N1701">
            <v>7</v>
          </cell>
          <cell r="O1701">
            <v>84</v>
          </cell>
        </row>
        <row r="1702">
          <cell r="I1702">
            <v>202609</v>
          </cell>
          <cell r="K1702">
            <v>0</v>
          </cell>
          <cell r="N1702">
            <v>7</v>
          </cell>
          <cell r="O1702">
            <v>84</v>
          </cell>
        </row>
        <row r="1703">
          <cell r="I1703">
            <v>202609</v>
          </cell>
          <cell r="K1703">
            <v>0</v>
          </cell>
          <cell r="N1703">
            <v>7</v>
          </cell>
          <cell r="O1703">
            <v>84</v>
          </cell>
        </row>
        <row r="1704">
          <cell r="I1704">
            <v>202609</v>
          </cell>
          <cell r="K1704">
            <v>0</v>
          </cell>
          <cell r="N1704">
            <v>7</v>
          </cell>
          <cell r="O1704">
            <v>84</v>
          </cell>
        </row>
        <row r="1705">
          <cell r="I1705">
            <v>202609</v>
          </cell>
          <cell r="K1705">
            <v>0</v>
          </cell>
          <cell r="N1705">
            <v>7</v>
          </cell>
          <cell r="O1705">
            <v>84</v>
          </cell>
        </row>
        <row r="1706">
          <cell r="I1706">
            <v>202609</v>
          </cell>
          <cell r="K1706">
            <v>0</v>
          </cell>
          <cell r="N1706">
            <v>7</v>
          </cell>
          <cell r="O1706">
            <v>84</v>
          </cell>
        </row>
        <row r="1707">
          <cell r="I1707">
            <v>202609</v>
          </cell>
          <cell r="K1707">
            <v>0</v>
          </cell>
          <cell r="N1707">
            <v>7</v>
          </cell>
          <cell r="O1707">
            <v>84</v>
          </cell>
        </row>
        <row r="1708">
          <cell r="I1708">
            <v>202609</v>
          </cell>
          <cell r="K1708">
            <v>0</v>
          </cell>
          <cell r="N1708">
            <v>7</v>
          </cell>
          <cell r="O1708">
            <v>84</v>
          </cell>
        </row>
        <row r="1709">
          <cell r="I1709">
            <v>202609</v>
          </cell>
          <cell r="K1709">
            <v>0</v>
          </cell>
          <cell r="N1709">
            <v>7</v>
          </cell>
          <cell r="O1709">
            <v>84</v>
          </cell>
        </row>
        <row r="1710">
          <cell r="I1710">
            <v>202609</v>
          </cell>
          <cell r="K1710">
            <v>0</v>
          </cell>
          <cell r="N1710">
            <v>7</v>
          </cell>
          <cell r="O1710">
            <v>84</v>
          </cell>
        </row>
        <row r="1711">
          <cell r="I1711">
            <v>202609</v>
          </cell>
          <cell r="K1711">
            <v>0</v>
          </cell>
          <cell r="N1711">
            <v>7</v>
          </cell>
          <cell r="O1711">
            <v>84</v>
          </cell>
        </row>
        <row r="1712">
          <cell r="I1712">
            <v>202609</v>
          </cell>
          <cell r="K1712">
            <v>0</v>
          </cell>
          <cell r="N1712">
            <v>7</v>
          </cell>
          <cell r="O1712">
            <v>84</v>
          </cell>
        </row>
        <row r="1713">
          <cell r="I1713">
            <v>202609</v>
          </cell>
          <cell r="K1713">
            <v>0</v>
          </cell>
          <cell r="N1713">
            <v>7</v>
          </cell>
          <cell r="O1713">
            <v>84</v>
          </cell>
        </row>
        <row r="1714">
          <cell r="I1714">
            <v>202609</v>
          </cell>
          <cell r="K1714">
            <v>0</v>
          </cell>
          <cell r="N1714">
            <v>7</v>
          </cell>
          <cell r="O1714">
            <v>84</v>
          </cell>
        </row>
        <row r="1715">
          <cell r="I1715">
            <v>202609</v>
          </cell>
          <cell r="K1715">
            <v>0</v>
          </cell>
          <cell r="N1715">
            <v>7</v>
          </cell>
          <cell r="O1715">
            <v>84</v>
          </cell>
        </row>
        <row r="1716">
          <cell r="I1716">
            <v>202609</v>
          </cell>
          <cell r="K1716">
            <v>0</v>
          </cell>
          <cell r="N1716">
            <v>7</v>
          </cell>
          <cell r="O1716">
            <v>84</v>
          </cell>
        </row>
        <row r="1717">
          <cell r="I1717">
            <v>202609</v>
          </cell>
          <cell r="K1717">
            <v>0</v>
          </cell>
          <cell r="N1717">
            <v>7</v>
          </cell>
          <cell r="O1717">
            <v>84</v>
          </cell>
        </row>
        <row r="1718">
          <cell r="I1718">
            <v>202609</v>
          </cell>
          <cell r="K1718">
            <v>0</v>
          </cell>
          <cell r="N1718">
            <v>7</v>
          </cell>
          <cell r="O1718">
            <v>84</v>
          </cell>
        </row>
        <row r="1719">
          <cell r="I1719">
            <v>202609</v>
          </cell>
          <cell r="K1719">
            <v>0</v>
          </cell>
          <cell r="N1719">
            <v>7</v>
          </cell>
          <cell r="O1719">
            <v>84</v>
          </cell>
        </row>
        <row r="1720">
          <cell r="I1720">
            <v>202609</v>
          </cell>
          <cell r="K1720">
            <v>0</v>
          </cell>
          <cell r="N1720">
            <v>7</v>
          </cell>
          <cell r="O1720">
            <v>84</v>
          </cell>
        </row>
        <row r="1721">
          <cell r="I1721">
            <v>202609</v>
          </cell>
          <cell r="K1721">
            <v>0</v>
          </cell>
          <cell r="N1721">
            <v>7</v>
          </cell>
          <cell r="O1721">
            <v>84</v>
          </cell>
        </row>
        <row r="1722">
          <cell r="I1722">
            <v>202609</v>
          </cell>
          <cell r="K1722">
            <v>0</v>
          </cell>
          <cell r="N1722">
            <v>7</v>
          </cell>
          <cell r="O1722">
            <v>84</v>
          </cell>
        </row>
        <row r="1723">
          <cell r="I1723">
            <v>202609</v>
          </cell>
          <cell r="K1723">
            <v>0</v>
          </cell>
          <cell r="N1723">
            <v>7</v>
          </cell>
          <cell r="O1723">
            <v>84</v>
          </cell>
        </row>
        <row r="1724">
          <cell r="I1724">
            <v>202609</v>
          </cell>
          <cell r="K1724">
            <v>0</v>
          </cell>
          <cell r="N1724">
            <v>7</v>
          </cell>
          <cell r="O1724">
            <v>84</v>
          </cell>
        </row>
        <row r="1725">
          <cell r="I1725">
            <v>202609</v>
          </cell>
          <cell r="K1725">
            <v>0</v>
          </cell>
          <cell r="N1725">
            <v>7</v>
          </cell>
          <cell r="O1725">
            <v>84</v>
          </cell>
        </row>
        <row r="1726">
          <cell r="I1726">
            <v>202609</v>
          </cell>
          <cell r="K1726">
            <v>0</v>
          </cell>
          <cell r="N1726">
            <v>7</v>
          </cell>
          <cell r="O1726">
            <v>84</v>
          </cell>
        </row>
        <row r="1727">
          <cell r="I1727">
            <v>202609</v>
          </cell>
          <cell r="K1727">
            <v>0</v>
          </cell>
          <cell r="N1727">
            <v>7</v>
          </cell>
          <cell r="O1727">
            <v>84</v>
          </cell>
        </row>
        <row r="1728">
          <cell r="I1728">
            <v>202609</v>
          </cell>
          <cell r="K1728">
            <v>0</v>
          </cell>
          <cell r="N1728">
            <v>7</v>
          </cell>
          <cell r="O1728">
            <v>84</v>
          </cell>
        </row>
        <row r="1729">
          <cell r="I1729">
            <v>202609</v>
          </cell>
          <cell r="K1729">
            <v>0</v>
          </cell>
          <cell r="N1729">
            <v>7</v>
          </cell>
          <cell r="O1729">
            <v>84</v>
          </cell>
        </row>
        <row r="1730">
          <cell r="I1730">
            <v>202609</v>
          </cell>
          <cell r="K1730">
            <v>0</v>
          </cell>
          <cell r="N1730">
            <v>7</v>
          </cell>
          <cell r="O1730">
            <v>84</v>
          </cell>
        </row>
        <row r="1731">
          <cell r="I1731">
            <v>202609</v>
          </cell>
          <cell r="K1731">
            <v>0</v>
          </cell>
          <cell r="N1731">
            <v>7</v>
          </cell>
          <cell r="O1731">
            <v>84</v>
          </cell>
        </row>
        <row r="1732">
          <cell r="I1732">
            <v>202609</v>
          </cell>
          <cell r="K1732">
            <v>0</v>
          </cell>
          <cell r="N1732">
            <v>7</v>
          </cell>
          <cell r="O1732">
            <v>84</v>
          </cell>
        </row>
        <row r="1733">
          <cell r="I1733">
            <v>202609</v>
          </cell>
          <cell r="K1733">
            <v>0</v>
          </cell>
          <cell r="N1733">
            <v>7</v>
          </cell>
          <cell r="O1733">
            <v>84</v>
          </cell>
        </row>
        <row r="1734">
          <cell r="I1734">
            <v>202609</v>
          </cell>
          <cell r="K1734">
            <v>0</v>
          </cell>
          <cell r="N1734">
            <v>7</v>
          </cell>
          <cell r="O1734">
            <v>84</v>
          </cell>
        </row>
        <row r="1735">
          <cell r="I1735">
            <v>202609</v>
          </cell>
          <cell r="K1735">
            <v>0</v>
          </cell>
          <cell r="N1735">
            <v>7</v>
          </cell>
          <cell r="O1735">
            <v>84</v>
          </cell>
        </row>
        <row r="1736">
          <cell r="I1736">
            <v>202609</v>
          </cell>
          <cell r="K1736">
            <v>0</v>
          </cell>
          <cell r="N1736">
            <v>7</v>
          </cell>
          <cell r="O1736">
            <v>84</v>
          </cell>
        </row>
        <row r="1737">
          <cell r="I1737">
            <v>202609</v>
          </cell>
          <cell r="K1737">
            <v>0</v>
          </cell>
          <cell r="N1737">
            <v>7</v>
          </cell>
          <cell r="O1737">
            <v>84</v>
          </cell>
        </row>
        <row r="1738">
          <cell r="I1738">
            <v>202609</v>
          </cell>
          <cell r="K1738">
            <v>0</v>
          </cell>
          <cell r="N1738">
            <v>7</v>
          </cell>
          <cell r="O1738">
            <v>84</v>
          </cell>
        </row>
        <row r="1739">
          <cell r="I1739">
            <v>202609</v>
          </cell>
          <cell r="K1739">
            <v>0</v>
          </cell>
          <cell r="N1739">
            <v>7</v>
          </cell>
          <cell r="O1739">
            <v>84</v>
          </cell>
        </row>
        <row r="1740">
          <cell r="I1740">
            <v>202609</v>
          </cell>
          <cell r="K1740">
            <v>0</v>
          </cell>
          <cell r="N1740">
            <v>7</v>
          </cell>
          <cell r="O1740">
            <v>84</v>
          </cell>
        </row>
        <row r="1741">
          <cell r="I1741">
            <v>202609</v>
          </cell>
          <cell r="K1741">
            <v>0</v>
          </cell>
          <cell r="N1741">
            <v>7</v>
          </cell>
          <cell r="O1741">
            <v>84</v>
          </cell>
        </row>
        <row r="1742">
          <cell r="I1742">
            <v>202609</v>
          </cell>
          <cell r="K1742">
            <v>0</v>
          </cell>
          <cell r="N1742">
            <v>7</v>
          </cell>
          <cell r="O1742">
            <v>84</v>
          </cell>
        </row>
        <row r="1743">
          <cell r="I1743">
            <v>202609</v>
          </cell>
          <cell r="K1743">
            <v>0</v>
          </cell>
          <cell r="N1743">
            <v>7</v>
          </cell>
          <cell r="O1743">
            <v>84</v>
          </cell>
        </row>
        <row r="1744">
          <cell r="I1744">
            <v>202609</v>
          </cell>
          <cell r="K1744">
            <v>0</v>
          </cell>
          <cell r="N1744">
            <v>7</v>
          </cell>
          <cell r="O1744">
            <v>84</v>
          </cell>
        </row>
        <row r="1745">
          <cell r="I1745">
            <v>202609</v>
          </cell>
          <cell r="K1745">
            <v>0</v>
          </cell>
          <cell r="N1745">
            <v>7</v>
          </cell>
          <cell r="O1745">
            <v>84</v>
          </cell>
        </row>
        <row r="1746">
          <cell r="I1746">
            <v>202609</v>
          </cell>
          <cell r="K1746">
            <v>0</v>
          </cell>
          <cell r="N1746">
            <v>7</v>
          </cell>
          <cell r="O1746">
            <v>84</v>
          </cell>
        </row>
        <row r="1747">
          <cell r="I1747">
            <v>202609</v>
          </cell>
          <cell r="K1747">
            <v>0</v>
          </cell>
          <cell r="N1747">
            <v>7</v>
          </cell>
          <cell r="O1747">
            <v>84</v>
          </cell>
        </row>
        <row r="1748">
          <cell r="I1748">
            <v>202609</v>
          </cell>
          <cell r="K1748">
            <v>0</v>
          </cell>
          <cell r="N1748">
            <v>7</v>
          </cell>
          <cell r="O1748">
            <v>84</v>
          </cell>
        </row>
        <row r="1749">
          <cell r="I1749">
            <v>202609</v>
          </cell>
          <cell r="K1749">
            <v>0</v>
          </cell>
          <cell r="N1749">
            <v>7</v>
          </cell>
          <cell r="O1749">
            <v>84</v>
          </cell>
        </row>
        <row r="1750">
          <cell r="I1750">
            <v>202609</v>
          </cell>
          <cell r="K1750">
            <v>0</v>
          </cell>
          <cell r="N1750">
            <v>7</v>
          </cell>
          <cell r="O1750">
            <v>84</v>
          </cell>
        </row>
        <row r="1751">
          <cell r="I1751">
            <v>202609</v>
          </cell>
          <cell r="K1751">
            <v>0</v>
          </cell>
          <cell r="N1751">
            <v>7</v>
          </cell>
          <cell r="O1751">
            <v>84</v>
          </cell>
        </row>
        <row r="1752">
          <cell r="I1752">
            <v>202609</v>
          </cell>
          <cell r="K1752">
            <v>0</v>
          </cell>
          <cell r="N1752">
            <v>7</v>
          </cell>
          <cell r="O1752">
            <v>84</v>
          </cell>
        </row>
        <row r="1753">
          <cell r="I1753">
            <v>202609</v>
          </cell>
          <cell r="K1753">
            <v>0</v>
          </cell>
          <cell r="N1753">
            <v>7</v>
          </cell>
          <cell r="O1753">
            <v>84</v>
          </cell>
        </row>
        <row r="1754">
          <cell r="I1754">
            <v>202609</v>
          </cell>
          <cell r="K1754">
            <v>0</v>
          </cell>
          <cell r="N1754">
            <v>7</v>
          </cell>
          <cell r="O1754">
            <v>84</v>
          </cell>
        </row>
        <row r="1755">
          <cell r="I1755">
            <v>202609</v>
          </cell>
          <cell r="K1755">
            <v>0</v>
          </cell>
          <cell r="N1755">
            <v>7</v>
          </cell>
          <cell r="O1755">
            <v>84</v>
          </cell>
        </row>
        <row r="1756">
          <cell r="I1756">
            <v>202609</v>
          </cell>
          <cell r="K1756">
            <v>0</v>
          </cell>
          <cell r="N1756">
            <v>7</v>
          </cell>
          <cell r="O1756">
            <v>84</v>
          </cell>
        </row>
        <row r="1757">
          <cell r="I1757">
            <v>202609</v>
          </cell>
          <cell r="K1757">
            <v>0</v>
          </cell>
          <cell r="N1757">
            <v>7</v>
          </cell>
          <cell r="O1757">
            <v>84</v>
          </cell>
        </row>
        <row r="1758">
          <cell r="I1758">
            <v>202609</v>
          </cell>
          <cell r="K1758">
            <v>0</v>
          </cell>
          <cell r="N1758">
            <v>7</v>
          </cell>
          <cell r="O1758">
            <v>84</v>
          </cell>
        </row>
        <row r="1759">
          <cell r="I1759">
            <v>202609</v>
          </cell>
          <cell r="K1759">
            <v>0</v>
          </cell>
          <cell r="N1759">
            <v>7</v>
          </cell>
          <cell r="O1759">
            <v>84</v>
          </cell>
        </row>
        <row r="1760">
          <cell r="I1760">
            <v>202609</v>
          </cell>
          <cell r="K1760">
            <v>0</v>
          </cell>
          <cell r="N1760">
            <v>7</v>
          </cell>
          <cell r="O1760">
            <v>84</v>
          </cell>
        </row>
        <row r="1761">
          <cell r="I1761">
            <v>202609</v>
          </cell>
          <cell r="K1761">
            <v>0</v>
          </cell>
          <cell r="N1761">
            <v>7</v>
          </cell>
          <cell r="O1761">
            <v>84</v>
          </cell>
        </row>
        <row r="1762">
          <cell r="I1762">
            <v>202609</v>
          </cell>
          <cell r="K1762">
            <v>0</v>
          </cell>
          <cell r="N1762">
            <v>7</v>
          </cell>
          <cell r="O1762">
            <v>84</v>
          </cell>
        </row>
        <row r="1763">
          <cell r="I1763">
            <v>202609</v>
          </cell>
          <cell r="K1763">
            <v>0</v>
          </cell>
          <cell r="N1763">
            <v>7</v>
          </cell>
          <cell r="O1763">
            <v>84</v>
          </cell>
        </row>
        <row r="1764">
          <cell r="I1764">
            <v>202609</v>
          </cell>
          <cell r="K1764">
            <v>0</v>
          </cell>
          <cell r="N1764">
            <v>7</v>
          </cell>
          <cell r="O1764">
            <v>84</v>
          </cell>
        </row>
        <row r="1765">
          <cell r="I1765">
            <v>202609</v>
          </cell>
          <cell r="K1765">
            <v>0</v>
          </cell>
          <cell r="N1765">
            <v>7</v>
          </cell>
          <cell r="O1765">
            <v>84</v>
          </cell>
        </row>
        <row r="1766">
          <cell r="I1766">
            <v>202609</v>
          </cell>
          <cell r="K1766">
            <v>0</v>
          </cell>
          <cell r="N1766">
            <v>7</v>
          </cell>
          <cell r="O1766">
            <v>84</v>
          </cell>
        </row>
        <row r="1767">
          <cell r="I1767">
            <v>202609</v>
          </cell>
          <cell r="K1767">
            <v>0</v>
          </cell>
          <cell r="N1767">
            <v>7</v>
          </cell>
          <cell r="O1767">
            <v>84</v>
          </cell>
        </row>
        <row r="1768">
          <cell r="I1768">
            <v>202609</v>
          </cell>
          <cell r="K1768">
            <v>0</v>
          </cell>
          <cell r="N1768">
            <v>7</v>
          </cell>
          <cell r="O1768">
            <v>84</v>
          </cell>
        </row>
        <row r="1769">
          <cell r="I1769">
            <v>202609</v>
          </cell>
          <cell r="K1769">
            <v>0</v>
          </cell>
          <cell r="N1769">
            <v>7</v>
          </cell>
          <cell r="O1769">
            <v>84</v>
          </cell>
        </row>
        <row r="1770">
          <cell r="I1770">
            <v>202609</v>
          </cell>
          <cell r="K1770">
            <v>0</v>
          </cell>
          <cell r="N1770">
            <v>7</v>
          </cell>
          <cell r="O1770">
            <v>84</v>
          </cell>
        </row>
        <row r="1771">
          <cell r="I1771">
            <v>202609</v>
          </cell>
          <cell r="K1771">
            <v>0</v>
          </cell>
          <cell r="N1771">
            <v>7</v>
          </cell>
          <cell r="O1771">
            <v>84</v>
          </cell>
        </row>
        <row r="1772">
          <cell r="I1772">
            <v>202609</v>
          </cell>
          <cell r="K1772">
            <v>0</v>
          </cell>
          <cell r="N1772">
            <v>7</v>
          </cell>
          <cell r="O1772">
            <v>84</v>
          </cell>
        </row>
        <row r="1773">
          <cell r="I1773">
            <v>202609</v>
          </cell>
          <cell r="K1773">
            <v>0</v>
          </cell>
          <cell r="N1773">
            <v>7</v>
          </cell>
          <cell r="O1773">
            <v>84</v>
          </cell>
        </row>
        <row r="1774">
          <cell r="I1774">
            <v>202609</v>
          </cell>
          <cell r="K1774">
            <v>0</v>
          </cell>
          <cell r="N1774">
            <v>7</v>
          </cell>
          <cell r="O1774">
            <v>84</v>
          </cell>
        </row>
        <row r="1775">
          <cell r="I1775">
            <v>202609</v>
          </cell>
          <cell r="K1775">
            <v>0</v>
          </cell>
          <cell r="N1775">
            <v>7</v>
          </cell>
          <cell r="O1775">
            <v>84</v>
          </cell>
        </row>
        <row r="1776">
          <cell r="I1776">
            <v>202609</v>
          </cell>
          <cell r="K1776">
            <v>0</v>
          </cell>
          <cell r="N1776">
            <v>7</v>
          </cell>
          <cell r="O1776">
            <v>84</v>
          </cell>
        </row>
        <row r="1777">
          <cell r="I1777">
            <v>202609</v>
          </cell>
          <cell r="K1777">
            <v>0</v>
          </cell>
          <cell r="N1777">
            <v>7</v>
          </cell>
          <cell r="O1777">
            <v>84</v>
          </cell>
        </row>
        <row r="1778">
          <cell r="I1778">
            <v>202609</v>
          </cell>
          <cell r="K1778">
            <v>0</v>
          </cell>
          <cell r="N1778">
            <v>7</v>
          </cell>
          <cell r="O1778">
            <v>84</v>
          </cell>
        </row>
        <row r="1779">
          <cell r="I1779">
            <v>202609</v>
          </cell>
          <cell r="K1779">
            <v>0</v>
          </cell>
          <cell r="N1779">
            <v>7</v>
          </cell>
          <cell r="O1779">
            <v>84</v>
          </cell>
        </row>
        <row r="1780">
          <cell r="I1780">
            <v>202609</v>
          </cell>
          <cell r="K1780">
            <v>0</v>
          </cell>
          <cell r="N1780">
            <v>7</v>
          </cell>
          <cell r="O1780">
            <v>84</v>
          </cell>
        </row>
        <row r="1781">
          <cell r="I1781">
            <v>202609</v>
          </cell>
          <cell r="K1781">
            <v>0</v>
          </cell>
          <cell r="N1781">
            <v>7</v>
          </cell>
          <cell r="O1781">
            <v>84</v>
          </cell>
        </row>
        <row r="1782">
          <cell r="I1782">
            <v>202609</v>
          </cell>
          <cell r="K1782">
            <v>0</v>
          </cell>
          <cell r="N1782">
            <v>7</v>
          </cell>
          <cell r="O1782">
            <v>84</v>
          </cell>
        </row>
        <row r="1783">
          <cell r="I1783">
            <v>202609</v>
          </cell>
          <cell r="K1783">
            <v>0</v>
          </cell>
          <cell r="N1783">
            <v>7</v>
          </cell>
          <cell r="O1783">
            <v>84</v>
          </cell>
        </row>
        <row r="1784">
          <cell r="I1784">
            <v>202609</v>
          </cell>
          <cell r="K1784">
            <v>0</v>
          </cell>
          <cell r="N1784">
            <v>7</v>
          </cell>
          <cell r="O1784">
            <v>84</v>
          </cell>
        </row>
        <row r="1785">
          <cell r="I1785">
            <v>202609</v>
          </cell>
          <cell r="K1785">
            <v>0</v>
          </cell>
          <cell r="N1785">
            <v>7</v>
          </cell>
          <cell r="O1785">
            <v>84</v>
          </cell>
        </row>
        <row r="1786">
          <cell r="I1786">
            <v>202609</v>
          </cell>
          <cell r="K1786">
            <v>0</v>
          </cell>
          <cell r="N1786">
            <v>7</v>
          </cell>
          <cell r="O1786">
            <v>84</v>
          </cell>
        </row>
        <row r="1787">
          <cell r="I1787">
            <v>202609</v>
          </cell>
          <cell r="K1787">
            <v>0</v>
          </cell>
          <cell r="N1787">
            <v>7</v>
          </cell>
          <cell r="O1787">
            <v>84</v>
          </cell>
        </row>
        <row r="1788">
          <cell r="I1788">
            <v>202609</v>
          </cell>
          <cell r="K1788">
            <v>0</v>
          </cell>
          <cell r="N1788">
            <v>7</v>
          </cell>
          <cell r="O1788">
            <v>84</v>
          </cell>
        </row>
        <row r="1789">
          <cell r="I1789">
            <v>202609</v>
          </cell>
          <cell r="K1789">
            <v>0</v>
          </cell>
          <cell r="N1789">
            <v>7</v>
          </cell>
          <cell r="O1789">
            <v>84</v>
          </cell>
        </row>
        <row r="1790">
          <cell r="I1790">
            <v>202609</v>
          </cell>
          <cell r="K1790">
            <v>0</v>
          </cell>
          <cell r="N1790">
            <v>7</v>
          </cell>
          <cell r="O1790">
            <v>84</v>
          </cell>
        </row>
        <row r="1791">
          <cell r="I1791">
            <v>202609</v>
          </cell>
          <cell r="K1791">
            <v>0</v>
          </cell>
          <cell r="N1791">
            <v>7</v>
          </cell>
          <cell r="O1791">
            <v>84</v>
          </cell>
        </row>
        <row r="1792">
          <cell r="I1792">
            <v>202609</v>
          </cell>
          <cell r="K1792">
            <v>0</v>
          </cell>
          <cell r="N1792">
            <v>7</v>
          </cell>
          <cell r="O1792">
            <v>84</v>
          </cell>
        </row>
        <row r="1793">
          <cell r="I1793">
            <v>202609</v>
          </cell>
          <cell r="K1793">
            <v>0</v>
          </cell>
          <cell r="N1793">
            <v>7</v>
          </cell>
          <cell r="O1793">
            <v>84</v>
          </cell>
        </row>
        <row r="1794">
          <cell r="I1794">
            <v>202609</v>
          </cell>
          <cell r="K1794">
            <v>0</v>
          </cell>
          <cell r="N1794">
            <v>7</v>
          </cell>
          <cell r="O1794">
            <v>84</v>
          </cell>
        </row>
        <row r="1795">
          <cell r="I1795">
            <v>202609</v>
          </cell>
          <cell r="K1795">
            <v>0</v>
          </cell>
          <cell r="N1795">
            <v>7</v>
          </cell>
          <cell r="O1795">
            <v>84</v>
          </cell>
        </row>
        <row r="1796">
          <cell r="I1796">
            <v>202609</v>
          </cell>
          <cell r="K1796">
            <v>0</v>
          </cell>
          <cell r="N1796">
            <v>7</v>
          </cell>
          <cell r="O1796">
            <v>84</v>
          </cell>
        </row>
        <row r="1797">
          <cell r="I1797">
            <v>202609</v>
          </cell>
          <cell r="K1797">
            <v>0</v>
          </cell>
          <cell r="N1797">
            <v>7</v>
          </cell>
          <cell r="O1797">
            <v>84</v>
          </cell>
        </row>
        <row r="1798">
          <cell r="I1798">
            <v>202609</v>
          </cell>
          <cell r="K1798">
            <v>0</v>
          </cell>
          <cell r="N1798">
            <v>7</v>
          </cell>
          <cell r="O1798">
            <v>84</v>
          </cell>
        </row>
        <row r="1799">
          <cell r="I1799">
            <v>202609</v>
          </cell>
          <cell r="K1799">
            <v>0</v>
          </cell>
          <cell r="N1799">
            <v>7</v>
          </cell>
          <cell r="O1799">
            <v>84</v>
          </cell>
        </row>
        <row r="1800">
          <cell r="I1800">
            <v>202609</v>
          </cell>
          <cell r="K1800">
            <v>0</v>
          </cell>
          <cell r="N1800">
            <v>7</v>
          </cell>
          <cell r="O1800">
            <v>84</v>
          </cell>
        </row>
        <row r="1801">
          <cell r="I1801">
            <v>202609</v>
          </cell>
          <cell r="K1801">
            <v>0</v>
          </cell>
          <cell r="N1801">
            <v>7</v>
          </cell>
          <cell r="O1801">
            <v>84</v>
          </cell>
        </row>
        <row r="1802">
          <cell r="I1802">
            <v>202609</v>
          </cell>
          <cell r="K1802">
            <v>0</v>
          </cell>
          <cell r="N1802">
            <v>7</v>
          </cell>
          <cell r="O1802">
            <v>84</v>
          </cell>
        </row>
        <row r="1803">
          <cell r="I1803">
            <v>202609</v>
          </cell>
          <cell r="K1803">
            <v>0</v>
          </cell>
          <cell r="N1803">
            <v>7</v>
          </cell>
          <cell r="O1803">
            <v>84</v>
          </cell>
        </row>
        <row r="1804">
          <cell r="I1804">
            <v>202609</v>
          </cell>
          <cell r="K1804">
            <v>0</v>
          </cell>
          <cell r="N1804">
            <v>7</v>
          </cell>
          <cell r="O1804">
            <v>84</v>
          </cell>
        </row>
        <row r="1805">
          <cell r="I1805">
            <v>202609</v>
          </cell>
          <cell r="K1805">
            <v>0</v>
          </cell>
          <cell r="N1805">
            <v>7</v>
          </cell>
          <cell r="O1805">
            <v>84</v>
          </cell>
        </row>
        <row r="1806">
          <cell r="I1806">
            <v>202609</v>
          </cell>
          <cell r="K1806">
            <v>0</v>
          </cell>
          <cell r="N1806">
            <v>7</v>
          </cell>
          <cell r="O1806">
            <v>84</v>
          </cell>
        </row>
        <row r="1807">
          <cell r="I1807">
            <v>202609</v>
          </cell>
          <cell r="K1807">
            <v>0</v>
          </cell>
          <cell r="N1807">
            <v>7</v>
          </cell>
          <cell r="O1807">
            <v>84</v>
          </cell>
        </row>
        <row r="1808">
          <cell r="I1808">
            <v>202609</v>
          </cell>
          <cell r="K1808">
            <v>0</v>
          </cell>
          <cell r="N1808">
            <v>7</v>
          </cell>
          <cell r="O1808">
            <v>84</v>
          </cell>
        </row>
        <row r="1809">
          <cell r="I1809">
            <v>202609</v>
          </cell>
          <cell r="K1809">
            <v>0</v>
          </cell>
          <cell r="N1809">
            <v>7</v>
          </cell>
          <cell r="O1809">
            <v>84</v>
          </cell>
        </row>
        <row r="1810">
          <cell r="I1810">
            <v>202609</v>
          </cell>
          <cell r="K1810">
            <v>0</v>
          </cell>
          <cell r="N1810">
            <v>7</v>
          </cell>
          <cell r="O1810">
            <v>84</v>
          </cell>
        </row>
        <row r="1811">
          <cell r="I1811">
            <v>202609</v>
          </cell>
          <cell r="K1811">
            <v>0</v>
          </cell>
          <cell r="N1811">
            <v>7</v>
          </cell>
          <cell r="O1811">
            <v>84</v>
          </cell>
        </row>
        <row r="1812">
          <cell r="I1812">
            <v>202609</v>
          </cell>
          <cell r="K1812">
            <v>0</v>
          </cell>
          <cell r="N1812">
            <v>7</v>
          </cell>
          <cell r="O1812">
            <v>84</v>
          </cell>
        </row>
        <row r="1813">
          <cell r="I1813">
            <v>202609</v>
          </cell>
          <cell r="K1813">
            <v>0</v>
          </cell>
          <cell r="N1813">
            <v>7</v>
          </cell>
          <cell r="O1813">
            <v>84</v>
          </cell>
        </row>
        <row r="1814">
          <cell r="I1814">
            <v>202609</v>
          </cell>
          <cell r="K1814">
            <v>0</v>
          </cell>
          <cell r="N1814">
            <v>7</v>
          </cell>
          <cell r="O1814">
            <v>84</v>
          </cell>
        </row>
        <row r="1815">
          <cell r="I1815">
            <v>202609</v>
          </cell>
          <cell r="K1815">
            <v>0</v>
          </cell>
          <cell r="N1815">
            <v>7</v>
          </cell>
          <cell r="O1815">
            <v>84</v>
          </cell>
        </row>
        <row r="1816">
          <cell r="I1816">
            <v>202609</v>
          </cell>
          <cell r="K1816">
            <v>0</v>
          </cell>
          <cell r="N1816">
            <v>7</v>
          </cell>
          <cell r="O1816">
            <v>84</v>
          </cell>
        </row>
        <row r="1817">
          <cell r="I1817">
            <v>202609</v>
          </cell>
          <cell r="K1817">
            <v>0</v>
          </cell>
          <cell r="N1817">
            <v>7</v>
          </cell>
          <cell r="O1817">
            <v>84</v>
          </cell>
        </row>
        <row r="1818">
          <cell r="I1818">
            <v>202609</v>
          </cell>
          <cell r="K1818">
            <v>0</v>
          </cell>
          <cell r="N1818">
            <v>7</v>
          </cell>
          <cell r="O1818">
            <v>84</v>
          </cell>
        </row>
        <row r="1819">
          <cell r="I1819">
            <v>202609</v>
          </cell>
          <cell r="K1819">
            <v>0</v>
          </cell>
          <cell r="N1819">
            <v>7</v>
          </cell>
          <cell r="O1819">
            <v>84</v>
          </cell>
        </row>
        <row r="1820">
          <cell r="I1820">
            <v>202609</v>
          </cell>
          <cell r="K1820">
            <v>0</v>
          </cell>
          <cell r="N1820">
            <v>7</v>
          </cell>
          <cell r="O1820">
            <v>84</v>
          </cell>
        </row>
        <row r="1821">
          <cell r="I1821">
            <v>202609</v>
          </cell>
          <cell r="K1821">
            <v>0</v>
          </cell>
          <cell r="N1821">
            <v>7</v>
          </cell>
          <cell r="O1821">
            <v>84</v>
          </cell>
        </row>
        <row r="1822">
          <cell r="I1822">
            <v>202609</v>
          </cell>
          <cell r="K1822">
            <v>0</v>
          </cell>
          <cell r="N1822">
            <v>7</v>
          </cell>
          <cell r="O1822">
            <v>84</v>
          </cell>
        </row>
        <row r="1823">
          <cell r="I1823">
            <v>202609</v>
          </cell>
          <cell r="K1823">
            <v>0</v>
          </cell>
          <cell r="N1823">
            <v>7</v>
          </cell>
          <cell r="O1823">
            <v>84</v>
          </cell>
        </row>
        <row r="1824">
          <cell r="I1824">
            <v>202609</v>
          </cell>
          <cell r="K1824">
            <v>0</v>
          </cell>
          <cell r="N1824">
            <v>7</v>
          </cell>
          <cell r="O1824">
            <v>84</v>
          </cell>
        </row>
        <row r="1825">
          <cell r="I1825">
            <v>202609</v>
          </cell>
          <cell r="K1825">
            <v>0</v>
          </cell>
          <cell r="N1825">
            <v>7</v>
          </cell>
          <cell r="O1825">
            <v>84</v>
          </cell>
        </row>
        <row r="1826">
          <cell r="I1826">
            <v>202609</v>
          </cell>
          <cell r="K1826">
            <v>0</v>
          </cell>
          <cell r="N1826">
            <v>7</v>
          </cell>
          <cell r="O1826">
            <v>84</v>
          </cell>
        </row>
        <row r="1827">
          <cell r="I1827">
            <v>202609</v>
          </cell>
          <cell r="K1827">
            <v>0</v>
          </cell>
          <cell r="N1827">
            <v>7</v>
          </cell>
          <cell r="O1827">
            <v>84</v>
          </cell>
        </row>
        <row r="1828">
          <cell r="I1828">
            <v>202609</v>
          </cell>
          <cell r="K1828">
            <v>0</v>
          </cell>
          <cell r="N1828">
            <v>7</v>
          </cell>
          <cell r="O1828">
            <v>84</v>
          </cell>
        </row>
        <row r="1829">
          <cell r="I1829">
            <v>202609</v>
          </cell>
          <cell r="K1829">
            <v>0</v>
          </cell>
          <cell r="N1829">
            <v>7</v>
          </cell>
          <cell r="O1829">
            <v>84</v>
          </cell>
        </row>
        <row r="1830">
          <cell r="I1830">
            <v>202609</v>
          </cell>
          <cell r="K1830">
            <v>0</v>
          </cell>
          <cell r="N1830">
            <v>7</v>
          </cell>
          <cell r="O1830">
            <v>84</v>
          </cell>
        </row>
        <row r="1831">
          <cell r="I1831">
            <v>202609</v>
          </cell>
          <cell r="K1831">
            <v>0</v>
          </cell>
          <cell r="N1831">
            <v>7</v>
          </cell>
          <cell r="O1831">
            <v>84</v>
          </cell>
        </row>
        <row r="1832">
          <cell r="I1832">
            <v>202609</v>
          </cell>
          <cell r="K1832">
            <v>0</v>
          </cell>
          <cell r="N1832">
            <v>7</v>
          </cell>
          <cell r="O1832">
            <v>84</v>
          </cell>
        </row>
        <row r="1833">
          <cell r="I1833">
            <v>202609</v>
          </cell>
          <cell r="K1833">
            <v>0</v>
          </cell>
          <cell r="N1833">
            <v>7</v>
          </cell>
          <cell r="O1833">
            <v>84</v>
          </cell>
        </row>
        <row r="1834">
          <cell r="I1834">
            <v>202609</v>
          </cell>
          <cell r="K1834">
            <v>0</v>
          </cell>
          <cell r="N1834">
            <v>7</v>
          </cell>
          <cell r="O1834">
            <v>84</v>
          </cell>
        </row>
        <row r="1835">
          <cell r="I1835">
            <v>202609</v>
          </cell>
          <cell r="K1835">
            <v>0</v>
          </cell>
          <cell r="N1835">
            <v>7</v>
          </cell>
          <cell r="O1835">
            <v>84</v>
          </cell>
        </row>
        <row r="1836">
          <cell r="I1836">
            <v>202609</v>
          </cell>
          <cell r="K1836">
            <v>0</v>
          </cell>
          <cell r="N1836">
            <v>7</v>
          </cell>
          <cell r="O1836">
            <v>84</v>
          </cell>
        </row>
        <row r="1837">
          <cell r="I1837">
            <v>202609</v>
          </cell>
          <cell r="K1837">
            <v>0</v>
          </cell>
          <cell r="N1837">
            <v>7</v>
          </cell>
          <cell r="O1837">
            <v>84</v>
          </cell>
        </row>
        <row r="1838">
          <cell r="I1838">
            <v>202609</v>
          </cell>
          <cell r="K1838">
            <v>0</v>
          </cell>
          <cell r="N1838">
            <v>7</v>
          </cell>
          <cell r="O1838">
            <v>84</v>
          </cell>
        </row>
        <row r="1839">
          <cell r="I1839">
            <v>202609</v>
          </cell>
          <cell r="K1839">
            <v>0</v>
          </cell>
          <cell r="N1839">
            <v>7</v>
          </cell>
          <cell r="O1839">
            <v>84</v>
          </cell>
        </row>
        <row r="1840">
          <cell r="I1840">
            <v>202609</v>
          </cell>
          <cell r="K1840">
            <v>0</v>
          </cell>
          <cell r="N1840">
            <v>7</v>
          </cell>
          <cell r="O1840">
            <v>84</v>
          </cell>
        </row>
        <row r="1841">
          <cell r="I1841">
            <v>202609</v>
          </cell>
          <cell r="K1841">
            <v>0</v>
          </cell>
          <cell r="N1841">
            <v>7</v>
          </cell>
          <cell r="O1841">
            <v>84</v>
          </cell>
        </row>
        <row r="1842">
          <cell r="I1842">
            <v>202609</v>
          </cell>
          <cell r="K1842">
            <v>0</v>
          </cell>
          <cell r="N1842">
            <v>7</v>
          </cell>
          <cell r="O1842">
            <v>84</v>
          </cell>
        </row>
        <row r="1843">
          <cell r="I1843">
            <v>202609</v>
          </cell>
          <cell r="K1843">
            <v>0</v>
          </cell>
          <cell r="N1843">
            <v>7</v>
          </cell>
          <cell r="O1843">
            <v>84</v>
          </cell>
        </row>
        <row r="1844">
          <cell r="I1844">
            <v>202609</v>
          </cell>
          <cell r="K1844">
            <v>0</v>
          </cell>
          <cell r="N1844">
            <v>7</v>
          </cell>
          <cell r="O1844">
            <v>84</v>
          </cell>
        </row>
        <row r="1845">
          <cell r="I1845">
            <v>202609</v>
          </cell>
          <cell r="K1845">
            <v>0</v>
          </cell>
          <cell r="N1845">
            <v>7</v>
          </cell>
          <cell r="O1845">
            <v>84</v>
          </cell>
        </row>
        <row r="1846">
          <cell r="I1846">
            <v>202609</v>
          </cell>
          <cell r="K1846">
            <v>0</v>
          </cell>
          <cell r="N1846">
            <v>7</v>
          </cell>
          <cell r="O1846">
            <v>84</v>
          </cell>
        </row>
        <row r="1847">
          <cell r="I1847">
            <v>202609</v>
          </cell>
          <cell r="K1847">
            <v>0</v>
          </cell>
          <cell r="N1847">
            <v>7</v>
          </cell>
          <cell r="O1847">
            <v>84</v>
          </cell>
        </row>
        <row r="1848">
          <cell r="I1848">
            <v>202609</v>
          </cell>
          <cell r="K1848">
            <v>0</v>
          </cell>
          <cell r="N1848">
            <v>7</v>
          </cell>
          <cell r="O1848">
            <v>84</v>
          </cell>
        </row>
        <row r="1849">
          <cell r="I1849">
            <v>202609</v>
          </cell>
          <cell r="K1849">
            <v>0</v>
          </cell>
          <cell r="N1849">
            <v>7</v>
          </cell>
          <cell r="O1849">
            <v>84</v>
          </cell>
        </row>
        <row r="1850">
          <cell r="I1850">
            <v>202609</v>
          </cell>
          <cell r="K1850">
            <v>0</v>
          </cell>
          <cell r="N1850">
            <v>7</v>
          </cell>
          <cell r="O1850">
            <v>84</v>
          </cell>
        </row>
        <row r="1851">
          <cell r="I1851">
            <v>202609</v>
          </cell>
          <cell r="K1851">
            <v>0</v>
          </cell>
          <cell r="N1851">
            <v>7</v>
          </cell>
          <cell r="O1851">
            <v>84</v>
          </cell>
        </row>
        <row r="1852">
          <cell r="I1852">
            <v>202609</v>
          </cell>
          <cell r="K1852">
            <v>0</v>
          </cell>
          <cell r="N1852">
            <v>7</v>
          </cell>
          <cell r="O1852">
            <v>84</v>
          </cell>
        </row>
        <row r="1853">
          <cell r="I1853">
            <v>202609</v>
          </cell>
          <cell r="K1853">
            <v>0</v>
          </cell>
          <cell r="N1853">
            <v>7</v>
          </cell>
          <cell r="O1853">
            <v>84</v>
          </cell>
        </row>
        <row r="1854">
          <cell r="I1854">
            <v>202609</v>
          </cell>
          <cell r="K1854">
            <v>0</v>
          </cell>
          <cell r="N1854">
            <v>7</v>
          </cell>
          <cell r="O1854">
            <v>84</v>
          </cell>
        </row>
        <row r="1855">
          <cell r="I1855">
            <v>202609</v>
          </cell>
          <cell r="K1855">
            <v>0</v>
          </cell>
          <cell r="N1855">
            <v>7</v>
          </cell>
          <cell r="O1855">
            <v>84</v>
          </cell>
        </row>
        <row r="1856">
          <cell r="I1856">
            <v>202609</v>
          </cell>
          <cell r="K1856">
            <v>0</v>
          </cell>
          <cell r="N1856">
            <v>7</v>
          </cell>
          <cell r="O1856">
            <v>84</v>
          </cell>
        </row>
        <row r="1857">
          <cell r="I1857">
            <v>202609</v>
          </cell>
          <cell r="K1857">
            <v>0</v>
          </cell>
          <cell r="N1857">
            <v>7</v>
          </cell>
          <cell r="O1857">
            <v>84</v>
          </cell>
        </row>
        <row r="1858">
          <cell r="I1858">
            <v>202609</v>
          </cell>
          <cell r="K1858">
            <v>0</v>
          </cell>
          <cell r="N1858">
            <v>7</v>
          </cell>
          <cell r="O1858">
            <v>84</v>
          </cell>
        </row>
        <row r="1859">
          <cell r="I1859">
            <v>202609</v>
          </cell>
          <cell r="K1859">
            <v>0</v>
          </cell>
          <cell r="N1859">
            <v>7</v>
          </cell>
          <cell r="O1859">
            <v>84</v>
          </cell>
        </row>
        <row r="1860">
          <cell r="I1860">
            <v>202609</v>
          </cell>
          <cell r="K1860">
            <v>0</v>
          </cell>
          <cell r="N1860">
            <v>7</v>
          </cell>
          <cell r="O1860">
            <v>84</v>
          </cell>
        </row>
        <row r="1861">
          <cell r="I1861">
            <v>202609</v>
          </cell>
          <cell r="K1861">
            <v>0</v>
          </cell>
          <cell r="N1861">
            <v>7</v>
          </cell>
          <cell r="O1861">
            <v>84</v>
          </cell>
        </row>
        <row r="1862">
          <cell r="I1862">
            <v>202609</v>
          </cell>
          <cell r="K1862">
            <v>0</v>
          </cell>
          <cell r="N1862">
            <v>7</v>
          </cell>
          <cell r="O1862">
            <v>84</v>
          </cell>
        </row>
        <row r="1863">
          <cell r="I1863">
            <v>202609</v>
          </cell>
          <cell r="K1863">
            <v>0</v>
          </cell>
          <cell r="N1863">
            <v>7</v>
          </cell>
          <cell r="O1863">
            <v>84</v>
          </cell>
        </row>
        <row r="1864">
          <cell r="I1864">
            <v>202609</v>
          </cell>
          <cell r="K1864">
            <v>0</v>
          </cell>
          <cell r="N1864">
            <v>7</v>
          </cell>
          <cell r="O1864">
            <v>84</v>
          </cell>
        </row>
        <row r="1865">
          <cell r="I1865">
            <v>202609</v>
          </cell>
          <cell r="K1865">
            <v>0</v>
          </cell>
          <cell r="N1865">
            <v>7</v>
          </cell>
          <cell r="O1865">
            <v>84</v>
          </cell>
        </row>
        <row r="1866">
          <cell r="I1866">
            <v>202609</v>
          </cell>
          <cell r="K1866">
            <v>0</v>
          </cell>
          <cell r="N1866">
            <v>7</v>
          </cell>
          <cell r="O1866">
            <v>84</v>
          </cell>
        </row>
        <row r="1867">
          <cell r="I1867">
            <v>202609</v>
          </cell>
          <cell r="K1867">
            <v>0</v>
          </cell>
          <cell r="N1867">
            <v>7</v>
          </cell>
          <cell r="O1867">
            <v>84</v>
          </cell>
        </row>
        <row r="1868">
          <cell r="I1868">
            <v>202609</v>
          </cell>
          <cell r="K1868">
            <v>0</v>
          </cell>
          <cell r="N1868">
            <v>7</v>
          </cell>
          <cell r="O1868">
            <v>84</v>
          </cell>
        </row>
        <row r="1869">
          <cell r="I1869">
            <v>202609</v>
          </cell>
          <cell r="K1869">
            <v>0</v>
          </cell>
          <cell r="N1869">
            <v>7</v>
          </cell>
          <cell r="O1869">
            <v>84</v>
          </cell>
        </row>
        <row r="1870">
          <cell r="I1870">
            <v>202609</v>
          </cell>
          <cell r="K1870">
            <v>0</v>
          </cell>
          <cell r="N1870">
            <v>7</v>
          </cell>
          <cell r="O1870">
            <v>84</v>
          </cell>
        </row>
        <row r="1871">
          <cell r="I1871">
            <v>202609</v>
          </cell>
          <cell r="K1871">
            <v>0</v>
          </cell>
          <cell r="N1871">
            <v>7</v>
          </cell>
          <cell r="O1871">
            <v>84</v>
          </cell>
        </row>
        <row r="1872">
          <cell r="I1872">
            <v>202609</v>
          </cell>
          <cell r="K1872">
            <v>0</v>
          </cell>
          <cell r="N1872">
            <v>7</v>
          </cell>
          <cell r="O1872">
            <v>84</v>
          </cell>
        </row>
        <row r="1873">
          <cell r="I1873">
            <v>202609</v>
          </cell>
          <cell r="K1873">
            <v>0</v>
          </cell>
          <cell r="N1873">
            <v>7</v>
          </cell>
          <cell r="O1873">
            <v>84</v>
          </cell>
        </row>
        <row r="1874">
          <cell r="I1874">
            <v>202609</v>
          </cell>
          <cell r="K1874">
            <v>0</v>
          </cell>
          <cell r="N1874">
            <v>7</v>
          </cell>
          <cell r="O1874">
            <v>84</v>
          </cell>
        </row>
        <row r="1875">
          <cell r="I1875">
            <v>202609</v>
          </cell>
          <cell r="K1875">
            <v>0</v>
          </cell>
          <cell r="N1875">
            <v>7</v>
          </cell>
          <cell r="O1875">
            <v>84</v>
          </cell>
        </row>
        <row r="1876">
          <cell r="I1876">
            <v>202609</v>
          </cell>
          <cell r="K1876">
            <v>0</v>
          </cell>
          <cell r="N1876">
            <v>7</v>
          </cell>
          <cell r="O1876">
            <v>84</v>
          </cell>
        </row>
        <row r="1877">
          <cell r="I1877">
            <v>202609</v>
          </cell>
          <cell r="K1877">
            <v>0</v>
          </cell>
          <cell r="N1877">
            <v>7</v>
          </cell>
          <cell r="O1877">
            <v>84</v>
          </cell>
        </row>
        <row r="1878">
          <cell r="I1878">
            <v>202609</v>
          </cell>
          <cell r="K1878">
            <v>0</v>
          </cell>
          <cell r="N1878">
            <v>7</v>
          </cell>
          <cell r="O1878">
            <v>84</v>
          </cell>
        </row>
        <row r="1879">
          <cell r="I1879">
            <v>202609</v>
          </cell>
          <cell r="K1879">
            <v>0</v>
          </cell>
          <cell r="N1879">
            <v>7</v>
          </cell>
          <cell r="O1879">
            <v>84</v>
          </cell>
        </row>
        <row r="1880">
          <cell r="I1880">
            <v>202609</v>
          </cell>
          <cell r="K1880">
            <v>0</v>
          </cell>
          <cell r="N1880">
            <v>7</v>
          </cell>
          <cell r="O1880">
            <v>84</v>
          </cell>
        </row>
        <row r="1881">
          <cell r="I1881">
            <v>202609</v>
          </cell>
          <cell r="K1881">
            <v>0</v>
          </cell>
          <cell r="N1881">
            <v>7</v>
          </cell>
          <cell r="O1881">
            <v>84</v>
          </cell>
        </row>
        <row r="1882">
          <cell r="I1882">
            <v>202609</v>
          </cell>
          <cell r="K1882">
            <v>0</v>
          </cell>
          <cell r="N1882">
            <v>7</v>
          </cell>
          <cell r="O1882">
            <v>84</v>
          </cell>
        </row>
        <row r="1883">
          <cell r="I1883">
            <v>202609</v>
          </cell>
          <cell r="K1883">
            <v>0</v>
          </cell>
          <cell r="N1883">
            <v>7</v>
          </cell>
          <cell r="O1883">
            <v>84</v>
          </cell>
        </row>
        <row r="1884">
          <cell r="I1884">
            <v>202609</v>
          </cell>
          <cell r="K1884">
            <v>0</v>
          </cell>
          <cell r="N1884">
            <v>7</v>
          </cell>
          <cell r="O1884">
            <v>84</v>
          </cell>
        </row>
        <row r="1885">
          <cell r="I1885">
            <v>202609</v>
          </cell>
          <cell r="K1885">
            <v>0</v>
          </cell>
          <cell r="N1885">
            <v>7</v>
          </cell>
          <cell r="O1885">
            <v>84</v>
          </cell>
        </row>
        <row r="1886">
          <cell r="I1886">
            <v>202609</v>
          </cell>
          <cell r="K1886">
            <v>0</v>
          </cell>
          <cell r="N1886">
            <v>7</v>
          </cell>
          <cell r="O1886">
            <v>84</v>
          </cell>
        </row>
        <row r="1887">
          <cell r="I1887">
            <v>202609</v>
          </cell>
          <cell r="K1887">
            <v>0</v>
          </cell>
          <cell r="N1887">
            <v>7</v>
          </cell>
          <cell r="O1887">
            <v>84</v>
          </cell>
        </row>
        <row r="1888">
          <cell r="I1888">
            <v>202609</v>
          </cell>
          <cell r="K1888">
            <v>0</v>
          </cell>
          <cell r="N1888">
            <v>7</v>
          </cell>
          <cell r="O1888">
            <v>84</v>
          </cell>
        </row>
        <row r="1889">
          <cell r="I1889">
            <v>202609</v>
          </cell>
          <cell r="K1889">
            <v>0</v>
          </cell>
          <cell r="N1889">
            <v>7</v>
          </cell>
          <cell r="O1889">
            <v>84</v>
          </cell>
        </row>
        <row r="1890">
          <cell r="I1890">
            <v>202609</v>
          </cell>
          <cell r="K1890">
            <v>0</v>
          </cell>
          <cell r="N1890">
            <v>7</v>
          </cell>
          <cell r="O1890">
            <v>84</v>
          </cell>
        </row>
        <row r="1891">
          <cell r="I1891">
            <v>202609</v>
          </cell>
          <cell r="K1891">
            <v>0</v>
          </cell>
          <cell r="N1891">
            <v>7</v>
          </cell>
          <cell r="O1891">
            <v>84</v>
          </cell>
        </row>
        <row r="1892">
          <cell r="I1892">
            <v>202609</v>
          </cell>
          <cell r="K1892">
            <v>0</v>
          </cell>
          <cell r="N1892">
            <v>7</v>
          </cell>
          <cell r="O1892">
            <v>84</v>
          </cell>
        </row>
        <row r="1893">
          <cell r="I1893">
            <v>202609</v>
          </cell>
          <cell r="K1893">
            <v>0</v>
          </cell>
          <cell r="N1893">
            <v>7</v>
          </cell>
          <cell r="O1893">
            <v>84</v>
          </cell>
        </row>
        <row r="1894">
          <cell r="I1894">
            <v>202609</v>
          </cell>
          <cell r="K1894">
            <v>0</v>
          </cell>
          <cell r="N1894">
            <v>7</v>
          </cell>
          <cell r="O1894">
            <v>84</v>
          </cell>
        </row>
        <row r="1895">
          <cell r="I1895">
            <v>202609</v>
          </cell>
          <cell r="K1895">
            <v>0</v>
          </cell>
          <cell r="N1895">
            <v>7</v>
          </cell>
          <cell r="O1895">
            <v>84</v>
          </cell>
        </row>
        <row r="1896">
          <cell r="I1896">
            <v>202609</v>
          </cell>
          <cell r="K1896">
            <v>0</v>
          </cell>
          <cell r="N1896">
            <v>7</v>
          </cell>
          <cell r="O1896">
            <v>84</v>
          </cell>
        </row>
        <row r="1897">
          <cell r="I1897">
            <v>202609</v>
          </cell>
          <cell r="K1897">
            <v>0</v>
          </cell>
          <cell r="N1897">
            <v>7</v>
          </cell>
          <cell r="O1897">
            <v>84</v>
          </cell>
        </row>
        <row r="1898">
          <cell r="I1898">
            <v>202609</v>
          </cell>
          <cell r="K1898">
            <v>0</v>
          </cell>
          <cell r="N1898">
            <v>7</v>
          </cell>
          <cell r="O1898">
            <v>84</v>
          </cell>
        </row>
        <row r="1899">
          <cell r="I1899">
            <v>202609</v>
          </cell>
          <cell r="K1899">
            <v>0</v>
          </cell>
          <cell r="N1899">
            <v>7</v>
          </cell>
          <cell r="O1899">
            <v>84</v>
          </cell>
        </row>
        <row r="1900">
          <cell r="I1900">
            <v>202609</v>
          </cell>
          <cell r="K1900">
            <v>0</v>
          </cell>
          <cell r="N1900">
            <v>7</v>
          </cell>
          <cell r="O1900">
            <v>84</v>
          </cell>
        </row>
        <row r="1901">
          <cell r="I1901">
            <v>202609</v>
          </cell>
          <cell r="K1901">
            <v>0</v>
          </cell>
          <cell r="N1901">
            <v>7</v>
          </cell>
          <cell r="O1901">
            <v>84</v>
          </cell>
        </row>
        <row r="1902">
          <cell r="I1902">
            <v>202609</v>
          </cell>
          <cell r="K1902">
            <v>0</v>
          </cell>
          <cell r="N1902">
            <v>7</v>
          </cell>
          <cell r="O1902">
            <v>84</v>
          </cell>
        </row>
        <row r="1903">
          <cell r="I1903">
            <v>202609</v>
          </cell>
          <cell r="K1903">
            <v>0</v>
          </cell>
          <cell r="N1903">
            <v>7</v>
          </cell>
          <cell r="O1903">
            <v>84</v>
          </cell>
        </row>
        <row r="1904">
          <cell r="I1904">
            <v>202609</v>
          </cell>
          <cell r="K1904">
            <v>0</v>
          </cell>
          <cell r="N1904">
            <v>7</v>
          </cell>
          <cell r="O1904">
            <v>84</v>
          </cell>
        </row>
        <row r="1905">
          <cell r="I1905">
            <v>202609</v>
          </cell>
          <cell r="K1905">
            <v>0</v>
          </cell>
          <cell r="N1905">
            <v>7</v>
          </cell>
          <cell r="O1905">
            <v>84</v>
          </cell>
        </row>
        <row r="1906">
          <cell r="I1906">
            <v>202609</v>
          </cell>
          <cell r="K1906">
            <v>0</v>
          </cell>
          <cell r="N1906">
            <v>7</v>
          </cell>
          <cell r="O1906">
            <v>84</v>
          </cell>
        </row>
        <row r="1907">
          <cell r="I1907">
            <v>202609</v>
          </cell>
          <cell r="K1907">
            <v>0</v>
          </cell>
          <cell r="N1907">
            <v>7</v>
          </cell>
          <cell r="O1907">
            <v>84</v>
          </cell>
        </row>
        <row r="1908">
          <cell r="I1908">
            <v>202609</v>
          </cell>
          <cell r="K1908">
            <v>0</v>
          </cell>
          <cell r="N1908">
            <v>7</v>
          </cell>
          <cell r="O1908">
            <v>84</v>
          </cell>
        </row>
        <row r="1909">
          <cell r="I1909">
            <v>202609</v>
          </cell>
          <cell r="K1909">
            <v>0</v>
          </cell>
          <cell r="N1909">
            <v>7</v>
          </cell>
          <cell r="O1909">
            <v>84</v>
          </cell>
        </row>
        <row r="1910">
          <cell r="I1910">
            <v>202609</v>
          </cell>
          <cell r="K1910">
            <v>0</v>
          </cell>
          <cell r="N1910">
            <v>7</v>
          </cell>
          <cell r="O1910">
            <v>84</v>
          </cell>
        </row>
        <row r="1911">
          <cell r="I1911">
            <v>202609</v>
          </cell>
          <cell r="K1911">
            <v>0</v>
          </cell>
          <cell r="N1911">
            <v>7</v>
          </cell>
          <cell r="O1911">
            <v>84</v>
          </cell>
        </row>
        <row r="1912">
          <cell r="I1912">
            <v>202609</v>
          </cell>
          <cell r="K1912">
            <v>0</v>
          </cell>
          <cell r="N1912">
            <v>7</v>
          </cell>
          <cell r="O1912">
            <v>84</v>
          </cell>
        </row>
        <row r="1913">
          <cell r="I1913">
            <v>202609</v>
          </cell>
          <cell r="K1913">
            <v>0</v>
          </cell>
          <cell r="N1913">
            <v>7</v>
          </cell>
          <cell r="O1913">
            <v>84</v>
          </cell>
        </row>
        <row r="1914">
          <cell r="I1914">
            <v>202609</v>
          </cell>
          <cell r="K1914">
            <v>0</v>
          </cell>
          <cell r="N1914">
            <v>7</v>
          </cell>
          <cell r="O1914">
            <v>84</v>
          </cell>
        </row>
        <row r="1915">
          <cell r="I1915">
            <v>202609</v>
          </cell>
          <cell r="K1915">
            <v>0</v>
          </cell>
          <cell r="N1915">
            <v>7</v>
          </cell>
          <cell r="O1915">
            <v>84</v>
          </cell>
        </row>
        <row r="1916">
          <cell r="I1916">
            <v>202609</v>
          </cell>
          <cell r="K1916">
            <v>0</v>
          </cell>
          <cell r="N1916">
            <v>7</v>
          </cell>
          <cell r="O1916">
            <v>84</v>
          </cell>
        </row>
        <row r="1917">
          <cell r="I1917">
            <v>202609</v>
          </cell>
          <cell r="K1917">
            <v>0</v>
          </cell>
          <cell r="N1917">
            <v>7</v>
          </cell>
          <cell r="O1917">
            <v>84</v>
          </cell>
        </row>
        <row r="1918">
          <cell r="I1918">
            <v>202609</v>
          </cell>
          <cell r="K1918">
            <v>0</v>
          </cell>
          <cell r="N1918">
            <v>7</v>
          </cell>
          <cell r="O1918">
            <v>84</v>
          </cell>
        </row>
        <row r="1919">
          <cell r="I1919">
            <v>202609</v>
          </cell>
          <cell r="K1919">
            <v>0</v>
          </cell>
          <cell r="N1919">
            <v>7</v>
          </cell>
          <cell r="O1919">
            <v>84</v>
          </cell>
        </row>
        <row r="1920">
          <cell r="I1920">
            <v>202609</v>
          </cell>
          <cell r="K1920">
            <v>0</v>
          </cell>
          <cell r="N1920">
            <v>7</v>
          </cell>
          <cell r="O1920">
            <v>84</v>
          </cell>
        </row>
        <row r="1921">
          <cell r="I1921">
            <v>202609</v>
          </cell>
          <cell r="K1921">
            <v>0</v>
          </cell>
          <cell r="N1921">
            <v>7</v>
          </cell>
          <cell r="O1921">
            <v>84</v>
          </cell>
        </row>
        <row r="1922">
          <cell r="I1922">
            <v>202609</v>
          </cell>
          <cell r="K1922">
            <v>0</v>
          </cell>
          <cell r="N1922">
            <v>7</v>
          </cell>
          <cell r="O1922">
            <v>84</v>
          </cell>
        </row>
        <row r="1923">
          <cell r="I1923">
            <v>202609</v>
          </cell>
          <cell r="K1923">
            <v>0</v>
          </cell>
          <cell r="N1923">
            <v>7</v>
          </cell>
          <cell r="O1923">
            <v>84</v>
          </cell>
        </row>
        <row r="1924">
          <cell r="I1924">
            <v>202609</v>
          </cell>
          <cell r="K1924">
            <v>0</v>
          </cell>
          <cell r="N1924">
            <v>7</v>
          </cell>
          <cell r="O1924">
            <v>84</v>
          </cell>
        </row>
        <row r="1925">
          <cell r="I1925">
            <v>202609</v>
          </cell>
          <cell r="K1925">
            <v>0</v>
          </cell>
          <cell r="N1925">
            <v>7</v>
          </cell>
          <cell r="O1925">
            <v>84</v>
          </cell>
        </row>
        <row r="1926">
          <cell r="I1926">
            <v>202609</v>
          </cell>
          <cell r="K1926">
            <v>0</v>
          </cell>
          <cell r="N1926">
            <v>7</v>
          </cell>
          <cell r="O1926">
            <v>84</v>
          </cell>
        </row>
        <row r="1927">
          <cell r="I1927">
            <v>202609</v>
          </cell>
          <cell r="K1927">
            <v>0</v>
          </cell>
          <cell r="N1927">
            <v>7</v>
          </cell>
          <cell r="O1927">
            <v>84</v>
          </cell>
        </row>
        <row r="1928">
          <cell r="I1928">
            <v>202609</v>
          </cell>
          <cell r="K1928">
            <v>0</v>
          </cell>
          <cell r="N1928">
            <v>7</v>
          </cell>
          <cell r="O1928">
            <v>84</v>
          </cell>
        </row>
        <row r="1929">
          <cell r="I1929">
            <v>202609</v>
          </cell>
          <cell r="K1929">
            <v>0</v>
          </cell>
          <cell r="N1929">
            <v>7</v>
          </cell>
          <cell r="O1929">
            <v>84</v>
          </cell>
        </row>
        <row r="1930">
          <cell r="I1930">
            <v>202609</v>
          </cell>
          <cell r="K1930">
            <v>0</v>
          </cell>
          <cell r="N1930">
            <v>7</v>
          </cell>
          <cell r="O1930">
            <v>84</v>
          </cell>
        </row>
        <row r="1931">
          <cell r="I1931">
            <v>202609</v>
          </cell>
          <cell r="K1931">
            <v>0</v>
          </cell>
          <cell r="N1931">
            <v>7</v>
          </cell>
          <cell r="O1931">
            <v>84</v>
          </cell>
        </row>
        <row r="1932">
          <cell r="I1932">
            <v>202609</v>
          </cell>
          <cell r="K1932">
            <v>0</v>
          </cell>
          <cell r="N1932">
            <v>7</v>
          </cell>
          <cell r="O1932">
            <v>84</v>
          </cell>
        </row>
        <row r="1933">
          <cell r="I1933">
            <v>202609</v>
          </cell>
          <cell r="K1933">
            <v>0</v>
          </cell>
          <cell r="N1933">
            <v>7</v>
          </cell>
          <cell r="O1933">
            <v>84</v>
          </cell>
        </row>
        <row r="1934">
          <cell r="I1934">
            <v>202609</v>
          </cell>
          <cell r="K1934">
            <v>0</v>
          </cell>
          <cell r="N1934">
            <v>7</v>
          </cell>
          <cell r="O1934">
            <v>84</v>
          </cell>
        </row>
        <row r="1935">
          <cell r="I1935">
            <v>202609</v>
          </cell>
          <cell r="K1935">
            <v>0</v>
          </cell>
          <cell r="N1935">
            <v>7</v>
          </cell>
          <cell r="O1935">
            <v>84</v>
          </cell>
        </row>
        <row r="1936">
          <cell r="I1936">
            <v>202609</v>
          </cell>
          <cell r="K1936">
            <v>0</v>
          </cell>
          <cell r="N1936">
            <v>7</v>
          </cell>
          <cell r="O1936">
            <v>84</v>
          </cell>
        </row>
        <row r="1937">
          <cell r="I1937">
            <v>202609</v>
          </cell>
          <cell r="K1937">
            <v>0</v>
          </cell>
          <cell r="N1937">
            <v>7</v>
          </cell>
          <cell r="O1937">
            <v>84</v>
          </cell>
        </row>
        <row r="1938">
          <cell r="I1938">
            <v>202609</v>
          </cell>
          <cell r="K1938">
            <v>0</v>
          </cell>
          <cell r="N1938">
            <v>7</v>
          </cell>
          <cell r="O1938">
            <v>84</v>
          </cell>
        </row>
        <row r="1939">
          <cell r="I1939">
            <v>202609</v>
          </cell>
          <cell r="K1939">
            <v>0</v>
          </cell>
          <cell r="N1939">
            <v>7</v>
          </cell>
          <cell r="O1939">
            <v>84</v>
          </cell>
        </row>
        <row r="1940">
          <cell r="I1940">
            <v>202609</v>
          </cell>
          <cell r="K1940">
            <v>0</v>
          </cell>
          <cell r="N1940">
            <v>7</v>
          </cell>
          <cell r="O1940">
            <v>84</v>
          </cell>
        </row>
        <row r="1941">
          <cell r="I1941">
            <v>202609</v>
          </cell>
          <cell r="K1941">
            <v>0</v>
          </cell>
          <cell r="N1941">
            <v>7</v>
          </cell>
          <cell r="O1941">
            <v>84</v>
          </cell>
        </row>
        <row r="1942">
          <cell r="I1942">
            <v>202609</v>
          </cell>
          <cell r="K1942">
            <v>0</v>
          </cell>
          <cell r="N1942">
            <v>7</v>
          </cell>
          <cell r="O1942">
            <v>84</v>
          </cell>
        </row>
        <row r="1943">
          <cell r="I1943">
            <v>202609</v>
          </cell>
          <cell r="K1943">
            <v>0</v>
          </cell>
          <cell r="N1943">
            <v>7</v>
          </cell>
          <cell r="O1943">
            <v>84</v>
          </cell>
        </row>
        <row r="1944">
          <cell r="I1944">
            <v>202609</v>
          </cell>
          <cell r="K1944">
            <v>0</v>
          </cell>
          <cell r="N1944">
            <v>7</v>
          </cell>
          <cell r="O1944">
            <v>84</v>
          </cell>
        </row>
        <row r="1945">
          <cell r="I1945">
            <v>202609</v>
          </cell>
          <cell r="K1945">
            <v>0</v>
          </cell>
          <cell r="N1945">
            <v>7</v>
          </cell>
          <cell r="O1945">
            <v>84</v>
          </cell>
        </row>
        <row r="1946">
          <cell r="I1946">
            <v>202609</v>
          </cell>
          <cell r="K1946">
            <v>0</v>
          </cell>
          <cell r="N1946">
            <v>7</v>
          </cell>
          <cell r="O1946">
            <v>84</v>
          </cell>
        </row>
        <row r="1947">
          <cell r="I1947">
            <v>202609</v>
          </cell>
          <cell r="K1947">
            <v>0</v>
          </cell>
          <cell r="N1947">
            <v>7</v>
          </cell>
          <cell r="O1947">
            <v>84</v>
          </cell>
        </row>
        <row r="1948">
          <cell r="I1948">
            <v>202609</v>
          </cell>
          <cell r="K1948">
            <v>0</v>
          </cell>
          <cell r="N1948">
            <v>7</v>
          </cell>
          <cell r="O1948">
            <v>84</v>
          </cell>
        </row>
        <row r="1949">
          <cell r="I1949">
            <v>202609</v>
          </cell>
          <cell r="K1949">
            <v>0</v>
          </cell>
          <cell r="N1949">
            <v>7</v>
          </cell>
          <cell r="O1949">
            <v>84</v>
          </cell>
        </row>
        <row r="1950">
          <cell r="I1950">
            <v>202609</v>
          </cell>
          <cell r="K1950">
            <v>0</v>
          </cell>
          <cell r="N1950">
            <v>7</v>
          </cell>
          <cell r="O1950">
            <v>84</v>
          </cell>
        </row>
        <row r="1951">
          <cell r="I1951">
            <v>202609</v>
          </cell>
          <cell r="K1951">
            <v>0</v>
          </cell>
          <cell r="N1951">
            <v>7</v>
          </cell>
          <cell r="O1951">
            <v>84</v>
          </cell>
        </row>
        <row r="1952">
          <cell r="I1952">
            <v>202609</v>
          </cell>
          <cell r="K1952">
            <v>0</v>
          </cell>
          <cell r="N1952">
            <v>7</v>
          </cell>
          <cell r="O1952">
            <v>84</v>
          </cell>
        </row>
        <row r="1953">
          <cell r="I1953">
            <v>202609</v>
          </cell>
          <cell r="K1953">
            <v>0</v>
          </cell>
          <cell r="N1953">
            <v>7</v>
          </cell>
          <cell r="O1953">
            <v>84</v>
          </cell>
        </row>
        <row r="1954">
          <cell r="I1954">
            <v>202609</v>
          </cell>
          <cell r="K1954">
            <v>0</v>
          </cell>
          <cell r="N1954">
            <v>7</v>
          </cell>
          <cell r="O1954">
            <v>84</v>
          </cell>
        </row>
        <row r="1955">
          <cell r="I1955">
            <v>202609</v>
          </cell>
          <cell r="K1955">
            <v>0</v>
          </cell>
          <cell r="N1955">
            <v>7</v>
          </cell>
          <cell r="O1955">
            <v>84</v>
          </cell>
        </row>
        <row r="1956">
          <cell r="I1956">
            <v>202609</v>
          </cell>
          <cell r="K1956">
            <v>0</v>
          </cell>
          <cell r="N1956">
            <v>7</v>
          </cell>
          <cell r="O1956">
            <v>84</v>
          </cell>
        </row>
        <row r="1957">
          <cell r="I1957">
            <v>202609</v>
          </cell>
          <cell r="K1957">
            <v>0</v>
          </cell>
          <cell r="N1957">
            <v>7</v>
          </cell>
          <cell r="O1957">
            <v>84</v>
          </cell>
        </row>
        <row r="1958">
          <cell r="I1958">
            <v>202609</v>
          </cell>
          <cell r="K1958">
            <v>0</v>
          </cell>
          <cell r="N1958">
            <v>7</v>
          </cell>
          <cell r="O1958">
            <v>84</v>
          </cell>
        </row>
        <row r="1959">
          <cell r="I1959">
            <v>202609</v>
          </cell>
          <cell r="K1959">
            <v>0</v>
          </cell>
          <cell r="N1959">
            <v>7</v>
          </cell>
          <cell r="O1959">
            <v>84</v>
          </cell>
        </row>
        <row r="1960">
          <cell r="I1960">
            <v>202609</v>
          </cell>
          <cell r="K1960">
            <v>0</v>
          </cell>
          <cell r="N1960">
            <v>7</v>
          </cell>
          <cell r="O1960">
            <v>84</v>
          </cell>
        </row>
        <row r="1961">
          <cell r="I1961">
            <v>202609</v>
          </cell>
          <cell r="K1961">
            <v>0</v>
          </cell>
          <cell r="N1961">
            <v>7</v>
          </cell>
          <cell r="O1961">
            <v>84</v>
          </cell>
        </row>
        <row r="1962">
          <cell r="I1962">
            <v>202609</v>
          </cell>
          <cell r="K1962">
            <v>0</v>
          </cell>
          <cell r="N1962">
            <v>7</v>
          </cell>
          <cell r="O1962">
            <v>84</v>
          </cell>
        </row>
        <row r="1963">
          <cell r="I1963">
            <v>202609</v>
          </cell>
          <cell r="K1963">
            <v>0</v>
          </cell>
          <cell r="N1963">
            <v>7</v>
          </cell>
          <cell r="O1963">
            <v>84</v>
          </cell>
        </row>
        <row r="1964">
          <cell r="I1964">
            <v>202609</v>
          </cell>
          <cell r="K1964">
            <v>0</v>
          </cell>
          <cell r="N1964">
            <v>7</v>
          </cell>
          <cell r="O1964">
            <v>84</v>
          </cell>
        </row>
        <row r="1965">
          <cell r="I1965">
            <v>202609</v>
          </cell>
          <cell r="K1965">
            <v>0</v>
          </cell>
          <cell r="N1965">
            <v>7</v>
          </cell>
          <cell r="O1965">
            <v>84</v>
          </cell>
        </row>
        <row r="1966">
          <cell r="I1966">
            <v>202609</v>
          </cell>
          <cell r="K1966">
            <v>0</v>
          </cell>
          <cell r="N1966">
            <v>7</v>
          </cell>
          <cell r="O1966">
            <v>84</v>
          </cell>
        </row>
        <row r="1967">
          <cell r="I1967">
            <v>202609</v>
          </cell>
          <cell r="K1967">
            <v>0</v>
          </cell>
          <cell r="N1967">
            <v>7</v>
          </cell>
          <cell r="O1967">
            <v>84</v>
          </cell>
        </row>
        <row r="1968">
          <cell r="I1968">
            <v>202609</v>
          </cell>
          <cell r="K1968">
            <v>0</v>
          </cell>
          <cell r="N1968">
            <v>7</v>
          </cell>
          <cell r="O1968">
            <v>84</v>
          </cell>
        </row>
        <row r="1969">
          <cell r="I1969">
            <v>202609</v>
          </cell>
          <cell r="K1969">
            <v>0</v>
          </cell>
          <cell r="N1969">
            <v>7</v>
          </cell>
          <cell r="O1969">
            <v>84</v>
          </cell>
        </row>
        <row r="1970">
          <cell r="I1970">
            <v>202609</v>
          </cell>
          <cell r="K1970">
            <v>0</v>
          </cell>
          <cell r="N1970">
            <v>7</v>
          </cell>
          <cell r="O1970">
            <v>84</v>
          </cell>
        </row>
        <row r="1971">
          <cell r="I1971">
            <v>202609</v>
          </cell>
          <cell r="K1971">
            <v>0</v>
          </cell>
          <cell r="N1971">
            <v>7</v>
          </cell>
          <cell r="O1971">
            <v>84</v>
          </cell>
        </row>
        <row r="1972">
          <cell r="I1972">
            <v>202609</v>
          </cell>
          <cell r="K1972">
            <v>0</v>
          </cell>
          <cell r="N1972">
            <v>7</v>
          </cell>
          <cell r="O1972">
            <v>84</v>
          </cell>
        </row>
        <row r="1973">
          <cell r="I1973">
            <v>202609</v>
          </cell>
          <cell r="K1973">
            <v>0</v>
          </cell>
          <cell r="N1973">
            <v>7</v>
          </cell>
          <cell r="O1973">
            <v>84</v>
          </cell>
        </row>
        <row r="1974">
          <cell r="I1974">
            <v>202609</v>
          </cell>
          <cell r="K1974">
            <v>0</v>
          </cell>
          <cell r="N1974">
            <v>7</v>
          </cell>
          <cell r="O1974">
            <v>84</v>
          </cell>
        </row>
        <row r="1975">
          <cell r="I1975">
            <v>202609</v>
          </cell>
          <cell r="K1975">
            <v>0</v>
          </cell>
          <cell r="N1975">
            <v>7</v>
          </cell>
          <cell r="O1975">
            <v>84</v>
          </cell>
        </row>
        <row r="1976">
          <cell r="I1976">
            <v>202609</v>
          </cell>
          <cell r="K1976">
            <v>0</v>
          </cell>
          <cell r="N1976">
            <v>7</v>
          </cell>
          <cell r="O1976">
            <v>84</v>
          </cell>
        </row>
        <row r="1977">
          <cell r="I1977">
            <v>202609</v>
          </cell>
          <cell r="K1977">
            <v>0</v>
          </cell>
          <cell r="N1977">
            <v>7</v>
          </cell>
          <cell r="O1977">
            <v>84</v>
          </cell>
        </row>
        <row r="1978">
          <cell r="I1978">
            <v>202609</v>
          </cell>
          <cell r="K1978">
            <v>0</v>
          </cell>
          <cell r="N1978">
            <v>7</v>
          </cell>
          <cell r="O1978">
            <v>84</v>
          </cell>
        </row>
        <row r="1979">
          <cell r="I1979">
            <v>202609</v>
          </cell>
          <cell r="K1979">
            <v>0</v>
          </cell>
          <cell r="N1979">
            <v>7</v>
          </cell>
          <cell r="O1979">
            <v>84</v>
          </cell>
        </row>
        <row r="1980">
          <cell r="I1980">
            <v>202609</v>
          </cell>
          <cell r="K1980">
            <v>0</v>
          </cell>
          <cell r="N1980">
            <v>7</v>
          </cell>
          <cell r="O1980">
            <v>84</v>
          </cell>
        </row>
        <row r="1981">
          <cell r="I1981">
            <v>202609</v>
          </cell>
          <cell r="K1981">
            <v>0</v>
          </cell>
          <cell r="N1981">
            <v>7</v>
          </cell>
          <cell r="O1981">
            <v>84</v>
          </cell>
        </row>
        <row r="1982">
          <cell r="I1982">
            <v>202609</v>
          </cell>
          <cell r="K1982">
            <v>0</v>
          </cell>
          <cell r="N1982">
            <v>7</v>
          </cell>
          <cell r="O1982">
            <v>84</v>
          </cell>
        </row>
        <row r="1983">
          <cell r="I1983">
            <v>202609</v>
          </cell>
          <cell r="K1983">
            <v>0</v>
          </cell>
          <cell r="N1983">
            <v>7</v>
          </cell>
          <cell r="O1983">
            <v>84</v>
          </cell>
        </row>
        <row r="1984">
          <cell r="I1984">
            <v>202609</v>
          </cell>
          <cell r="K1984">
            <v>0</v>
          </cell>
          <cell r="N1984">
            <v>7</v>
          </cell>
          <cell r="O1984">
            <v>84</v>
          </cell>
        </row>
        <row r="1985">
          <cell r="I1985">
            <v>202609</v>
          </cell>
          <cell r="K1985">
            <v>0</v>
          </cell>
          <cell r="N1985">
            <v>7</v>
          </cell>
          <cell r="O1985">
            <v>84</v>
          </cell>
        </row>
        <row r="1986">
          <cell r="I1986">
            <v>202609</v>
          </cell>
          <cell r="K1986">
            <v>0</v>
          </cell>
          <cell r="N1986">
            <v>7</v>
          </cell>
          <cell r="O1986">
            <v>84</v>
          </cell>
        </row>
        <row r="1987">
          <cell r="I1987">
            <v>202609</v>
          </cell>
          <cell r="K1987">
            <v>0</v>
          </cell>
          <cell r="N1987">
            <v>7</v>
          </cell>
          <cell r="O1987">
            <v>84</v>
          </cell>
        </row>
        <row r="1988">
          <cell r="I1988">
            <v>202609</v>
          </cell>
          <cell r="K1988">
            <v>0</v>
          </cell>
          <cell r="N1988">
            <v>7</v>
          </cell>
          <cell r="O1988">
            <v>84</v>
          </cell>
        </row>
        <row r="1989">
          <cell r="I1989">
            <v>202609</v>
          </cell>
          <cell r="K1989">
            <v>0</v>
          </cell>
          <cell r="N1989">
            <v>7</v>
          </cell>
          <cell r="O1989">
            <v>84</v>
          </cell>
        </row>
        <row r="1990">
          <cell r="I1990">
            <v>202609</v>
          </cell>
          <cell r="K1990">
            <v>0</v>
          </cell>
          <cell r="N1990">
            <v>7</v>
          </cell>
          <cell r="O1990">
            <v>84</v>
          </cell>
        </row>
        <row r="1991">
          <cell r="I1991">
            <v>202609</v>
          </cell>
          <cell r="K1991">
            <v>0</v>
          </cell>
          <cell r="N1991">
            <v>7</v>
          </cell>
          <cell r="O1991">
            <v>84</v>
          </cell>
        </row>
        <row r="1992">
          <cell r="I1992">
            <v>202609</v>
          </cell>
          <cell r="K1992">
            <v>0</v>
          </cell>
          <cell r="N1992">
            <v>7</v>
          </cell>
          <cell r="O1992">
            <v>84</v>
          </cell>
        </row>
        <row r="1993">
          <cell r="I1993">
            <v>202609</v>
          </cell>
          <cell r="K1993">
            <v>0</v>
          </cell>
          <cell r="N1993">
            <v>7</v>
          </cell>
          <cell r="O1993">
            <v>84</v>
          </cell>
        </row>
        <row r="1994">
          <cell r="I1994">
            <v>202609</v>
          </cell>
          <cell r="K1994">
            <v>0</v>
          </cell>
          <cell r="N1994">
            <v>7</v>
          </cell>
          <cell r="O1994">
            <v>84</v>
          </cell>
        </row>
        <row r="1995">
          <cell r="I1995">
            <v>202609</v>
          </cell>
          <cell r="K1995">
            <v>0</v>
          </cell>
          <cell r="N1995">
            <v>7</v>
          </cell>
          <cell r="O1995">
            <v>84</v>
          </cell>
        </row>
        <row r="1996">
          <cell r="I1996">
            <v>202609</v>
          </cell>
          <cell r="K1996">
            <v>0</v>
          </cell>
          <cell r="N1996">
            <v>7</v>
          </cell>
          <cell r="O1996">
            <v>84</v>
          </cell>
        </row>
        <row r="1997">
          <cell r="I1997">
            <v>202609</v>
          </cell>
          <cell r="K1997">
            <v>0</v>
          </cell>
          <cell r="N1997">
            <v>7</v>
          </cell>
          <cell r="O1997">
            <v>84</v>
          </cell>
        </row>
        <row r="1998">
          <cell r="I1998">
            <v>202609</v>
          </cell>
          <cell r="K1998">
            <v>0</v>
          </cell>
          <cell r="N1998">
            <v>7</v>
          </cell>
          <cell r="O1998">
            <v>84</v>
          </cell>
        </row>
        <row r="1999">
          <cell r="I1999">
            <v>202609</v>
          </cell>
          <cell r="K1999">
            <v>0</v>
          </cell>
          <cell r="N1999">
            <v>7</v>
          </cell>
          <cell r="O1999">
            <v>84</v>
          </cell>
        </row>
        <row r="2000">
          <cell r="I2000">
            <v>202609</v>
          </cell>
          <cell r="K2000">
            <v>0</v>
          </cell>
          <cell r="N2000">
            <v>7</v>
          </cell>
          <cell r="O2000">
            <v>84</v>
          </cell>
        </row>
        <row r="2001">
          <cell r="I2001">
            <v>202609</v>
          </cell>
          <cell r="K2001">
            <v>0</v>
          </cell>
          <cell r="N2001">
            <v>7</v>
          </cell>
          <cell r="O2001">
            <v>84</v>
          </cell>
        </row>
        <row r="2002">
          <cell r="I2002">
            <v>202609</v>
          </cell>
          <cell r="K2002">
            <v>0</v>
          </cell>
          <cell r="N2002">
            <v>7</v>
          </cell>
          <cell r="O2002">
            <v>84</v>
          </cell>
        </row>
        <row r="2003">
          <cell r="I2003">
            <v>202609</v>
          </cell>
          <cell r="K2003">
            <v>0</v>
          </cell>
          <cell r="N2003">
            <v>7</v>
          </cell>
          <cell r="O2003">
            <v>84</v>
          </cell>
        </row>
        <row r="2004">
          <cell r="I2004">
            <v>202609</v>
          </cell>
          <cell r="K2004">
            <v>0</v>
          </cell>
          <cell r="N2004">
            <v>7</v>
          </cell>
          <cell r="O2004">
            <v>84</v>
          </cell>
        </row>
        <row r="2005">
          <cell r="I2005">
            <v>202609</v>
          </cell>
          <cell r="K2005">
            <v>0</v>
          </cell>
          <cell r="N2005">
            <v>7</v>
          </cell>
          <cell r="O2005">
            <v>84</v>
          </cell>
        </row>
        <row r="2006">
          <cell r="I2006">
            <v>202609</v>
          </cell>
          <cell r="K2006">
            <v>0</v>
          </cell>
          <cell r="N2006">
            <v>7</v>
          </cell>
          <cell r="O2006">
            <v>84</v>
          </cell>
        </row>
        <row r="2007">
          <cell r="I2007">
            <v>202609</v>
          </cell>
          <cell r="K2007">
            <v>0</v>
          </cell>
          <cell r="N2007">
            <v>7</v>
          </cell>
          <cell r="O2007">
            <v>84</v>
          </cell>
        </row>
        <row r="2008">
          <cell r="I2008">
            <v>202609</v>
          </cell>
          <cell r="K2008">
            <v>0</v>
          </cell>
          <cell r="N2008">
            <v>7</v>
          </cell>
          <cell r="O2008">
            <v>84</v>
          </cell>
        </row>
        <row r="2009">
          <cell r="I2009">
            <v>202609</v>
          </cell>
          <cell r="K2009">
            <v>0</v>
          </cell>
          <cell r="N2009">
            <v>7</v>
          </cell>
          <cell r="O2009">
            <v>84</v>
          </cell>
        </row>
        <row r="2010">
          <cell r="I2010">
            <v>202609</v>
          </cell>
          <cell r="K2010">
            <v>0</v>
          </cell>
          <cell r="N2010">
            <v>7</v>
          </cell>
          <cell r="O2010">
            <v>84</v>
          </cell>
        </row>
        <row r="2011">
          <cell r="I2011">
            <v>202609</v>
          </cell>
          <cell r="K2011">
            <v>0</v>
          </cell>
          <cell r="N2011">
            <v>7</v>
          </cell>
          <cell r="O2011">
            <v>84</v>
          </cell>
        </row>
        <row r="2012">
          <cell r="I2012">
            <v>202609</v>
          </cell>
          <cell r="K2012">
            <v>0</v>
          </cell>
          <cell r="N2012">
            <v>7</v>
          </cell>
          <cell r="O2012">
            <v>84</v>
          </cell>
        </row>
        <row r="2013">
          <cell r="I2013">
            <v>202609</v>
          </cell>
          <cell r="K2013">
            <v>0</v>
          </cell>
          <cell r="N2013">
            <v>7</v>
          </cell>
          <cell r="O2013">
            <v>84</v>
          </cell>
        </row>
        <row r="2014">
          <cell r="I2014">
            <v>202609</v>
          </cell>
          <cell r="K2014">
            <v>0</v>
          </cell>
          <cell r="N2014">
            <v>7</v>
          </cell>
          <cell r="O2014">
            <v>84</v>
          </cell>
        </row>
        <row r="2015">
          <cell r="I2015">
            <v>202609</v>
          </cell>
          <cell r="K2015">
            <v>0</v>
          </cell>
          <cell r="N2015">
            <v>7</v>
          </cell>
          <cell r="O2015">
            <v>84</v>
          </cell>
        </row>
        <row r="2016">
          <cell r="I2016">
            <v>202609</v>
          </cell>
          <cell r="K2016">
            <v>0</v>
          </cell>
          <cell r="N2016">
            <v>7</v>
          </cell>
          <cell r="O2016">
            <v>84</v>
          </cell>
        </row>
        <row r="2017">
          <cell r="I2017">
            <v>202609</v>
          </cell>
          <cell r="K2017">
            <v>0</v>
          </cell>
          <cell r="N2017">
            <v>7</v>
          </cell>
          <cell r="O2017">
            <v>84</v>
          </cell>
        </row>
        <row r="2018">
          <cell r="I2018">
            <v>202609</v>
          </cell>
          <cell r="K2018">
            <v>0</v>
          </cell>
          <cell r="N2018">
            <v>7</v>
          </cell>
          <cell r="O2018">
            <v>84</v>
          </cell>
        </row>
        <row r="2019">
          <cell r="I2019">
            <v>202609</v>
          </cell>
          <cell r="K2019">
            <v>0</v>
          </cell>
          <cell r="N2019">
            <v>7</v>
          </cell>
          <cell r="O2019">
            <v>84</v>
          </cell>
        </row>
        <row r="2020">
          <cell r="I2020">
            <v>202609</v>
          </cell>
          <cell r="K2020">
            <v>0</v>
          </cell>
          <cell r="N2020">
            <v>7</v>
          </cell>
          <cell r="O2020">
            <v>84</v>
          </cell>
        </row>
        <row r="2021">
          <cell r="I2021">
            <v>202609</v>
          </cell>
          <cell r="K2021">
            <v>0</v>
          </cell>
          <cell r="N2021">
            <v>7</v>
          </cell>
          <cell r="O2021">
            <v>84</v>
          </cell>
        </row>
        <row r="2022">
          <cell r="I2022">
            <v>202609</v>
          </cell>
          <cell r="K2022">
            <v>0</v>
          </cell>
          <cell r="N2022">
            <v>7</v>
          </cell>
          <cell r="O2022">
            <v>84</v>
          </cell>
        </row>
        <row r="2023">
          <cell r="I2023">
            <v>202609</v>
          </cell>
          <cell r="K2023">
            <v>0</v>
          </cell>
          <cell r="N2023">
            <v>7</v>
          </cell>
          <cell r="O2023">
            <v>84</v>
          </cell>
        </row>
        <row r="2024">
          <cell r="I2024">
            <v>202609</v>
          </cell>
          <cell r="K2024">
            <v>0</v>
          </cell>
          <cell r="N2024">
            <v>7</v>
          </cell>
          <cell r="O2024">
            <v>84</v>
          </cell>
        </row>
        <row r="2025">
          <cell r="I2025">
            <v>202609</v>
          </cell>
          <cell r="K2025">
            <v>0</v>
          </cell>
          <cell r="N2025">
            <v>7</v>
          </cell>
          <cell r="O2025">
            <v>84</v>
          </cell>
        </row>
        <row r="2026">
          <cell r="I2026">
            <v>202609</v>
          </cell>
          <cell r="K2026">
            <v>0</v>
          </cell>
          <cell r="N2026">
            <v>7</v>
          </cell>
          <cell r="O2026">
            <v>84</v>
          </cell>
        </row>
        <row r="2027">
          <cell r="I2027">
            <v>202609</v>
          </cell>
          <cell r="K2027">
            <v>0</v>
          </cell>
          <cell r="N2027">
            <v>7</v>
          </cell>
          <cell r="O2027">
            <v>84</v>
          </cell>
        </row>
        <row r="2028">
          <cell r="I2028">
            <v>202609</v>
          </cell>
          <cell r="K2028">
            <v>0</v>
          </cell>
          <cell r="N2028">
            <v>7</v>
          </cell>
          <cell r="O2028">
            <v>84</v>
          </cell>
        </row>
        <row r="2029">
          <cell r="I2029">
            <v>202609</v>
          </cell>
          <cell r="K2029">
            <v>0</v>
          </cell>
          <cell r="N2029">
            <v>7</v>
          </cell>
          <cell r="O2029">
            <v>84</v>
          </cell>
        </row>
        <row r="2030">
          <cell r="I2030">
            <v>202609</v>
          </cell>
          <cell r="K2030">
            <v>0</v>
          </cell>
          <cell r="N2030">
            <v>7</v>
          </cell>
          <cell r="O2030">
            <v>84</v>
          </cell>
        </row>
        <row r="2031">
          <cell r="I2031">
            <v>202609</v>
          </cell>
          <cell r="K2031">
            <v>0</v>
          </cell>
          <cell r="N2031">
            <v>7</v>
          </cell>
          <cell r="O2031">
            <v>84</v>
          </cell>
        </row>
        <row r="2032">
          <cell r="I2032">
            <v>202609</v>
          </cell>
          <cell r="K2032">
            <v>0</v>
          </cell>
          <cell r="N2032">
            <v>7</v>
          </cell>
          <cell r="O2032">
            <v>84</v>
          </cell>
        </row>
        <row r="2033">
          <cell r="I2033">
            <v>202609</v>
          </cell>
          <cell r="K2033">
            <v>0</v>
          </cell>
          <cell r="N2033">
            <v>7</v>
          </cell>
          <cell r="O2033">
            <v>84</v>
          </cell>
        </row>
        <row r="2034">
          <cell r="I2034">
            <v>202609</v>
          </cell>
          <cell r="K2034">
            <v>0</v>
          </cell>
          <cell r="N2034">
            <v>7</v>
          </cell>
          <cell r="O2034">
            <v>84</v>
          </cell>
        </row>
        <row r="2035">
          <cell r="I2035">
            <v>202609</v>
          </cell>
          <cell r="K2035">
            <v>0</v>
          </cell>
          <cell r="N2035">
            <v>7</v>
          </cell>
          <cell r="O2035">
            <v>84</v>
          </cell>
        </row>
        <row r="2036">
          <cell r="I2036">
            <v>202609</v>
          </cell>
          <cell r="K2036">
            <v>0</v>
          </cell>
          <cell r="N2036">
            <v>7</v>
          </cell>
          <cell r="O2036">
            <v>84</v>
          </cell>
        </row>
        <row r="2037">
          <cell r="I2037">
            <v>202609</v>
          </cell>
          <cell r="K2037">
            <v>0</v>
          </cell>
          <cell r="N2037">
            <v>7</v>
          </cell>
          <cell r="O2037">
            <v>84</v>
          </cell>
        </row>
        <row r="2038">
          <cell r="I2038">
            <v>202609</v>
          </cell>
          <cell r="K2038">
            <v>0</v>
          </cell>
          <cell r="N2038">
            <v>7</v>
          </cell>
          <cell r="O2038">
            <v>84</v>
          </cell>
        </row>
        <row r="2039">
          <cell r="I2039">
            <v>202609</v>
          </cell>
          <cell r="K2039">
            <v>0</v>
          </cell>
          <cell r="N2039">
            <v>7</v>
          </cell>
          <cell r="O2039">
            <v>84</v>
          </cell>
        </row>
        <row r="2040">
          <cell r="I2040">
            <v>202609</v>
          </cell>
          <cell r="K2040">
            <v>0</v>
          </cell>
          <cell r="N2040">
            <v>7</v>
          </cell>
          <cell r="O2040">
            <v>84</v>
          </cell>
        </row>
        <row r="2041">
          <cell r="I2041">
            <v>202609</v>
          </cell>
          <cell r="K2041">
            <v>0</v>
          </cell>
          <cell r="N2041">
            <v>7</v>
          </cell>
          <cell r="O2041">
            <v>84</v>
          </cell>
        </row>
        <row r="2042">
          <cell r="I2042">
            <v>202609</v>
          </cell>
          <cell r="K2042">
            <v>0</v>
          </cell>
          <cell r="N2042">
            <v>7</v>
          </cell>
          <cell r="O2042">
            <v>84</v>
          </cell>
        </row>
        <row r="2043">
          <cell r="I2043">
            <v>202609</v>
          </cell>
          <cell r="K2043">
            <v>0</v>
          </cell>
          <cell r="N2043">
            <v>7</v>
          </cell>
          <cell r="O2043">
            <v>84</v>
          </cell>
        </row>
        <row r="2044">
          <cell r="I2044">
            <v>202609</v>
          </cell>
          <cell r="K2044">
            <v>0</v>
          </cell>
          <cell r="N2044">
            <v>7</v>
          </cell>
          <cell r="O2044">
            <v>84</v>
          </cell>
        </row>
        <row r="2045">
          <cell r="I2045">
            <v>202609</v>
          </cell>
          <cell r="K2045">
            <v>0</v>
          </cell>
          <cell r="N2045">
            <v>7</v>
          </cell>
          <cell r="O2045">
            <v>84</v>
          </cell>
        </row>
        <row r="2046">
          <cell r="I2046">
            <v>202609</v>
          </cell>
          <cell r="K2046">
            <v>0</v>
          </cell>
          <cell r="N2046">
            <v>7</v>
          </cell>
          <cell r="O2046">
            <v>84</v>
          </cell>
        </row>
        <row r="2047">
          <cell r="I2047">
            <v>202609</v>
          </cell>
          <cell r="K2047">
            <v>0</v>
          </cell>
          <cell r="N2047">
            <v>7</v>
          </cell>
          <cell r="O2047">
            <v>84</v>
          </cell>
        </row>
        <row r="2048">
          <cell r="I2048">
            <v>202609</v>
          </cell>
          <cell r="K2048">
            <v>0</v>
          </cell>
          <cell r="N2048">
            <v>7</v>
          </cell>
          <cell r="O2048">
            <v>84</v>
          </cell>
        </row>
        <row r="2049">
          <cell r="I2049">
            <v>202609</v>
          </cell>
          <cell r="K2049">
            <v>0</v>
          </cell>
          <cell r="N2049">
            <v>7</v>
          </cell>
          <cell r="O2049">
            <v>84</v>
          </cell>
        </row>
        <row r="2050">
          <cell r="I2050">
            <v>202609</v>
          </cell>
          <cell r="K2050">
            <v>0</v>
          </cell>
          <cell r="N2050">
            <v>7</v>
          </cell>
          <cell r="O2050">
            <v>84</v>
          </cell>
        </row>
        <row r="2051">
          <cell r="I2051">
            <v>202609</v>
          </cell>
          <cell r="K2051">
            <v>0</v>
          </cell>
          <cell r="N2051">
            <v>7</v>
          </cell>
          <cell r="O2051">
            <v>84</v>
          </cell>
        </row>
        <row r="2052">
          <cell r="I2052">
            <v>202609</v>
          </cell>
          <cell r="K2052">
            <v>0</v>
          </cell>
          <cell r="N2052">
            <v>7</v>
          </cell>
          <cell r="O2052">
            <v>84</v>
          </cell>
        </row>
        <row r="2053">
          <cell r="I2053">
            <v>202609</v>
          </cell>
          <cell r="K2053">
            <v>0</v>
          </cell>
          <cell r="N2053">
            <v>7</v>
          </cell>
          <cell r="O2053">
            <v>84</v>
          </cell>
        </row>
        <row r="2054">
          <cell r="I2054">
            <v>202609</v>
          </cell>
          <cell r="K2054">
            <v>0</v>
          </cell>
          <cell r="N2054">
            <v>7</v>
          </cell>
          <cell r="O2054">
            <v>84</v>
          </cell>
        </row>
        <row r="2055">
          <cell r="I2055">
            <v>202609</v>
          </cell>
          <cell r="K2055">
            <v>0</v>
          </cell>
          <cell r="N2055">
            <v>7</v>
          </cell>
          <cell r="O2055">
            <v>84</v>
          </cell>
        </row>
        <row r="2056">
          <cell r="I2056">
            <v>202609</v>
          </cell>
          <cell r="K2056">
            <v>0</v>
          </cell>
          <cell r="N2056">
            <v>7</v>
          </cell>
          <cell r="O2056">
            <v>84</v>
          </cell>
        </row>
        <row r="2057">
          <cell r="I2057">
            <v>202609</v>
          </cell>
          <cell r="K2057">
            <v>0</v>
          </cell>
          <cell r="N2057">
            <v>7</v>
          </cell>
          <cell r="O2057">
            <v>84</v>
          </cell>
        </row>
        <row r="2058">
          <cell r="I2058">
            <v>202609</v>
          </cell>
          <cell r="K2058">
            <v>0</v>
          </cell>
          <cell r="N2058">
            <v>7</v>
          </cell>
          <cell r="O2058">
            <v>84</v>
          </cell>
        </row>
        <row r="2059">
          <cell r="I2059">
            <v>202609</v>
          </cell>
          <cell r="K2059">
            <v>0</v>
          </cell>
          <cell r="N2059">
            <v>7</v>
          </cell>
          <cell r="O2059">
            <v>84</v>
          </cell>
        </row>
        <row r="2060">
          <cell r="I2060">
            <v>202609</v>
          </cell>
          <cell r="K2060">
            <v>0</v>
          </cell>
          <cell r="N2060">
            <v>7</v>
          </cell>
          <cell r="O2060">
            <v>84</v>
          </cell>
        </row>
        <row r="2061">
          <cell r="I2061">
            <v>202609</v>
          </cell>
          <cell r="K2061">
            <v>0</v>
          </cell>
          <cell r="N2061">
            <v>7</v>
          </cell>
          <cell r="O2061">
            <v>84</v>
          </cell>
        </row>
        <row r="2062">
          <cell r="I2062">
            <v>202609</v>
          </cell>
          <cell r="K2062">
            <v>0</v>
          </cell>
          <cell r="N2062">
            <v>7</v>
          </cell>
          <cell r="O2062">
            <v>84</v>
          </cell>
        </row>
        <row r="2063">
          <cell r="I2063">
            <v>202609</v>
          </cell>
          <cell r="K2063">
            <v>0</v>
          </cell>
          <cell r="N2063">
            <v>7</v>
          </cell>
          <cell r="O2063">
            <v>84</v>
          </cell>
        </row>
        <row r="2064">
          <cell r="I2064">
            <v>202609</v>
          </cell>
          <cell r="K2064">
            <v>0</v>
          </cell>
          <cell r="N2064">
            <v>7</v>
          </cell>
          <cell r="O2064">
            <v>84</v>
          </cell>
        </row>
        <row r="2065">
          <cell r="I2065">
            <v>202609</v>
          </cell>
          <cell r="K2065">
            <v>0</v>
          </cell>
          <cell r="N2065">
            <v>7</v>
          </cell>
          <cell r="O2065">
            <v>84</v>
          </cell>
        </row>
        <row r="2066">
          <cell r="I2066">
            <v>202609</v>
          </cell>
          <cell r="K2066">
            <v>0</v>
          </cell>
          <cell r="N2066">
            <v>7</v>
          </cell>
          <cell r="O2066">
            <v>84</v>
          </cell>
        </row>
        <row r="2067">
          <cell r="I2067">
            <v>202609</v>
          </cell>
          <cell r="K2067">
            <v>0</v>
          </cell>
          <cell r="N2067">
            <v>7</v>
          </cell>
          <cell r="O2067">
            <v>84</v>
          </cell>
        </row>
        <row r="2068">
          <cell r="I2068">
            <v>202609</v>
          </cell>
          <cell r="K2068">
            <v>0</v>
          </cell>
          <cell r="N2068">
            <v>7</v>
          </cell>
          <cell r="O2068">
            <v>84</v>
          </cell>
        </row>
        <row r="2069">
          <cell r="I2069">
            <v>202609</v>
          </cell>
          <cell r="K2069">
            <v>0</v>
          </cell>
          <cell r="N2069">
            <v>7</v>
          </cell>
          <cell r="O2069">
            <v>84</v>
          </cell>
        </row>
        <row r="2070">
          <cell r="I2070">
            <v>202609</v>
          </cell>
          <cell r="K2070">
            <v>0</v>
          </cell>
          <cell r="N2070">
            <v>7</v>
          </cell>
          <cell r="O2070">
            <v>84</v>
          </cell>
        </row>
        <row r="2071">
          <cell r="I2071">
            <v>202609</v>
          </cell>
          <cell r="K2071">
            <v>0</v>
          </cell>
          <cell r="N2071">
            <v>7</v>
          </cell>
          <cell r="O2071">
            <v>84</v>
          </cell>
        </row>
        <row r="2072">
          <cell r="I2072">
            <v>202609</v>
          </cell>
          <cell r="K2072">
            <v>0</v>
          </cell>
          <cell r="N2072">
            <v>7</v>
          </cell>
          <cell r="O2072">
            <v>84</v>
          </cell>
        </row>
        <row r="2073">
          <cell r="I2073">
            <v>202609</v>
          </cell>
          <cell r="K2073">
            <v>0</v>
          </cell>
          <cell r="N2073">
            <v>7</v>
          </cell>
          <cell r="O2073">
            <v>84</v>
          </cell>
        </row>
        <row r="2074">
          <cell r="I2074">
            <v>202609</v>
          </cell>
          <cell r="K2074">
            <v>0</v>
          </cell>
          <cell r="N2074">
            <v>7</v>
          </cell>
          <cell r="O2074">
            <v>84</v>
          </cell>
        </row>
        <row r="2075">
          <cell r="I2075">
            <v>202609</v>
          </cell>
          <cell r="K2075">
            <v>0</v>
          </cell>
          <cell r="N2075">
            <v>7</v>
          </cell>
          <cell r="O2075">
            <v>84</v>
          </cell>
        </row>
        <row r="2076">
          <cell r="I2076">
            <v>202609</v>
          </cell>
          <cell r="K2076">
            <v>0</v>
          </cell>
          <cell r="N2076">
            <v>7</v>
          </cell>
          <cell r="O2076">
            <v>84</v>
          </cell>
        </row>
        <row r="2077">
          <cell r="I2077">
            <v>202609</v>
          </cell>
          <cell r="K2077">
            <v>0</v>
          </cell>
          <cell r="N2077">
            <v>7</v>
          </cell>
          <cell r="O2077">
            <v>84</v>
          </cell>
        </row>
        <row r="2078">
          <cell r="I2078">
            <v>202609</v>
          </cell>
          <cell r="K2078">
            <v>0</v>
          </cell>
          <cell r="N2078">
            <v>7</v>
          </cell>
          <cell r="O2078">
            <v>84</v>
          </cell>
        </row>
        <row r="2079">
          <cell r="I2079">
            <v>202609</v>
          </cell>
          <cell r="K2079">
            <v>0</v>
          </cell>
          <cell r="N2079">
            <v>7</v>
          </cell>
          <cell r="O2079">
            <v>84</v>
          </cell>
        </row>
        <row r="2080">
          <cell r="I2080">
            <v>202609</v>
          </cell>
          <cell r="K2080">
            <v>0</v>
          </cell>
          <cell r="N2080">
            <v>7</v>
          </cell>
          <cell r="O2080">
            <v>84</v>
          </cell>
        </row>
        <row r="2081">
          <cell r="I2081">
            <v>202609</v>
          </cell>
          <cell r="K2081">
            <v>0</v>
          </cell>
          <cell r="N2081">
            <v>7</v>
          </cell>
          <cell r="O2081">
            <v>84</v>
          </cell>
        </row>
        <row r="2082">
          <cell r="I2082">
            <v>202609</v>
          </cell>
          <cell r="K2082">
            <v>0</v>
          </cell>
          <cell r="N2082">
            <v>7</v>
          </cell>
          <cell r="O2082">
            <v>84</v>
          </cell>
        </row>
        <row r="2083">
          <cell r="I2083">
            <v>202609</v>
          </cell>
          <cell r="K2083">
            <v>0</v>
          </cell>
          <cell r="N2083">
            <v>7</v>
          </cell>
          <cell r="O2083">
            <v>84</v>
          </cell>
        </row>
        <row r="2084">
          <cell r="I2084">
            <v>202609</v>
          </cell>
          <cell r="K2084">
            <v>0</v>
          </cell>
          <cell r="N2084">
            <v>7</v>
          </cell>
          <cell r="O2084">
            <v>84</v>
          </cell>
        </row>
        <row r="2085">
          <cell r="I2085">
            <v>202609</v>
          </cell>
          <cell r="K2085">
            <v>0</v>
          </cell>
          <cell r="N2085">
            <v>7</v>
          </cell>
          <cell r="O2085">
            <v>84</v>
          </cell>
        </row>
        <row r="2086">
          <cell r="I2086">
            <v>202609</v>
          </cell>
          <cell r="K2086">
            <v>0</v>
          </cell>
          <cell r="N2086">
            <v>7</v>
          </cell>
          <cell r="O2086">
            <v>84</v>
          </cell>
        </row>
        <row r="2087">
          <cell r="I2087">
            <v>202609</v>
          </cell>
          <cell r="K2087">
            <v>0</v>
          </cell>
          <cell r="N2087">
            <v>7</v>
          </cell>
          <cell r="O2087">
            <v>84</v>
          </cell>
        </row>
        <row r="2088">
          <cell r="I2088">
            <v>202609</v>
          </cell>
          <cell r="K2088">
            <v>0</v>
          </cell>
          <cell r="N2088">
            <v>7</v>
          </cell>
          <cell r="O2088">
            <v>84</v>
          </cell>
        </row>
        <row r="2089">
          <cell r="I2089">
            <v>202609</v>
          </cell>
          <cell r="K2089">
            <v>0</v>
          </cell>
          <cell r="N2089">
            <v>7</v>
          </cell>
          <cell r="O2089">
            <v>84</v>
          </cell>
        </row>
        <row r="2090">
          <cell r="I2090">
            <v>202609</v>
          </cell>
          <cell r="K2090">
            <v>0</v>
          </cell>
          <cell r="N2090">
            <v>7</v>
          </cell>
          <cell r="O2090">
            <v>84</v>
          </cell>
        </row>
        <row r="2091">
          <cell r="I2091">
            <v>202609</v>
          </cell>
          <cell r="K2091">
            <v>0</v>
          </cell>
          <cell r="N2091">
            <v>7</v>
          </cell>
          <cell r="O2091">
            <v>84</v>
          </cell>
        </row>
        <row r="2092">
          <cell r="I2092">
            <v>202609</v>
          </cell>
          <cell r="K2092">
            <v>0</v>
          </cell>
          <cell r="N2092">
            <v>7</v>
          </cell>
          <cell r="O2092">
            <v>84</v>
          </cell>
        </row>
        <row r="2093">
          <cell r="I2093">
            <v>202609</v>
          </cell>
          <cell r="K2093">
            <v>0</v>
          </cell>
          <cell r="N2093">
            <v>7</v>
          </cell>
          <cell r="O2093">
            <v>84</v>
          </cell>
        </row>
        <row r="2094">
          <cell r="I2094">
            <v>202609</v>
          </cell>
          <cell r="K2094">
            <v>0</v>
          </cell>
          <cell r="N2094">
            <v>7</v>
          </cell>
          <cell r="O2094">
            <v>84</v>
          </cell>
        </row>
        <row r="2095">
          <cell r="I2095">
            <v>202609</v>
          </cell>
          <cell r="K2095">
            <v>0</v>
          </cell>
          <cell r="N2095">
            <v>7</v>
          </cell>
          <cell r="O2095">
            <v>84</v>
          </cell>
        </row>
        <row r="2096">
          <cell r="I2096">
            <v>202609</v>
          </cell>
          <cell r="K2096">
            <v>0</v>
          </cell>
          <cell r="N2096">
            <v>7</v>
          </cell>
          <cell r="O2096">
            <v>84</v>
          </cell>
        </row>
        <row r="2097">
          <cell r="I2097">
            <v>202609</v>
          </cell>
          <cell r="K2097">
            <v>0</v>
          </cell>
          <cell r="N2097">
            <v>7</v>
          </cell>
          <cell r="O2097">
            <v>84</v>
          </cell>
        </row>
        <row r="2098">
          <cell r="I2098">
            <v>202609</v>
          </cell>
          <cell r="K2098">
            <v>0</v>
          </cell>
          <cell r="N2098">
            <v>7</v>
          </cell>
          <cell r="O2098">
            <v>84</v>
          </cell>
        </row>
        <row r="2099">
          <cell r="I2099">
            <v>202609</v>
          </cell>
          <cell r="K2099">
            <v>0</v>
          </cell>
          <cell r="N2099">
            <v>7</v>
          </cell>
          <cell r="O2099">
            <v>84</v>
          </cell>
        </row>
        <row r="2100">
          <cell r="I2100">
            <v>202609</v>
          </cell>
          <cell r="K2100">
            <v>0</v>
          </cell>
          <cell r="N2100">
            <v>7</v>
          </cell>
          <cell r="O2100">
            <v>84</v>
          </cell>
        </row>
        <row r="2101">
          <cell r="I2101">
            <v>202609</v>
          </cell>
          <cell r="K2101">
            <v>0</v>
          </cell>
          <cell r="N2101">
            <v>7</v>
          </cell>
          <cell r="O2101">
            <v>84</v>
          </cell>
        </row>
        <row r="2102">
          <cell r="I2102">
            <v>202609</v>
          </cell>
          <cell r="K2102">
            <v>0</v>
          </cell>
          <cell r="N2102">
            <v>7</v>
          </cell>
          <cell r="O2102">
            <v>84</v>
          </cell>
        </row>
        <row r="2103">
          <cell r="I2103">
            <v>202609</v>
          </cell>
          <cell r="K2103">
            <v>0</v>
          </cell>
          <cell r="N2103">
            <v>7</v>
          </cell>
          <cell r="O2103">
            <v>84</v>
          </cell>
        </row>
        <row r="2104">
          <cell r="I2104">
            <v>202609</v>
          </cell>
          <cell r="K2104">
            <v>0</v>
          </cell>
          <cell r="N2104">
            <v>7</v>
          </cell>
          <cell r="O2104">
            <v>84</v>
          </cell>
        </row>
        <row r="2105">
          <cell r="I2105">
            <v>202609</v>
          </cell>
          <cell r="K2105">
            <v>0</v>
          </cell>
          <cell r="N2105">
            <v>7</v>
          </cell>
          <cell r="O2105">
            <v>84</v>
          </cell>
        </row>
        <row r="2106">
          <cell r="I2106">
            <v>202609</v>
          </cell>
          <cell r="K2106">
            <v>0</v>
          </cell>
          <cell r="N2106">
            <v>7</v>
          </cell>
          <cell r="O2106">
            <v>84</v>
          </cell>
        </row>
        <row r="2107">
          <cell r="I2107">
            <v>202609</v>
          </cell>
          <cell r="K2107">
            <v>0</v>
          </cell>
          <cell r="N2107">
            <v>7</v>
          </cell>
          <cell r="O2107">
            <v>84</v>
          </cell>
        </row>
        <row r="2108">
          <cell r="I2108">
            <v>202609</v>
          </cell>
          <cell r="K2108">
            <v>0</v>
          </cell>
          <cell r="N2108">
            <v>7</v>
          </cell>
          <cell r="O2108">
            <v>84</v>
          </cell>
        </row>
        <row r="2109">
          <cell r="I2109">
            <v>202609</v>
          </cell>
          <cell r="K2109">
            <v>0</v>
          </cell>
          <cell r="N2109">
            <v>7</v>
          </cell>
          <cell r="O2109">
            <v>84</v>
          </cell>
        </row>
        <row r="2110">
          <cell r="I2110">
            <v>202609</v>
          </cell>
          <cell r="K2110">
            <v>0</v>
          </cell>
          <cell r="N2110">
            <v>7</v>
          </cell>
          <cell r="O2110">
            <v>84</v>
          </cell>
        </row>
        <row r="2111">
          <cell r="I2111">
            <v>202609</v>
          </cell>
          <cell r="K2111">
            <v>0</v>
          </cell>
          <cell r="N2111">
            <v>7</v>
          </cell>
          <cell r="O2111">
            <v>84</v>
          </cell>
        </row>
        <row r="2112">
          <cell r="I2112">
            <v>202609</v>
          </cell>
          <cell r="K2112">
            <v>0</v>
          </cell>
          <cell r="N2112">
            <v>7</v>
          </cell>
          <cell r="O2112">
            <v>84</v>
          </cell>
        </row>
        <row r="2113">
          <cell r="I2113">
            <v>202609</v>
          </cell>
          <cell r="K2113">
            <v>0</v>
          </cell>
          <cell r="N2113">
            <v>7</v>
          </cell>
          <cell r="O2113">
            <v>84</v>
          </cell>
        </row>
        <row r="2114">
          <cell r="I2114">
            <v>202609</v>
          </cell>
          <cell r="K2114">
            <v>0</v>
          </cell>
          <cell r="N2114">
            <v>7</v>
          </cell>
          <cell r="O2114">
            <v>84</v>
          </cell>
        </row>
        <row r="2115">
          <cell r="I2115">
            <v>202609</v>
          </cell>
          <cell r="K2115">
            <v>0</v>
          </cell>
          <cell r="N2115">
            <v>7</v>
          </cell>
          <cell r="O2115">
            <v>84</v>
          </cell>
        </row>
        <row r="2116">
          <cell r="I2116">
            <v>202609</v>
          </cell>
          <cell r="K2116">
            <v>0</v>
          </cell>
          <cell r="N2116">
            <v>7</v>
          </cell>
          <cell r="O2116">
            <v>84</v>
          </cell>
        </row>
        <row r="2117">
          <cell r="I2117">
            <v>202609</v>
          </cell>
          <cell r="K2117">
            <v>0</v>
          </cell>
          <cell r="N2117">
            <v>7</v>
          </cell>
          <cell r="O2117">
            <v>84</v>
          </cell>
        </row>
        <row r="2118">
          <cell r="I2118">
            <v>202609</v>
          </cell>
          <cell r="K2118">
            <v>0</v>
          </cell>
          <cell r="N2118">
            <v>7</v>
          </cell>
          <cell r="O2118">
            <v>84</v>
          </cell>
        </row>
        <row r="2119">
          <cell r="I2119">
            <v>202609</v>
          </cell>
          <cell r="K2119">
            <v>0</v>
          </cell>
          <cell r="N2119">
            <v>7</v>
          </cell>
          <cell r="O2119">
            <v>84</v>
          </cell>
        </row>
        <row r="2120">
          <cell r="I2120">
            <v>202609</v>
          </cell>
          <cell r="K2120">
            <v>0</v>
          </cell>
          <cell r="N2120">
            <v>7</v>
          </cell>
          <cell r="O2120">
            <v>84</v>
          </cell>
        </row>
        <row r="2121">
          <cell r="I2121">
            <v>202609</v>
          </cell>
          <cell r="K2121">
            <v>0</v>
          </cell>
          <cell r="N2121">
            <v>7</v>
          </cell>
          <cell r="O2121">
            <v>84</v>
          </cell>
        </row>
        <row r="2122">
          <cell r="I2122">
            <v>202609</v>
          </cell>
          <cell r="K2122">
            <v>0</v>
          </cell>
          <cell r="N2122">
            <v>7</v>
          </cell>
          <cell r="O2122">
            <v>84</v>
          </cell>
        </row>
        <row r="2123">
          <cell r="I2123">
            <v>202609</v>
          </cell>
          <cell r="K2123">
            <v>0</v>
          </cell>
          <cell r="N2123">
            <v>7</v>
          </cell>
          <cell r="O2123">
            <v>84</v>
          </cell>
        </row>
        <row r="2124">
          <cell r="I2124">
            <v>202609</v>
          </cell>
          <cell r="K2124">
            <v>0</v>
          </cell>
          <cell r="N2124">
            <v>7</v>
          </cell>
          <cell r="O2124">
            <v>84</v>
          </cell>
        </row>
        <row r="2125">
          <cell r="I2125">
            <v>202609</v>
          </cell>
          <cell r="K2125">
            <v>0</v>
          </cell>
          <cell r="N2125">
            <v>7</v>
          </cell>
          <cell r="O2125">
            <v>84</v>
          </cell>
        </row>
        <row r="2126">
          <cell r="I2126">
            <v>202609</v>
          </cell>
          <cell r="K2126">
            <v>0</v>
          </cell>
          <cell r="N2126">
            <v>7</v>
          </cell>
          <cell r="O2126">
            <v>84</v>
          </cell>
        </row>
        <row r="2127">
          <cell r="I2127">
            <v>202609</v>
          </cell>
          <cell r="K2127">
            <v>0</v>
          </cell>
          <cell r="N2127">
            <v>7</v>
          </cell>
          <cell r="O2127">
            <v>84</v>
          </cell>
        </row>
        <row r="2128">
          <cell r="I2128">
            <v>202609</v>
          </cell>
          <cell r="K2128">
            <v>0</v>
          </cell>
          <cell r="N2128">
            <v>7</v>
          </cell>
          <cell r="O2128">
            <v>84</v>
          </cell>
        </row>
        <row r="2129">
          <cell r="I2129">
            <v>202609</v>
          </cell>
          <cell r="K2129">
            <v>0</v>
          </cell>
          <cell r="N2129">
            <v>7</v>
          </cell>
          <cell r="O2129">
            <v>84</v>
          </cell>
        </row>
        <row r="2130">
          <cell r="I2130">
            <v>202609</v>
          </cell>
          <cell r="K2130">
            <v>0</v>
          </cell>
          <cell r="N2130">
            <v>7</v>
          </cell>
          <cell r="O2130">
            <v>84</v>
          </cell>
        </row>
        <row r="2131">
          <cell r="I2131">
            <v>202609</v>
          </cell>
          <cell r="K2131">
            <v>0</v>
          </cell>
          <cell r="N2131">
            <v>7</v>
          </cell>
          <cell r="O2131">
            <v>84</v>
          </cell>
        </row>
        <row r="2132">
          <cell r="I2132">
            <v>202609</v>
          </cell>
          <cell r="K2132">
            <v>0</v>
          </cell>
          <cell r="N2132">
            <v>7</v>
          </cell>
          <cell r="O2132">
            <v>84</v>
          </cell>
        </row>
        <row r="2133">
          <cell r="I2133">
            <v>202609</v>
          </cell>
          <cell r="K2133">
            <v>0</v>
          </cell>
          <cell r="N2133">
            <v>7</v>
          </cell>
          <cell r="O2133">
            <v>84</v>
          </cell>
        </row>
        <row r="2134">
          <cell r="I2134">
            <v>202609</v>
          </cell>
          <cell r="K2134">
            <v>0</v>
          </cell>
          <cell r="N2134">
            <v>7</v>
          </cell>
          <cell r="O2134">
            <v>84</v>
          </cell>
        </row>
        <row r="2135">
          <cell r="I2135">
            <v>202609</v>
          </cell>
          <cell r="K2135">
            <v>0</v>
          </cell>
          <cell r="N2135">
            <v>7</v>
          </cell>
          <cell r="O2135">
            <v>84</v>
          </cell>
        </row>
        <row r="2136">
          <cell r="I2136">
            <v>202609</v>
          </cell>
          <cell r="K2136">
            <v>0</v>
          </cell>
          <cell r="N2136">
            <v>7</v>
          </cell>
          <cell r="O2136">
            <v>84</v>
          </cell>
        </row>
        <row r="2137">
          <cell r="I2137">
            <v>202609</v>
          </cell>
          <cell r="K2137">
            <v>0</v>
          </cell>
          <cell r="N2137">
            <v>7</v>
          </cell>
          <cell r="O2137">
            <v>84</v>
          </cell>
        </row>
        <row r="2138">
          <cell r="I2138">
            <v>202609</v>
          </cell>
          <cell r="K2138">
            <v>0</v>
          </cell>
          <cell r="N2138">
            <v>7</v>
          </cell>
          <cell r="O2138">
            <v>84</v>
          </cell>
        </row>
        <row r="2139">
          <cell r="I2139">
            <v>202609</v>
          </cell>
          <cell r="K2139">
            <v>0</v>
          </cell>
          <cell r="N2139">
            <v>7</v>
          </cell>
          <cell r="O2139">
            <v>84</v>
          </cell>
        </row>
        <row r="2140">
          <cell r="I2140">
            <v>202609</v>
          </cell>
          <cell r="K2140">
            <v>0</v>
          </cell>
          <cell r="N2140">
            <v>7</v>
          </cell>
          <cell r="O2140">
            <v>84</v>
          </cell>
        </row>
        <row r="2141">
          <cell r="I2141">
            <v>202609</v>
          </cell>
          <cell r="K2141">
            <v>0</v>
          </cell>
          <cell r="N2141">
            <v>7</v>
          </cell>
          <cell r="O2141">
            <v>84</v>
          </cell>
        </row>
        <row r="2142">
          <cell r="I2142">
            <v>202609</v>
          </cell>
          <cell r="K2142">
            <v>0</v>
          </cell>
          <cell r="N2142">
            <v>7</v>
          </cell>
          <cell r="O2142">
            <v>84</v>
          </cell>
        </row>
        <row r="2143">
          <cell r="I2143">
            <v>202609</v>
          </cell>
          <cell r="K2143">
            <v>0</v>
          </cell>
          <cell r="N2143">
            <v>7</v>
          </cell>
          <cell r="O2143">
            <v>84</v>
          </cell>
        </row>
        <row r="2144">
          <cell r="I2144">
            <v>202609</v>
          </cell>
          <cell r="K2144">
            <v>0</v>
          </cell>
          <cell r="N2144">
            <v>7</v>
          </cell>
          <cell r="O2144">
            <v>84</v>
          </cell>
        </row>
        <row r="2145">
          <cell r="I2145">
            <v>202609</v>
          </cell>
          <cell r="K2145">
            <v>0</v>
          </cell>
          <cell r="N2145">
            <v>7</v>
          </cell>
          <cell r="O2145">
            <v>84</v>
          </cell>
        </row>
        <row r="2146">
          <cell r="I2146">
            <v>202609</v>
          </cell>
          <cell r="K2146">
            <v>0</v>
          </cell>
          <cell r="N2146">
            <v>7</v>
          </cell>
          <cell r="O2146">
            <v>84</v>
          </cell>
        </row>
        <row r="2147">
          <cell r="I2147">
            <v>202609</v>
          </cell>
          <cell r="K2147">
            <v>0</v>
          </cell>
          <cell r="N2147">
            <v>7</v>
          </cell>
          <cell r="O2147">
            <v>84</v>
          </cell>
        </row>
        <row r="2148">
          <cell r="I2148">
            <v>202609</v>
          </cell>
          <cell r="K2148">
            <v>0</v>
          </cell>
          <cell r="N2148">
            <v>7</v>
          </cell>
          <cell r="O2148">
            <v>84</v>
          </cell>
        </row>
        <row r="2149">
          <cell r="I2149">
            <v>202609</v>
          </cell>
          <cell r="K2149">
            <v>0</v>
          </cell>
          <cell r="N2149">
            <v>7</v>
          </cell>
          <cell r="O2149">
            <v>84</v>
          </cell>
        </row>
        <row r="2150">
          <cell r="I2150">
            <v>202609</v>
          </cell>
          <cell r="K2150">
            <v>0</v>
          </cell>
          <cell r="N2150">
            <v>7</v>
          </cell>
          <cell r="O2150">
            <v>84</v>
          </cell>
        </row>
        <row r="2151">
          <cell r="I2151">
            <v>202609</v>
          </cell>
          <cell r="K2151">
            <v>0</v>
          </cell>
          <cell r="N2151">
            <v>7</v>
          </cell>
          <cell r="O2151">
            <v>84</v>
          </cell>
        </row>
        <row r="2152">
          <cell r="I2152">
            <v>202609</v>
          </cell>
          <cell r="K2152">
            <v>0</v>
          </cell>
          <cell r="N2152">
            <v>7</v>
          </cell>
          <cell r="O2152">
            <v>84</v>
          </cell>
        </row>
        <row r="2153">
          <cell r="I2153">
            <v>202609</v>
          </cell>
          <cell r="K2153">
            <v>0</v>
          </cell>
          <cell r="N2153">
            <v>7</v>
          </cell>
          <cell r="O2153">
            <v>84</v>
          </cell>
        </row>
        <row r="2154">
          <cell r="I2154">
            <v>202609</v>
          </cell>
          <cell r="K2154">
            <v>0</v>
          </cell>
          <cell r="N2154">
            <v>7</v>
          </cell>
          <cell r="O2154">
            <v>84</v>
          </cell>
        </row>
        <row r="2155">
          <cell r="I2155">
            <v>202609</v>
          </cell>
          <cell r="K2155">
            <v>0</v>
          </cell>
          <cell r="N2155">
            <v>7</v>
          </cell>
          <cell r="O2155">
            <v>84</v>
          </cell>
        </row>
        <row r="2156">
          <cell r="I2156">
            <v>202609</v>
          </cell>
          <cell r="K2156">
            <v>0</v>
          </cell>
          <cell r="N2156">
            <v>7</v>
          </cell>
          <cell r="O2156">
            <v>84</v>
          </cell>
        </row>
        <row r="2157">
          <cell r="I2157">
            <v>202609</v>
          </cell>
          <cell r="K2157">
            <v>0</v>
          </cell>
          <cell r="N2157">
            <v>7</v>
          </cell>
          <cell r="O2157">
            <v>84</v>
          </cell>
        </row>
        <row r="2158">
          <cell r="I2158">
            <v>202609</v>
          </cell>
          <cell r="K2158">
            <v>0</v>
          </cell>
          <cell r="N2158">
            <v>7</v>
          </cell>
          <cell r="O2158">
            <v>84</v>
          </cell>
        </row>
        <row r="2159">
          <cell r="I2159">
            <v>202609</v>
          </cell>
          <cell r="K2159">
            <v>0</v>
          </cell>
          <cell r="N2159">
            <v>7</v>
          </cell>
          <cell r="O2159">
            <v>84</v>
          </cell>
        </row>
        <row r="2160">
          <cell r="I2160">
            <v>202609</v>
          </cell>
          <cell r="K2160">
            <v>0</v>
          </cell>
          <cell r="N2160">
            <v>7</v>
          </cell>
          <cell r="O2160">
            <v>84</v>
          </cell>
        </row>
        <row r="2161">
          <cell r="I2161">
            <v>202609</v>
          </cell>
          <cell r="K2161">
            <v>0</v>
          </cell>
          <cell r="N2161">
            <v>7</v>
          </cell>
          <cell r="O2161">
            <v>84</v>
          </cell>
        </row>
        <row r="2162">
          <cell r="I2162">
            <v>202609</v>
          </cell>
          <cell r="K2162">
            <v>0</v>
          </cell>
          <cell r="N2162">
            <v>7</v>
          </cell>
          <cell r="O2162">
            <v>84</v>
          </cell>
        </row>
        <row r="2163">
          <cell r="I2163">
            <v>202609</v>
          </cell>
          <cell r="K2163">
            <v>0</v>
          </cell>
          <cell r="N2163">
            <v>7</v>
          </cell>
          <cell r="O2163">
            <v>84</v>
          </cell>
        </row>
        <row r="2164">
          <cell r="I2164">
            <v>202609</v>
          </cell>
          <cell r="K2164">
            <v>0</v>
          </cell>
          <cell r="N2164">
            <v>7</v>
          </cell>
          <cell r="O2164">
            <v>84</v>
          </cell>
        </row>
        <row r="2165">
          <cell r="I2165">
            <v>202609</v>
          </cell>
          <cell r="K2165">
            <v>0</v>
          </cell>
          <cell r="N2165">
            <v>7</v>
          </cell>
          <cell r="O2165">
            <v>84</v>
          </cell>
        </row>
        <row r="2166">
          <cell r="I2166">
            <v>202609</v>
          </cell>
          <cell r="K2166">
            <v>0</v>
          </cell>
          <cell r="N2166">
            <v>7</v>
          </cell>
          <cell r="O2166">
            <v>84</v>
          </cell>
        </row>
        <row r="2167">
          <cell r="I2167">
            <v>202609</v>
          </cell>
          <cell r="K2167">
            <v>0</v>
          </cell>
          <cell r="N2167">
            <v>7</v>
          </cell>
          <cell r="O2167">
            <v>84</v>
          </cell>
        </row>
        <row r="2168">
          <cell r="I2168">
            <v>202609</v>
          </cell>
          <cell r="K2168">
            <v>0</v>
          </cell>
          <cell r="N2168">
            <v>7</v>
          </cell>
          <cell r="O2168">
            <v>84</v>
          </cell>
        </row>
        <row r="2169">
          <cell r="I2169">
            <v>202609</v>
          </cell>
          <cell r="K2169">
            <v>0</v>
          </cell>
          <cell r="N2169">
            <v>7</v>
          </cell>
          <cell r="O2169">
            <v>84</v>
          </cell>
        </row>
        <row r="2170">
          <cell r="I2170">
            <v>202609</v>
          </cell>
          <cell r="K2170">
            <v>0</v>
          </cell>
          <cell r="N2170">
            <v>7</v>
          </cell>
          <cell r="O2170">
            <v>84</v>
          </cell>
        </row>
        <row r="2171">
          <cell r="I2171">
            <v>202609</v>
          </cell>
          <cell r="K2171">
            <v>0</v>
          </cell>
          <cell r="N2171">
            <v>7</v>
          </cell>
          <cell r="O2171">
            <v>84</v>
          </cell>
        </row>
        <row r="2172">
          <cell r="I2172">
            <v>202609</v>
          </cell>
          <cell r="K2172">
            <v>0</v>
          </cell>
          <cell r="N2172">
            <v>7</v>
          </cell>
          <cell r="O2172">
            <v>84</v>
          </cell>
        </row>
        <row r="2173">
          <cell r="I2173">
            <v>202609</v>
          </cell>
          <cell r="K2173">
            <v>0</v>
          </cell>
          <cell r="N2173">
            <v>7</v>
          </cell>
          <cell r="O2173">
            <v>84</v>
          </cell>
        </row>
        <row r="2174">
          <cell r="I2174">
            <v>202609</v>
          </cell>
          <cell r="K2174">
            <v>0</v>
          </cell>
          <cell r="N2174">
            <v>7</v>
          </cell>
          <cell r="O2174">
            <v>84</v>
          </cell>
        </row>
        <row r="2175">
          <cell r="I2175">
            <v>202609</v>
          </cell>
          <cell r="K2175">
            <v>0</v>
          </cell>
          <cell r="N2175">
            <v>7</v>
          </cell>
          <cell r="O2175">
            <v>84</v>
          </cell>
        </row>
        <row r="2176">
          <cell r="I2176">
            <v>202609</v>
          </cell>
          <cell r="K2176">
            <v>0</v>
          </cell>
          <cell r="N2176">
            <v>7</v>
          </cell>
          <cell r="O2176">
            <v>84</v>
          </cell>
        </row>
        <row r="2177">
          <cell r="I2177">
            <v>202609</v>
          </cell>
          <cell r="K2177">
            <v>0</v>
          </cell>
          <cell r="N2177">
            <v>7</v>
          </cell>
          <cell r="O2177">
            <v>84</v>
          </cell>
        </row>
        <row r="2178">
          <cell r="I2178">
            <v>202609</v>
          </cell>
          <cell r="K2178">
            <v>0</v>
          </cell>
          <cell r="N2178">
            <v>7</v>
          </cell>
          <cell r="O2178">
            <v>84</v>
          </cell>
        </row>
        <row r="2179">
          <cell r="I2179">
            <v>202609</v>
          </cell>
          <cell r="K2179">
            <v>0</v>
          </cell>
          <cell r="N2179">
            <v>7</v>
          </cell>
          <cell r="O2179">
            <v>84</v>
          </cell>
        </row>
        <row r="2180">
          <cell r="I2180">
            <v>202609</v>
          </cell>
          <cell r="K2180">
            <v>0</v>
          </cell>
          <cell r="N2180">
            <v>7</v>
          </cell>
          <cell r="O2180">
            <v>84</v>
          </cell>
        </row>
        <row r="2181">
          <cell r="I2181">
            <v>202609</v>
          </cell>
          <cell r="K2181">
            <v>0</v>
          </cell>
          <cell r="N2181">
            <v>7</v>
          </cell>
          <cell r="O2181">
            <v>84</v>
          </cell>
        </row>
        <row r="2182">
          <cell r="I2182">
            <v>202609</v>
          </cell>
          <cell r="K2182">
            <v>0</v>
          </cell>
          <cell r="N2182">
            <v>7</v>
          </cell>
          <cell r="O2182">
            <v>84</v>
          </cell>
        </row>
        <row r="2183">
          <cell r="I2183">
            <v>202609</v>
          </cell>
          <cell r="K2183">
            <v>0</v>
          </cell>
          <cell r="N2183">
            <v>7</v>
          </cell>
          <cell r="O2183">
            <v>84</v>
          </cell>
        </row>
        <row r="2184">
          <cell r="I2184">
            <v>202609</v>
          </cell>
          <cell r="K2184">
            <v>0</v>
          </cell>
          <cell r="N2184">
            <v>7</v>
          </cell>
          <cell r="O2184">
            <v>84</v>
          </cell>
        </row>
        <row r="2185">
          <cell r="I2185">
            <v>202609</v>
          </cell>
          <cell r="K2185">
            <v>0</v>
          </cell>
          <cell r="N2185">
            <v>7</v>
          </cell>
          <cell r="O2185">
            <v>84</v>
          </cell>
        </row>
        <row r="2186">
          <cell r="I2186">
            <v>202609</v>
          </cell>
          <cell r="K2186">
            <v>0</v>
          </cell>
          <cell r="N2186">
            <v>7</v>
          </cell>
          <cell r="O2186">
            <v>84</v>
          </cell>
        </row>
        <row r="2187">
          <cell r="I2187">
            <v>202609</v>
          </cell>
          <cell r="K2187">
            <v>0</v>
          </cell>
          <cell r="N2187">
            <v>7</v>
          </cell>
          <cell r="O2187">
            <v>84</v>
          </cell>
        </row>
        <row r="2188">
          <cell r="I2188">
            <v>202609</v>
          </cell>
          <cell r="K2188">
            <v>0</v>
          </cell>
          <cell r="N2188">
            <v>7</v>
          </cell>
          <cell r="O2188">
            <v>84</v>
          </cell>
        </row>
        <row r="2189">
          <cell r="I2189">
            <v>202609</v>
          </cell>
          <cell r="K2189">
            <v>0</v>
          </cell>
          <cell r="N2189">
            <v>7</v>
          </cell>
          <cell r="O2189">
            <v>84</v>
          </cell>
        </row>
        <row r="2190">
          <cell r="I2190">
            <v>202609</v>
          </cell>
          <cell r="K2190">
            <v>0</v>
          </cell>
          <cell r="N2190">
            <v>7</v>
          </cell>
          <cell r="O2190">
            <v>84</v>
          </cell>
        </row>
        <row r="2191">
          <cell r="I2191">
            <v>202609</v>
          </cell>
          <cell r="K2191">
            <v>0</v>
          </cell>
          <cell r="N2191">
            <v>7</v>
          </cell>
          <cell r="O2191">
            <v>84</v>
          </cell>
        </row>
        <row r="2192">
          <cell r="I2192">
            <v>202609</v>
          </cell>
          <cell r="K2192">
            <v>0</v>
          </cell>
          <cell r="N2192">
            <v>7</v>
          </cell>
          <cell r="O2192">
            <v>84</v>
          </cell>
        </row>
        <row r="2193">
          <cell r="I2193">
            <v>202609</v>
          </cell>
          <cell r="K2193">
            <v>0</v>
          </cell>
          <cell r="N2193">
            <v>7</v>
          </cell>
          <cell r="O2193">
            <v>84</v>
          </cell>
        </row>
        <row r="2194">
          <cell r="I2194">
            <v>202609</v>
          </cell>
          <cell r="K2194">
            <v>0</v>
          </cell>
          <cell r="N2194">
            <v>7</v>
          </cell>
          <cell r="O2194">
            <v>84</v>
          </cell>
        </row>
        <row r="2195">
          <cell r="I2195">
            <v>202609</v>
          </cell>
          <cell r="K2195">
            <v>0</v>
          </cell>
          <cell r="N2195">
            <v>7</v>
          </cell>
          <cell r="O2195">
            <v>84</v>
          </cell>
        </row>
        <row r="2196">
          <cell r="I2196">
            <v>202609</v>
          </cell>
          <cell r="K2196">
            <v>0</v>
          </cell>
          <cell r="N2196">
            <v>7</v>
          </cell>
          <cell r="O2196">
            <v>84</v>
          </cell>
        </row>
        <row r="2197">
          <cell r="I2197">
            <v>202609</v>
          </cell>
          <cell r="K2197">
            <v>0</v>
          </cell>
          <cell r="N2197">
            <v>7</v>
          </cell>
          <cell r="O2197">
            <v>84</v>
          </cell>
        </row>
        <row r="2198">
          <cell r="I2198">
            <v>202609</v>
          </cell>
          <cell r="K2198">
            <v>0</v>
          </cell>
          <cell r="N2198">
            <v>7</v>
          </cell>
          <cell r="O2198">
            <v>84</v>
          </cell>
        </row>
        <row r="2199">
          <cell r="I2199">
            <v>202609</v>
          </cell>
          <cell r="K2199">
            <v>0</v>
          </cell>
          <cell r="N2199">
            <v>7</v>
          </cell>
          <cell r="O2199">
            <v>84</v>
          </cell>
        </row>
        <row r="2200">
          <cell r="I2200">
            <v>202609</v>
          </cell>
          <cell r="K2200">
            <v>0</v>
          </cell>
          <cell r="N2200">
            <v>7</v>
          </cell>
          <cell r="O2200">
            <v>84</v>
          </cell>
        </row>
        <row r="2201">
          <cell r="I2201">
            <v>202609</v>
          </cell>
          <cell r="K2201">
            <v>0</v>
          </cell>
          <cell r="N2201">
            <v>7</v>
          </cell>
          <cell r="O2201">
            <v>84</v>
          </cell>
        </row>
        <row r="2202">
          <cell r="I2202">
            <v>202609</v>
          </cell>
          <cell r="K2202">
            <v>0</v>
          </cell>
          <cell r="N2202">
            <v>7</v>
          </cell>
          <cell r="O2202">
            <v>84</v>
          </cell>
        </row>
        <row r="2203">
          <cell r="I2203">
            <v>202609</v>
          </cell>
          <cell r="K2203">
            <v>0</v>
          </cell>
          <cell r="N2203">
            <v>7</v>
          </cell>
          <cell r="O2203">
            <v>84</v>
          </cell>
        </row>
        <row r="2204">
          <cell r="I2204">
            <v>202609</v>
          </cell>
          <cell r="K2204">
            <v>0</v>
          </cell>
          <cell r="N2204">
            <v>7</v>
          </cell>
          <cell r="O2204">
            <v>84</v>
          </cell>
        </row>
        <row r="2205">
          <cell r="I2205">
            <v>202609</v>
          </cell>
          <cell r="K2205">
            <v>0</v>
          </cell>
          <cell r="N2205">
            <v>7</v>
          </cell>
          <cell r="O2205">
            <v>84</v>
          </cell>
        </row>
        <row r="2206">
          <cell r="I2206">
            <v>202609</v>
          </cell>
          <cell r="K2206">
            <v>0</v>
          </cell>
          <cell r="N2206">
            <v>7</v>
          </cell>
          <cell r="O2206">
            <v>84</v>
          </cell>
        </row>
        <row r="2207">
          <cell r="I2207">
            <v>202609</v>
          </cell>
          <cell r="K2207">
            <v>0</v>
          </cell>
          <cell r="N2207">
            <v>7</v>
          </cell>
          <cell r="O2207">
            <v>84</v>
          </cell>
        </row>
        <row r="2208">
          <cell r="I2208">
            <v>202609</v>
          </cell>
          <cell r="K2208">
            <v>0</v>
          </cell>
          <cell r="N2208">
            <v>7</v>
          </cell>
          <cell r="O2208">
            <v>84</v>
          </cell>
        </row>
        <row r="2209">
          <cell r="I2209">
            <v>202609</v>
          </cell>
          <cell r="K2209">
            <v>0</v>
          </cell>
          <cell r="N2209">
            <v>7</v>
          </cell>
          <cell r="O2209">
            <v>84</v>
          </cell>
        </row>
        <row r="2210">
          <cell r="I2210">
            <v>202609</v>
          </cell>
          <cell r="K2210">
            <v>0</v>
          </cell>
          <cell r="N2210">
            <v>7</v>
          </cell>
          <cell r="O2210">
            <v>84</v>
          </cell>
        </row>
        <row r="2211">
          <cell r="I2211">
            <v>202609</v>
          </cell>
          <cell r="K2211">
            <v>0</v>
          </cell>
          <cell r="N2211">
            <v>7</v>
          </cell>
          <cell r="O2211">
            <v>84</v>
          </cell>
        </row>
        <row r="2212">
          <cell r="I2212">
            <v>202609</v>
          </cell>
          <cell r="K2212">
            <v>0</v>
          </cell>
          <cell r="N2212">
            <v>7</v>
          </cell>
          <cell r="O2212">
            <v>84</v>
          </cell>
        </row>
        <row r="2213">
          <cell r="I2213">
            <v>202609</v>
          </cell>
          <cell r="K2213">
            <v>0</v>
          </cell>
          <cell r="N2213">
            <v>7</v>
          </cell>
          <cell r="O2213">
            <v>84</v>
          </cell>
        </row>
        <row r="2214">
          <cell r="I2214">
            <v>202609</v>
          </cell>
          <cell r="K2214">
            <v>0</v>
          </cell>
          <cell r="N2214">
            <v>7</v>
          </cell>
          <cell r="O2214">
            <v>84</v>
          </cell>
        </row>
        <row r="2215">
          <cell r="I2215">
            <v>202609</v>
          </cell>
          <cell r="K2215">
            <v>0</v>
          </cell>
          <cell r="N2215">
            <v>7</v>
          </cell>
          <cell r="O2215">
            <v>84</v>
          </cell>
        </row>
        <row r="2216">
          <cell r="I2216">
            <v>202609</v>
          </cell>
          <cell r="K2216">
            <v>0</v>
          </cell>
          <cell r="N2216">
            <v>7</v>
          </cell>
          <cell r="O2216">
            <v>84</v>
          </cell>
        </row>
        <row r="2217">
          <cell r="I2217">
            <v>202609</v>
          </cell>
          <cell r="K2217">
            <v>0</v>
          </cell>
          <cell r="N2217">
            <v>7</v>
          </cell>
          <cell r="O2217">
            <v>84</v>
          </cell>
        </row>
        <row r="2218">
          <cell r="I2218">
            <v>202609</v>
          </cell>
          <cell r="K2218">
            <v>0</v>
          </cell>
          <cell r="N2218">
            <v>7</v>
          </cell>
          <cell r="O2218">
            <v>84</v>
          </cell>
        </row>
        <row r="2219">
          <cell r="I2219">
            <v>202609</v>
          </cell>
          <cell r="K2219">
            <v>0</v>
          </cell>
          <cell r="N2219">
            <v>7</v>
          </cell>
          <cell r="O2219">
            <v>84</v>
          </cell>
        </row>
        <row r="2220">
          <cell r="I2220">
            <v>202609</v>
          </cell>
          <cell r="K2220">
            <v>0</v>
          </cell>
          <cell r="N2220">
            <v>7</v>
          </cell>
          <cell r="O2220">
            <v>84</v>
          </cell>
        </row>
        <row r="2221">
          <cell r="I2221">
            <v>202609</v>
          </cell>
          <cell r="K2221">
            <v>0</v>
          </cell>
          <cell r="N2221">
            <v>7</v>
          </cell>
          <cell r="O2221">
            <v>84</v>
          </cell>
        </row>
        <row r="2222">
          <cell r="I2222">
            <v>202609</v>
          </cell>
          <cell r="K2222">
            <v>0</v>
          </cell>
          <cell r="N2222">
            <v>7</v>
          </cell>
          <cell r="O2222">
            <v>84</v>
          </cell>
        </row>
        <row r="2223">
          <cell r="I2223">
            <v>202609</v>
          </cell>
          <cell r="K2223">
            <v>0</v>
          </cell>
          <cell r="N2223">
            <v>7</v>
          </cell>
          <cell r="O2223">
            <v>84</v>
          </cell>
        </row>
        <row r="2224">
          <cell r="I2224">
            <v>202609</v>
          </cell>
          <cell r="K2224">
            <v>0</v>
          </cell>
          <cell r="N2224">
            <v>7</v>
          </cell>
          <cell r="O2224">
            <v>84</v>
          </cell>
        </row>
        <row r="2225">
          <cell r="I2225">
            <v>202609</v>
          </cell>
          <cell r="K2225">
            <v>0</v>
          </cell>
          <cell r="N2225">
            <v>7</v>
          </cell>
          <cell r="O2225">
            <v>84</v>
          </cell>
        </row>
        <row r="2226">
          <cell r="I2226">
            <v>202609</v>
          </cell>
          <cell r="K2226">
            <v>0</v>
          </cell>
          <cell r="N2226">
            <v>7</v>
          </cell>
          <cell r="O2226">
            <v>84</v>
          </cell>
        </row>
        <row r="2227">
          <cell r="I2227">
            <v>202609</v>
          </cell>
          <cell r="K2227">
            <v>0</v>
          </cell>
          <cell r="N2227">
            <v>7</v>
          </cell>
          <cell r="O2227">
            <v>84</v>
          </cell>
        </row>
        <row r="2228">
          <cell r="I2228">
            <v>202609</v>
          </cell>
          <cell r="K2228">
            <v>0</v>
          </cell>
          <cell r="N2228">
            <v>7</v>
          </cell>
          <cell r="O2228">
            <v>84</v>
          </cell>
        </row>
        <row r="2229">
          <cell r="I2229">
            <v>202609</v>
          </cell>
          <cell r="K2229">
            <v>0</v>
          </cell>
          <cell r="N2229">
            <v>7</v>
          </cell>
          <cell r="O2229">
            <v>84</v>
          </cell>
        </row>
        <row r="2230">
          <cell r="I2230">
            <v>202609</v>
          </cell>
          <cell r="K2230">
            <v>0</v>
          </cell>
          <cell r="N2230">
            <v>7</v>
          </cell>
          <cell r="O2230">
            <v>84</v>
          </cell>
        </row>
        <row r="2231">
          <cell r="I2231">
            <v>202609</v>
          </cell>
          <cell r="K2231">
            <v>0</v>
          </cell>
          <cell r="N2231">
            <v>7</v>
          </cell>
          <cell r="O2231">
            <v>84</v>
          </cell>
        </row>
        <row r="2232">
          <cell r="I2232">
            <v>202609</v>
          </cell>
          <cell r="K2232">
            <v>0</v>
          </cell>
          <cell r="N2232">
            <v>7</v>
          </cell>
          <cell r="O2232">
            <v>84</v>
          </cell>
        </row>
        <row r="2233">
          <cell r="I2233">
            <v>202609</v>
          </cell>
          <cell r="K2233">
            <v>0</v>
          </cell>
          <cell r="N2233">
            <v>7</v>
          </cell>
          <cell r="O2233">
            <v>84</v>
          </cell>
        </row>
        <row r="2234">
          <cell r="I2234">
            <v>202609</v>
          </cell>
          <cell r="K2234">
            <v>0</v>
          </cell>
          <cell r="N2234">
            <v>7</v>
          </cell>
          <cell r="O2234">
            <v>84</v>
          </cell>
        </row>
        <row r="2235">
          <cell r="I2235">
            <v>202609</v>
          </cell>
          <cell r="K2235">
            <v>0</v>
          </cell>
          <cell r="N2235">
            <v>7</v>
          </cell>
          <cell r="O2235">
            <v>84</v>
          </cell>
        </row>
        <row r="2236">
          <cell r="I2236">
            <v>202609</v>
          </cell>
          <cell r="K2236">
            <v>0</v>
          </cell>
          <cell r="N2236">
            <v>7</v>
          </cell>
          <cell r="O2236">
            <v>84</v>
          </cell>
        </row>
        <row r="2237">
          <cell r="I2237">
            <v>202609</v>
          </cell>
          <cell r="K2237">
            <v>0</v>
          </cell>
          <cell r="N2237">
            <v>7</v>
          </cell>
          <cell r="O2237">
            <v>84</v>
          </cell>
        </row>
        <row r="2238">
          <cell r="I2238">
            <v>202609</v>
          </cell>
          <cell r="K2238">
            <v>0</v>
          </cell>
          <cell r="N2238">
            <v>7</v>
          </cell>
          <cell r="O2238">
            <v>84</v>
          </cell>
        </row>
        <row r="2239">
          <cell r="I2239">
            <v>202609</v>
          </cell>
          <cell r="K2239">
            <v>0</v>
          </cell>
          <cell r="N2239">
            <v>7</v>
          </cell>
          <cell r="O2239">
            <v>84</v>
          </cell>
        </row>
        <row r="2240">
          <cell r="I2240">
            <v>202609</v>
          </cell>
          <cell r="K2240">
            <v>0</v>
          </cell>
          <cell r="N2240">
            <v>7</v>
          </cell>
          <cell r="O2240">
            <v>84</v>
          </cell>
        </row>
        <row r="2241">
          <cell r="I2241">
            <v>202609</v>
          </cell>
          <cell r="K2241">
            <v>0</v>
          </cell>
          <cell r="N2241">
            <v>7</v>
          </cell>
          <cell r="O2241">
            <v>84</v>
          </cell>
        </row>
        <row r="2242">
          <cell r="I2242">
            <v>202609</v>
          </cell>
          <cell r="K2242">
            <v>0</v>
          </cell>
          <cell r="N2242">
            <v>7</v>
          </cell>
          <cell r="O2242">
            <v>84</v>
          </cell>
        </row>
        <row r="2243">
          <cell r="I2243">
            <v>202609</v>
          </cell>
          <cell r="K2243">
            <v>0</v>
          </cell>
          <cell r="N2243">
            <v>7</v>
          </cell>
          <cell r="O2243">
            <v>84</v>
          </cell>
        </row>
        <row r="2244">
          <cell r="I2244">
            <v>202609</v>
          </cell>
          <cell r="K2244">
            <v>0</v>
          </cell>
          <cell r="N2244">
            <v>7</v>
          </cell>
          <cell r="O2244">
            <v>84</v>
          </cell>
        </row>
        <row r="2245">
          <cell r="I2245">
            <v>202609</v>
          </cell>
          <cell r="K2245">
            <v>0</v>
          </cell>
          <cell r="N2245">
            <v>7</v>
          </cell>
          <cell r="O2245">
            <v>84</v>
          </cell>
        </row>
        <row r="2246">
          <cell r="I2246">
            <v>202609</v>
          </cell>
          <cell r="K2246">
            <v>0</v>
          </cell>
          <cell r="N2246">
            <v>7</v>
          </cell>
          <cell r="O2246">
            <v>84</v>
          </cell>
        </row>
        <row r="2247">
          <cell r="I2247">
            <v>202609</v>
          </cell>
          <cell r="K2247">
            <v>0</v>
          </cell>
          <cell r="N2247">
            <v>7</v>
          </cell>
          <cell r="O2247">
            <v>84</v>
          </cell>
        </row>
        <row r="2248">
          <cell r="I2248">
            <v>202609</v>
          </cell>
          <cell r="K2248">
            <v>0</v>
          </cell>
          <cell r="N2248">
            <v>7</v>
          </cell>
          <cell r="O2248">
            <v>84</v>
          </cell>
        </row>
        <row r="2249">
          <cell r="I2249">
            <v>202609</v>
          </cell>
          <cell r="K2249">
            <v>0</v>
          </cell>
          <cell r="N2249">
            <v>7</v>
          </cell>
          <cell r="O2249">
            <v>84</v>
          </cell>
        </row>
        <row r="2250">
          <cell r="I2250">
            <v>202609</v>
          </cell>
          <cell r="K2250">
            <v>0</v>
          </cell>
          <cell r="N2250">
            <v>7</v>
          </cell>
          <cell r="O2250">
            <v>84</v>
          </cell>
        </row>
        <row r="2251">
          <cell r="I2251">
            <v>202609</v>
          </cell>
          <cell r="K2251">
            <v>0</v>
          </cell>
          <cell r="N2251">
            <v>7</v>
          </cell>
          <cell r="O2251">
            <v>84</v>
          </cell>
        </row>
        <row r="2252">
          <cell r="I2252">
            <v>202609</v>
          </cell>
          <cell r="K2252">
            <v>0</v>
          </cell>
          <cell r="N2252">
            <v>7</v>
          </cell>
          <cell r="O2252">
            <v>84</v>
          </cell>
        </row>
        <row r="2253">
          <cell r="I2253">
            <v>202609</v>
          </cell>
          <cell r="K2253">
            <v>0</v>
          </cell>
          <cell r="N2253">
            <v>7</v>
          </cell>
          <cell r="O2253">
            <v>84</v>
          </cell>
        </row>
        <row r="2254">
          <cell r="I2254">
            <v>202609</v>
          </cell>
          <cell r="K2254">
            <v>0</v>
          </cell>
          <cell r="N2254">
            <v>7</v>
          </cell>
          <cell r="O2254">
            <v>84</v>
          </cell>
        </row>
        <row r="2255">
          <cell r="I2255">
            <v>202609</v>
          </cell>
          <cell r="K2255">
            <v>0</v>
          </cell>
          <cell r="N2255">
            <v>7</v>
          </cell>
          <cell r="O2255">
            <v>84</v>
          </cell>
        </row>
        <row r="2256">
          <cell r="I2256">
            <v>202609</v>
          </cell>
          <cell r="K2256">
            <v>0</v>
          </cell>
          <cell r="N2256">
            <v>7</v>
          </cell>
          <cell r="O2256">
            <v>84</v>
          </cell>
        </row>
        <row r="2257">
          <cell r="I2257">
            <v>202609</v>
          </cell>
          <cell r="K2257">
            <v>0</v>
          </cell>
          <cell r="N2257">
            <v>7</v>
          </cell>
          <cell r="O2257">
            <v>84</v>
          </cell>
        </row>
        <row r="2258">
          <cell r="I2258">
            <v>202609</v>
          </cell>
          <cell r="K2258">
            <v>0</v>
          </cell>
          <cell r="N2258">
            <v>7</v>
          </cell>
          <cell r="O2258">
            <v>84</v>
          </cell>
        </row>
        <row r="2259">
          <cell r="I2259">
            <v>202609</v>
          </cell>
          <cell r="K2259">
            <v>0</v>
          </cell>
          <cell r="N2259">
            <v>7</v>
          </cell>
          <cell r="O2259">
            <v>84</v>
          </cell>
        </row>
        <row r="2260">
          <cell r="I2260">
            <v>202609</v>
          </cell>
          <cell r="K2260">
            <v>0</v>
          </cell>
          <cell r="N2260">
            <v>7</v>
          </cell>
          <cell r="O2260">
            <v>84</v>
          </cell>
        </row>
        <row r="2261">
          <cell r="I2261">
            <v>202609</v>
          </cell>
          <cell r="K2261">
            <v>0</v>
          </cell>
          <cell r="N2261">
            <v>7</v>
          </cell>
          <cell r="O2261">
            <v>84</v>
          </cell>
        </row>
        <row r="2262">
          <cell r="I2262">
            <v>202609</v>
          </cell>
          <cell r="K2262">
            <v>0</v>
          </cell>
          <cell r="N2262">
            <v>7</v>
          </cell>
          <cell r="O2262">
            <v>84</v>
          </cell>
        </row>
        <row r="2263">
          <cell r="I2263">
            <v>202609</v>
          </cell>
          <cell r="K2263">
            <v>0</v>
          </cell>
          <cell r="N2263">
            <v>7</v>
          </cell>
          <cell r="O2263">
            <v>84</v>
          </cell>
        </row>
        <row r="2264">
          <cell r="I2264">
            <v>202609</v>
          </cell>
          <cell r="K2264">
            <v>0</v>
          </cell>
          <cell r="N2264">
            <v>7</v>
          </cell>
          <cell r="O2264">
            <v>84</v>
          </cell>
        </row>
        <row r="2265">
          <cell r="I2265">
            <v>202609</v>
          </cell>
          <cell r="K2265">
            <v>0</v>
          </cell>
          <cell r="N2265">
            <v>7</v>
          </cell>
          <cell r="O2265">
            <v>84</v>
          </cell>
        </row>
        <row r="2266">
          <cell r="I2266">
            <v>202609</v>
          </cell>
          <cell r="K2266">
            <v>0</v>
          </cell>
          <cell r="N2266">
            <v>7</v>
          </cell>
          <cell r="O2266">
            <v>84</v>
          </cell>
        </row>
        <row r="2267">
          <cell r="I2267">
            <v>202609</v>
          </cell>
          <cell r="K2267">
            <v>0</v>
          </cell>
          <cell r="N2267">
            <v>7</v>
          </cell>
          <cell r="O2267">
            <v>84</v>
          </cell>
        </row>
        <row r="2268">
          <cell r="I2268">
            <v>202609</v>
          </cell>
          <cell r="K2268">
            <v>0</v>
          </cell>
          <cell r="N2268">
            <v>7</v>
          </cell>
          <cell r="O2268">
            <v>84</v>
          </cell>
        </row>
        <row r="2269">
          <cell r="I2269">
            <v>202609</v>
          </cell>
          <cell r="K2269">
            <v>0</v>
          </cell>
          <cell r="N2269">
            <v>7</v>
          </cell>
          <cell r="O2269">
            <v>84</v>
          </cell>
        </row>
        <row r="2270">
          <cell r="I2270">
            <v>202609</v>
          </cell>
          <cell r="K2270">
            <v>0</v>
          </cell>
          <cell r="N2270">
            <v>7</v>
          </cell>
          <cell r="O2270">
            <v>84</v>
          </cell>
        </row>
        <row r="2271">
          <cell r="I2271">
            <v>202609</v>
          </cell>
          <cell r="K2271">
            <v>0</v>
          </cell>
          <cell r="N2271">
            <v>7</v>
          </cell>
          <cell r="O2271">
            <v>84</v>
          </cell>
        </row>
        <row r="2272">
          <cell r="I2272">
            <v>202609</v>
          </cell>
          <cell r="K2272">
            <v>0</v>
          </cell>
          <cell r="N2272">
            <v>7</v>
          </cell>
          <cell r="O2272">
            <v>84</v>
          </cell>
        </row>
        <row r="2273">
          <cell r="I2273">
            <v>202609</v>
          </cell>
          <cell r="K2273">
            <v>0</v>
          </cell>
          <cell r="N2273">
            <v>7</v>
          </cell>
          <cell r="O2273">
            <v>84</v>
          </cell>
        </row>
        <row r="2274">
          <cell r="I2274">
            <v>202609</v>
          </cell>
          <cell r="K2274">
            <v>0</v>
          </cell>
          <cell r="N2274">
            <v>7</v>
          </cell>
          <cell r="O2274">
            <v>84</v>
          </cell>
        </row>
        <row r="2275">
          <cell r="I2275">
            <v>202609</v>
          </cell>
          <cell r="K2275">
            <v>0</v>
          </cell>
          <cell r="N2275">
            <v>7</v>
          </cell>
          <cell r="O2275">
            <v>84</v>
          </cell>
        </row>
        <row r="2276">
          <cell r="I2276">
            <v>202609</v>
          </cell>
          <cell r="K2276">
            <v>0</v>
          </cell>
          <cell r="N2276">
            <v>7</v>
          </cell>
          <cell r="O2276">
            <v>84</v>
          </cell>
        </row>
        <row r="2277">
          <cell r="I2277">
            <v>202609</v>
          </cell>
          <cell r="K2277">
            <v>0</v>
          </cell>
          <cell r="N2277">
            <v>7</v>
          </cell>
          <cell r="O2277">
            <v>84</v>
          </cell>
        </row>
        <row r="2278">
          <cell r="I2278">
            <v>202609</v>
          </cell>
          <cell r="K2278">
            <v>0</v>
          </cell>
          <cell r="N2278">
            <v>7</v>
          </cell>
          <cell r="O2278">
            <v>84</v>
          </cell>
        </row>
        <row r="2279">
          <cell r="I2279">
            <v>202609</v>
          </cell>
          <cell r="K2279">
            <v>0</v>
          </cell>
          <cell r="N2279">
            <v>7</v>
          </cell>
          <cell r="O2279">
            <v>84</v>
          </cell>
        </row>
        <row r="2280">
          <cell r="I2280">
            <v>202609</v>
          </cell>
          <cell r="K2280">
            <v>0</v>
          </cell>
          <cell r="N2280">
            <v>7</v>
          </cell>
          <cell r="O2280">
            <v>84</v>
          </cell>
        </row>
        <row r="2281">
          <cell r="I2281">
            <v>202609</v>
          </cell>
          <cell r="K2281">
            <v>0</v>
          </cell>
          <cell r="N2281">
            <v>7</v>
          </cell>
          <cell r="O2281">
            <v>84</v>
          </cell>
        </row>
        <row r="2282">
          <cell r="I2282">
            <v>202609</v>
          </cell>
          <cell r="K2282">
            <v>0</v>
          </cell>
          <cell r="N2282">
            <v>7</v>
          </cell>
          <cell r="O2282">
            <v>84</v>
          </cell>
        </row>
        <row r="2283">
          <cell r="I2283">
            <v>202609</v>
          </cell>
          <cell r="K2283">
            <v>0</v>
          </cell>
          <cell r="N2283">
            <v>7</v>
          </cell>
          <cell r="O2283">
            <v>84</v>
          </cell>
        </row>
        <row r="2284">
          <cell r="I2284">
            <v>202609</v>
          </cell>
          <cell r="K2284">
            <v>0</v>
          </cell>
          <cell r="N2284">
            <v>7</v>
          </cell>
          <cell r="O2284">
            <v>84</v>
          </cell>
        </row>
        <row r="2285">
          <cell r="I2285">
            <v>202609</v>
          </cell>
          <cell r="K2285">
            <v>0</v>
          </cell>
          <cell r="N2285">
            <v>7</v>
          </cell>
          <cell r="O2285">
            <v>84</v>
          </cell>
        </row>
        <row r="2286">
          <cell r="I2286">
            <v>202609</v>
          </cell>
          <cell r="K2286">
            <v>0</v>
          </cell>
          <cell r="N2286">
            <v>7</v>
          </cell>
          <cell r="O2286">
            <v>84</v>
          </cell>
        </row>
        <row r="2287">
          <cell r="I2287">
            <v>202609</v>
          </cell>
          <cell r="K2287">
            <v>0</v>
          </cell>
          <cell r="N2287">
            <v>7</v>
          </cell>
          <cell r="O2287">
            <v>84</v>
          </cell>
        </row>
        <row r="2288">
          <cell r="I2288">
            <v>202609</v>
          </cell>
          <cell r="K2288">
            <v>0</v>
          </cell>
          <cell r="N2288">
            <v>7</v>
          </cell>
          <cell r="O2288">
            <v>84</v>
          </cell>
        </row>
        <row r="2289">
          <cell r="I2289">
            <v>202609</v>
          </cell>
          <cell r="K2289">
            <v>0</v>
          </cell>
          <cell r="N2289">
            <v>7</v>
          </cell>
          <cell r="O2289">
            <v>84</v>
          </cell>
        </row>
        <row r="2290">
          <cell r="I2290">
            <v>202609</v>
          </cell>
          <cell r="K2290">
            <v>0</v>
          </cell>
          <cell r="N2290">
            <v>7</v>
          </cell>
          <cell r="O2290">
            <v>84</v>
          </cell>
        </row>
        <row r="2291">
          <cell r="I2291">
            <v>202609</v>
          </cell>
          <cell r="K2291">
            <v>0</v>
          </cell>
          <cell r="N2291">
            <v>7</v>
          </cell>
          <cell r="O2291">
            <v>84</v>
          </cell>
        </row>
        <row r="2292">
          <cell r="I2292">
            <v>202609</v>
          </cell>
          <cell r="K2292">
            <v>0</v>
          </cell>
          <cell r="N2292">
            <v>7</v>
          </cell>
          <cell r="O2292">
            <v>84</v>
          </cell>
        </row>
        <row r="2293">
          <cell r="I2293">
            <v>202609</v>
          </cell>
          <cell r="K2293">
            <v>0</v>
          </cell>
          <cell r="N2293">
            <v>7</v>
          </cell>
          <cell r="O2293">
            <v>84</v>
          </cell>
        </row>
        <row r="2294">
          <cell r="I2294">
            <v>202609</v>
          </cell>
          <cell r="K2294">
            <v>0</v>
          </cell>
          <cell r="N2294">
            <v>7</v>
          </cell>
          <cell r="O2294">
            <v>84</v>
          </cell>
        </row>
        <row r="2295">
          <cell r="I2295">
            <v>202609</v>
          </cell>
          <cell r="K2295">
            <v>0</v>
          </cell>
          <cell r="N2295">
            <v>7</v>
          </cell>
          <cell r="O2295">
            <v>84</v>
          </cell>
        </row>
        <row r="2296">
          <cell r="I2296">
            <v>202609</v>
          </cell>
          <cell r="K2296">
            <v>0</v>
          </cell>
          <cell r="N2296">
            <v>7</v>
          </cell>
          <cell r="O2296">
            <v>84</v>
          </cell>
        </row>
        <row r="2297">
          <cell r="I2297">
            <v>202609</v>
          </cell>
          <cell r="K2297">
            <v>0</v>
          </cell>
          <cell r="N2297">
            <v>7</v>
          </cell>
          <cell r="O2297">
            <v>84</v>
          </cell>
        </row>
        <row r="2298">
          <cell r="I2298">
            <v>202609</v>
          </cell>
          <cell r="K2298">
            <v>0</v>
          </cell>
          <cell r="N2298">
            <v>7</v>
          </cell>
          <cell r="O2298">
            <v>84</v>
          </cell>
        </row>
        <row r="2299">
          <cell r="I2299">
            <v>202609</v>
          </cell>
          <cell r="K2299">
            <v>0</v>
          </cell>
          <cell r="N2299">
            <v>7</v>
          </cell>
          <cell r="O2299">
            <v>84</v>
          </cell>
        </row>
        <row r="2300">
          <cell r="I2300">
            <v>202609</v>
          </cell>
          <cell r="K2300">
            <v>0</v>
          </cell>
          <cell r="N2300">
            <v>7</v>
          </cell>
          <cell r="O2300">
            <v>84</v>
          </cell>
        </row>
        <row r="2301">
          <cell r="I2301">
            <v>202609</v>
          </cell>
          <cell r="K2301">
            <v>0</v>
          </cell>
          <cell r="N2301">
            <v>7</v>
          </cell>
          <cell r="O2301">
            <v>84</v>
          </cell>
        </row>
        <row r="2302">
          <cell r="I2302">
            <v>202609</v>
          </cell>
          <cell r="K2302">
            <v>0</v>
          </cell>
          <cell r="N2302">
            <v>7</v>
          </cell>
          <cell r="O2302">
            <v>84</v>
          </cell>
        </row>
        <row r="2303">
          <cell r="I2303">
            <v>202609</v>
          </cell>
          <cell r="K2303">
            <v>0</v>
          </cell>
          <cell r="N2303">
            <v>7</v>
          </cell>
          <cell r="O2303">
            <v>84</v>
          </cell>
        </row>
        <row r="2304">
          <cell r="I2304">
            <v>202609</v>
          </cell>
          <cell r="K2304">
            <v>0</v>
          </cell>
          <cell r="N2304">
            <v>7</v>
          </cell>
          <cell r="O2304">
            <v>84</v>
          </cell>
        </row>
        <row r="2305">
          <cell r="I2305">
            <v>202609</v>
          </cell>
          <cell r="K2305">
            <v>0</v>
          </cell>
          <cell r="N2305">
            <v>7</v>
          </cell>
          <cell r="O2305">
            <v>84</v>
          </cell>
        </row>
        <row r="2306">
          <cell r="I2306">
            <v>202609</v>
          </cell>
          <cell r="K2306">
            <v>0</v>
          </cell>
          <cell r="N2306">
            <v>7</v>
          </cell>
          <cell r="O2306">
            <v>84</v>
          </cell>
        </row>
        <row r="2307">
          <cell r="I2307">
            <v>202609</v>
          </cell>
          <cell r="K2307">
            <v>0</v>
          </cell>
          <cell r="N2307">
            <v>7</v>
          </cell>
          <cell r="O2307">
            <v>84</v>
          </cell>
        </row>
        <row r="2308">
          <cell r="I2308">
            <v>202609</v>
          </cell>
          <cell r="K2308">
            <v>0</v>
          </cell>
          <cell r="N2308">
            <v>7</v>
          </cell>
          <cell r="O2308">
            <v>84</v>
          </cell>
        </row>
        <row r="2309">
          <cell r="I2309">
            <v>202609</v>
          </cell>
          <cell r="K2309">
            <v>0</v>
          </cell>
          <cell r="N2309">
            <v>7</v>
          </cell>
          <cell r="O2309">
            <v>84</v>
          </cell>
        </row>
        <row r="2310">
          <cell r="I2310">
            <v>202609</v>
          </cell>
          <cell r="K2310">
            <v>0</v>
          </cell>
          <cell r="N2310">
            <v>7</v>
          </cell>
          <cell r="O2310">
            <v>84</v>
          </cell>
        </row>
        <row r="2311">
          <cell r="I2311">
            <v>202609</v>
          </cell>
          <cell r="K2311">
            <v>0</v>
          </cell>
          <cell r="N2311">
            <v>7</v>
          </cell>
          <cell r="O2311">
            <v>84</v>
          </cell>
        </row>
        <row r="2312">
          <cell r="I2312">
            <v>202609</v>
          </cell>
          <cell r="K2312">
            <v>0</v>
          </cell>
          <cell r="N2312">
            <v>7</v>
          </cell>
          <cell r="O2312">
            <v>84</v>
          </cell>
        </row>
        <row r="2313">
          <cell r="I2313">
            <v>202609</v>
          </cell>
          <cell r="K2313">
            <v>0</v>
          </cell>
          <cell r="N2313">
            <v>7</v>
          </cell>
          <cell r="O2313">
            <v>84</v>
          </cell>
        </row>
        <row r="2314">
          <cell r="I2314">
            <v>202609</v>
          </cell>
          <cell r="K2314">
            <v>0</v>
          </cell>
          <cell r="N2314">
            <v>7</v>
          </cell>
          <cell r="O2314">
            <v>84</v>
          </cell>
        </row>
        <row r="2315">
          <cell r="I2315">
            <v>202609</v>
          </cell>
          <cell r="K2315">
            <v>0</v>
          </cell>
          <cell r="N2315">
            <v>7</v>
          </cell>
          <cell r="O2315">
            <v>84</v>
          </cell>
        </row>
        <row r="2316">
          <cell r="I2316">
            <v>202609</v>
          </cell>
          <cell r="K2316">
            <v>0</v>
          </cell>
          <cell r="N2316">
            <v>7</v>
          </cell>
          <cell r="O2316">
            <v>84</v>
          </cell>
        </row>
        <row r="2317">
          <cell r="I2317">
            <v>202609</v>
          </cell>
          <cell r="K2317">
            <v>0</v>
          </cell>
          <cell r="N2317">
            <v>7</v>
          </cell>
          <cell r="O2317">
            <v>84</v>
          </cell>
        </row>
        <row r="2318">
          <cell r="I2318">
            <v>202609</v>
          </cell>
          <cell r="K2318">
            <v>0</v>
          </cell>
          <cell r="N2318">
            <v>7</v>
          </cell>
          <cell r="O2318">
            <v>84</v>
          </cell>
        </row>
        <row r="2319">
          <cell r="I2319">
            <v>202609</v>
          </cell>
          <cell r="K2319">
            <v>0</v>
          </cell>
          <cell r="N2319">
            <v>7</v>
          </cell>
          <cell r="O2319">
            <v>84</v>
          </cell>
        </row>
        <row r="2320">
          <cell r="I2320">
            <v>202609</v>
          </cell>
          <cell r="K2320">
            <v>0</v>
          </cell>
          <cell r="N2320">
            <v>7</v>
          </cell>
          <cell r="O2320">
            <v>84</v>
          </cell>
        </row>
        <row r="2321">
          <cell r="I2321">
            <v>202609</v>
          </cell>
          <cell r="K2321">
            <v>0</v>
          </cell>
          <cell r="N2321">
            <v>7</v>
          </cell>
          <cell r="O2321">
            <v>84</v>
          </cell>
        </row>
        <row r="2322">
          <cell r="I2322">
            <v>202609</v>
          </cell>
          <cell r="K2322">
            <v>0</v>
          </cell>
          <cell r="N2322">
            <v>7</v>
          </cell>
          <cell r="O2322">
            <v>84</v>
          </cell>
        </row>
        <row r="2323">
          <cell r="I2323">
            <v>202609</v>
          </cell>
          <cell r="K2323">
            <v>0</v>
          </cell>
          <cell r="N2323">
            <v>7</v>
          </cell>
          <cell r="O2323">
            <v>84</v>
          </cell>
        </row>
        <row r="2324">
          <cell r="I2324">
            <v>202609</v>
          </cell>
          <cell r="K2324">
            <v>0</v>
          </cell>
          <cell r="N2324">
            <v>7</v>
          </cell>
          <cell r="O2324">
            <v>84</v>
          </cell>
        </row>
        <row r="2325">
          <cell r="I2325">
            <v>202609</v>
          </cell>
          <cell r="K2325">
            <v>0</v>
          </cell>
          <cell r="N2325">
            <v>7</v>
          </cell>
          <cell r="O2325">
            <v>84</v>
          </cell>
        </row>
        <row r="2326">
          <cell r="I2326">
            <v>202609</v>
          </cell>
          <cell r="K2326">
            <v>0</v>
          </cell>
          <cell r="N2326">
            <v>7</v>
          </cell>
          <cell r="O2326">
            <v>84</v>
          </cell>
        </row>
        <row r="2327">
          <cell r="I2327">
            <v>202609</v>
          </cell>
          <cell r="K2327">
            <v>0</v>
          </cell>
          <cell r="N2327">
            <v>7</v>
          </cell>
          <cell r="O2327">
            <v>84</v>
          </cell>
        </row>
        <row r="2328">
          <cell r="I2328">
            <v>202609</v>
          </cell>
          <cell r="K2328">
            <v>0</v>
          </cell>
          <cell r="N2328">
            <v>7</v>
          </cell>
          <cell r="O2328">
            <v>84</v>
          </cell>
        </row>
        <row r="2329">
          <cell r="I2329">
            <v>202609</v>
          </cell>
          <cell r="K2329">
            <v>0</v>
          </cell>
          <cell r="N2329">
            <v>7</v>
          </cell>
          <cell r="O2329">
            <v>84</v>
          </cell>
        </row>
        <row r="2330">
          <cell r="I2330">
            <v>202609</v>
          </cell>
          <cell r="K2330">
            <v>0</v>
          </cell>
          <cell r="N2330">
            <v>7</v>
          </cell>
          <cell r="O2330">
            <v>84</v>
          </cell>
        </row>
        <row r="2331">
          <cell r="I2331">
            <v>202609</v>
          </cell>
          <cell r="K2331">
            <v>0</v>
          </cell>
          <cell r="N2331">
            <v>7</v>
          </cell>
          <cell r="O2331">
            <v>84</v>
          </cell>
        </row>
        <row r="2332">
          <cell r="I2332">
            <v>202609</v>
          </cell>
          <cell r="K2332">
            <v>0</v>
          </cell>
          <cell r="N2332">
            <v>7</v>
          </cell>
          <cell r="O2332">
            <v>84</v>
          </cell>
        </row>
        <row r="2333">
          <cell r="I2333">
            <v>202609</v>
          </cell>
          <cell r="K2333">
            <v>0</v>
          </cell>
          <cell r="N2333">
            <v>7</v>
          </cell>
          <cell r="O2333">
            <v>84</v>
          </cell>
        </row>
        <row r="2334">
          <cell r="I2334">
            <v>202609</v>
          </cell>
          <cell r="K2334">
            <v>0</v>
          </cell>
          <cell r="N2334">
            <v>7</v>
          </cell>
          <cell r="O2334">
            <v>84</v>
          </cell>
        </row>
        <row r="2335">
          <cell r="I2335">
            <v>202609</v>
          </cell>
          <cell r="K2335">
            <v>0</v>
          </cell>
          <cell r="N2335">
            <v>7</v>
          </cell>
          <cell r="O2335">
            <v>84</v>
          </cell>
        </row>
        <row r="2336">
          <cell r="I2336">
            <v>202609</v>
          </cell>
          <cell r="K2336">
            <v>0</v>
          </cell>
          <cell r="N2336">
            <v>7</v>
          </cell>
          <cell r="O2336">
            <v>84</v>
          </cell>
        </row>
        <row r="2337">
          <cell r="I2337">
            <v>202609</v>
          </cell>
          <cell r="K2337">
            <v>0</v>
          </cell>
          <cell r="N2337">
            <v>7</v>
          </cell>
          <cell r="O2337">
            <v>84</v>
          </cell>
        </row>
        <row r="2338">
          <cell r="I2338">
            <v>202609</v>
          </cell>
          <cell r="K2338">
            <v>0</v>
          </cell>
          <cell r="N2338">
            <v>7</v>
          </cell>
          <cell r="O2338">
            <v>84</v>
          </cell>
        </row>
        <row r="2339">
          <cell r="I2339">
            <v>202609</v>
          </cell>
          <cell r="K2339">
            <v>0</v>
          </cell>
          <cell r="N2339">
            <v>7</v>
          </cell>
          <cell r="O2339">
            <v>84</v>
          </cell>
        </row>
        <row r="2340">
          <cell r="I2340">
            <v>202609</v>
          </cell>
          <cell r="K2340">
            <v>0</v>
          </cell>
          <cell r="N2340">
            <v>7</v>
          </cell>
          <cell r="O2340">
            <v>84</v>
          </cell>
        </row>
        <row r="2341">
          <cell r="I2341">
            <v>202609</v>
          </cell>
          <cell r="K2341">
            <v>0</v>
          </cell>
          <cell r="N2341">
            <v>7</v>
          </cell>
          <cell r="O2341">
            <v>84</v>
          </cell>
        </row>
        <row r="2342">
          <cell r="I2342">
            <v>202609</v>
          </cell>
          <cell r="K2342">
            <v>0</v>
          </cell>
          <cell r="N2342">
            <v>7</v>
          </cell>
          <cell r="O2342">
            <v>84</v>
          </cell>
        </row>
        <row r="2343">
          <cell r="I2343">
            <v>202609</v>
          </cell>
          <cell r="K2343">
            <v>0</v>
          </cell>
          <cell r="N2343">
            <v>7</v>
          </cell>
          <cell r="O2343">
            <v>84</v>
          </cell>
        </row>
        <row r="2344">
          <cell r="I2344">
            <v>202609</v>
          </cell>
          <cell r="K2344">
            <v>0</v>
          </cell>
          <cell r="N2344">
            <v>7</v>
          </cell>
          <cell r="O2344">
            <v>84</v>
          </cell>
        </row>
        <row r="2345">
          <cell r="I2345">
            <v>202609</v>
          </cell>
          <cell r="K2345">
            <v>0</v>
          </cell>
          <cell r="N2345">
            <v>7</v>
          </cell>
          <cell r="O2345">
            <v>84</v>
          </cell>
        </row>
        <row r="2346">
          <cell r="I2346">
            <v>202609</v>
          </cell>
          <cell r="K2346">
            <v>0</v>
          </cell>
          <cell r="N2346">
            <v>7</v>
          </cell>
          <cell r="O2346">
            <v>84</v>
          </cell>
        </row>
        <row r="2347">
          <cell r="I2347">
            <v>202609</v>
          </cell>
          <cell r="K2347">
            <v>0</v>
          </cell>
          <cell r="N2347">
            <v>7</v>
          </cell>
          <cell r="O2347">
            <v>84</v>
          </cell>
        </row>
        <row r="2348">
          <cell r="I2348">
            <v>202609</v>
          </cell>
          <cell r="K2348">
            <v>0</v>
          </cell>
          <cell r="N2348">
            <v>7</v>
          </cell>
          <cell r="O2348">
            <v>84</v>
          </cell>
        </row>
        <row r="2349">
          <cell r="I2349">
            <v>202609</v>
          </cell>
          <cell r="K2349">
            <v>0</v>
          </cell>
          <cell r="N2349">
            <v>7</v>
          </cell>
          <cell r="O2349">
            <v>84</v>
          </cell>
        </row>
        <row r="2350">
          <cell r="I2350">
            <v>202609</v>
          </cell>
          <cell r="K2350">
            <v>0</v>
          </cell>
          <cell r="N2350">
            <v>7</v>
          </cell>
          <cell r="O2350">
            <v>84</v>
          </cell>
        </row>
        <row r="2351">
          <cell r="I2351">
            <v>202609</v>
          </cell>
          <cell r="K2351">
            <v>0</v>
          </cell>
          <cell r="N2351">
            <v>7</v>
          </cell>
          <cell r="O2351">
            <v>84</v>
          </cell>
        </row>
        <row r="2352">
          <cell r="I2352">
            <v>202609</v>
          </cell>
          <cell r="K2352">
            <v>0</v>
          </cell>
          <cell r="N2352">
            <v>7</v>
          </cell>
          <cell r="O2352">
            <v>84</v>
          </cell>
        </row>
        <row r="2353">
          <cell r="I2353">
            <v>202609</v>
          </cell>
          <cell r="K2353">
            <v>0</v>
          </cell>
          <cell r="N2353">
            <v>7</v>
          </cell>
          <cell r="O2353">
            <v>84</v>
          </cell>
        </row>
        <row r="2354">
          <cell r="I2354">
            <v>202609</v>
          </cell>
          <cell r="K2354">
            <v>0</v>
          </cell>
          <cell r="N2354">
            <v>7</v>
          </cell>
          <cell r="O2354">
            <v>84</v>
          </cell>
        </row>
        <row r="2355">
          <cell r="I2355">
            <v>202609</v>
          </cell>
          <cell r="K2355">
            <v>0</v>
          </cell>
          <cell r="N2355">
            <v>7</v>
          </cell>
          <cell r="O2355">
            <v>84</v>
          </cell>
        </row>
        <row r="2356">
          <cell r="I2356">
            <v>202609</v>
          </cell>
          <cell r="K2356">
            <v>0</v>
          </cell>
          <cell r="N2356">
            <v>7</v>
          </cell>
          <cell r="O2356">
            <v>84</v>
          </cell>
        </row>
        <row r="2357">
          <cell r="I2357">
            <v>202609</v>
          </cell>
          <cell r="K2357">
            <v>0</v>
          </cell>
          <cell r="N2357">
            <v>7</v>
          </cell>
          <cell r="O2357">
            <v>84</v>
          </cell>
        </row>
        <row r="2358">
          <cell r="I2358">
            <v>202609</v>
          </cell>
          <cell r="K2358">
            <v>0</v>
          </cell>
          <cell r="N2358">
            <v>7</v>
          </cell>
          <cell r="O2358">
            <v>84</v>
          </cell>
        </row>
        <row r="2359">
          <cell r="I2359">
            <v>202609</v>
          </cell>
          <cell r="K2359">
            <v>0</v>
          </cell>
          <cell r="N2359">
            <v>7</v>
          </cell>
          <cell r="O2359">
            <v>84</v>
          </cell>
        </row>
        <row r="2360">
          <cell r="I2360">
            <v>202609</v>
          </cell>
          <cell r="K2360">
            <v>0</v>
          </cell>
          <cell r="N2360">
            <v>7</v>
          </cell>
          <cell r="O2360">
            <v>84</v>
          </cell>
        </row>
        <row r="2361">
          <cell r="I2361">
            <v>202609</v>
          </cell>
          <cell r="K2361">
            <v>0</v>
          </cell>
          <cell r="N2361">
            <v>7</v>
          </cell>
          <cell r="O2361">
            <v>84</v>
          </cell>
        </row>
        <row r="2362">
          <cell r="I2362">
            <v>202609</v>
          </cell>
          <cell r="K2362">
            <v>0</v>
          </cell>
          <cell r="N2362">
            <v>7</v>
          </cell>
          <cell r="O2362">
            <v>84</v>
          </cell>
        </row>
        <row r="2363">
          <cell r="I2363">
            <v>202609</v>
          </cell>
          <cell r="K2363">
            <v>0</v>
          </cell>
          <cell r="N2363">
            <v>7</v>
          </cell>
          <cell r="O2363">
            <v>84</v>
          </cell>
        </row>
        <row r="2364">
          <cell r="I2364">
            <v>202609</v>
          </cell>
          <cell r="K2364">
            <v>0</v>
          </cell>
          <cell r="N2364">
            <v>7</v>
          </cell>
          <cell r="O2364">
            <v>84</v>
          </cell>
        </row>
        <row r="2365">
          <cell r="I2365">
            <v>202609</v>
          </cell>
          <cell r="K2365">
            <v>0</v>
          </cell>
          <cell r="N2365">
            <v>7</v>
          </cell>
          <cell r="O2365">
            <v>84</v>
          </cell>
        </row>
        <row r="2366">
          <cell r="I2366">
            <v>202609</v>
          </cell>
          <cell r="K2366">
            <v>0</v>
          </cell>
          <cell r="N2366">
            <v>7</v>
          </cell>
          <cell r="O2366">
            <v>84</v>
          </cell>
        </row>
        <row r="2367">
          <cell r="I2367">
            <v>202609</v>
          </cell>
          <cell r="K2367">
            <v>0</v>
          </cell>
          <cell r="N2367">
            <v>7</v>
          </cell>
          <cell r="O2367">
            <v>84</v>
          </cell>
        </row>
        <row r="2368">
          <cell r="I2368">
            <v>202609</v>
          </cell>
          <cell r="K2368">
            <v>0</v>
          </cell>
          <cell r="N2368">
            <v>7</v>
          </cell>
          <cell r="O2368">
            <v>84</v>
          </cell>
        </row>
        <row r="2369">
          <cell r="I2369">
            <v>202609</v>
          </cell>
          <cell r="K2369">
            <v>0</v>
          </cell>
          <cell r="N2369">
            <v>7</v>
          </cell>
          <cell r="O2369">
            <v>84</v>
          </cell>
        </row>
        <row r="2370">
          <cell r="I2370">
            <v>202609</v>
          </cell>
          <cell r="K2370">
            <v>0</v>
          </cell>
          <cell r="N2370">
            <v>7</v>
          </cell>
          <cell r="O2370">
            <v>84</v>
          </cell>
        </row>
        <row r="2371">
          <cell r="I2371">
            <v>202609</v>
          </cell>
          <cell r="K2371">
            <v>0</v>
          </cell>
          <cell r="N2371">
            <v>7</v>
          </cell>
          <cell r="O2371">
            <v>84</v>
          </cell>
        </row>
        <row r="2372">
          <cell r="I2372">
            <v>202609</v>
          </cell>
          <cell r="K2372">
            <v>0</v>
          </cell>
          <cell r="N2372">
            <v>7</v>
          </cell>
          <cell r="O2372">
            <v>84</v>
          </cell>
        </row>
        <row r="2373">
          <cell r="I2373">
            <v>202609</v>
          </cell>
          <cell r="K2373">
            <v>0</v>
          </cell>
          <cell r="N2373">
            <v>7</v>
          </cell>
          <cell r="O2373">
            <v>84</v>
          </cell>
        </row>
        <row r="2374">
          <cell r="I2374">
            <v>202609</v>
          </cell>
          <cell r="K2374">
            <v>0</v>
          </cell>
          <cell r="N2374">
            <v>7</v>
          </cell>
          <cell r="O2374">
            <v>84</v>
          </cell>
        </row>
        <row r="2375">
          <cell r="I2375">
            <v>202609</v>
          </cell>
          <cell r="K2375">
            <v>0</v>
          </cell>
          <cell r="N2375">
            <v>7</v>
          </cell>
          <cell r="O2375">
            <v>84</v>
          </cell>
        </row>
        <row r="2376">
          <cell r="I2376">
            <v>202609</v>
          </cell>
          <cell r="K2376">
            <v>0</v>
          </cell>
          <cell r="N2376">
            <v>7</v>
          </cell>
          <cell r="O2376">
            <v>84</v>
          </cell>
        </row>
        <row r="2377">
          <cell r="I2377">
            <v>202609</v>
          </cell>
          <cell r="K2377">
            <v>0</v>
          </cell>
          <cell r="N2377">
            <v>7</v>
          </cell>
          <cell r="O2377">
            <v>84</v>
          </cell>
        </row>
        <row r="2378">
          <cell r="I2378">
            <v>202609</v>
          </cell>
          <cell r="K2378">
            <v>0</v>
          </cell>
          <cell r="N2378">
            <v>7</v>
          </cell>
          <cell r="O2378">
            <v>84</v>
          </cell>
        </row>
        <row r="2379">
          <cell r="I2379">
            <v>202609</v>
          </cell>
          <cell r="K2379">
            <v>0</v>
          </cell>
          <cell r="N2379">
            <v>7</v>
          </cell>
          <cell r="O2379">
            <v>84</v>
          </cell>
        </row>
        <row r="2380">
          <cell r="I2380">
            <v>202609</v>
          </cell>
          <cell r="K2380">
            <v>0</v>
          </cell>
          <cell r="N2380">
            <v>7</v>
          </cell>
          <cell r="O2380">
            <v>84</v>
          </cell>
        </row>
        <row r="2381">
          <cell r="I2381">
            <v>202609</v>
          </cell>
          <cell r="K2381">
            <v>0</v>
          </cell>
          <cell r="N2381">
            <v>7</v>
          </cell>
          <cell r="O2381">
            <v>84</v>
          </cell>
        </row>
        <row r="2382">
          <cell r="I2382">
            <v>202609</v>
          </cell>
          <cell r="K2382">
            <v>0</v>
          </cell>
          <cell r="N2382">
            <v>7</v>
          </cell>
          <cell r="O2382">
            <v>84</v>
          </cell>
        </row>
        <row r="2383">
          <cell r="I2383">
            <v>202609</v>
          </cell>
          <cell r="K2383">
            <v>0</v>
          </cell>
          <cell r="N2383">
            <v>7</v>
          </cell>
          <cell r="O2383">
            <v>84</v>
          </cell>
        </row>
        <row r="2384">
          <cell r="I2384">
            <v>202609</v>
          </cell>
          <cell r="K2384">
            <v>0</v>
          </cell>
          <cell r="N2384">
            <v>7</v>
          </cell>
          <cell r="O2384">
            <v>84</v>
          </cell>
        </row>
        <row r="2385">
          <cell r="I2385">
            <v>202609</v>
          </cell>
          <cell r="K2385">
            <v>0</v>
          </cell>
          <cell r="N2385">
            <v>7</v>
          </cell>
          <cell r="O2385">
            <v>84</v>
          </cell>
        </row>
        <row r="2386">
          <cell r="I2386">
            <v>202609</v>
          </cell>
          <cell r="K2386">
            <v>0</v>
          </cell>
          <cell r="N2386">
            <v>7</v>
          </cell>
          <cell r="O2386">
            <v>84</v>
          </cell>
        </row>
        <row r="2387">
          <cell r="I2387">
            <v>202609</v>
          </cell>
          <cell r="K2387">
            <v>0</v>
          </cell>
          <cell r="N2387">
            <v>7</v>
          </cell>
          <cell r="O2387">
            <v>84</v>
          </cell>
        </row>
        <row r="2388">
          <cell r="I2388">
            <v>202609</v>
          </cell>
          <cell r="K2388">
            <v>0</v>
          </cell>
          <cell r="N2388">
            <v>7</v>
          </cell>
          <cell r="O2388">
            <v>84</v>
          </cell>
        </row>
        <row r="2389">
          <cell r="I2389">
            <v>202609</v>
          </cell>
          <cell r="K2389">
            <v>0</v>
          </cell>
          <cell r="N2389">
            <v>7</v>
          </cell>
          <cell r="O2389">
            <v>84</v>
          </cell>
        </row>
        <row r="2390">
          <cell r="I2390">
            <v>202609</v>
          </cell>
          <cell r="K2390">
            <v>0</v>
          </cell>
          <cell r="N2390">
            <v>7</v>
          </cell>
          <cell r="O2390">
            <v>84</v>
          </cell>
        </row>
        <row r="2391">
          <cell r="I2391">
            <v>202609</v>
          </cell>
          <cell r="K2391">
            <v>0</v>
          </cell>
          <cell r="N2391">
            <v>7</v>
          </cell>
          <cell r="O2391">
            <v>84</v>
          </cell>
        </row>
        <row r="2392">
          <cell r="I2392">
            <v>202609</v>
          </cell>
          <cell r="K2392">
            <v>0</v>
          </cell>
          <cell r="N2392">
            <v>7</v>
          </cell>
          <cell r="O2392">
            <v>84</v>
          </cell>
        </row>
        <row r="2393">
          <cell r="I2393">
            <v>202609</v>
          </cell>
          <cell r="K2393">
            <v>0</v>
          </cell>
          <cell r="N2393">
            <v>7</v>
          </cell>
          <cell r="O2393">
            <v>84</v>
          </cell>
        </row>
        <row r="2394">
          <cell r="I2394">
            <v>202609</v>
          </cell>
          <cell r="K2394">
            <v>0</v>
          </cell>
          <cell r="N2394">
            <v>7</v>
          </cell>
          <cell r="O2394">
            <v>84</v>
          </cell>
        </row>
        <row r="2395">
          <cell r="I2395">
            <v>202609</v>
          </cell>
          <cell r="K2395">
            <v>0</v>
          </cell>
          <cell r="N2395">
            <v>7</v>
          </cell>
          <cell r="O2395">
            <v>84</v>
          </cell>
        </row>
        <row r="2396">
          <cell r="I2396">
            <v>202609</v>
          </cell>
          <cell r="K2396">
            <v>0</v>
          </cell>
          <cell r="N2396">
            <v>7</v>
          </cell>
          <cell r="O2396">
            <v>84</v>
          </cell>
        </row>
        <row r="2397">
          <cell r="I2397">
            <v>202609</v>
          </cell>
          <cell r="K2397">
            <v>0</v>
          </cell>
          <cell r="N2397">
            <v>7</v>
          </cell>
          <cell r="O2397">
            <v>84</v>
          </cell>
        </row>
        <row r="2398">
          <cell r="I2398">
            <v>202609</v>
          </cell>
          <cell r="K2398">
            <v>0</v>
          </cell>
          <cell r="N2398">
            <v>7</v>
          </cell>
          <cell r="O2398">
            <v>84</v>
          </cell>
        </row>
        <row r="2399">
          <cell r="I2399">
            <v>202609</v>
          </cell>
          <cell r="K2399">
            <v>0</v>
          </cell>
          <cell r="N2399">
            <v>7</v>
          </cell>
          <cell r="O2399">
            <v>84</v>
          </cell>
        </row>
        <row r="2400">
          <cell r="I2400">
            <v>202609</v>
          </cell>
          <cell r="K2400">
            <v>0</v>
          </cell>
          <cell r="N2400">
            <v>7</v>
          </cell>
          <cell r="O2400">
            <v>84</v>
          </cell>
        </row>
        <row r="2401">
          <cell r="I2401">
            <v>202609</v>
          </cell>
          <cell r="K2401">
            <v>0</v>
          </cell>
          <cell r="N2401">
            <v>7</v>
          </cell>
          <cell r="O2401">
            <v>84</v>
          </cell>
        </row>
        <row r="2402">
          <cell r="I2402">
            <v>202609</v>
          </cell>
          <cell r="K2402">
            <v>0</v>
          </cell>
          <cell r="N2402">
            <v>7</v>
          </cell>
          <cell r="O2402">
            <v>84</v>
          </cell>
        </row>
        <row r="2403">
          <cell r="I2403">
            <v>202609</v>
          </cell>
          <cell r="K2403">
            <v>0</v>
          </cell>
          <cell r="N2403">
            <v>7</v>
          </cell>
          <cell r="O2403">
            <v>84</v>
          </cell>
        </row>
        <row r="2404">
          <cell r="I2404">
            <v>202609</v>
          </cell>
          <cell r="K2404">
            <v>0</v>
          </cell>
          <cell r="N2404">
            <v>7</v>
          </cell>
          <cell r="O2404">
            <v>84</v>
          </cell>
        </row>
        <row r="2405">
          <cell r="I2405">
            <v>202609</v>
          </cell>
          <cell r="K2405">
            <v>0</v>
          </cell>
          <cell r="N2405">
            <v>7</v>
          </cell>
          <cell r="O2405">
            <v>84</v>
          </cell>
        </row>
        <row r="2406">
          <cell r="I2406">
            <v>202609</v>
          </cell>
          <cell r="K2406">
            <v>0</v>
          </cell>
          <cell r="N2406">
            <v>7</v>
          </cell>
          <cell r="O2406">
            <v>84</v>
          </cell>
        </row>
        <row r="2407">
          <cell r="I2407">
            <v>202609</v>
          </cell>
          <cell r="K2407">
            <v>0</v>
          </cell>
          <cell r="N2407">
            <v>7</v>
          </cell>
          <cell r="O2407">
            <v>84</v>
          </cell>
        </row>
        <row r="2408">
          <cell r="I2408">
            <v>202609</v>
          </cell>
          <cell r="K2408">
            <v>0</v>
          </cell>
          <cell r="N2408">
            <v>7</v>
          </cell>
          <cell r="O2408">
            <v>84</v>
          </cell>
        </row>
        <row r="2409">
          <cell r="I2409">
            <v>202609</v>
          </cell>
          <cell r="K2409">
            <v>0</v>
          </cell>
          <cell r="N2409">
            <v>7</v>
          </cell>
          <cell r="O2409">
            <v>84</v>
          </cell>
        </row>
        <row r="2410">
          <cell r="I2410">
            <v>202609</v>
          </cell>
          <cell r="K2410">
            <v>0</v>
          </cell>
          <cell r="N2410">
            <v>7</v>
          </cell>
          <cell r="O2410">
            <v>84</v>
          </cell>
        </row>
        <row r="2411">
          <cell r="I2411">
            <v>202609</v>
          </cell>
          <cell r="K2411">
            <v>0</v>
          </cell>
          <cell r="N2411">
            <v>7</v>
          </cell>
          <cell r="O2411">
            <v>84</v>
          </cell>
        </row>
        <row r="2412">
          <cell r="I2412">
            <v>202609</v>
          </cell>
          <cell r="K2412">
            <v>0</v>
          </cell>
          <cell r="N2412">
            <v>7</v>
          </cell>
          <cell r="O2412">
            <v>84</v>
          </cell>
        </row>
        <row r="2413">
          <cell r="I2413">
            <v>202609</v>
          </cell>
          <cell r="K2413">
            <v>0</v>
          </cell>
          <cell r="N2413">
            <v>7</v>
          </cell>
          <cell r="O2413">
            <v>84</v>
          </cell>
        </row>
        <row r="2414">
          <cell r="I2414">
            <v>202609</v>
          </cell>
          <cell r="K2414">
            <v>0</v>
          </cell>
          <cell r="N2414">
            <v>7</v>
          </cell>
          <cell r="O2414">
            <v>84</v>
          </cell>
        </row>
        <row r="2415">
          <cell r="I2415">
            <v>202609</v>
          </cell>
          <cell r="K2415">
            <v>0</v>
          </cell>
          <cell r="N2415">
            <v>7</v>
          </cell>
          <cell r="O2415">
            <v>84</v>
          </cell>
        </row>
        <row r="2416">
          <cell r="I2416">
            <v>202609</v>
          </cell>
          <cell r="K2416">
            <v>0</v>
          </cell>
          <cell r="N2416">
            <v>7</v>
          </cell>
          <cell r="O2416">
            <v>84</v>
          </cell>
        </row>
        <row r="2417">
          <cell r="I2417">
            <v>202609</v>
          </cell>
          <cell r="K2417">
            <v>0</v>
          </cell>
          <cell r="N2417">
            <v>7</v>
          </cell>
          <cell r="O2417">
            <v>84</v>
          </cell>
        </row>
        <row r="2418">
          <cell r="I2418">
            <v>202609</v>
          </cell>
          <cell r="K2418">
            <v>0</v>
          </cell>
          <cell r="N2418">
            <v>7</v>
          </cell>
          <cell r="O2418">
            <v>84</v>
          </cell>
        </row>
        <row r="2419">
          <cell r="I2419">
            <v>202609</v>
          </cell>
          <cell r="K2419">
            <v>0</v>
          </cell>
          <cell r="N2419">
            <v>7</v>
          </cell>
          <cell r="O2419">
            <v>84</v>
          </cell>
        </row>
        <row r="2420">
          <cell r="I2420">
            <v>202609</v>
          </cell>
          <cell r="K2420">
            <v>0</v>
          </cell>
          <cell r="N2420">
            <v>7</v>
          </cell>
          <cell r="O2420">
            <v>84</v>
          </cell>
        </row>
        <row r="2421">
          <cell r="I2421">
            <v>202609</v>
          </cell>
          <cell r="K2421">
            <v>0</v>
          </cell>
          <cell r="N2421">
            <v>7</v>
          </cell>
          <cell r="O2421">
            <v>84</v>
          </cell>
        </row>
        <row r="2422">
          <cell r="I2422">
            <v>202609</v>
          </cell>
          <cell r="K2422">
            <v>0</v>
          </cell>
          <cell r="N2422">
            <v>7</v>
          </cell>
          <cell r="O2422">
            <v>84</v>
          </cell>
        </row>
        <row r="2423">
          <cell r="I2423">
            <v>202609</v>
          </cell>
          <cell r="K2423">
            <v>0</v>
          </cell>
          <cell r="N2423">
            <v>7</v>
          </cell>
          <cell r="O2423">
            <v>84</v>
          </cell>
        </row>
        <row r="2424">
          <cell r="I2424">
            <v>202609</v>
          </cell>
          <cell r="K2424">
            <v>0</v>
          </cell>
          <cell r="N2424">
            <v>7</v>
          </cell>
          <cell r="O2424">
            <v>84</v>
          </cell>
        </row>
        <row r="2425">
          <cell r="I2425">
            <v>202609</v>
          </cell>
          <cell r="K2425">
            <v>0</v>
          </cell>
          <cell r="N2425">
            <v>7</v>
          </cell>
          <cell r="O2425">
            <v>84</v>
          </cell>
        </row>
        <row r="2426">
          <cell r="I2426">
            <v>202609</v>
          </cell>
          <cell r="K2426">
            <v>0</v>
          </cell>
          <cell r="N2426">
            <v>7</v>
          </cell>
          <cell r="O2426">
            <v>84</v>
          </cell>
        </row>
        <row r="2427">
          <cell r="I2427">
            <v>202609</v>
          </cell>
          <cell r="K2427">
            <v>0</v>
          </cell>
          <cell r="N2427">
            <v>7</v>
          </cell>
          <cell r="O2427">
            <v>84</v>
          </cell>
        </row>
        <row r="2428">
          <cell r="I2428">
            <v>202609</v>
          </cell>
          <cell r="K2428">
            <v>0</v>
          </cell>
          <cell r="N2428">
            <v>7</v>
          </cell>
          <cell r="O2428">
            <v>84</v>
          </cell>
        </row>
        <row r="2429">
          <cell r="I2429">
            <v>202609</v>
          </cell>
          <cell r="K2429">
            <v>0</v>
          </cell>
          <cell r="N2429">
            <v>7</v>
          </cell>
          <cell r="O2429">
            <v>84</v>
          </cell>
        </row>
        <row r="2430">
          <cell r="I2430">
            <v>202609</v>
          </cell>
          <cell r="K2430">
            <v>0</v>
          </cell>
          <cell r="N2430">
            <v>7</v>
          </cell>
          <cell r="O2430">
            <v>84</v>
          </cell>
        </row>
        <row r="2431">
          <cell r="I2431">
            <v>202609</v>
          </cell>
          <cell r="K2431">
            <v>0</v>
          </cell>
          <cell r="N2431">
            <v>7</v>
          </cell>
          <cell r="O2431">
            <v>84</v>
          </cell>
        </row>
        <row r="2432">
          <cell r="I2432">
            <v>202609</v>
          </cell>
          <cell r="K2432">
            <v>0</v>
          </cell>
          <cell r="N2432">
            <v>7</v>
          </cell>
          <cell r="O2432">
            <v>84</v>
          </cell>
        </row>
        <row r="2433">
          <cell r="I2433">
            <v>202609</v>
          </cell>
          <cell r="K2433">
            <v>0</v>
          </cell>
          <cell r="N2433">
            <v>7</v>
          </cell>
          <cell r="O2433">
            <v>84</v>
          </cell>
        </row>
        <row r="2434">
          <cell r="I2434">
            <v>202609</v>
          </cell>
          <cell r="K2434">
            <v>0</v>
          </cell>
          <cell r="N2434">
            <v>7</v>
          </cell>
          <cell r="O2434">
            <v>84</v>
          </cell>
        </row>
        <row r="2435">
          <cell r="I2435">
            <v>202609</v>
          </cell>
          <cell r="K2435">
            <v>0</v>
          </cell>
          <cell r="N2435">
            <v>7</v>
          </cell>
          <cell r="O2435">
            <v>84</v>
          </cell>
        </row>
        <row r="2436">
          <cell r="I2436">
            <v>202609</v>
          </cell>
          <cell r="K2436">
            <v>0</v>
          </cell>
          <cell r="N2436">
            <v>7</v>
          </cell>
          <cell r="O2436">
            <v>84</v>
          </cell>
        </row>
        <row r="2437">
          <cell r="I2437">
            <v>202609</v>
          </cell>
          <cell r="K2437">
            <v>0</v>
          </cell>
          <cell r="N2437">
            <v>7</v>
          </cell>
          <cell r="O2437">
            <v>84</v>
          </cell>
        </row>
        <row r="2438">
          <cell r="I2438">
            <v>202609</v>
          </cell>
          <cell r="K2438">
            <v>0</v>
          </cell>
          <cell r="N2438">
            <v>7</v>
          </cell>
          <cell r="O2438">
            <v>84</v>
          </cell>
        </row>
        <row r="2439">
          <cell r="I2439">
            <v>202609</v>
          </cell>
          <cell r="K2439">
            <v>0</v>
          </cell>
          <cell r="N2439">
            <v>7</v>
          </cell>
          <cell r="O2439">
            <v>84</v>
          </cell>
        </row>
        <row r="2440">
          <cell r="I2440">
            <v>202609</v>
          </cell>
          <cell r="K2440">
            <v>0</v>
          </cell>
          <cell r="N2440">
            <v>7</v>
          </cell>
          <cell r="O2440">
            <v>84</v>
          </cell>
        </row>
        <row r="2441">
          <cell r="I2441">
            <v>202609</v>
          </cell>
          <cell r="K2441">
            <v>0</v>
          </cell>
          <cell r="N2441">
            <v>7</v>
          </cell>
          <cell r="O2441">
            <v>84</v>
          </cell>
        </row>
        <row r="2442">
          <cell r="I2442">
            <v>202609</v>
          </cell>
          <cell r="K2442">
            <v>0</v>
          </cell>
          <cell r="N2442">
            <v>7</v>
          </cell>
          <cell r="O2442">
            <v>84</v>
          </cell>
        </row>
        <row r="2443">
          <cell r="I2443">
            <v>202609</v>
          </cell>
          <cell r="K2443">
            <v>0</v>
          </cell>
          <cell r="N2443">
            <v>7</v>
          </cell>
          <cell r="O2443">
            <v>84</v>
          </cell>
        </row>
        <row r="2444">
          <cell r="I2444">
            <v>202609</v>
          </cell>
          <cell r="K2444">
            <v>0</v>
          </cell>
          <cell r="N2444">
            <v>7</v>
          </cell>
          <cell r="O2444">
            <v>84</v>
          </cell>
        </row>
        <row r="2445">
          <cell r="I2445">
            <v>202609</v>
          </cell>
          <cell r="K2445">
            <v>0</v>
          </cell>
          <cell r="N2445">
            <v>7</v>
          </cell>
          <cell r="O2445">
            <v>84</v>
          </cell>
        </row>
        <row r="2446">
          <cell r="I2446">
            <v>202609</v>
          </cell>
          <cell r="K2446">
            <v>0</v>
          </cell>
          <cell r="N2446">
            <v>7</v>
          </cell>
          <cell r="O2446">
            <v>84</v>
          </cell>
        </row>
        <row r="2447">
          <cell r="I2447">
            <v>202609</v>
          </cell>
          <cell r="K2447">
            <v>0</v>
          </cell>
          <cell r="N2447">
            <v>7</v>
          </cell>
          <cell r="O2447">
            <v>84</v>
          </cell>
        </row>
        <row r="2448">
          <cell r="I2448">
            <v>202609</v>
          </cell>
          <cell r="K2448">
            <v>0</v>
          </cell>
          <cell r="N2448">
            <v>7</v>
          </cell>
          <cell r="O2448">
            <v>84</v>
          </cell>
        </row>
        <row r="2449">
          <cell r="I2449">
            <v>202609</v>
          </cell>
          <cell r="K2449">
            <v>0</v>
          </cell>
          <cell r="N2449">
            <v>7</v>
          </cell>
          <cell r="O2449">
            <v>84</v>
          </cell>
        </row>
        <row r="2450">
          <cell r="I2450">
            <v>202609</v>
          </cell>
          <cell r="K2450">
            <v>0</v>
          </cell>
          <cell r="N2450">
            <v>7</v>
          </cell>
          <cell r="O2450">
            <v>84</v>
          </cell>
        </row>
        <row r="2451">
          <cell r="I2451">
            <v>202609</v>
          </cell>
          <cell r="K2451">
            <v>0</v>
          </cell>
          <cell r="N2451">
            <v>7</v>
          </cell>
          <cell r="O2451">
            <v>84</v>
          </cell>
        </row>
        <row r="2452">
          <cell r="I2452">
            <v>202609</v>
          </cell>
          <cell r="K2452">
            <v>0</v>
          </cell>
          <cell r="N2452">
            <v>7</v>
          </cell>
          <cell r="O2452">
            <v>84</v>
          </cell>
        </row>
        <row r="2453">
          <cell r="I2453">
            <v>202609</v>
          </cell>
          <cell r="K2453">
            <v>0</v>
          </cell>
          <cell r="N2453">
            <v>7</v>
          </cell>
          <cell r="O2453">
            <v>84</v>
          </cell>
        </row>
        <row r="2454">
          <cell r="I2454">
            <v>202609</v>
          </cell>
          <cell r="K2454">
            <v>0</v>
          </cell>
          <cell r="N2454">
            <v>7</v>
          </cell>
          <cell r="O2454">
            <v>84</v>
          </cell>
        </row>
        <row r="2455">
          <cell r="I2455">
            <v>202609</v>
          </cell>
          <cell r="K2455">
            <v>0</v>
          </cell>
          <cell r="N2455">
            <v>7</v>
          </cell>
          <cell r="O2455">
            <v>84</v>
          </cell>
        </row>
        <row r="2456">
          <cell r="I2456">
            <v>202609</v>
          </cell>
          <cell r="K2456">
            <v>0</v>
          </cell>
          <cell r="N2456">
            <v>7</v>
          </cell>
          <cell r="O2456">
            <v>84</v>
          </cell>
        </row>
        <row r="2457">
          <cell r="I2457">
            <v>202609</v>
          </cell>
          <cell r="K2457">
            <v>0</v>
          </cell>
          <cell r="N2457">
            <v>7</v>
          </cell>
          <cell r="O2457">
            <v>84</v>
          </cell>
        </row>
        <row r="2458">
          <cell r="I2458">
            <v>202609</v>
          </cell>
          <cell r="K2458">
            <v>0</v>
          </cell>
          <cell r="N2458">
            <v>7</v>
          </cell>
          <cell r="O2458">
            <v>84</v>
          </cell>
        </row>
        <row r="2459">
          <cell r="I2459">
            <v>202609</v>
          </cell>
          <cell r="K2459">
            <v>0</v>
          </cell>
          <cell r="N2459">
            <v>7</v>
          </cell>
          <cell r="O2459">
            <v>84</v>
          </cell>
        </row>
        <row r="2460">
          <cell r="I2460">
            <v>202609</v>
          </cell>
          <cell r="K2460">
            <v>0</v>
          </cell>
          <cell r="N2460">
            <v>7</v>
          </cell>
          <cell r="O2460">
            <v>84</v>
          </cell>
        </row>
        <row r="2461">
          <cell r="I2461">
            <v>202609</v>
          </cell>
          <cell r="K2461">
            <v>0</v>
          </cell>
          <cell r="N2461">
            <v>7</v>
          </cell>
          <cell r="O2461">
            <v>84</v>
          </cell>
        </row>
        <row r="2462">
          <cell r="I2462">
            <v>202609</v>
          </cell>
          <cell r="K2462">
            <v>0</v>
          </cell>
          <cell r="N2462">
            <v>7</v>
          </cell>
          <cell r="O2462">
            <v>84</v>
          </cell>
        </row>
        <row r="2463">
          <cell r="I2463">
            <v>202609</v>
          </cell>
          <cell r="K2463">
            <v>0</v>
          </cell>
          <cell r="N2463">
            <v>7</v>
          </cell>
          <cell r="O2463">
            <v>84</v>
          </cell>
        </row>
        <row r="2464">
          <cell r="I2464">
            <v>202609</v>
          </cell>
          <cell r="K2464">
            <v>0</v>
          </cell>
          <cell r="N2464">
            <v>7</v>
          </cell>
          <cell r="O2464">
            <v>84</v>
          </cell>
        </row>
        <row r="2465">
          <cell r="I2465">
            <v>202609</v>
          </cell>
          <cell r="K2465">
            <v>0</v>
          </cell>
          <cell r="N2465">
            <v>7</v>
          </cell>
          <cell r="O2465">
            <v>84</v>
          </cell>
        </row>
        <row r="2466">
          <cell r="I2466">
            <v>202609</v>
          </cell>
          <cell r="K2466">
            <v>0</v>
          </cell>
          <cell r="N2466">
            <v>7</v>
          </cell>
          <cell r="O2466">
            <v>84</v>
          </cell>
        </row>
        <row r="2467">
          <cell r="I2467">
            <v>202609</v>
          </cell>
          <cell r="K2467">
            <v>0</v>
          </cell>
          <cell r="N2467">
            <v>7</v>
          </cell>
          <cell r="O2467">
            <v>84</v>
          </cell>
        </row>
        <row r="2468">
          <cell r="I2468">
            <v>202609</v>
          </cell>
          <cell r="K2468">
            <v>0</v>
          </cell>
          <cell r="N2468">
            <v>7</v>
          </cell>
          <cell r="O2468">
            <v>84</v>
          </cell>
        </row>
        <row r="2469">
          <cell r="I2469">
            <v>202609</v>
          </cell>
          <cell r="K2469">
            <v>0</v>
          </cell>
          <cell r="N2469">
            <v>7</v>
          </cell>
          <cell r="O2469">
            <v>84</v>
          </cell>
        </row>
        <row r="2470">
          <cell r="I2470">
            <v>202609</v>
          </cell>
          <cell r="K2470">
            <v>0</v>
          </cell>
          <cell r="N2470">
            <v>7</v>
          </cell>
          <cell r="O2470">
            <v>84</v>
          </cell>
        </row>
        <row r="2471">
          <cell r="I2471">
            <v>202609</v>
          </cell>
          <cell r="K2471">
            <v>0</v>
          </cell>
          <cell r="N2471">
            <v>7</v>
          </cell>
          <cell r="O2471">
            <v>84</v>
          </cell>
        </row>
        <row r="2472">
          <cell r="I2472">
            <v>202609</v>
          </cell>
          <cell r="K2472">
            <v>0</v>
          </cell>
          <cell r="N2472">
            <v>7</v>
          </cell>
          <cell r="O2472">
            <v>84</v>
          </cell>
        </row>
        <row r="2473">
          <cell r="I2473">
            <v>202609</v>
          </cell>
          <cell r="K2473">
            <v>0</v>
          </cell>
          <cell r="N2473">
            <v>7</v>
          </cell>
          <cell r="O2473">
            <v>84</v>
          </cell>
        </row>
        <row r="2474">
          <cell r="I2474">
            <v>202609</v>
          </cell>
          <cell r="K2474">
            <v>0</v>
          </cell>
          <cell r="N2474">
            <v>7</v>
          </cell>
          <cell r="O2474">
            <v>84</v>
          </cell>
        </row>
        <row r="2475">
          <cell r="I2475">
            <v>202609</v>
          </cell>
          <cell r="K2475">
            <v>0</v>
          </cell>
          <cell r="N2475">
            <v>7</v>
          </cell>
          <cell r="O2475">
            <v>84</v>
          </cell>
        </row>
        <row r="2476">
          <cell r="I2476">
            <v>202609</v>
          </cell>
          <cell r="K2476">
            <v>0</v>
          </cell>
          <cell r="N2476">
            <v>7</v>
          </cell>
          <cell r="O2476">
            <v>84</v>
          </cell>
        </row>
        <row r="2477">
          <cell r="I2477">
            <v>202609</v>
          </cell>
          <cell r="K2477">
            <v>0</v>
          </cell>
          <cell r="N2477">
            <v>7</v>
          </cell>
          <cell r="O2477">
            <v>84</v>
          </cell>
        </row>
        <row r="2478">
          <cell r="I2478">
            <v>202609</v>
          </cell>
          <cell r="K2478">
            <v>0</v>
          </cell>
          <cell r="N2478">
            <v>7</v>
          </cell>
          <cell r="O2478">
            <v>84</v>
          </cell>
        </row>
        <row r="2479">
          <cell r="I2479">
            <v>202609</v>
          </cell>
          <cell r="K2479">
            <v>0</v>
          </cell>
          <cell r="N2479">
            <v>7</v>
          </cell>
          <cell r="O2479">
            <v>84</v>
          </cell>
        </row>
        <row r="2480">
          <cell r="I2480">
            <v>202609</v>
          </cell>
          <cell r="K2480">
            <v>0</v>
          </cell>
          <cell r="N2480">
            <v>7</v>
          </cell>
          <cell r="O2480">
            <v>84</v>
          </cell>
        </row>
        <row r="2481">
          <cell r="I2481">
            <v>202609</v>
          </cell>
          <cell r="K2481">
            <v>0</v>
          </cell>
          <cell r="N2481">
            <v>7</v>
          </cell>
          <cell r="O2481">
            <v>84</v>
          </cell>
        </row>
        <row r="2482">
          <cell r="I2482">
            <v>202609</v>
          </cell>
          <cell r="K2482">
            <v>0</v>
          </cell>
          <cell r="N2482">
            <v>7</v>
          </cell>
          <cell r="O2482">
            <v>84</v>
          </cell>
        </row>
        <row r="2483">
          <cell r="I2483">
            <v>202609</v>
          </cell>
          <cell r="K2483">
            <v>0</v>
          </cell>
          <cell r="N2483">
            <v>7</v>
          </cell>
          <cell r="O2483">
            <v>84</v>
          </cell>
        </row>
        <row r="2484">
          <cell r="I2484">
            <v>202609</v>
          </cell>
          <cell r="K2484">
            <v>0</v>
          </cell>
          <cell r="N2484">
            <v>7</v>
          </cell>
          <cell r="O2484">
            <v>84</v>
          </cell>
        </row>
        <row r="2485">
          <cell r="I2485">
            <v>202609</v>
          </cell>
          <cell r="K2485">
            <v>0</v>
          </cell>
          <cell r="N2485">
            <v>7</v>
          </cell>
          <cell r="O2485">
            <v>84</v>
          </cell>
        </row>
        <row r="2486">
          <cell r="I2486">
            <v>202609</v>
          </cell>
          <cell r="K2486">
            <v>0</v>
          </cell>
          <cell r="N2486">
            <v>7</v>
          </cell>
          <cell r="O2486">
            <v>84</v>
          </cell>
        </row>
        <row r="2487">
          <cell r="I2487">
            <v>202609</v>
          </cell>
          <cell r="K2487">
            <v>0</v>
          </cell>
          <cell r="N2487">
            <v>7</v>
          </cell>
          <cell r="O2487">
            <v>84</v>
          </cell>
        </row>
        <row r="2488">
          <cell r="I2488">
            <v>202609</v>
          </cell>
          <cell r="K2488">
            <v>0</v>
          </cell>
          <cell r="N2488">
            <v>7</v>
          </cell>
          <cell r="O2488">
            <v>84</v>
          </cell>
        </row>
        <row r="2489">
          <cell r="I2489">
            <v>202609</v>
          </cell>
          <cell r="K2489">
            <v>0</v>
          </cell>
          <cell r="N2489">
            <v>7</v>
          </cell>
          <cell r="O2489">
            <v>84</v>
          </cell>
        </row>
        <row r="2490">
          <cell r="I2490">
            <v>202609</v>
          </cell>
          <cell r="K2490">
            <v>0</v>
          </cell>
          <cell r="N2490">
            <v>7</v>
          </cell>
          <cell r="O2490">
            <v>84</v>
          </cell>
        </row>
        <row r="2491">
          <cell r="I2491">
            <v>202609</v>
          </cell>
          <cell r="K2491">
            <v>0</v>
          </cell>
          <cell r="N2491">
            <v>7</v>
          </cell>
          <cell r="O2491">
            <v>84</v>
          </cell>
        </row>
        <row r="2492">
          <cell r="I2492">
            <v>202609</v>
          </cell>
          <cell r="K2492">
            <v>0</v>
          </cell>
          <cell r="N2492">
            <v>7</v>
          </cell>
          <cell r="O2492">
            <v>84</v>
          </cell>
        </row>
        <row r="2493">
          <cell r="I2493">
            <v>202609</v>
          </cell>
          <cell r="K2493">
            <v>0</v>
          </cell>
          <cell r="N2493">
            <v>7</v>
          </cell>
          <cell r="O2493">
            <v>84</v>
          </cell>
        </row>
        <row r="2494">
          <cell r="I2494">
            <v>202609</v>
          </cell>
          <cell r="K2494">
            <v>0</v>
          </cell>
          <cell r="N2494">
            <v>7</v>
          </cell>
          <cell r="O2494">
            <v>84</v>
          </cell>
        </row>
        <row r="2495">
          <cell r="I2495">
            <v>202609</v>
          </cell>
          <cell r="K2495">
            <v>0</v>
          </cell>
          <cell r="N2495">
            <v>7</v>
          </cell>
          <cell r="O2495">
            <v>84</v>
          </cell>
        </row>
        <row r="2496">
          <cell r="I2496">
            <v>202609</v>
          </cell>
          <cell r="K2496">
            <v>0</v>
          </cell>
          <cell r="N2496">
            <v>7</v>
          </cell>
          <cell r="O2496">
            <v>84</v>
          </cell>
        </row>
        <row r="2497">
          <cell r="I2497">
            <v>202609</v>
          </cell>
          <cell r="K2497">
            <v>0</v>
          </cell>
          <cell r="N2497">
            <v>7</v>
          </cell>
          <cell r="O2497">
            <v>84</v>
          </cell>
        </row>
        <row r="2498">
          <cell r="I2498">
            <v>202609</v>
          </cell>
          <cell r="K2498">
            <v>0</v>
          </cell>
          <cell r="N2498">
            <v>7</v>
          </cell>
          <cell r="O2498">
            <v>84</v>
          </cell>
        </row>
        <row r="2499">
          <cell r="I2499">
            <v>202609</v>
          </cell>
          <cell r="K2499">
            <v>0</v>
          </cell>
          <cell r="N2499">
            <v>7</v>
          </cell>
          <cell r="O2499">
            <v>84</v>
          </cell>
        </row>
        <row r="2500">
          <cell r="I2500">
            <v>202609</v>
          </cell>
          <cell r="K2500">
            <v>0</v>
          </cell>
          <cell r="N2500">
            <v>7</v>
          </cell>
          <cell r="O2500">
            <v>84</v>
          </cell>
        </row>
        <row r="2501">
          <cell r="I2501">
            <v>202609</v>
          </cell>
          <cell r="K2501">
            <v>0</v>
          </cell>
          <cell r="N2501">
            <v>7</v>
          </cell>
          <cell r="O2501">
            <v>84</v>
          </cell>
        </row>
        <row r="2502">
          <cell r="I2502">
            <v>202609</v>
          </cell>
          <cell r="K2502">
            <v>0</v>
          </cell>
          <cell r="N2502">
            <v>7</v>
          </cell>
          <cell r="O2502">
            <v>84</v>
          </cell>
        </row>
        <row r="2503">
          <cell r="I2503">
            <v>202609</v>
          </cell>
          <cell r="K2503">
            <v>0</v>
          </cell>
          <cell r="N2503">
            <v>7</v>
          </cell>
          <cell r="O2503">
            <v>84</v>
          </cell>
        </row>
        <row r="2504">
          <cell r="I2504">
            <v>202609</v>
          </cell>
          <cell r="K2504">
            <v>0</v>
          </cell>
          <cell r="N2504">
            <v>7</v>
          </cell>
          <cell r="O2504">
            <v>84</v>
          </cell>
        </row>
        <row r="2505">
          <cell r="I2505">
            <v>202609</v>
          </cell>
          <cell r="K2505">
            <v>0</v>
          </cell>
          <cell r="N2505">
            <v>7</v>
          </cell>
          <cell r="O2505">
            <v>84</v>
          </cell>
        </row>
        <row r="2506">
          <cell r="I2506">
            <v>202609</v>
          </cell>
          <cell r="K2506">
            <v>0</v>
          </cell>
          <cell r="N2506">
            <v>7</v>
          </cell>
          <cell r="O2506">
            <v>84</v>
          </cell>
        </row>
        <row r="2507">
          <cell r="I2507">
            <v>202609</v>
          </cell>
          <cell r="K2507">
            <v>0</v>
          </cell>
          <cell r="N2507">
            <v>7</v>
          </cell>
          <cell r="O2507">
            <v>84</v>
          </cell>
        </row>
        <row r="2508">
          <cell r="I2508">
            <v>202609</v>
          </cell>
          <cell r="K2508">
            <v>0</v>
          </cell>
          <cell r="N2508">
            <v>7</v>
          </cell>
          <cell r="O2508">
            <v>84</v>
          </cell>
        </row>
        <row r="2509">
          <cell r="I2509">
            <v>202609</v>
          </cell>
          <cell r="K2509">
            <v>0</v>
          </cell>
          <cell r="N2509">
            <v>7</v>
          </cell>
          <cell r="O2509">
            <v>84</v>
          </cell>
        </row>
        <row r="2510">
          <cell r="I2510">
            <v>202609</v>
          </cell>
          <cell r="K2510">
            <v>0</v>
          </cell>
          <cell r="N2510">
            <v>7</v>
          </cell>
          <cell r="O2510">
            <v>84</v>
          </cell>
        </row>
        <row r="2511">
          <cell r="I2511">
            <v>202609</v>
          </cell>
          <cell r="K2511">
            <v>0</v>
          </cell>
          <cell r="N2511">
            <v>7</v>
          </cell>
          <cell r="O2511">
            <v>84</v>
          </cell>
        </row>
        <row r="2512">
          <cell r="I2512">
            <v>202609</v>
          </cell>
          <cell r="K2512">
            <v>0</v>
          </cell>
          <cell r="N2512">
            <v>7</v>
          </cell>
          <cell r="O2512">
            <v>84</v>
          </cell>
        </row>
        <row r="2513">
          <cell r="I2513">
            <v>202609</v>
          </cell>
          <cell r="K2513">
            <v>0</v>
          </cell>
          <cell r="N2513">
            <v>7</v>
          </cell>
          <cell r="O2513">
            <v>84</v>
          </cell>
        </row>
        <row r="2514">
          <cell r="I2514">
            <v>202609</v>
          </cell>
          <cell r="K2514">
            <v>0</v>
          </cell>
          <cell r="N2514">
            <v>7</v>
          </cell>
          <cell r="O2514">
            <v>84</v>
          </cell>
        </row>
        <row r="2515">
          <cell r="I2515">
            <v>202609</v>
          </cell>
          <cell r="K2515">
            <v>0</v>
          </cell>
          <cell r="N2515">
            <v>7</v>
          </cell>
          <cell r="O2515">
            <v>84</v>
          </cell>
        </row>
        <row r="2516">
          <cell r="I2516">
            <v>202609</v>
          </cell>
          <cell r="K2516">
            <v>0</v>
          </cell>
          <cell r="N2516">
            <v>7</v>
          </cell>
          <cell r="O2516">
            <v>84</v>
          </cell>
        </row>
        <row r="2517">
          <cell r="I2517">
            <v>202609</v>
          </cell>
          <cell r="K2517">
            <v>0</v>
          </cell>
          <cell r="N2517">
            <v>7</v>
          </cell>
          <cell r="O2517">
            <v>84</v>
          </cell>
        </row>
        <row r="2518">
          <cell r="I2518">
            <v>202609</v>
          </cell>
          <cell r="K2518">
            <v>0</v>
          </cell>
          <cell r="N2518">
            <v>7</v>
          </cell>
          <cell r="O2518">
            <v>84</v>
          </cell>
        </row>
        <row r="2519">
          <cell r="I2519">
            <v>202609</v>
          </cell>
          <cell r="K2519">
            <v>0</v>
          </cell>
          <cell r="N2519">
            <v>7</v>
          </cell>
          <cell r="O2519">
            <v>84</v>
          </cell>
        </row>
        <row r="2520">
          <cell r="I2520">
            <v>202609</v>
          </cell>
          <cell r="K2520">
            <v>0</v>
          </cell>
          <cell r="N2520">
            <v>7</v>
          </cell>
          <cell r="O2520">
            <v>84</v>
          </cell>
        </row>
        <row r="2521">
          <cell r="I2521">
            <v>202609</v>
          </cell>
          <cell r="K2521">
            <v>0</v>
          </cell>
          <cell r="N2521">
            <v>7</v>
          </cell>
          <cell r="O2521">
            <v>84</v>
          </cell>
        </row>
        <row r="2522">
          <cell r="I2522">
            <v>202609</v>
          </cell>
          <cell r="K2522">
            <v>0</v>
          </cell>
          <cell r="N2522">
            <v>7</v>
          </cell>
          <cell r="O2522">
            <v>84</v>
          </cell>
        </row>
        <row r="2523">
          <cell r="I2523">
            <v>202609</v>
          </cell>
          <cell r="K2523">
            <v>0</v>
          </cell>
          <cell r="N2523">
            <v>7</v>
          </cell>
          <cell r="O2523">
            <v>84</v>
          </cell>
        </row>
        <row r="2524">
          <cell r="I2524">
            <v>202609</v>
          </cell>
          <cell r="K2524">
            <v>0</v>
          </cell>
          <cell r="N2524">
            <v>7</v>
          </cell>
          <cell r="O2524">
            <v>84</v>
          </cell>
        </row>
        <row r="2525">
          <cell r="I2525">
            <v>202609</v>
          </cell>
          <cell r="K2525">
            <v>0</v>
          </cell>
          <cell r="N2525">
            <v>7</v>
          </cell>
          <cell r="O2525">
            <v>84</v>
          </cell>
        </row>
        <row r="2526">
          <cell r="I2526">
            <v>202609</v>
          </cell>
          <cell r="K2526">
            <v>0</v>
          </cell>
          <cell r="N2526">
            <v>7</v>
          </cell>
          <cell r="O2526">
            <v>84</v>
          </cell>
        </row>
        <row r="2527">
          <cell r="I2527">
            <v>202609</v>
          </cell>
          <cell r="K2527">
            <v>0</v>
          </cell>
          <cell r="N2527">
            <v>7</v>
          </cell>
          <cell r="O2527">
            <v>84</v>
          </cell>
        </row>
        <row r="2528">
          <cell r="I2528">
            <v>202609</v>
          </cell>
          <cell r="K2528">
            <v>0</v>
          </cell>
          <cell r="N2528">
            <v>7</v>
          </cell>
          <cell r="O2528">
            <v>84</v>
          </cell>
        </row>
        <row r="2529">
          <cell r="I2529">
            <v>202609</v>
          </cell>
          <cell r="K2529">
            <v>0</v>
          </cell>
          <cell r="N2529">
            <v>7</v>
          </cell>
          <cell r="O2529">
            <v>84</v>
          </cell>
        </row>
        <row r="2530">
          <cell r="I2530">
            <v>202609</v>
          </cell>
          <cell r="K2530">
            <v>0</v>
          </cell>
          <cell r="N2530">
            <v>7</v>
          </cell>
          <cell r="O2530">
            <v>84</v>
          </cell>
        </row>
        <row r="2531">
          <cell r="I2531">
            <v>202609</v>
          </cell>
          <cell r="K2531">
            <v>0</v>
          </cell>
          <cell r="N2531">
            <v>7</v>
          </cell>
          <cell r="O2531">
            <v>84</v>
          </cell>
        </row>
        <row r="2532">
          <cell r="I2532">
            <v>202609</v>
          </cell>
          <cell r="K2532">
            <v>0</v>
          </cell>
          <cell r="N2532">
            <v>7</v>
          </cell>
          <cell r="O2532">
            <v>84</v>
          </cell>
        </row>
        <row r="2533">
          <cell r="I2533">
            <v>202609</v>
          </cell>
          <cell r="K2533">
            <v>0</v>
          </cell>
          <cell r="N2533">
            <v>7</v>
          </cell>
          <cell r="O2533">
            <v>84</v>
          </cell>
        </row>
        <row r="2534">
          <cell r="I2534">
            <v>202609</v>
          </cell>
          <cell r="K2534">
            <v>0</v>
          </cell>
          <cell r="N2534">
            <v>7</v>
          </cell>
          <cell r="O2534">
            <v>84</v>
          </cell>
        </row>
        <row r="2535">
          <cell r="I2535">
            <v>202609</v>
          </cell>
          <cell r="K2535">
            <v>0</v>
          </cell>
          <cell r="N2535">
            <v>7</v>
          </cell>
          <cell r="O2535">
            <v>84</v>
          </cell>
        </row>
        <row r="2536">
          <cell r="I2536">
            <v>202609</v>
          </cell>
          <cell r="K2536">
            <v>0</v>
          </cell>
          <cell r="N2536">
            <v>7</v>
          </cell>
          <cell r="O2536">
            <v>84</v>
          </cell>
        </row>
        <row r="2537">
          <cell r="I2537">
            <v>202609</v>
          </cell>
          <cell r="K2537">
            <v>0</v>
          </cell>
          <cell r="N2537">
            <v>7</v>
          </cell>
          <cell r="O2537">
            <v>84</v>
          </cell>
        </row>
        <row r="2538">
          <cell r="I2538">
            <v>202609</v>
          </cell>
          <cell r="K2538">
            <v>0</v>
          </cell>
          <cell r="N2538">
            <v>7</v>
          </cell>
          <cell r="O2538">
            <v>84</v>
          </cell>
        </row>
        <row r="2539">
          <cell r="I2539">
            <v>202609</v>
          </cell>
          <cell r="K2539">
            <v>0</v>
          </cell>
          <cell r="N2539">
            <v>7</v>
          </cell>
          <cell r="O2539">
            <v>84</v>
          </cell>
        </row>
        <row r="2540">
          <cell r="I2540">
            <v>202609</v>
          </cell>
          <cell r="K2540">
            <v>0</v>
          </cell>
          <cell r="N2540">
            <v>7</v>
          </cell>
          <cell r="O2540">
            <v>84</v>
          </cell>
        </row>
        <row r="2541">
          <cell r="I2541">
            <v>202609</v>
          </cell>
          <cell r="K2541">
            <v>0</v>
          </cell>
          <cell r="N2541">
            <v>7</v>
          </cell>
          <cell r="O2541">
            <v>84</v>
          </cell>
        </row>
        <row r="2542">
          <cell r="I2542">
            <v>202609</v>
          </cell>
          <cell r="K2542">
            <v>0</v>
          </cell>
          <cell r="N2542">
            <v>7</v>
          </cell>
          <cell r="O2542">
            <v>84</v>
          </cell>
        </row>
        <row r="2543">
          <cell r="I2543">
            <v>202609</v>
          </cell>
          <cell r="K2543">
            <v>0</v>
          </cell>
          <cell r="N2543">
            <v>7</v>
          </cell>
          <cell r="O2543">
            <v>84</v>
          </cell>
        </row>
        <row r="2544">
          <cell r="I2544">
            <v>202609</v>
          </cell>
          <cell r="K2544">
            <v>0</v>
          </cell>
          <cell r="N2544">
            <v>7</v>
          </cell>
          <cell r="O2544">
            <v>84</v>
          </cell>
        </row>
        <row r="2545">
          <cell r="I2545">
            <v>202609</v>
          </cell>
          <cell r="K2545">
            <v>0</v>
          </cell>
          <cell r="N2545">
            <v>7</v>
          </cell>
          <cell r="O2545">
            <v>84</v>
          </cell>
        </row>
        <row r="2546">
          <cell r="I2546">
            <v>202609</v>
          </cell>
          <cell r="K2546">
            <v>0</v>
          </cell>
          <cell r="N2546">
            <v>7</v>
          </cell>
          <cell r="O2546">
            <v>84</v>
          </cell>
        </row>
        <row r="2547">
          <cell r="I2547">
            <v>202609</v>
          </cell>
          <cell r="K2547">
            <v>0</v>
          </cell>
          <cell r="N2547">
            <v>7</v>
          </cell>
          <cell r="O2547">
            <v>84</v>
          </cell>
        </row>
        <row r="2548">
          <cell r="I2548">
            <v>202609</v>
          </cell>
          <cell r="K2548">
            <v>0</v>
          </cell>
          <cell r="N2548">
            <v>7</v>
          </cell>
          <cell r="O2548">
            <v>84</v>
          </cell>
        </row>
        <row r="2549">
          <cell r="I2549">
            <v>202609</v>
          </cell>
          <cell r="K2549">
            <v>0</v>
          </cell>
          <cell r="N2549">
            <v>7</v>
          </cell>
          <cell r="O2549">
            <v>84</v>
          </cell>
        </row>
        <row r="2550">
          <cell r="I2550">
            <v>202609</v>
          </cell>
          <cell r="K2550">
            <v>0</v>
          </cell>
          <cell r="N2550">
            <v>7</v>
          </cell>
          <cell r="O2550">
            <v>84</v>
          </cell>
        </row>
        <row r="2551">
          <cell r="I2551">
            <v>202609</v>
          </cell>
          <cell r="K2551">
            <v>0</v>
          </cell>
          <cell r="N2551">
            <v>7</v>
          </cell>
          <cell r="O2551">
            <v>84</v>
          </cell>
        </row>
        <row r="2552">
          <cell r="I2552">
            <v>202609</v>
          </cell>
          <cell r="K2552">
            <v>0</v>
          </cell>
          <cell r="N2552">
            <v>7</v>
          </cell>
          <cell r="O2552">
            <v>84</v>
          </cell>
        </row>
        <row r="2553">
          <cell r="I2553">
            <v>202609</v>
          </cell>
          <cell r="K2553">
            <v>0</v>
          </cell>
          <cell r="N2553">
            <v>7</v>
          </cell>
          <cell r="O2553">
            <v>84</v>
          </cell>
        </row>
        <row r="2554">
          <cell r="I2554">
            <v>202609</v>
          </cell>
          <cell r="K2554">
            <v>0</v>
          </cell>
          <cell r="N2554">
            <v>7</v>
          </cell>
          <cell r="O2554">
            <v>84</v>
          </cell>
        </row>
        <row r="2555">
          <cell r="I2555">
            <v>202609</v>
          </cell>
          <cell r="K2555">
            <v>0</v>
          </cell>
          <cell r="N2555">
            <v>7</v>
          </cell>
          <cell r="O2555">
            <v>84</v>
          </cell>
        </row>
        <row r="2556">
          <cell r="I2556">
            <v>202609</v>
          </cell>
          <cell r="K2556">
            <v>0</v>
          </cell>
          <cell r="N2556">
            <v>7</v>
          </cell>
          <cell r="O2556">
            <v>84</v>
          </cell>
        </row>
        <row r="2557">
          <cell r="I2557">
            <v>202609</v>
          </cell>
          <cell r="K2557">
            <v>0</v>
          </cell>
          <cell r="N2557">
            <v>7</v>
          </cell>
          <cell r="O2557">
            <v>84</v>
          </cell>
        </row>
        <row r="2558">
          <cell r="I2558">
            <v>202609</v>
          </cell>
          <cell r="K2558">
            <v>0</v>
          </cell>
          <cell r="N2558">
            <v>7</v>
          </cell>
          <cell r="O2558">
            <v>84</v>
          </cell>
        </row>
        <row r="2559">
          <cell r="I2559">
            <v>202609</v>
          </cell>
          <cell r="K2559">
            <v>0</v>
          </cell>
          <cell r="N2559">
            <v>7</v>
          </cell>
          <cell r="O2559">
            <v>84</v>
          </cell>
        </row>
        <row r="2560">
          <cell r="I2560">
            <v>202609</v>
          </cell>
          <cell r="K2560">
            <v>0</v>
          </cell>
          <cell r="N2560">
            <v>7</v>
          </cell>
          <cell r="O2560">
            <v>84</v>
          </cell>
        </row>
        <row r="2561">
          <cell r="I2561">
            <v>202609</v>
          </cell>
          <cell r="K2561">
            <v>0</v>
          </cell>
          <cell r="N2561">
            <v>7</v>
          </cell>
          <cell r="O2561">
            <v>84</v>
          </cell>
        </row>
        <row r="2562">
          <cell r="I2562">
            <v>202609</v>
          </cell>
          <cell r="K2562">
            <v>0</v>
          </cell>
          <cell r="N2562">
            <v>7</v>
          </cell>
          <cell r="O2562">
            <v>84</v>
          </cell>
        </row>
        <row r="2563">
          <cell r="I2563">
            <v>202609</v>
          </cell>
          <cell r="K2563">
            <v>0</v>
          </cell>
          <cell r="N2563">
            <v>7</v>
          </cell>
          <cell r="O2563">
            <v>84</v>
          </cell>
        </row>
        <row r="2564">
          <cell r="I2564">
            <v>202609</v>
          </cell>
          <cell r="K2564">
            <v>0</v>
          </cell>
          <cell r="N2564">
            <v>7</v>
          </cell>
          <cell r="O2564">
            <v>84</v>
          </cell>
        </row>
        <row r="2565">
          <cell r="I2565">
            <v>202609</v>
          </cell>
          <cell r="K2565">
            <v>0</v>
          </cell>
          <cell r="N2565">
            <v>7</v>
          </cell>
          <cell r="O2565">
            <v>84</v>
          </cell>
        </row>
        <row r="2566">
          <cell r="I2566">
            <v>202609</v>
          </cell>
          <cell r="K2566">
            <v>0</v>
          </cell>
          <cell r="N2566">
            <v>7</v>
          </cell>
          <cell r="O2566">
            <v>84</v>
          </cell>
        </row>
        <row r="2567">
          <cell r="I2567">
            <v>202609</v>
          </cell>
          <cell r="K2567">
            <v>0</v>
          </cell>
          <cell r="N2567">
            <v>7</v>
          </cell>
          <cell r="O2567">
            <v>84</v>
          </cell>
        </row>
        <row r="2568">
          <cell r="I2568">
            <v>202609</v>
          </cell>
          <cell r="K2568">
            <v>0</v>
          </cell>
          <cell r="N2568">
            <v>7</v>
          </cell>
          <cell r="O2568">
            <v>84</v>
          </cell>
        </row>
        <row r="2569">
          <cell r="I2569">
            <v>202609</v>
          </cell>
          <cell r="K2569">
            <v>0</v>
          </cell>
          <cell r="N2569">
            <v>7</v>
          </cell>
          <cell r="O2569">
            <v>84</v>
          </cell>
        </row>
        <row r="2570">
          <cell r="I2570">
            <v>202609</v>
          </cell>
          <cell r="K2570">
            <v>0</v>
          </cell>
          <cell r="N2570">
            <v>7</v>
          </cell>
          <cell r="O2570">
            <v>84</v>
          </cell>
        </row>
        <row r="2571">
          <cell r="I2571">
            <v>202609</v>
          </cell>
          <cell r="K2571">
            <v>0</v>
          </cell>
          <cell r="N2571">
            <v>7</v>
          </cell>
          <cell r="O2571">
            <v>84</v>
          </cell>
        </row>
        <row r="2572">
          <cell r="I2572">
            <v>202609</v>
          </cell>
          <cell r="K2572">
            <v>0</v>
          </cell>
          <cell r="N2572">
            <v>7</v>
          </cell>
          <cell r="O2572">
            <v>84</v>
          </cell>
        </row>
        <row r="2573">
          <cell r="I2573">
            <v>202609</v>
          </cell>
          <cell r="K2573">
            <v>0</v>
          </cell>
          <cell r="N2573">
            <v>7</v>
          </cell>
          <cell r="O2573">
            <v>84</v>
          </cell>
        </row>
        <row r="2574">
          <cell r="I2574">
            <v>202609</v>
          </cell>
          <cell r="K2574">
            <v>0</v>
          </cell>
          <cell r="N2574">
            <v>7</v>
          </cell>
          <cell r="O2574">
            <v>84</v>
          </cell>
        </row>
        <row r="2575">
          <cell r="I2575">
            <v>202609</v>
          </cell>
          <cell r="K2575">
            <v>0</v>
          </cell>
          <cell r="N2575">
            <v>7</v>
          </cell>
          <cell r="O2575">
            <v>84</v>
          </cell>
        </row>
        <row r="2576">
          <cell r="I2576">
            <v>202609</v>
          </cell>
          <cell r="K2576">
            <v>0</v>
          </cell>
          <cell r="N2576">
            <v>7</v>
          </cell>
          <cell r="O2576">
            <v>84</v>
          </cell>
        </row>
        <row r="2577">
          <cell r="I2577">
            <v>202609</v>
          </cell>
          <cell r="K2577">
            <v>0</v>
          </cell>
          <cell r="N2577">
            <v>7</v>
          </cell>
          <cell r="O2577">
            <v>84</v>
          </cell>
        </row>
        <row r="2578">
          <cell r="I2578">
            <v>202609</v>
          </cell>
          <cell r="K2578">
            <v>0</v>
          </cell>
          <cell r="N2578">
            <v>7</v>
          </cell>
          <cell r="O2578">
            <v>84</v>
          </cell>
        </row>
        <row r="2579">
          <cell r="I2579">
            <v>202609</v>
          </cell>
          <cell r="K2579">
            <v>0</v>
          </cell>
          <cell r="N2579">
            <v>7</v>
          </cell>
          <cell r="O2579">
            <v>84</v>
          </cell>
        </row>
        <row r="2580">
          <cell r="I2580">
            <v>202609</v>
          </cell>
          <cell r="K2580">
            <v>0</v>
          </cell>
          <cell r="N2580">
            <v>7</v>
          </cell>
          <cell r="O2580">
            <v>84</v>
          </cell>
        </row>
        <row r="2581">
          <cell r="I2581">
            <v>202609</v>
          </cell>
          <cell r="K2581">
            <v>0</v>
          </cell>
          <cell r="N2581">
            <v>7</v>
          </cell>
          <cell r="O2581">
            <v>84</v>
          </cell>
        </row>
        <row r="2582">
          <cell r="I2582">
            <v>202609</v>
          </cell>
          <cell r="K2582">
            <v>0</v>
          </cell>
          <cell r="N2582">
            <v>7</v>
          </cell>
          <cell r="O2582">
            <v>84</v>
          </cell>
        </row>
        <row r="2583">
          <cell r="I2583">
            <v>202609</v>
          </cell>
          <cell r="K2583">
            <v>0</v>
          </cell>
          <cell r="N2583">
            <v>7</v>
          </cell>
          <cell r="O2583">
            <v>84</v>
          </cell>
        </row>
        <row r="2584">
          <cell r="I2584">
            <v>202609</v>
          </cell>
          <cell r="K2584">
            <v>0</v>
          </cell>
          <cell r="N2584">
            <v>7</v>
          </cell>
          <cell r="O2584">
            <v>84</v>
          </cell>
        </row>
        <row r="2585">
          <cell r="I2585">
            <v>202609</v>
          </cell>
          <cell r="K2585">
            <v>0</v>
          </cell>
          <cell r="N2585">
            <v>7</v>
          </cell>
          <cell r="O2585">
            <v>84</v>
          </cell>
        </row>
        <row r="2586">
          <cell r="I2586">
            <v>202609</v>
          </cell>
          <cell r="K2586">
            <v>0</v>
          </cell>
          <cell r="N2586">
            <v>7</v>
          </cell>
          <cell r="O2586">
            <v>84</v>
          </cell>
        </row>
        <row r="2587">
          <cell r="I2587">
            <v>202609</v>
          </cell>
          <cell r="K2587">
            <v>0</v>
          </cell>
          <cell r="N2587">
            <v>7</v>
          </cell>
          <cell r="O2587">
            <v>84</v>
          </cell>
        </row>
        <row r="2588">
          <cell r="I2588">
            <v>202609</v>
          </cell>
          <cell r="K2588">
            <v>0</v>
          </cell>
          <cell r="N2588">
            <v>7</v>
          </cell>
          <cell r="O2588">
            <v>84</v>
          </cell>
        </row>
        <row r="2589">
          <cell r="I2589">
            <v>202609</v>
          </cell>
          <cell r="K2589">
            <v>0</v>
          </cell>
          <cell r="N2589">
            <v>7</v>
          </cell>
          <cell r="O2589">
            <v>84</v>
          </cell>
        </row>
        <row r="2590">
          <cell r="I2590">
            <v>202609</v>
          </cell>
          <cell r="K2590">
            <v>0</v>
          </cell>
          <cell r="N2590">
            <v>7</v>
          </cell>
          <cell r="O2590">
            <v>84</v>
          </cell>
        </row>
        <row r="2591">
          <cell r="I2591">
            <v>202609</v>
          </cell>
          <cell r="K2591">
            <v>0</v>
          </cell>
          <cell r="N2591">
            <v>7</v>
          </cell>
          <cell r="O2591">
            <v>84</v>
          </cell>
        </row>
        <row r="2592">
          <cell r="I2592">
            <v>202609</v>
          </cell>
          <cell r="K2592">
            <v>0</v>
          </cell>
          <cell r="N2592">
            <v>7</v>
          </cell>
          <cell r="O2592">
            <v>84</v>
          </cell>
        </row>
        <row r="2593">
          <cell r="I2593">
            <v>202609</v>
          </cell>
          <cell r="K2593">
            <v>0</v>
          </cell>
          <cell r="N2593">
            <v>7</v>
          </cell>
          <cell r="O2593">
            <v>84</v>
          </cell>
        </row>
        <row r="2594">
          <cell r="I2594">
            <v>202609</v>
          </cell>
          <cell r="K2594">
            <v>0</v>
          </cell>
          <cell r="N2594">
            <v>7</v>
          </cell>
          <cell r="O2594">
            <v>84</v>
          </cell>
        </row>
        <row r="2595">
          <cell r="I2595">
            <v>202609</v>
          </cell>
          <cell r="K2595">
            <v>0</v>
          </cell>
          <cell r="N2595">
            <v>7</v>
          </cell>
          <cell r="O2595">
            <v>84</v>
          </cell>
        </row>
        <row r="2596">
          <cell r="I2596">
            <v>202609</v>
          </cell>
          <cell r="K2596">
            <v>0</v>
          </cell>
          <cell r="N2596">
            <v>7</v>
          </cell>
          <cell r="O2596">
            <v>84</v>
          </cell>
        </row>
        <row r="2597">
          <cell r="I2597">
            <v>202609</v>
          </cell>
          <cell r="K2597">
            <v>0</v>
          </cell>
          <cell r="N2597">
            <v>7</v>
          </cell>
          <cell r="O2597">
            <v>84</v>
          </cell>
        </row>
        <row r="2598">
          <cell r="I2598">
            <v>202609</v>
          </cell>
          <cell r="K2598">
            <v>0</v>
          </cell>
          <cell r="N2598">
            <v>7</v>
          </cell>
          <cell r="O2598">
            <v>84</v>
          </cell>
        </row>
        <row r="2599">
          <cell r="I2599">
            <v>202609</v>
          </cell>
          <cell r="K2599">
            <v>0</v>
          </cell>
          <cell r="N2599">
            <v>7</v>
          </cell>
          <cell r="O2599">
            <v>84</v>
          </cell>
        </row>
        <row r="2600">
          <cell r="I2600">
            <v>202609</v>
          </cell>
          <cell r="K2600">
            <v>0</v>
          </cell>
          <cell r="N2600">
            <v>7</v>
          </cell>
          <cell r="O2600">
            <v>84</v>
          </cell>
        </row>
        <row r="2601">
          <cell r="I2601">
            <v>202609</v>
          </cell>
          <cell r="K2601">
            <v>0</v>
          </cell>
          <cell r="N2601">
            <v>7</v>
          </cell>
          <cell r="O2601">
            <v>84</v>
          </cell>
        </row>
        <row r="2602">
          <cell r="I2602">
            <v>202609</v>
          </cell>
          <cell r="K2602">
            <v>0</v>
          </cell>
          <cell r="N2602">
            <v>7</v>
          </cell>
          <cell r="O2602">
            <v>84</v>
          </cell>
        </row>
        <row r="2603">
          <cell r="I2603">
            <v>202609</v>
          </cell>
          <cell r="K2603">
            <v>0</v>
          </cell>
          <cell r="N2603">
            <v>7</v>
          </cell>
          <cell r="O2603">
            <v>84</v>
          </cell>
        </row>
        <row r="2604">
          <cell r="I2604">
            <v>202609</v>
          </cell>
          <cell r="K2604">
            <v>0</v>
          </cell>
          <cell r="N2604">
            <v>7</v>
          </cell>
          <cell r="O2604">
            <v>84</v>
          </cell>
        </row>
        <row r="2605">
          <cell r="I2605">
            <v>202609</v>
          </cell>
          <cell r="K2605">
            <v>0</v>
          </cell>
          <cell r="N2605">
            <v>7</v>
          </cell>
          <cell r="O2605">
            <v>84</v>
          </cell>
        </row>
        <row r="2606">
          <cell r="I2606">
            <v>202609</v>
          </cell>
          <cell r="K2606">
            <v>0</v>
          </cell>
          <cell r="N2606">
            <v>7</v>
          </cell>
          <cell r="O2606">
            <v>84</v>
          </cell>
        </row>
        <row r="2607">
          <cell r="I2607">
            <v>202609</v>
          </cell>
          <cell r="K2607">
            <v>0</v>
          </cell>
          <cell r="N2607">
            <v>7</v>
          </cell>
          <cell r="O2607">
            <v>84</v>
          </cell>
        </row>
        <row r="2608">
          <cell r="I2608">
            <v>202609</v>
          </cell>
          <cell r="K2608">
            <v>0</v>
          </cell>
          <cell r="N2608">
            <v>7</v>
          </cell>
          <cell r="O2608">
            <v>84</v>
          </cell>
        </row>
        <row r="2609">
          <cell r="I2609">
            <v>202609</v>
          </cell>
          <cell r="K2609">
            <v>0</v>
          </cell>
          <cell r="N2609">
            <v>7</v>
          </cell>
          <cell r="O2609">
            <v>84</v>
          </cell>
        </row>
        <row r="2610">
          <cell r="I2610">
            <v>202609</v>
          </cell>
          <cell r="K2610">
            <v>0</v>
          </cell>
          <cell r="N2610">
            <v>7</v>
          </cell>
          <cell r="O2610">
            <v>84</v>
          </cell>
        </row>
        <row r="2611">
          <cell r="I2611">
            <v>202609</v>
          </cell>
          <cell r="K2611">
            <v>0</v>
          </cell>
          <cell r="N2611">
            <v>7</v>
          </cell>
          <cell r="O2611">
            <v>84</v>
          </cell>
        </row>
        <row r="2612">
          <cell r="I2612">
            <v>202609</v>
          </cell>
          <cell r="K2612">
            <v>0</v>
          </cell>
          <cell r="N2612">
            <v>7</v>
          </cell>
          <cell r="O2612">
            <v>84</v>
          </cell>
        </row>
        <row r="2613">
          <cell r="I2613">
            <v>202609</v>
          </cell>
          <cell r="K2613">
            <v>0</v>
          </cell>
          <cell r="N2613">
            <v>7</v>
          </cell>
          <cell r="O2613">
            <v>84</v>
          </cell>
        </row>
        <row r="2614">
          <cell r="I2614">
            <v>202609</v>
          </cell>
          <cell r="K2614">
            <v>0</v>
          </cell>
          <cell r="N2614">
            <v>7</v>
          </cell>
          <cell r="O2614">
            <v>84</v>
          </cell>
        </row>
        <row r="2615">
          <cell r="I2615">
            <v>202609</v>
          </cell>
          <cell r="K2615">
            <v>0</v>
          </cell>
          <cell r="N2615">
            <v>7</v>
          </cell>
          <cell r="O2615">
            <v>84</v>
          </cell>
        </row>
        <row r="2616">
          <cell r="I2616">
            <v>202609</v>
          </cell>
          <cell r="K2616">
            <v>0</v>
          </cell>
          <cell r="N2616">
            <v>7</v>
          </cell>
          <cell r="O2616">
            <v>84</v>
          </cell>
        </row>
        <row r="2617">
          <cell r="I2617">
            <v>202609</v>
          </cell>
          <cell r="K2617">
            <v>0</v>
          </cell>
          <cell r="N2617">
            <v>7</v>
          </cell>
          <cell r="O2617">
            <v>84</v>
          </cell>
        </row>
        <row r="2618">
          <cell r="I2618">
            <v>202609</v>
          </cell>
          <cell r="K2618">
            <v>0</v>
          </cell>
          <cell r="N2618">
            <v>7</v>
          </cell>
          <cell r="O2618">
            <v>84</v>
          </cell>
        </row>
        <row r="2619">
          <cell r="I2619">
            <v>202609</v>
          </cell>
          <cell r="K2619">
            <v>0</v>
          </cell>
          <cell r="N2619">
            <v>7</v>
          </cell>
          <cell r="O2619">
            <v>84</v>
          </cell>
        </row>
        <row r="2620">
          <cell r="I2620">
            <v>202609</v>
          </cell>
          <cell r="K2620">
            <v>0</v>
          </cell>
          <cell r="N2620">
            <v>7</v>
          </cell>
          <cell r="O2620">
            <v>84</v>
          </cell>
        </row>
        <row r="2621">
          <cell r="I2621">
            <v>202609</v>
          </cell>
          <cell r="K2621">
            <v>0</v>
          </cell>
          <cell r="N2621">
            <v>7</v>
          </cell>
          <cell r="O2621">
            <v>84</v>
          </cell>
        </row>
        <row r="2622">
          <cell r="I2622">
            <v>202609</v>
          </cell>
          <cell r="K2622">
            <v>0</v>
          </cell>
          <cell r="N2622">
            <v>7</v>
          </cell>
          <cell r="O2622">
            <v>84</v>
          </cell>
        </row>
        <row r="2623">
          <cell r="I2623">
            <v>202609</v>
          </cell>
          <cell r="K2623">
            <v>0</v>
          </cell>
          <cell r="N2623">
            <v>7</v>
          </cell>
          <cell r="O2623">
            <v>84</v>
          </cell>
        </row>
        <row r="2624">
          <cell r="I2624">
            <v>202609</v>
          </cell>
          <cell r="K2624">
            <v>0</v>
          </cell>
          <cell r="N2624">
            <v>7</v>
          </cell>
          <cell r="O2624">
            <v>84</v>
          </cell>
        </row>
        <row r="2625">
          <cell r="I2625">
            <v>202609</v>
          </cell>
          <cell r="K2625">
            <v>0</v>
          </cell>
          <cell r="N2625">
            <v>7</v>
          </cell>
          <cell r="O2625">
            <v>84</v>
          </cell>
        </row>
        <row r="2626">
          <cell r="I2626">
            <v>202609</v>
          </cell>
          <cell r="K2626">
            <v>0</v>
          </cell>
          <cell r="N2626">
            <v>7</v>
          </cell>
          <cell r="O2626">
            <v>84</v>
          </cell>
        </row>
        <row r="2627">
          <cell r="I2627">
            <v>202609</v>
          </cell>
          <cell r="K2627">
            <v>0</v>
          </cell>
          <cell r="N2627">
            <v>7</v>
          </cell>
          <cell r="O2627">
            <v>84</v>
          </cell>
        </row>
        <row r="2628">
          <cell r="I2628">
            <v>202609</v>
          </cell>
          <cell r="K2628">
            <v>0</v>
          </cell>
          <cell r="N2628">
            <v>7</v>
          </cell>
          <cell r="O2628">
            <v>84</v>
          </cell>
        </row>
        <row r="2629">
          <cell r="I2629">
            <v>202609</v>
          </cell>
          <cell r="K2629">
            <v>0</v>
          </cell>
          <cell r="N2629">
            <v>7</v>
          </cell>
          <cell r="O2629">
            <v>84</v>
          </cell>
        </row>
        <row r="2630">
          <cell r="I2630">
            <v>202609</v>
          </cell>
          <cell r="K2630">
            <v>0</v>
          </cell>
          <cell r="N2630">
            <v>7</v>
          </cell>
          <cell r="O2630">
            <v>84</v>
          </cell>
        </row>
        <row r="2631">
          <cell r="I2631">
            <v>202609</v>
          </cell>
          <cell r="K2631">
            <v>0</v>
          </cell>
          <cell r="N2631">
            <v>7</v>
          </cell>
          <cell r="O2631">
            <v>84</v>
          </cell>
        </row>
        <row r="2632">
          <cell r="I2632">
            <v>202609</v>
          </cell>
          <cell r="K2632">
            <v>0</v>
          </cell>
          <cell r="N2632">
            <v>7</v>
          </cell>
          <cell r="O2632">
            <v>84</v>
          </cell>
        </row>
        <row r="2633">
          <cell r="I2633">
            <v>202609</v>
          </cell>
          <cell r="K2633">
            <v>0</v>
          </cell>
          <cell r="N2633">
            <v>7</v>
          </cell>
          <cell r="O2633">
            <v>84</v>
          </cell>
        </row>
        <row r="2634">
          <cell r="I2634">
            <v>202609</v>
          </cell>
          <cell r="K2634">
            <v>0</v>
          </cell>
          <cell r="N2634">
            <v>7</v>
          </cell>
          <cell r="O2634">
            <v>84</v>
          </cell>
        </row>
        <row r="2635">
          <cell r="I2635">
            <v>202609</v>
          </cell>
          <cell r="K2635">
            <v>0</v>
          </cell>
          <cell r="N2635">
            <v>7</v>
          </cell>
          <cell r="O2635">
            <v>84</v>
          </cell>
        </row>
        <row r="2636">
          <cell r="I2636">
            <v>202609</v>
          </cell>
          <cell r="K2636">
            <v>0</v>
          </cell>
          <cell r="N2636">
            <v>7</v>
          </cell>
          <cell r="O2636">
            <v>84</v>
          </cell>
        </row>
        <row r="2637">
          <cell r="I2637">
            <v>202609</v>
          </cell>
          <cell r="K2637">
            <v>0</v>
          </cell>
          <cell r="N2637">
            <v>7</v>
          </cell>
          <cell r="O2637">
            <v>84</v>
          </cell>
        </row>
        <row r="2638">
          <cell r="I2638">
            <v>202609</v>
          </cell>
          <cell r="K2638">
            <v>0</v>
          </cell>
          <cell r="N2638">
            <v>7</v>
          </cell>
          <cell r="O2638">
            <v>84</v>
          </cell>
        </row>
        <row r="2639">
          <cell r="I2639">
            <v>202609</v>
          </cell>
          <cell r="K2639">
            <v>0</v>
          </cell>
          <cell r="N2639">
            <v>7</v>
          </cell>
          <cell r="O2639">
            <v>84</v>
          </cell>
        </row>
        <row r="2640">
          <cell r="I2640">
            <v>202609</v>
          </cell>
          <cell r="K2640">
            <v>0</v>
          </cell>
          <cell r="N2640">
            <v>7</v>
          </cell>
          <cell r="O2640">
            <v>84</v>
          </cell>
        </row>
        <row r="2641">
          <cell r="I2641">
            <v>202609</v>
          </cell>
          <cell r="K2641">
            <v>0</v>
          </cell>
          <cell r="N2641">
            <v>7</v>
          </cell>
          <cell r="O2641">
            <v>84</v>
          </cell>
        </row>
        <row r="2642">
          <cell r="I2642">
            <v>202609</v>
          </cell>
          <cell r="K2642">
            <v>0</v>
          </cell>
          <cell r="N2642">
            <v>7</v>
          </cell>
          <cell r="O2642">
            <v>84</v>
          </cell>
        </row>
        <row r="2643">
          <cell r="I2643">
            <v>202609</v>
          </cell>
          <cell r="K2643">
            <v>0</v>
          </cell>
          <cell r="N2643">
            <v>7</v>
          </cell>
          <cell r="O2643">
            <v>84</v>
          </cell>
        </row>
        <row r="2644">
          <cell r="I2644">
            <v>202609</v>
          </cell>
          <cell r="K2644">
            <v>0</v>
          </cell>
          <cell r="N2644">
            <v>7</v>
          </cell>
          <cell r="O2644">
            <v>84</v>
          </cell>
        </row>
        <row r="2645">
          <cell r="I2645">
            <v>202609</v>
          </cell>
          <cell r="K2645">
            <v>0</v>
          </cell>
          <cell r="N2645">
            <v>7</v>
          </cell>
          <cell r="O2645">
            <v>84</v>
          </cell>
        </row>
        <row r="2646">
          <cell r="I2646">
            <v>202609</v>
          </cell>
          <cell r="K2646">
            <v>0</v>
          </cell>
          <cell r="N2646">
            <v>7</v>
          </cell>
          <cell r="O2646">
            <v>84</v>
          </cell>
        </row>
        <row r="2647">
          <cell r="I2647">
            <v>202609</v>
          </cell>
          <cell r="K2647">
            <v>0</v>
          </cell>
          <cell r="N2647">
            <v>7</v>
          </cell>
          <cell r="O2647">
            <v>84</v>
          </cell>
        </row>
        <row r="2648">
          <cell r="I2648">
            <v>202609</v>
          </cell>
          <cell r="K2648">
            <v>0</v>
          </cell>
          <cell r="N2648">
            <v>7</v>
          </cell>
          <cell r="O2648">
            <v>84</v>
          </cell>
        </row>
        <row r="2649">
          <cell r="I2649">
            <v>202609</v>
          </cell>
          <cell r="K2649">
            <v>0</v>
          </cell>
          <cell r="N2649">
            <v>7</v>
          </cell>
          <cell r="O2649">
            <v>84</v>
          </cell>
        </row>
        <row r="2650">
          <cell r="I2650">
            <v>202609</v>
          </cell>
          <cell r="K2650">
            <v>0</v>
          </cell>
          <cell r="N2650">
            <v>7</v>
          </cell>
          <cell r="O2650">
            <v>84</v>
          </cell>
        </row>
        <row r="2651">
          <cell r="I2651">
            <v>202609</v>
          </cell>
          <cell r="K2651">
            <v>0</v>
          </cell>
          <cell r="N2651">
            <v>7</v>
          </cell>
          <cell r="O2651">
            <v>84</v>
          </cell>
        </row>
        <row r="2652">
          <cell r="I2652">
            <v>202609</v>
          </cell>
          <cell r="K2652">
            <v>0</v>
          </cell>
          <cell r="N2652">
            <v>7</v>
          </cell>
          <cell r="O2652">
            <v>84</v>
          </cell>
        </row>
        <row r="2653">
          <cell r="I2653">
            <v>202609</v>
          </cell>
          <cell r="K2653">
            <v>0</v>
          </cell>
          <cell r="N2653">
            <v>7</v>
          </cell>
          <cell r="O2653">
            <v>84</v>
          </cell>
        </row>
        <row r="2654">
          <cell r="I2654">
            <v>202609</v>
          </cell>
          <cell r="K2654">
            <v>0</v>
          </cell>
          <cell r="N2654">
            <v>7</v>
          </cell>
          <cell r="O2654">
            <v>84</v>
          </cell>
        </row>
        <row r="2655">
          <cell r="I2655">
            <v>202609</v>
          </cell>
          <cell r="K2655">
            <v>0</v>
          </cell>
          <cell r="N2655">
            <v>7</v>
          </cell>
          <cell r="O2655">
            <v>84</v>
          </cell>
        </row>
        <row r="2656">
          <cell r="I2656">
            <v>202609</v>
          </cell>
          <cell r="K2656">
            <v>0</v>
          </cell>
          <cell r="N2656">
            <v>7</v>
          </cell>
          <cell r="O2656">
            <v>84</v>
          </cell>
        </row>
        <row r="2657">
          <cell r="I2657">
            <v>202609</v>
          </cell>
          <cell r="K2657">
            <v>0</v>
          </cell>
          <cell r="N2657">
            <v>7</v>
          </cell>
          <cell r="O2657">
            <v>84</v>
          </cell>
        </row>
        <row r="2658">
          <cell r="I2658">
            <v>202609</v>
          </cell>
          <cell r="K2658">
            <v>0</v>
          </cell>
          <cell r="N2658">
            <v>7</v>
          </cell>
          <cell r="O2658">
            <v>84</v>
          </cell>
        </row>
        <row r="2659">
          <cell r="I2659">
            <v>202609</v>
          </cell>
          <cell r="K2659">
            <v>0</v>
          </cell>
          <cell r="N2659">
            <v>7</v>
          </cell>
          <cell r="O2659">
            <v>84</v>
          </cell>
        </row>
        <row r="2660">
          <cell r="I2660">
            <v>202609</v>
          </cell>
          <cell r="K2660">
            <v>0</v>
          </cell>
          <cell r="N2660">
            <v>7</v>
          </cell>
          <cell r="O2660">
            <v>84</v>
          </cell>
        </row>
        <row r="2661">
          <cell r="I2661">
            <v>202609</v>
          </cell>
          <cell r="K2661">
            <v>0</v>
          </cell>
          <cell r="N2661">
            <v>7</v>
          </cell>
          <cell r="O2661">
            <v>84</v>
          </cell>
        </row>
        <row r="2662">
          <cell r="I2662">
            <v>202609</v>
          </cell>
          <cell r="K2662">
            <v>0</v>
          </cell>
          <cell r="N2662">
            <v>7</v>
          </cell>
          <cell r="O2662">
            <v>84</v>
          </cell>
        </row>
        <row r="2663">
          <cell r="I2663">
            <v>202609</v>
          </cell>
          <cell r="K2663">
            <v>0</v>
          </cell>
          <cell r="N2663">
            <v>7</v>
          </cell>
          <cell r="O2663">
            <v>84</v>
          </cell>
        </row>
        <row r="2664">
          <cell r="I2664">
            <v>202609</v>
          </cell>
          <cell r="K2664">
            <v>0</v>
          </cell>
          <cell r="N2664">
            <v>7</v>
          </cell>
          <cell r="O2664">
            <v>84</v>
          </cell>
        </row>
        <row r="2665">
          <cell r="I2665">
            <v>202609</v>
          </cell>
          <cell r="K2665">
            <v>0</v>
          </cell>
          <cell r="N2665">
            <v>7</v>
          </cell>
          <cell r="O2665">
            <v>84</v>
          </cell>
        </row>
        <row r="2666">
          <cell r="I2666">
            <v>202609</v>
          </cell>
          <cell r="K2666">
            <v>0</v>
          </cell>
          <cell r="N2666">
            <v>7</v>
          </cell>
          <cell r="O2666">
            <v>84</v>
          </cell>
        </row>
        <row r="2667">
          <cell r="I2667">
            <v>202609</v>
          </cell>
          <cell r="K2667">
            <v>0</v>
          </cell>
          <cell r="N2667">
            <v>7</v>
          </cell>
          <cell r="O2667">
            <v>84</v>
          </cell>
        </row>
        <row r="2668">
          <cell r="I2668">
            <v>202609</v>
          </cell>
          <cell r="K2668">
            <v>0</v>
          </cell>
          <cell r="N2668">
            <v>7</v>
          </cell>
          <cell r="O2668">
            <v>84</v>
          </cell>
        </row>
        <row r="2669">
          <cell r="I2669">
            <v>202609</v>
          </cell>
          <cell r="K2669">
            <v>0</v>
          </cell>
          <cell r="N2669">
            <v>7</v>
          </cell>
          <cell r="O2669">
            <v>84</v>
          </cell>
        </row>
        <row r="2670">
          <cell r="I2670">
            <v>202609</v>
          </cell>
          <cell r="K2670">
            <v>0</v>
          </cell>
          <cell r="N2670">
            <v>7</v>
          </cell>
          <cell r="O2670">
            <v>84</v>
          </cell>
        </row>
        <row r="2671">
          <cell r="I2671">
            <v>202609</v>
          </cell>
          <cell r="K2671">
            <v>0</v>
          </cell>
          <cell r="N2671">
            <v>7</v>
          </cell>
          <cell r="O2671">
            <v>84</v>
          </cell>
        </row>
        <row r="2672">
          <cell r="I2672">
            <v>202609</v>
          </cell>
          <cell r="K2672">
            <v>0</v>
          </cell>
          <cell r="N2672">
            <v>7</v>
          </cell>
          <cell r="O2672">
            <v>84</v>
          </cell>
        </row>
        <row r="2673">
          <cell r="I2673">
            <v>202609</v>
          </cell>
          <cell r="K2673">
            <v>0</v>
          </cell>
          <cell r="N2673">
            <v>7</v>
          </cell>
          <cell r="O2673">
            <v>84</v>
          </cell>
        </row>
        <row r="2674">
          <cell r="I2674">
            <v>202609</v>
          </cell>
          <cell r="K2674">
            <v>0</v>
          </cell>
          <cell r="N2674">
            <v>7</v>
          </cell>
          <cell r="O2674">
            <v>84</v>
          </cell>
        </row>
        <row r="2675">
          <cell r="I2675">
            <v>202609</v>
          </cell>
          <cell r="K2675">
            <v>0</v>
          </cell>
          <cell r="N2675">
            <v>7</v>
          </cell>
          <cell r="O2675">
            <v>84</v>
          </cell>
        </row>
        <row r="2676">
          <cell r="I2676">
            <v>202609</v>
          </cell>
          <cell r="K2676">
            <v>0</v>
          </cell>
          <cell r="N2676">
            <v>7</v>
          </cell>
          <cell r="O2676">
            <v>84</v>
          </cell>
        </row>
        <row r="2677">
          <cell r="I2677">
            <v>202609</v>
          </cell>
          <cell r="K2677">
            <v>0</v>
          </cell>
          <cell r="N2677">
            <v>7</v>
          </cell>
          <cell r="O2677">
            <v>84</v>
          </cell>
        </row>
        <row r="2678">
          <cell r="I2678">
            <v>202609</v>
          </cell>
          <cell r="K2678">
            <v>0</v>
          </cell>
          <cell r="N2678">
            <v>7</v>
          </cell>
          <cell r="O2678">
            <v>84</v>
          </cell>
        </row>
        <row r="2679">
          <cell r="I2679">
            <v>202609</v>
          </cell>
          <cell r="K2679">
            <v>0</v>
          </cell>
          <cell r="N2679">
            <v>7</v>
          </cell>
          <cell r="O2679">
            <v>84</v>
          </cell>
        </row>
        <row r="2680">
          <cell r="I2680">
            <v>202609</v>
          </cell>
          <cell r="K2680">
            <v>0</v>
          </cell>
          <cell r="N2680">
            <v>7</v>
          </cell>
          <cell r="O2680">
            <v>84</v>
          </cell>
        </row>
        <row r="2681">
          <cell r="I2681">
            <v>202609</v>
          </cell>
          <cell r="K2681">
            <v>0</v>
          </cell>
          <cell r="N2681">
            <v>7</v>
          </cell>
          <cell r="O2681">
            <v>84</v>
          </cell>
        </row>
        <row r="2682">
          <cell r="I2682">
            <v>202609</v>
          </cell>
          <cell r="K2682">
            <v>0</v>
          </cell>
          <cell r="N2682">
            <v>7</v>
          </cell>
          <cell r="O2682">
            <v>84</v>
          </cell>
        </row>
        <row r="2683">
          <cell r="I2683">
            <v>202609</v>
          </cell>
          <cell r="K2683">
            <v>0</v>
          </cell>
          <cell r="N2683">
            <v>7</v>
          </cell>
          <cell r="O2683">
            <v>84</v>
          </cell>
        </row>
        <row r="2684">
          <cell r="I2684">
            <v>202609</v>
          </cell>
          <cell r="K2684">
            <v>0</v>
          </cell>
          <cell r="N2684">
            <v>7</v>
          </cell>
          <cell r="O2684">
            <v>84</v>
          </cell>
        </row>
        <row r="2685">
          <cell r="I2685">
            <v>202609</v>
          </cell>
          <cell r="K2685">
            <v>0</v>
          </cell>
          <cell r="N2685">
            <v>7</v>
          </cell>
          <cell r="O2685">
            <v>84</v>
          </cell>
        </row>
        <row r="2686">
          <cell r="I2686">
            <v>202609</v>
          </cell>
          <cell r="K2686">
            <v>0</v>
          </cell>
          <cell r="N2686">
            <v>7</v>
          </cell>
          <cell r="O2686">
            <v>84</v>
          </cell>
        </row>
        <row r="2687">
          <cell r="I2687">
            <v>202609</v>
          </cell>
          <cell r="K2687">
            <v>0</v>
          </cell>
          <cell r="N2687">
            <v>7</v>
          </cell>
          <cell r="O2687">
            <v>84</v>
          </cell>
        </row>
        <row r="2688">
          <cell r="I2688">
            <v>202609</v>
          </cell>
          <cell r="K2688">
            <v>0</v>
          </cell>
          <cell r="N2688">
            <v>7</v>
          </cell>
          <cell r="O2688">
            <v>84</v>
          </cell>
        </row>
        <row r="2689">
          <cell r="I2689">
            <v>202609</v>
          </cell>
          <cell r="K2689">
            <v>0</v>
          </cell>
          <cell r="N2689">
            <v>7</v>
          </cell>
          <cell r="O2689">
            <v>84</v>
          </cell>
        </row>
        <row r="2690">
          <cell r="I2690">
            <v>202609</v>
          </cell>
          <cell r="K2690">
            <v>0</v>
          </cell>
          <cell r="N2690">
            <v>7</v>
          </cell>
          <cell r="O2690">
            <v>84</v>
          </cell>
        </row>
        <row r="2691">
          <cell r="I2691">
            <v>202609</v>
          </cell>
          <cell r="K2691">
            <v>0</v>
          </cell>
          <cell r="N2691">
            <v>7</v>
          </cell>
          <cell r="O2691">
            <v>84</v>
          </cell>
        </row>
        <row r="2692">
          <cell r="I2692">
            <v>202609</v>
          </cell>
          <cell r="K2692">
            <v>0</v>
          </cell>
          <cell r="N2692">
            <v>7</v>
          </cell>
          <cell r="O2692">
            <v>84</v>
          </cell>
        </row>
        <row r="2693">
          <cell r="I2693">
            <v>202609</v>
          </cell>
          <cell r="K2693">
            <v>0</v>
          </cell>
          <cell r="N2693">
            <v>7</v>
          </cell>
          <cell r="O2693">
            <v>84</v>
          </cell>
        </row>
        <row r="2694">
          <cell r="I2694">
            <v>202609</v>
          </cell>
          <cell r="K2694">
            <v>0</v>
          </cell>
          <cell r="N2694">
            <v>7</v>
          </cell>
          <cell r="O2694">
            <v>84</v>
          </cell>
        </row>
        <row r="2695">
          <cell r="I2695">
            <v>202609</v>
          </cell>
          <cell r="K2695">
            <v>0</v>
          </cell>
          <cell r="N2695">
            <v>7</v>
          </cell>
          <cell r="O2695">
            <v>84</v>
          </cell>
        </row>
        <row r="2696">
          <cell r="I2696">
            <v>202609</v>
          </cell>
          <cell r="K2696">
            <v>0</v>
          </cell>
          <cell r="N2696">
            <v>7</v>
          </cell>
          <cell r="O2696">
            <v>84</v>
          </cell>
        </row>
        <row r="2697">
          <cell r="I2697">
            <v>202609</v>
          </cell>
          <cell r="K2697">
            <v>0</v>
          </cell>
          <cell r="N2697">
            <v>7</v>
          </cell>
          <cell r="O2697">
            <v>84</v>
          </cell>
        </row>
        <row r="2698">
          <cell r="I2698">
            <v>202609</v>
          </cell>
          <cell r="K2698">
            <v>0</v>
          </cell>
          <cell r="N2698">
            <v>7</v>
          </cell>
          <cell r="O2698">
            <v>84</v>
          </cell>
        </row>
        <row r="2699">
          <cell r="I2699">
            <v>202609</v>
          </cell>
          <cell r="K2699">
            <v>0</v>
          </cell>
          <cell r="N2699">
            <v>7</v>
          </cell>
          <cell r="O2699">
            <v>84</v>
          </cell>
        </row>
        <row r="2700">
          <cell r="I2700">
            <v>202609</v>
          </cell>
          <cell r="K2700">
            <v>0</v>
          </cell>
          <cell r="N2700">
            <v>7</v>
          </cell>
          <cell r="O2700">
            <v>84</v>
          </cell>
        </row>
        <row r="2701">
          <cell r="I2701">
            <v>202609</v>
          </cell>
          <cell r="K2701">
            <v>0</v>
          </cell>
          <cell r="N2701">
            <v>7</v>
          </cell>
          <cell r="O2701">
            <v>84</v>
          </cell>
        </row>
        <row r="2702">
          <cell r="I2702">
            <v>202609</v>
          </cell>
          <cell r="K2702">
            <v>0</v>
          </cell>
          <cell r="N2702">
            <v>7</v>
          </cell>
          <cell r="O2702">
            <v>84</v>
          </cell>
        </row>
        <row r="2703">
          <cell r="I2703">
            <v>202609</v>
          </cell>
          <cell r="K2703">
            <v>0</v>
          </cell>
          <cell r="N2703">
            <v>7</v>
          </cell>
          <cell r="O2703">
            <v>84</v>
          </cell>
        </row>
        <row r="2704">
          <cell r="I2704">
            <v>202609</v>
          </cell>
          <cell r="K2704">
            <v>0</v>
          </cell>
          <cell r="N2704">
            <v>7</v>
          </cell>
          <cell r="O2704">
            <v>84</v>
          </cell>
        </row>
        <row r="2705">
          <cell r="I2705">
            <v>202609</v>
          </cell>
          <cell r="K2705">
            <v>0</v>
          </cell>
          <cell r="N2705">
            <v>7</v>
          </cell>
          <cell r="O2705">
            <v>84</v>
          </cell>
        </row>
        <row r="2706">
          <cell r="I2706">
            <v>202609</v>
          </cell>
          <cell r="K2706">
            <v>0</v>
          </cell>
          <cell r="N2706">
            <v>7</v>
          </cell>
          <cell r="O2706">
            <v>84</v>
          </cell>
        </row>
        <row r="2707">
          <cell r="I2707">
            <v>202609</v>
          </cell>
          <cell r="K2707">
            <v>0</v>
          </cell>
          <cell r="N2707">
            <v>7</v>
          </cell>
          <cell r="O2707">
            <v>84</v>
          </cell>
        </row>
        <row r="2708">
          <cell r="I2708">
            <v>202609</v>
          </cell>
          <cell r="K2708">
            <v>0</v>
          </cell>
          <cell r="N2708">
            <v>7</v>
          </cell>
          <cell r="O2708">
            <v>84</v>
          </cell>
        </row>
        <row r="2709">
          <cell r="I2709">
            <v>202609</v>
          </cell>
          <cell r="K2709">
            <v>0</v>
          </cell>
          <cell r="N2709">
            <v>7</v>
          </cell>
          <cell r="O2709">
            <v>84</v>
          </cell>
        </row>
        <row r="2710">
          <cell r="I2710">
            <v>202609</v>
          </cell>
          <cell r="K2710">
            <v>0</v>
          </cell>
          <cell r="N2710">
            <v>7</v>
          </cell>
          <cell r="O2710">
            <v>84</v>
          </cell>
        </row>
        <row r="2711">
          <cell r="I2711">
            <v>202609</v>
          </cell>
          <cell r="K2711">
            <v>0</v>
          </cell>
          <cell r="N2711">
            <v>7</v>
          </cell>
          <cell r="O2711">
            <v>84</v>
          </cell>
        </row>
        <row r="2712">
          <cell r="I2712">
            <v>202609</v>
          </cell>
          <cell r="K2712">
            <v>0</v>
          </cell>
          <cell r="N2712">
            <v>7</v>
          </cell>
          <cell r="O2712">
            <v>84</v>
          </cell>
        </row>
        <row r="2713">
          <cell r="I2713">
            <v>202609</v>
          </cell>
          <cell r="K2713">
            <v>0</v>
          </cell>
          <cell r="N2713">
            <v>7</v>
          </cell>
          <cell r="O2713">
            <v>84</v>
          </cell>
        </row>
        <row r="2714">
          <cell r="I2714">
            <v>202609</v>
          </cell>
          <cell r="K2714">
            <v>0</v>
          </cell>
          <cell r="N2714">
            <v>7</v>
          </cell>
          <cell r="O2714">
            <v>84</v>
          </cell>
        </row>
        <row r="2715">
          <cell r="I2715">
            <v>202609</v>
          </cell>
          <cell r="K2715">
            <v>0</v>
          </cell>
          <cell r="N2715">
            <v>7</v>
          </cell>
          <cell r="O2715">
            <v>84</v>
          </cell>
        </row>
        <row r="2716">
          <cell r="I2716">
            <v>202609</v>
          </cell>
          <cell r="K2716">
            <v>0</v>
          </cell>
          <cell r="N2716">
            <v>7</v>
          </cell>
          <cell r="O2716">
            <v>84</v>
          </cell>
        </row>
        <row r="2717">
          <cell r="I2717">
            <v>202609</v>
          </cell>
          <cell r="K2717">
            <v>0</v>
          </cell>
          <cell r="N2717">
            <v>7</v>
          </cell>
          <cell r="O2717">
            <v>84</v>
          </cell>
        </row>
        <row r="2718">
          <cell r="I2718">
            <v>202609</v>
          </cell>
          <cell r="K2718">
            <v>0</v>
          </cell>
          <cell r="N2718">
            <v>7</v>
          </cell>
          <cell r="O2718">
            <v>84</v>
          </cell>
        </row>
        <row r="2719">
          <cell r="I2719">
            <v>202609</v>
          </cell>
          <cell r="K2719">
            <v>0</v>
          </cell>
          <cell r="N2719">
            <v>7</v>
          </cell>
          <cell r="O2719">
            <v>84</v>
          </cell>
        </row>
        <row r="2720">
          <cell r="I2720">
            <v>202609</v>
          </cell>
          <cell r="K2720">
            <v>0</v>
          </cell>
          <cell r="N2720">
            <v>7</v>
          </cell>
          <cell r="O2720">
            <v>84</v>
          </cell>
        </row>
        <row r="2721">
          <cell r="I2721">
            <v>202609</v>
          </cell>
          <cell r="K2721">
            <v>0</v>
          </cell>
          <cell r="N2721">
            <v>7</v>
          </cell>
          <cell r="O2721">
            <v>84</v>
          </cell>
        </row>
        <row r="2722">
          <cell r="I2722">
            <v>202609</v>
          </cell>
          <cell r="K2722">
            <v>0</v>
          </cell>
          <cell r="N2722">
            <v>7</v>
          </cell>
          <cell r="O2722">
            <v>84</v>
          </cell>
        </row>
        <row r="2723">
          <cell r="I2723">
            <v>202609</v>
          </cell>
          <cell r="K2723">
            <v>0</v>
          </cell>
          <cell r="N2723">
            <v>7</v>
          </cell>
          <cell r="O2723">
            <v>84</v>
          </cell>
        </row>
        <row r="2724">
          <cell r="I2724">
            <v>202609</v>
          </cell>
          <cell r="K2724">
            <v>0</v>
          </cell>
          <cell r="N2724">
            <v>7</v>
          </cell>
          <cell r="O2724">
            <v>84</v>
          </cell>
        </row>
        <row r="2725">
          <cell r="I2725">
            <v>202609</v>
          </cell>
          <cell r="K2725">
            <v>0</v>
          </cell>
          <cell r="N2725">
            <v>7</v>
          </cell>
          <cell r="O2725">
            <v>84</v>
          </cell>
        </row>
        <row r="2726">
          <cell r="I2726">
            <v>202609</v>
          </cell>
          <cell r="K2726">
            <v>0</v>
          </cell>
          <cell r="N2726">
            <v>7</v>
          </cell>
          <cell r="O2726">
            <v>84</v>
          </cell>
        </row>
        <row r="2727">
          <cell r="I2727">
            <v>202609</v>
          </cell>
          <cell r="K2727">
            <v>0</v>
          </cell>
          <cell r="N2727">
            <v>7</v>
          </cell>
          <cell r="O2727">
            <v>84</v>
          </cell>
        </row>
        <row r="2728">
          <cell r="I2728">
            <v>202609</v>
          </cell>
          <cell r="K2728">
            <v>0</v>
          </cell>
          <cell r="N2728">
            <v>7</v>
          </cell>
          <cell r="O2728">
            <v>84</v>
          </cell>
        </row>
        <row r="2729">
          <cell r="I2729">
            <v>202609</v>
          </cell>
          <cell r="K2729">
            <v>0</v>
          </cell>
          <cell r="N2729">
            <v>7</v>
          </cell>
          <cell r="O2729">
            <v>84</v>
          </cell>
        </row>
        <row r="2730">
          <cell r="I2730">
            <v>202609</v>
          </cell>
          <cell r="K2730">
            <v>0</v>
          </cell>
          <cell r="N2730">
            <v>7</v>
          </cell>
          <cell r="O2730">
            <v>84</v>
          </cell>
        </row>
        <row r="2731">
          <cell r="I2731">
            <v>202609</v>
          </cell>
          <cell r="K2731">
            <v>0</v>
          </cell>
          <cell r="N2731">
            <v>7</v>
          </cell>
          <cell r="O2731">
            <v>84</v>
          </cell>
        </row>
        <row r="2732">
          <cell r="I2732">
            <v>202609</v>
          </cell>
          <cell r="K2732">
            <v>0</v>
          </cell>
          <cell r="N2732">
            <v>7</v>
          </cell>
          <cell r="O2732">
            <v>84</v>
          </cell>
        </row>
        <row r="2733">
          <cell r="I2733">
            <v>202609</v>
          </cell>
          <cell r="K2733">
            <v>0</v>
          </cell>
          <cell r="N2733">
            <v>7</v>
          </cell>
          <cell r="O2733">
            <v>84</v>
          </cell>
        </row>
        <row r="2734">
          <cell r="I2734">
            <v>202609</v>
          </cell>
          <cell r="K2734">
            <v>0</v>
          </cell>
          <cell r="N2734">
            <v>7</v>
          </cell>
          <cell r="O2734">
            <v>84</v>
          </cell>
        </row>
        <row r="2735">
          <cell r="I2735">
            <v>202609</v>
          </cell>
          <cell r="K2735">
            <v>0</v>
          </cell>
          <cell r="N2735">
            <v>7</v>
          </cell>
          <cell r="O2735">
            <v>84</v>
          </cell>
        </row>
        <row r="2736">
          <cell r="I2736">
            <v>202609</v>
          </cell>
          <cell r="K2736">
            <v>0</v>
          </cell>
          <cell r="N2736">
            <v>7</v>
          </cell>
          <cell r="O2736">
            <v>84</v>
          </cell>
        </row>
        <row r="2737">
          <cell r="I2737">
            <v>202609</v>
          </cell>
          <cell r="K2737">
            <v>0</v>
          </cell>
          <cell r="N2737">
            <v>7</v>
          </cell>
          <cell r="O2737">
            <v>84</v>
          </cell>
        </row>
        <row r="2738">
          <cell r="I2738">
            <v>202609</v>
          </cell>
          <cell r="K2738">
            <v>0</v>
          </cell>
          <cell r="N2738">
            <v>7</v>
          </cell>
          <cell r="O2738">
            <v>84</v>
          </cell>
        </row>
        <row r="2739">
          <cell r="I2739">
            <v>202609</v>
          </cell>
          <cell r="K2739">
            <v>0</v>
          </cell>
          <cell r="N2739">
            <v>7</v>
          </cell>
          <cell r="O2739">
            <v>84</v>
          </cell>
        </row>
        <row r="2740">
          <cell r="I2740">
            <v>202609</v>
          </cell>
          <cell r="K2740">
            <v>0</v>
          </cell>
          <cell r="N2740">
            <v>7</v>
          </cell>
          <cell r="O2740">
            <v>84</v>
          </cell>
        </row>
        <row r="2741">
          <cell r="I2741">
            <v>202609</v>
          </cell>
          <cell r="K2741">
            <v>0</v>
          </cell>
          <cell r="N2741">
            <v>7</v>
          </cell>
          <cell r="O2741">
            <v>84</v>
          </cell>
        </row>
        <row r="2742">
          <cell r="I2742">
            <v>202609</v>
          </cell>
          <cell r="K2742">
            <v>0</v>
          </cell>
          <cell r="N2742">
            <v>7</v>
          </cell>
          <cell r="O2742">
            <v>84</v>
          </cell>
        </row>
        <row r="2743">
          <cell r="I2743">
            <v>202609</v>
          </cell>
          <cell r="K2743">
            <v>0</v>
          </cell>
          <cell r="N2743">
            <v>7</v>
          </cell>
          <cell r="O2743">
            <v>84</v>
          </cell>
        </row>
        <row r="2744">
          <cell r="I2744">
            <v>202609</v>
          </cell>
          <cell r="K2744">
            <v>0</v>
          </cell>
          <cell r="N2744">
            <v>7</v>
          </cell>
          <cell r="O2744">
            <v>84</v>
          </cell>
        </row>
        <row r="2745">
          <cell r="I2745">
            <v>202609</v>
          </cell>
          <cell r="K2745">
            <v>0</v>
          </cell>
          <cell r="N2745">
            <v>7</v>
          </cell>
          <cell r="O2745">
            <v>84</v>
          </cell>
        </row>
        <row r="2746">
          <cell r="I2746">
            <v>202609</v>
          </cell>
          <cell r="K2746">
            <v>0</v>
          </cell>
          <cell r="N2746">
            <v>7</v>
          </cell>
          <cell r="O2746">
            <v>84</v>
          </cell>
        </row>
        <row r="2747">
          <cell r="I2747">
            <v>202609</v>
          </cell>
          <cell r="K2747">
            <v>0</v>
          </cell>
          <cell r="N2747">
            <v>7</v>
          </cell>
          <cell r="O2747">
            <v>84</v>
          </cell>
        </row>
        <row r="2748">
          <cell r="I2748">
            <v>202609</v>
          </cell>
          <cell r="K2748">
            <v>0</v>
          </cell>
          <cell r="N2748">
            <v>7</v>
          </cell>
          <cell r="O2748">
            <v>84</v>
          </cell>
        </row>
        <row r="2749">
          <cell r="I2749">
            <v>202609</v>
          </cell>
          <cell r="K2749">
            <v>0</v>
          </cell>
          <cell r="N2749">
            <v>7</v>
          </cell>
          <cell r="O2749">
            <v>84</v>
          </cell>
        </row>
        <row r="2750">
          <cell r="I2750">
            <v>202609</v>
          </cell>
          <cell r="K2750">
            <v>0</v>
          </cell>
          <cell r="N2750">
            <v>7</v>
          </cell>
          <cell r="O2750">
            <v>84</v>
          </cell>
        </row>
        <row r="2751">
          <cell r="I2751">
            <v>202609</v>
          </cell>
          <cell r="K2751">
            <v>0</v>
          </cell>
          <cell r="N2751">
            <v>7</v>
          </cell>
          <cell r="O2751">
            <v>84</v>
          </cell>
        </row>
        <row r="2752">
          <cell r="I2752">
            <v>202609</v>
          </cell>
          <cell r="K2752">
            <v>0</v>
          </cell>
          <cell r="N2752">
            <v>7</v>
          </cell>
          <cell r="O2752">
            <v>84</v>
          </cell>
        </row>
        <row r="2753">
          <cell r="I2753">
            <v>202609</v>
          </cell>
          <cell r="K2753">
            <v>0</v>
          </cell>
          <cell r="N2753">
            <v>7</v>
          </cell>
          <cell r="O2753">
            <v>84</v>
          </cell>
        </row>
        <row r="2754">
          <cell r="I2754">
            <v>202609</v>
          </cell>
          <cell r="K2754">
            <v>0</v>
          </cell>
          <cell r="N2754">
            <v>7</v>
          </cell>
          <cell r="O2754">
            <v>84</v>
          </cell>
        </row>
        <row r="2755">
          <cell r="I2755">
            <v>202609</v>
          </cell>
          <cell r="K2755">
            <v>0</v>
          </cell>
          <cell r="N2755">
            <v>7</v>
          </cell>
          <cell r="O2755">
            <v>84</v>
          </cell>
        </row>
        <row r="2756">
          <cell r="I2756">
            <v>202609</v>
          </cell>
          <cell r="K2756">
            <v>0</v>
          </cell>
          <cell r="N2756">
            <v>7</v>
          </cell>
          <cell r="O2756">
            <v>84</v>
          </cell>
        </row>
        <row r="2757">
          <cell r="I2757">
            <v>202609</v>
          </cell>
          <cell r="K2757">
            <v>0</v>
          </cell>
          <cell r="N2757">
            <v>7</v>
          </cell>
          <cell r="O2757">
            <v>84</v>
          </cell>
        </row>
        <row r="2758">
          <cell r="I2758">
            <v>202609</v>
          </cell>
          <cell r="K2758">
            <v>0</v>
          </cell>
          <cell r="N2758">
            <v>7</v>
          </cell>
          <cell r="O2758">
            <v>84</v>
          </cell>
        </row>
        <row r="2759">
          <cell r="I2759">
            <v>202609</v>
          </cell>
          <cell r="K2759">
            <v>0</v>
          </cell>
          <cell r="N2759">
            <v>7</v>
          </cell>
          <cell r="O2759">
            <v>84</v>
          </cell>
        </row>
        <row r="2760">
          <cell r="I2760">
            <v>202609</v>
          </cell>
          <cell r="K2760">
            <v>0</v>
          </cell>
          <cell r="N2760">
            <v>7</v>
          </cell>
          <cell r="O2760">
            <v>84</v>
          </cell>
        </row>
        <row r="2761">
          <cell r="I2761">
            <v>202609</v>
          </cell>
          <cell r="K2761">
            <v>0</v>
          </cell>
          <cell r="N2761">
            <v>7</v>
          </cell>
          <cell r="O2761">
            <v>84</v>
          </cell>
        </row>
        <row r="2762">
          <cell r="I2762">
            <v>202609</v>
          </cell>
          <cell r="K2762">
            <v>0</v>
          </cell>
          <cell r="N2762">
            <v>7</v>
          </cell>
          <cell r="O2762">
            <v>84</v>
          </cell>
        </row>
        <row r="2763">
          <cell r="I2763">
            <v>202609</v>
          </cell>
          <cell r="K2763">
            <v>0</v>
          </cell>
          <cell r="N2763">
            <v>7</v>
          </cell>
          <cell r="O2763">
            <v>84</v>
          </cell>
        </row>
        <row r="2764">
          <cell r="I2764">
            <v>202609</v>
          </cell>
          <cell r="K2764">
            <v>0</v>
          </cell>
          <cell r="N2764">
            <v>7</v>
          </cell>
          <cell r="O2764">
            <v>84</v>
          </cell>
        </row>
        <row r="2765">
          <cell r="I2765">
            <v>202609</v>
          </cell>
          <cell r="K2765">
            <v>0</v>
          </cell>
          <cell r="N2765">
            <v>7</v>
          </cell>
          <cell r="O2765">
            <v>84</v>
          </cell>
        </row>
        <row r="2766">
          <cell r="I2766">
            <v>202609</v>
          </cell>
          <cell r="K2766">
            <v>0</v>
          </cell>
          <cell r="N2766">
            <v>7</v>
          </cell>
          <cell r="O2766">
            <v>84</v>
          </cell>
        </row>
        <row r="2767">
          <cell r="I2767">
            <v>202609</v>
          </cell>
          <cell r="K2767">
            <v>0</v>
          </cell>
          <cell r="N2767">
            <v>7</v>
          </cell>
          <cell r="O2767">
            <v>84</v>
          </cell>
        </row>
        <row r="2768">
          <cell r="I2768">
            <v>202609</v>
          </cell>
          <cell r="K2768">
            <v>0</v>
          </cell>
          <cell r="N2768">
            <v>7</v>
          </cell>
          <cell r="O2768">
            <v>84</v>
          </cell>
        </row>
        <row r="2769">
          <cell r="I2769">
            <v>202609</v>
          </cell>
          <cell r="K2769">
            <v>0</v>
          </cell>
          <cell r="N2769">
            <v>7</v>
          </cell>
          <cell r="O2769">
            <v>84</v>
          </cell>
        </row>
        <row r="2770">
          <cell r="I2770">
            <v>202609</v>
          </cell>
          <cell r="K2770">
            <v>0</v>
          </cell>
          <cell r="N2770">
            <v>7</v>
          </cell>
          <cell r="O2770">
            <v>84</v>
          </cell>
        </row>
        <row r="2771">
          <cell r="I2771">
            <v>202609</v>
          </cell>
          <cell r="K2771">
            <v>0</v>
          </cell>
          <cell r="N2771">
            <v>7</v>
          </cell>
          <cell r="O2771">
            <v>84</v>
          </cell>
        </row>
        <row r="2772">
          <cell r="I2772">
            <v>202609</v>
          </cell>
          <cell r="K2772">
            <v>0</v>
          </cell>
          <cell r="N2772">
            <v>7</v>
          </cell>
          <cell r="O2772">
            <v>84</v>
          </cell>
        </row>
        <row r="2773">
          <cell r="I2773">
            <v>202609</v>
          </cell>
          <cell r="K2773">
            <v>0</v>
          </cell>
          <cell r="N2773">
            <v>7</v>
          </cell>
          <cell r="O2773">
            <v>84</v>
          </cell>
        </row>
        <row r="2774">
          <cell r="I2774">
            <v>202609</v>
          </cell>
          <cell r="K2774">
            <v>0</v>
          </cell>
          <cell r="N2774">
            <v>7</v>
          </cell>
          <cell r="O2774">
            <v>84</v>
          </cell>
        </row>
        <row r="2775">
          <cell r="I2775">
            <v>202609</v>
          </cell>
          <cell r="K2775">
            <v>0</v>
          </cell>
          <cell r="N2775">
            <v>7</v>
          </cell>
          <cell r="O2775">
            <v>84</v>
          </cell>
        </row>
        <row r="2776">
          <cell r="I2776">
            <v>202609</v>
          </cell>
          <cell r="K2776">
            <v>0</v>
          </cell>
          <cell r="N2776">
            <v>7</v>
          </cell>
          <cell r="O2776">
            <v>84</v>
          </cell>
        </row>
        <row r="2777">
          <cell r="I2777">
            <v>202609</v>
          </cell>
          <cell r="K2777">
            <v>0</v>
          </cell>
          <cell r="N2777">
            <v>7</v>
          </cell>
          <cell r="O2777">
            <v>84</v>
          </cell>
        </row>
        <row r="2778">
          <cell r="I2778">
            <v>202609</v>
          </cell>
          <cell r="K2778">
            <v>0</v>
          </cell>
          <cell r="N2778">
            <v>7</v>
          </cell>
          <cell r="O2778">
            <v>84</v>
          </cell>
        </row>
        <row r="2779">
          <cell r="I2779">
            <v>202609</v>
          </cell>
          <cell r="K2779">
            <v>0</v>
          </cell>
          <cell r="N2779">
            <v>7</v>
          </cell>
          <cell r="O2779">
            <v>84</v>
          </cell>
        </row>
        <row r="2780">
          <cell r="I2780">
            <v>202609</v>
          </cell>
          <cell r="K2780">
            <v>0</v>
          </cell>
          <cell r="N2780">
            <v>7</v>
          </cell>
          <cell r="O2780">
            <v>84</v>
          </cell>
        </row>
        <row r="2781">
          <cell r="I2781">
            <v>202609</v>
          </cell>
          <cell r="K2781">
            <v>0</v>
          </cell>
          <cell r="N2781">
            <v>7</v>
          </cell>
          <cell r="O2781">
            <v>84</v>
          </cell>
        </row>
        <row r="2782">
          <cell r="I2782">
            <v>202609</v>
          </cell>
          <cell r="K2782">
            <v>0</v>
          </cell>
          <cell r="N2782">
            <v>7</v>
          </cell>
          <cell r="O2782">
            <v>84</v>
          </cell>
        </row>
        <row r="2783">
          <cell r="I2783">
            <v>202609</v>
          </cell>
          <cell r="K2783">
            <v>0</v>
          </cell>
          <cell r="N2783">
            <v>7</v>
          </cell>
          <cell r="O2783">
            <v>84</v>
          </cell>
        </row>
        <row r="2784">
          <cell r="I2784">
            <v>202609</v>
          </cell>
          <cell r="K2784">
            <v>0</v>
          </cell>
          <cell r="N2784">
            <v>7</v>
          </cell>
          <cell r="O2784">
            <v>84</v>
          </cell>
        </row>
        <row r="2785">
          <cell r="I2785">
            <v>202609</v>
          </cell>
          <cell r="K2785">
            <v>0</v>
          </cell>
          <cell r="N2785">
            <v>7</v>
          </cell>
          <cell r="O2785">
            <v>84</v>
          </cell>
        </row>
        <row r="2786">
          <cell r="I2786">
            <v>202609</v>
          </cell>
          <cell r="K2786">
            <v>0</v>
          </cell>
          <cell r="N2786">
            <v>7</v>
          </cell>
          <cell r="O2786">
            <v>84</v>
          </cell>
        </row>
        <row r="2787">
          <cell r="I2787">
            <v>202609</v>
          </cell>
          <cell r="K2787">
            <v>0</v>
          </cell>
          <cell r="N2787">
            <v>7</v>
          </cell>
          <cell r="O2787">
            <v>84</v>
          </cell>
        </row>
        <row r="2788">
          <cell r="I2788">
            <v>202609</v>
          </cell>
          <cell r="K2788">
            <v>0</v>
          </cell>
          <cell r="N2788">
            <v>7</v>
          </cell>
          <cell r="O2788">
            <v>84</v>
          </cell>
        </row>
        <row r="2789">
          <cell r="I2789">
            <v>202609</v>
          </cell>
          <cell r="K2789">
            <v>0</v>
          </cell>
          <cell r="N2789">
            <v>7</v>
          </cell>
          <cell r="O2789">
            <v>84</v>
          </cell>
        </row>
        <row r="2790">
          <cell r="I2790">
            <v>202609</v>
          </cell>
          <cell r="K2790">
            <v>0</v>
          </cell>
          <cell r="N2790">
            <v>7</v>
          </cell>
          <cell r="O2790">
            <v>84</v>
          </cell>
        </row>
        <row r="2791">
          <cell r="I2791">
            <v>202609</v>
          </cell>
          <cell r="K2791">
            <v>0</v>
          </cell>
          <cell r="N2791">
            <v>7</v>
          </cell>
          <cell r="O2791">
            <v>84</v>
          </cell>
        </row>
        <row r="2792">
          <cell r="I2792">
            <v>202609</v>
          </cell>
          <cell r="K2792">
            <v>0</v>
          </cell>
          <cell r="N2792">
            <v>7</v>
          </cell>
          <cell r="O2792">
            <v>84</v>
          </cell>
        </row>
        <row r="2793">
          <cell r="I2793">
            <v>202609</v>
          </cell>
          <cell r="K2793">
            <v>0</v>
          </cell>
          <cell r="N2793">
            <v>7</v>
          </cell>
          <cell r="O2793">
            <v>84</v>
          </cell>
        </row>
        <row r="2794">
          <cell r="I2794">
            <v>202609</v>
          </cell>
          <cell r="K2794">
            <v>0</v>
          </cell>
          <cell r="N2794">
            <v>7</v>
          </cell>
          <cell r="O2794">
            <v>84</v>
          </cell>
        </row>
        <row r="2795">
          <cell r="I2795">
            <v>202609</v>
          </cell>
          <cell r="K2795">
            <v>0</v>
          </cell>
          <cell r="N2795">
            <v>7</v>
          </cell>
          <cell r="O2795">
            <v>84</v>
          </cell>
        </row>
        <row r="2796">
          <cell r="I2796">
            <v>202609</v>
          </cell>
          <cell r="K2796">
            <v>0</v>
          </cell>
          <cell r="N2796">
            <v>7</v>
          </cell>
          <cell r="O2796">
            <v>84</v>
          </cell>
        </row>
        <row r="2797">
          <cell r="I2797">
            <v>202609</v>
          </cell>
          <cell r="K2797">
            <v>0</v>
          </cell>
          <cell r="N2797">
            <v>7</v>
          </cell>
          <cell r="O2797">
            <v>84</v>
          </cell>
        </row>
        <row r="2798">
          <cell r="I2798">
            <v>202609</v>
          </cell>
          <cell r="K2798">
            <v>0</v>
          </cell>
          <cell r="N2798">
            <v>7</v>
          </cell>
          <cell r="O2798">
            <v>84</v>
          </cell>
        </row>
        <row r="2799">
          <cell r="I2799">
            <v>202609</v>
          </cell>
          <cell r="K2799">
            <v>0</v>
          </cell>
          <cell r="N2799">
            <v>7</v>
          </cell>
          <cell r="O2799">
            <v>84</v>
          </cell>
        </row>
        <row r="2800">
          <cell r="I2800">
            <v>202609</v>
          </cell>
          <cell r="K2800">
            <v>0</v>
          </cell>
          <cell r="N2800">
            <v>7</v>
          </cell>
          <cell r="O2800">
            <v>84</v>
          </cell>
        </row>
        <row r="2801">
          <cell r="I2801">
            <v>202609</v>
          </cell>
          <cell r="K2801">
            <v>0</v>
          </cell>
          <cell r="N2801">
            <v>7</v>
          </cell>
          <cell r="O2801">
            <v>84</v>
          </cell>
        </row>
        <row r="2802">
          <cell r="I2802">
            <v>202609</v>
          </cell>
          <cell r="K2802">
            <v>0</v>
          </cell>
          <cell r="N2802">
            <v>7</v>
          </cell>
          <cell r="O2802">
            <v>84</v>
          </cell>
        </row>
        <row r="2803">
          <cell r="I2803">
            <v>202609</v>
          </cell>
          <cell r="K2803">
            <v>0</v>
          </cell>
          <cell r="N2803">
            <v>7</v>
          </cell>
          <cell r="O2803">
            <v>84</v>
          </cell>
        </row>
        <row r="2804">
          <cell r="I2804">
            <v>202609</v>
          </cell>
          <cell r="K2804">
            <v>0</v>
          </cell>
          <cell r="N2804">
            <v>7</v>
          </cell>
          <cell r="O2804">
            <v>84</v>
          </cell>
        </row>
        <row r="2805">
          <cell r="I2805">
            <v>202609</v>
          </cell>
          <cell r="K2805">
            <v>0</v>
          </cell>
          <cell r="N2805">
            <v>7</v>
          </cell>
          <cell r="O2805">
            <v>84</v>
          </cell>
        </row>
        <row r="2806">
          <cell r="I2806">
            <v>202609</v>
          </cell>
          <cell r="K2806">
            <v>0</v>
          </cell>
          <cell r="N2806">
            <v>7</v>
          </cell>
          <cell r="O2806">
            <v>84</v>
          </cell>
        </row>
        <row r="2807">
          <cell r="I2807">
            <v>202609</v>
          </cell>
          <cell r="K2807">
            <v>0</v>
          </cell>
          <cell r="N2807">
            <v>7</v>
          </cell>
          <cell r="O2807">
            <v>84</v>
          </cell>
        </row>
        <row r="2808">
          <cell r="I2808">
            <v>202609</v>
          </cell>
          <cell r="K2808">
            <v>0</v>
          </cell>
          <cell r="N2808">
            <v>7</v>
          </cell>
          <cell r="O2808">
            <v>84</v>
          </cell>
        </row>
        <row r="2809">
          <cell r="I2809">
            <v>202609</v>
          </cell>
          <cell r="K2809">
            <v>0</v>
          </cell>
          <cell r="N2809">
            <v>7</v>
          </cell>
          <cell r="O2809">
            <v>84</v>
          </cell>
        </row>
        <row r="2810">
          <cell r="I2810">
            <v>202609</v>
          </cell>
          <cell r="K2810">
            <v>0</v>
          </cell>
          <cell r="N2810">
            <v>7</v>
          </cell>
          <cell r="O2810">
            <v>84</v>
          </cell>
        </row>
        <row r="2811">
          <cell r="I2811">
            <v>202609</v>
          </cell>
          <cell r="K2811">
            <v>0</v>
          </cell>
          <cell r="N2811">
            <v>7</v>
          </cell>
          <cell r="O2811">
            <v>84</v>
          </cell>
        </row>
        <row r="2812">
          <cell r="I2812">
            <v>202609</v>
          </cell>
          <cell r="K2812">
            <v>0</v>
          </cell>
          <cell r="N2812">
            <v>7</v>
          </cell>
          <cell r="O2812">
            <v>84</v>
          </cell>
        </row>
        <row r="2813">
          <cell r="I2813">
            <v>202609</v>
          </cell>
          <cell r="K2813">
            <v>0</v>
          </cell>
          <cell r="N2813">
            <v>7</v>
          </cell>
          <cell r="O2813">
            <v>84</v>
          </cell>
        </row>
        <row r="2814">
          <cell r="I2814">
            <v>202609</v>
          </cell>
          <cell r="K2814">
            <v>0</v>
          </cell>
          <cell r="N2814">
            <v>7</v>
          </cell>
          <cell r="O2814">
            <v>84</v>
          </cell>
        </row>
        <row r="2815">
          <cell r="I2815">
            <v>202609</v>
          </cell>
          <cell r="K2815">
            <v>0</v>
          </cell>
          <cell r="N2815">
            <v>7</v>
          </cell>
          <cell r="O2815">
            <v>84</v>
          </cell>
        </row>
        <row r="2816">
          <cell r="I2816">
            <v>202609</v>
          </cell>
          <cell r="K2816">
            <v>0</v>
          </cell>
          <cell r="N2816">
            <v>7</v>
          </cell>
          <cell r="O2816">
            <v>84</v>
          </cell>
        </row>
        <row r="2817">
          <cell r="I2817">
            <v>202609</v>
          </cell>
          <cell r="K2817">
            <v>0</v>
          </cell>
          <cell r="N2817">
            <v>7</v>
          </cell>
          <cell r="O2817">
            <v>84</v>
          </cell>
        </row>
        <row r="2818">
          <cell r="I2818">
            <v>202609</v>
          </cell>
          <cell r="K2818">
            <v>0</v>
          </cell>
          <cell r="N2818">
            <v>7</v>
          </cell>
          <cell r="O2818">
            <v>84</v>
          </cell>
        </row>
        <row r="2819">
          <cell r="I2819">
            <v>202609</v>
          </cell>
          <cell r="K2819">
            <v>0</v>
          </cell>
          <cell r="N2819">
            <v>7</v>
          </cell>
          <cell r="O2819">
            <v>84</v>
          </cell>
        </row>
        <row r="2820">
          <cell r="I2820">
            <v>202609</v>
          </cell>
          <cell r="K2820">
            <v>0</v>
          </cell>
          <cell r="N2820">
            <v>7</v>
          </cell>
          <cell r="O2820">
            <v>84</v>
          </cell>
        </row>
        <row r="2821">
          <cell r="I2821">
            <v>202609</v>
          </cell>
          <cell r="K2821">
            <v>0</v>
          </cell>
          <cell r="N2821">
            <v>7</v>
          </cell>
          <cell r="O2821">
            <v>84</v>
          </cell>
        </row>
        <row r="2822">
          <cell r="I2822">
            <v>202609</v>
          </cell>
          <cell r="K2822">
            <v>0</v>
          </cell>
          <cell r="N2822">
            <v>7</v>
          </cell>
          <cell r="O2822">
            <v>84</v>
          </cell>
        </row>
        <row r="2823">
          <cell r="I2823">
            <v>202609</v>
          </cell>
          <cell r="K2823">
            <v>0</v>
          </cell>
          <cell r="N2823">
            <v>7</v>
          </cell>
          <cell r="O2823">
            <v>84</v>
          </cell>
        </row>
        <row r="2824">
          <cell r="I2824">
            <v>202609</v>
          </cell>
          <cell r="K2824">
            <v>0</v>
          </cell>
          <cell r="N2824">
            <v>7</v>
          </cell>
          <cell r="O2824">
            <v>84</v>
          </cell>
        </row>
        <row r="2825">
          <cell r="I2825">
            <v>202609</v>
          </cell>
          <cell r="K2825">
            <v>0</v>
          </cell>
          <cell r="N2825">
            <v>7</v>
          </cell>
          <cell r="O2825">
            <v>84</v>
          </cell>
        </row>
        <row r="2826">
          <cell r="I2826">
            <v>202609</v>
          </cell>
          <cell r="K2826">
            <v>0</v>
          </cell>
          <cell r="N2826">
            <v>7</v>
          </cell>
          <cell r="O2826">
            <v>84</v>
          </cell>
        </row>
        <row r="2827">
          <cell r="I2827">
            <v>202609</v>
          </cell>
          <cell r="K2827">
            <v>0</v>
          </cell>
          <cell r="N2827">
            <v>7</v>
          </cell>
          <cell r="O2827">
            <v>84</v>
          </cell>
        </row>
        <row r="2828">
          <cell r="I2828">
            <v>202609</v>
          </cell>
          <cell r="K2828">
            <v>0</v>
          </cell>
          <cell r="N2828">
            <v>7</v>
          </cell>
          <cell r="O2828">
            <v>84</v>
          </cell>
        </row>
        <row r="2829">
          <cell r="I2829">
            <v>202609</v>
          </cell>
          <cell r="K2829">
            <v>0</v>
          </cell>
          <cell r="N2829">
            <v>7</v>
          </cell>
          <cell r="O2829">
            <v>84</v>
          </cell>
        </row>
        <row r="2830">
          <cell r="I2830">
            <v>202609</v>
          </cell>
          <cell r="K2830">
            <v>0</v>
          </cell>
          <cell r="N2830">
            <v>7</v>
          </cell>
          <cell r="O2830">
            <v>84</v>
          </cell>
        </row>
        <row r="2831">
          <cell r="I2831">
            <v>202609</v>
          </cell>
          <cell r="K2831">
            <v>0</v>
          </cell>
          <cell r="N2831">
            <v>7</v>
          </cell>
          <cell r="O2831">
            <v>84</v>
          </cell>
        </row>
        <row r="2832">
          <cell r="I2832">
            <v>202609</v>
          </cell>
          <cell r="K2832">
            <v>0</v>
          </cell>
          <cell r="N2832">
            <v>7</v>
          </cell>
          <cell r="O2832">
            <v>84</v>
          </cell>
        </row>
        <row r="2833">
          <cell r="I2833">
            <v>202609</v>
          </cell>
          <cell r="K2833">
            <v>0</v>
          </cell>
          <cell r="N2833">
            <v>7</v>
          </cell>
          <cell r="O2833">
            <v>84</v>
          </cell>
        </row>
        <row r="2834">
          <cell r="I2834">
            <v>202609</v>
          </cell>
          <cell r="K2834">
            <v>0</v>
          </cell>
          <cell r="N2834">
            <v>7</v>
          </cell>
          <cell r="O2834">
            <v>84</v>
          </cell>
        </row>
        <row r="2835">
          <cell r="I2835">
            <v>202609</v>
          </cell>
          <cell r="K2835">
            <v>0</v>
          </cell>
          <cell r="N2835">
            <v>7</v>
          </cell>
          <cell r="O2835">
            <v>84</v>
          </cell>
        </row>
        <row r="2836">
          <cell r="I2836">
            <v>202609</v>
          </cell>
          <cell r="K2836">
            <v>0</v>
          </cell>
          <cell r="N2836">
            <v>7</v>
          </cell>
          <cell r="O2836">
            <v>84</v>
          </cell>
        </row>
        <row r="2837">
          <cell r="I2837">
            <v>202609</v>
          </cell>
          <cell r="K2837">
            <v>0</v>
          </cell>
          <cell r="N2837">
            <v>7</v>
          </cell>
          <cell r="O2837">
            <v>84</v>
          </cell>
        </row>
        <row r="2838">
          <cell r="I2838">
            <v>202609</v>
          </cell>
          <cell r="K2838">
            <v>0</v>
          </cell>
          <cell r="N2838">
            <v>7</v>
          </cell>
          <cell r="O2838">
            <v>84</v>
          </cell>
        </row>
        <row r="2839">
          <cell r="I2839">
            <v>202609</v>
          </cell>
          <cell r="K2839">
            <v>0</v>
          </cell>
          <cell r="N2839">
            <v>7</v>
          </cell>
          <cell r="O2839">
            <v>84</v>
          </cell>
        </row>
        <row r="2840">
          <cell r="I2840">
            <v>202609</v>
          </cell>
          <cell r="K2840">
            <v>0</v>
          </cell>
          <cell r="N2840">
            <v>7</v>
          </cell>
          <cell r="O2840">
            <v>84</v>
          </cell>
        </row>
        <row r="2841">
          <cell r="I2841">
            <v>202609</v>
          </cell>
          <cell r="K2841">
            <v>0</v>
          </cell>
          <cell r="N2841">
            <v>7</v>
          </cell>
          <cell r="O2841">
            <v>84</v>
          </cell>
        </row>
        <row r="2842">
          <cell r="I2842">
            <v>202609</v>
          </cell>
          <cell r="K2842">
            <v>0</v>
          </cell>
          <cell r="N2842">
            <v>7</v>
          </cell>
          <cell r="O2842">
            <v>84</v>
          </cell>
        </row>
        <row r="2843">
          <cell r="I2843">
            <v>202609</v>
          </cell>
          <cell r="K2843">
            <v>0</v>
          </cell>
          <cell r="N2843">
            <v>7</v>
          </cell>
          <cell r="O2843">
            <v>84</v>
          </cell>
        </row>
        <row r="2844">
          <cell r="I2844">
            <v>202609</v>
          </cell>
          <cell r="K2844">
            <v>0</v>
          </cell>
          <cell r="N2844">
            <v>7</v>
          </cell>
          <cell r="O2844">
            <v>84</v>
          </cell>
        </row>
        <row r="2845">
          <cell r="I2845">
            <v>202609</v>
          </cell>
          <cell r="K2845">
            <v>0</v>
          </cell>
          <cell r="N2845">
            <v>7</v>
          </cell>
          <cell r="O2845">
            <v>84</v>
          </cell>
        </row>
        <row r="2846">
          <cell r="I2846">
            <v>202609</v>
          </cell>
          <cell r="K2846">
            <v>0</v>
          </cell>
          <cell r="N2846">
            <v>7</v>
          </cell>
          <cell r="O2846">
            <v>84</v>
          </cell>
        </row>
        <row r="2847">
          <cell r="I2847">
            <v>202609</v>
          </cell>
          <cell r="K2847">
            <v>0</v>
          </cell>
          <cell r="N2847">
            <v>7</v>
          </cell>
          <cell r="O2847">
            <v>84</v>
          </cell>
        </row>
        <row r="2848">
          <cell r="I2848">
            <v>202609</v>
          </cell>
          <cell r="K2848">
            <v>0</v>
          </cell>
          <cell r="N2848">
            <v>7</v>
          </cell>
          <cell r="O2848">
            <v>84</v>
          </cell>
        </row>
        <row r="2849">
          <cell r="I2849">
            <v>202609</v>
          </cell>
          <cell r="K2849">
            <v>0</v>
          </cell>
          <cell r="N2849">
            <v>7</v>
          </cell>
          <cell r="O2849">
            <v>84</v>
          </cell>
        </row>
        <row r="2850">
          <cell r="I2850">
            <v>202609</v>
          </cell>
          <cell r="K2850">
            <v>0</v>
          </cell>
          <cell r="N2850">
            <v>7</v>
          </cell>
          <cell r="O2850">
            <v>84</v>
          </cell>
        </row>
        <row r="2851">
          <cell r="I2851">
            <v>202609</v>
          </cell>
          <cell r="K2851">
            <v>0</v>
          </cell>
          <cell r="N2851">
            <v>7</v>
          </cell>
          <cell r="O2851">
            <v>84</v>
          </cell>
        </row>
        <row r="2852">
          <cell r="I2852">
            <v>202609</v>
          </cell>
          <cell r="K2852">
            <v>0</v>
          </cell>
          <cell r="N2852">
            <v>7</v>
          </cell>
          <cell r="O2852">
            <v>84</v>
          </cell>
        </row>
        <row r="2853">
          <cell r="I2853">
            <v>202609</v>
          </cell>
          <cell r="K2853">
            <v>0</v>
          </cell>
          <cell r="N2853">
            <v>7</v>
          </cell>
          <cell r="O2853">
            <v>84</v>
          </cell>
        </row>
        <row r="2854">
          <cell r="I2854">
            <v>202609</v>
          </cell>
          <cell r="K2854">
            <v>0</v>
          </cell>
          <cell r="N2854">
            <v>7</v>
          </cell>
          <cell r="O2854">
            <v>84</v>
          </cell>
        </row>
        <row r="2855">
          <cell r="I2855">
            <v>202609</v>
          </cell>
          <cell r="K2855">
            <v>0</v>
          </cell>
          <cell r="N2855">
            <v>7</v>
          </cell>
          <cell r="O2855">
            <v>84</v>
          </cell>
        </row>
        <row r="2856">
          <cell r="I2856">
            <v>202609</v>
          </cell>
          <cell r="K2856">
            <v>0</v>
          </cell>
          <cell r="N2856">
            <v>7</v>
          </cell>
          <cell r="O2856">
            <v>84</v>
          </cell>
        </row>
        <row r="2857">
          <cell r="I2857">
            <v>202609</v>
          </cell>
          <cell r="K2857">
            <v>0</v>
          </cell>
          <cell r="N2857">
            <v>7</v>
          </cell>
          <cell r="O2857">
            <v>84</v>
          </cell>
        </row>
        <row r="2858">
          <cell r="I2858">
            <v>202609</v>
          </cell>
          <cell r="K2858">
            <v>0</v>
          </cell>
          <cell r="N2858">
            <v>7</v>
          </cell>
          <cell r="O2858">
            <v>84</v>
          </cell>
        </row>
        <row r="2859">
          <cell r="I2859">
            <v>202609</v>
          </cell>
          <cell r="K2859">
            <v>0</v>
          </cell>
          <cell r="N2859">
            <v>7</v>
          </cell>
          <cell r="O2859">
            <v>84</v>
          </cell>
        </row>
        <row r="2860">
          <cell r="I2860">
            <v>202609</v>
          </cell>
          <cell r="K2860">
            <v>0</v>
          </cell>
          <cell r="N2860">
            <v>7</v>
          </cell>
          <cell r="O2860">
            <v>84</v>
          </cell>
        </row>
        <row r="2861">
          <cell r="I2861">
            <v>202609</v>
          </cell>
          <cell r="K2861">
            <v>0</v>
          </cell>
          <cell r="N2861">
            <v>7</v>
          </cell>
          <cell r="O2861">
            <v>84</v>
          </cell>
        </row>
        <row r="2862">
          <cell r="I2862">
            <v>202609</v>
          </cell>
          <cell r="K2862">
            <v>0</v>
          </cell>
          <cell r="N2862">
            <v>7</v>
          </cell>
          <cell r="O2862">
            <v>84</v>
          </cell>
        </row>
        <row r="2863">
          <cell r="I2863">
            <v>202609</v>
          </cell>
          <cell r="K2863">
            <v>0</v>
          </cell>
          <cell r="N2863">
            <v>7</v>
          </cell>
          <cell r="O2863">
            <v>84</v>
          </cell>
        </row>
        <row r="2864">
          <cell r="I2864">
            <v>202609</v>
          </cell>
          <cell r="K2864">
            <v>0</v>
          </cell>
          <cell r="N2864">
            <v>7</v>
          </cell>
          <cell r="O2864">
            <v>84</v>
          </cell>
        </row>
        <row r="2865">
          <cell r="I2865">
            <v>202609</v>
          </cell>
          <cell r="K2865">
            <v>0</v>
          </cell>
          <cell r="N2865">
            <v>7</v>
          </cell>
          <cell r="O2865">
            <v>84</v>
          </cell>
        </row>
        <row r="2866">
          <cell r="I2866">
            <v>202609</v>
          </cell>
          <cell r="K2866">
            <v>0</v>
          </cell>
          <cell r="N2866">
            <v>7</v>
          </cell>
          <cell r="O2866">
            <v>84</v>
          </cell>
        </row>
        <row r="2867">
          <cell r="I2867">
            <v>202609</v>
          </cell>
          <cell r="K2867">
            <v>0</v>
          </cell>
          <cell r="N2867">
            <v>7</v>
          </cell>
          <cell r="O2867">
            <v>84</v>
          </cell>
        </row>
        <row r="2868">
          <cell r="I2868">
            <v>202609</v>
          </cell>
          <cell r="K2868">
            <v>0</v>
          </cell>
          <cell r="N2868">
            <v>7</v>
          </cell>
          <cell r="O2868">
            <v>84</v>
          </cell>
        </row>
        <row r="2869">
          <cell r="I2869">
            <v>202609</v>
          </cell>
          <cell r="K2869">
            <v>0</v>
          </cell>
          <cell r="N2869">
            <v>7</v>
          </cell>
          <cell r="O2869">
            <v>84</v>
          </cell>
        </row>
        <row r="2870">
          <cell r="I2870">
            <v>202609</v>
          </cell>
          <cell r="K2870">
            <v>0</v>
          </cell>
          <cell r="N2870">
            <v>7</v>
          </cell>
          <cell r="O2870">
            <v>84</v>
          </cell>
        </row>
        <row r="2871">
          <cell r="I2871">
            <v>202609</v>
          </cell>
          <cell r="K2871">
            <v>0</v>
          </cell>
          <cell r="N2871">
            <v>7</v>
          </cell>
          <cell r="O2871">
            <v>84</v>
          </cell>
        </row>
        <row r="2872">
          <cell r="I2872">
            <v>202609</v>
          </cell>
          <cell r="K2872">
            <v>0</v>
          </cell>
          <cell r="N2872">
            <v>7</v>
          </cell>
          <cell r="O2872">
            <v>84</v>
          </cell>
        </row>
        <row r="2873">
          <cell r="I2873">
            <v>202609</v>
          </cell>
          <cell r="K2873">
            <v>0</v>
          </cell>
          <cell r="N2873">
            <v>7</v>
          </cell>
          <cell r="O2873">
            <v>84</v>
          </cell>
        </row>
        <row r="2874">
          <cell r="I2874">
            <v>202609</v>
          </cell>
          <cell r="K2874">
            <v>0</v>
          </cell>
          <cell r="N2874">
            <v>7</v>
          </cell>
          <cell r="O2874">
            <v>84</v>
          </cell>
        </row>
        <row r="2875">
          <cell r="I2875">
            <v>202609</v>
          </cell>
          <cell r="K2875">
            <v>0</v>
          </cell>
          <cell r="N2875">
            <v>7</v>
          </cell>
          <cell r="O2875">
            <v>84</v>
          </cell>
        </row>
        <row r="2876">
          <cell r="I2876">
            <v>202609</v>
          </cell>
          <cell r="K2876">
            <v>0</v>
          </cell>
          <cell r="N2876">
            <v>7</v>
          </cell>
          <cell r="O2876">
            <v>84</v>
          </cell>
        </row>
        <row r="2877">
          <cell r="I2877">
            <v>202609</v>
          </cell>
          <cell r="K2877">
            <v>0</v>
          </cell>
          <cell r="N2877">
            <v>7</v>
          </cell>
          <cell r="O2877">
            <v>84</v>
          </cell>
        </row>
        <row r="2878">
          <cell r="I2878">
            <v>202609</v>
          </cell>
          <cell r="K2878">
            <v>0</v>
          </cell>
          <cell r="N2878">
            <v>7</v>
          </cell>
          <cell r="O2878">
            <v>84</v>
          </cell>
        </row>
        <row r="2879">
          <cell r="I2879">
            <v>202609</v>
          </cell>
          <cell r="K2879">
            <v>0</v>
          </cell>
          <cell r="N2879">
            <v>7</v>
          </cell>
          <cell r="O2879">
            <v>84</v>
          </cell>
        </row>
        <row r="2880">
          <cell r="I2880">
            <v>202609</v>
          </cell>
          <cell r="K2880">
            <v>0</v>
          </cell>
          <cell r="N2880">
            <v>7</v>
          </cell>
          <cell r="O2880">
            <v>84</v>
          </cell>
        </row>
        <row r="2881">
          <cell r="I2881">
            <v>202609</v>
          </cell>
          <cell r="K2881">
            <v>0</v>
          </cell>
          <cell r="N2881">
            <v>7</v>
          </cell>
          <cell r="O2881">
            <v>84</v>
          </cell>
        </row>
        <row r="2882">
          <cell r="I2882">
            <v>202609</v>
          </cell>
          <cell r="K2882">
            <v>0</v>
          </cell>
          <cell r="N2882">
            <v>7</v>
          </cell>
          <cell r="O2882">
            <v>84</v>
          </cell>
        </row>
        <row r="2883">
          <cell r="I2883">
            <v>202609</v>
          </cell>
          <cell r="K2883">
            <v>0</v>
          </cell>
          <cell r="N2883">
            <v>7</v>
          </cell>
          <cell r="O2883">
            <v>84</v>
          </cell>
        </row>
        <row r="2884">
          <cell r="I2884">
            <v>202609</v>
          </cell>
          <cell r="K2884">
            <v>0</v>
          </cell>
          <cell r="N2884">
            <v>7</v>
          </cell>
          <cell r="O2884">
            <v>84</v>
          </cell>
        </row>
        <row r="2885">
          <cell r="I2885">
            <v>202609</v>
          </cell>
          <cell r="K2885">
            <v>0</v>
          </cell>
          <cell r="N2885">
            <v>7</v>
          </cell>
          <cell r="O2885">
            <v>84</v>
          </cell>
        </row>
        <row r="2886">
          <cell r="I2886">
            <v>202609</v>
          </cell>
          <cell r="K2886">
            <v>0</v>
          </cell>
          <cell r="N2886">
            <v>7</v>
          </cell>
          <cell r="O2886">
            <v>84</v>
          </cell>
        </row>
        <row r="2887">
          <cell r="I2887">
            <v>202609</v>
          </cell>
          <cell r="K2887">
            <v>0</v>
          </cell>
          <cell r="N2887">
            <v>7</v>
          </cell>
          <cell r="O2887">
            <v>84</v>
          </cell>
        </row>
        <row r="2888">
          <cell r="I2888">
            <v>202609</v>
          </cell>
          <cell r="K2888">
            <v>0</v>
          </cell>
          <cell r="N2888">
            <v>7</v>
          </cell>
          <cell r="O2888">
            <v>84</v>
          </cell>
        </row>
        <row r="2889">
          <cell r="I2889">
            <v>202609</v>
          </cell>
          <cell r="K2889">
            <v>0</v>
          </cell>
          <cell r="N2889">
            <v>7</v>
          </cell>
          <cell r="O2889">
            <v>84</v>
          </cell>
        </row>
        <row r="2890">
          <cell r="I2890">
            <v>202609</v>
          </cell>
          <cell r="K2890">
            <v>0</v>
          </cell>
          <cell r="N2890">
            <v>7</v>
          </cell>
          <cell r="O2890">
            <v>84</v>
          </cell>
        </row>
        <row r="2891">
          <cell r="I2891">
            <v>202609</v>
          </cell>
          <cell r="K2891">
            <v>0</v>
          </cell>
          <cell r="N2891">
            <v>7</v>
          </cell>
          <cell r="O2891">
            <v>84</v>
          </cell>
        </row>
        <row r="2892">
          <cell r="I2892">
            <v>202609</v>
          </cell>
          <cell r="K2892">
            <v>0</v>
          </cell>
          <cell r="N2892">
            <v>7</v>
          </cell>
          <cell r="O2892">
            <v>84</v>
          </cell>
        </row>
        <row r="2893">
          <cell r="I2893">
            <v>202609</v>
          </cell>
          <cell r="K2893">
            <v>0</v>
          </cell>
          <cell r="N2893">
            <v>7</v>
          </cell>
          <cell r="O2893">
            <v>84</v>
          </cell>
        </row>
        <row r="2894">
          <cell r="I2894">
            <v>202609</v>
          </cell>
          <cell r="K2894">
            <v>0</v>
          </cell>
          <cell r="N2894">
            <v>7</v>
          </cell>
          <cell r="O2894">
            <v>84</v>
          </cell>
        </row>
        <row r="2895">
          <cell r="I2895">
            <v>202609</v>
          </cell>
          <cell r="K2895">
            <v>0</v>
          </cell>
          <cell r="N2895">
            <v>7</v>
          </cell>
          <cell r="O2895">
            <v>84</v>
          </cell>
        </row>
        <row r="2896">
          <cell r="I2896">
            <v>202609</v>
          </cell>
          <cell r="K2896">
            <v>0</v>
          </cell>
          <cell r="N2896">
            <v>7</v>
          </cell>
          <cell r="O2896">
            <v>84</v>
          </cell>
        </row>
        <row r="2897">
          <cell r="I2897">
            <v>202609</v>
          </cell>
          <cell r="K2897">
            <v>0</v>
          </cell>
          <cell r="N2897">
            <v>7</v>
          </cell>
          <cell r="O2897">
            <v>84</v>
          </cell>
        </row>
        <row r="2898">
          <cell r="I2898">
            <v>202609</v>
          </cell>
          <cell r="K2898">
            <v>0</v>
          </cell>
          <cell r="N2898">
            <v>7</v>
          </cell>
          <cell r="O2898">
            <v>84</v>
          </cell>
        </row>
        <row r="2899">
          <cell r="I2899">
            <v>202609</v>
          </cell>
          <cell r="K2899">
            <v>0</v>
          </cell>
          <cell r="N2899">
            <v>7</v>
          </cell>
          <cell r="O2899">
            <v>84</v>
          </cell>
        </row>
        <row r="2900">
          <cell r="I2900">
            <v>202609</v>
          </cell>
          <cell r="K2900">
            <v>0</v>
          </cell>
          <cell r="N2900">
            <v>7</v>
          </cell>
          <cell r="O2900">
            <v>84</v>
          </cell>
        </row>
        <row r="2901">
          <cell r="I2901">
            <v>202609</v>
          </cell>
          <cell r="K2901">
            <v>0</v>
          </cell>
          <cell r="N2901">
            <v>7</v>
          </cell>
          <cell r="O2901">
            <v>84</v>
          </cell>
        </row>
        <row r="2902">
          <cell r="I2902">
            <v>202609</v>
          </cell>
          <cell r="K2902">
            <v>0</v>
          </cell>
          <cell r="N2902">
            <v>7</v>
          </cell>
          <cell r="O2902">
            <v>84</v>
          </cell>
        </row>
        <row r="2903">
          <cell r="I2903">
            <v>202609</v>
          </cell>
          <cell r="K2903">
            <v>0</v>
          </cell>
          <cell r="N2903">
            <v>7</v>
          </cell>
          <cell r="O2903">
            <v>84</v>
          </cell>
        </row>
        <row r="2904">
          <cell r="I2904">
            <v>202609</v>
          </cell>
          <cell r="K2904">
            <v>0</v>
          </cell>
          <cell r="N2904">
            <v>7</v>
          </cell>
          <cell r="O2904">
            <v>84</v>
          </cell>
        </row>
        <row r="2905">
          <cell r="I2905">
            <v>202609</v>
          </cell>
          <cell r="K2905">
            <v>0</v>
          </cell>
          <cell r="N2905">
            <v>7</v>
          </cell>
          <cell r="O2905">
            <v>84</v>
          </cell>
        </row>
        <row r="2906">
          <cell r="I2906">
            <v>202609</v>
          </cell>
          <cell r="K2906">
            <v>0</v>
          </cell>
          <cell r="N2906">
            <v>7</v>
          </cell>
          <cell r="O2906">
            <v>84</v>
          </cell>
        </row>
        <row r="2907">
          <cell r="I2907">
            <v>202609</v>
          </cell>
          <cell r="K2907">
            <v>0</v>
          </cell>
          <cell r="N2907">
            <v>7</v>
          </cell>
          <cell r="O2907">
            <v>84</v>
          </cell>
        </row>
        <row r="2908">
          <cell r="I2908">
            <v>202609</v>
          </cell>
          <cell r="K2908">
            <v>0</v>
          </cell>
          <cell r="N2908">
            <v>7</v>
          </cell>
          <cell r="O2908">
            <v>84</v>
          </cell>
        </row>
        <row r="2909">
          <cell r="I2909">
            <v>202609</v>
          </cell>
          <cell r="K2909">
            <v>0</v>
          </cell>
          <cell r="N2909">
            <v>7</v>
          </cell>
          <cell r="O2909">
            <v>84</v>
          </cell>
        </row>
        <row r="2910">
          <cell r="I2910">
            <v>202609</v>
          </cell>
          <cell r="K2910">
            <v>0</v>
          </cell>
          <cell r="N2910">
            <v>7</v>
          </cell>
          <cell r="O2910">
            <v>84</v>
          </cell>
        </row>
        <row r="2911">
          <cell r="I2911">
            <v>202609</v>
          </cell>
          <cell r="K2911">
            <v>0</v>
          </cell>
          <cell r="N2911">
            <v>7</v>
          </cell>
          <cell r="O2911">
            <v>84</v>
          </cell>
        </row>
        <row r="2912">
          <cell r="I2912">
            <v>202609</v>
          </cell>
          <cell r="K2912">
            <v>0</v>
          </cell>
          <cell r="N2912">
            <v>7</v>
          </cell>
          <cell r="O2912">
            <v>84</v>
          </cell>
        </row>
        <row r="2913">
          <cell r="I2913">
            <v>202609</v>
          </cell>
          <cell r="K2913">
            <v>0</v>
          </cell>
          <cell r="N2913">
            <v>7</v>
          </cell>
          <cell r="O2913">
            <v>84</v>
          </cell>
        </row>
        <row r="2914">
          <cell r="I2914">
            <v>202609</v>
          </cell>
          <cell r="K2914">
            <v>0</v>
          </cell>
          <cell r="N2914">
            <v>7</v>
          </cell>
          <cell r="O2914">
            <v>84</v>
          </cell>
        </row>
        <row r="2915">
          <cell r="I2915">
            <v>202609</v>
          </cell>
          <cell r="K2915">
            <v>0</v>
          </cell>
          <cell r="N2915">
            <v>7</v>
          </cell>
          <cell r="O2915">
            <v>84</v>
          </cell>
        </row>
        <row r="2916">
          <cell r="I2916">
            <v>202609</v>
          </cell>
          <cell r="K2916">
            <v>0</v>
          </cell>
          <cell r="N2916">
            <v>7</v>
          </cell>
          <cell r="O2916">
            <v>84</v>
          </cell>
        </row>
        <row r="2917">
          <cell r="I2917">
            <v>202609</v>
          </cell>
          <cell r="K2917">
            <v>0</v>
          </cell>
          <cell r="N2917">
            <v>7</v>
          </cell>
          <cell r="O2917">
            <v>84</v>
          </cell>
        </row>
        <row r="2918">
          <cell r="I2918">
            <v>202609</v>
          </cell>
          <cell r="K2918">
            <v>0</v>
          </cell>
          <cell r="N2918">
            <v>7</v>
          </cell>
          <cell r="O2918">
            <v>84</v>
          </cell>
        </row>
        <row r="2919">
          <cell r="I2919">
            <v>202609</v>
          </cell>
          <cell r="K2919">
            <v>0</v>
          </cell>
          <cell r="N2919">
            <v>7</v>
          </cell>
          <cell r="O2919">
            <v>84</v>
          </cell>
        </row>
        <row r="2920">
          <cell r="I2920">
            <v>202609</v>
          </cell>
          <cell r="K2920">
            <v>0</v>
          </cell>
          <cell r="N2920">
            <v>7</v>
          </cell>
          <cell r="O2920">
            <v>84</v>
          </cell>
        </row>
        <row r="2921">
          <cell r="I2921">
            <v>202609</v>
          </cell>
          <cell r="K2921">
            <v>0</v>
          </cell>
          <cell r="N2921">
            <v>7</v>
          </cell>
          <cell r="O2921">
            <v>84</v>
          </cell>
        </row>
        <row r="2922">
          <cell r="I2922">
            <v>202609</v>
          </cell>
          <cell r="K2922">
            <v>0</v>
          </cell>
          <cell r="N2922">
            <v>7</v>
          </cell>
          <cell r="O2922">
            <v>84</v>
          </cell>
        </row>
        <row r="2923">
          <cell r="I2923">
            <v>202609</v>
          </cell>
          <cell r="K2923">
            <v>0</v>
          </cell>
          <cell r="N2923">
            <v>7</v>
          </cell>
          <cell r="O2923">
            <v>84</v>
          </cell>
        </row>
        <row r="2924">
          <cell r="I2924">
            <v>202609</v>
          </cell>
          <cell r="K2924">
            <v>0</v>
          </cell>
          <cell r="N2924">
            <v>7</v>
          </cell>
          <cell r="O2924">
            <v>84</v>
          </cell>
        </row>
        <row r="2925">
          <cell r="I2925">
            <v>202609</v>
          </cell>
          <cell r="K2925">
            <v>0</v>
          </cell>
          <cell r="N2925">
            <v>7</v>
          </cell>
          <cell r="O2925">
            <v>84</v>
          </cell>
        </row>
        <row r="2926">
          <cell r="I2926">
            <v>202609</v>
          </cell>
          <cell r="K2926">
            <v>0</v>
          </cell>
          <cell r="N2926">
            <v>7</v>
          </cell>
          <cell r="O2926">
            <v>84</v>
          </cell>
        </row>
        <row r="2927">
          <cell r="I2927">
            <v>202609</v>
          </cell>
          <cell r="K2927">
            <v>0</v>
          </cell>
          <cell r="N2927">
            <v>7</v>
          </cell>
          <cell r="O2927">
            <v>84</v>
          </cell>
        </row>
        <row r="2928">
          <cell r="I2928">
            <v>202609</v>
          </cell>
          <cell r="K2928">
            <v>0</v>
          </cell>
          <cell r="N2928">
            <v>7</v>
          </cell>
          <cell r="O2928">
            <v>84</v>
          </cell>
        </row>
        <row r="2929">
          <cell r="I2929">
            <v>202609</v>
          </cell>
          <cell r="K2929">
            <v>0</v>
          </cell>
          <cell r="N2929">
            <v>7</v>
          </cell>
          <cell r="O2929">
            <v>84</v>
          </cell>
        </row>
        <row r="2930">
          <cell r="I2930">
            <v>202609</v>
          </cell>
          <cell r="K2930">
            <v>0</v>
          </cell>
          <cell r="N2930">
            <v>7</v>
          </cell>
          <cell r="O2930">
            <v>84</v>
          </cell>
        </row>
        <row r="2931">
          <cell r="I2931">
            <v>202609</v>
          </cell>
          <cell r="K2931">
            <v>0</v>
          </cell>
          <cell r="N2931">
            <v>7</v>
          </cell>
          <cell r="O2931">
            <v>84</v>
          </cell>
        </row>
        <row r="2932">
          <cell r="I2932">
            <v>202609</v>
          </cell>
          <cell r="K2932">
            <v>0</v>
          </cell>
          <cell r="N2932">
            <v>7</v>
          </cell>
          <cell r="O2932">
            <v>84</v>
          </cell>
        </row>
        <row r="2933">
          <cell r="I2933">
            <v>202609</v>
          </cell>
          <cell r="K2933">
            <v>0</v>
          </cell>
          <cell r="N2933">
            <v>7</v>
          </cell>
          <cell r="O2933">
            <v>84</v>
          </cell>
        </row>
        <row r="2934">
          <cell r="I2934">
            <v>202609</v>
          </cell>
          <cell r="K2934">
            <v>0</v>
          </cell>
          <cell r="N2934">
            <v>7</v>
          </cell>
          <cell r="O2934">
            <v>84</v>
          </cell>
        </row>
        <row r="2935">
          <cell r="I2935">
            <v>202609</v>
          </cell>
          <cell r="K2935">
            <v>0</v>
          </cell>
          <cell r="N2935">
            <v>7</v>
          </cell>
          <cell r="O2935">
            <v>84</v>
          </cell>
        </row>
        <row r="2936">
          <cell r="I2936">
            <v>202609</v>
          </cell>
          <cell r="K2936">
            <v>0</v>
          </cell>
          <cell r="N2936">
            <v>7</v>
          </cell>
          <cell r="O2936">
            <v>84</v>
          </cell>
        </row>
        <row r="2937">
          <cell r="I2937">
            <v>202609</v>
          </cell>
          <cell r="K2937">
            <v>0</v>
          </cell>
          <cell r="N2937">
            <v>7</v>
          </cell>
          <cell r="O2937">
            <v>84</v>
          </cell>
        </row>
        <row r="2938">
          <cell r="I2938">
            <v>202609</v>
          </cell>
          <cell r="K2938">
            <v>0</v>
          </cell>
          <cell r="N2938">
            <v>7</v>
          </cell>
          <cell r="O2938">
            <v>84</v>
          </cell>
        </row>
        <row r="2939">
          <cell r="I2939">
            <v>202609</v>
          </cell>
          <cell r="K2939">
            <v>0</v>
          </cell>
          <cell r="N2939">
            <v>7</v>
          </cell>
          <cell r="O2939">
            <v>84</v>
          </cell>
        </row>
        <row r="2940">
          <cell r="I2940">
            <v>202609</v>
          </cell>
          <cell r="K2940">
            <v>0</v>
          </cell>
          <cell r="N2940">
            <v>7</v>
          </cell>
          <cell r="O2940">
            <v>84</v>
          </cell>
        </row>
        <row r="2941">
          <cell r="I2941">
            <v>202609</v>
          </cell>
          <cell r="K2941">
            <v>0</v>
          </cell>
          <cell r="N2941">
            <v>7</v>
          </cell>
          <cell r="O2941">
            <v>84</v>
          </cell>
        </row>
        <row r="2942">
          <cell r="I2942">
            <v>202609</v>
          </cell>
          <cell r="K2942">
            <v>0</v>
          </cell>
          <cell r="N2942">
            <v>7</v>
          </cell>
          <cell r="O2942">
            <v>84</v>
          </cell>
        </row>
        <row r="2943">
          <cell r="I2943">
            <v>202609</v>
          </cell>
          <cell r="K2943">
            <v>0</v>
          </cell>
          <cell r="N2943">
            <v>7</v>
          </cell>
          <cell r="O2943">
            <v>84</v>
          </cell>
        </row>
        <row r="2944">
          <cell r="I2944">
            <v>202609</v>
          </cell>
          <cell r="K2944">
            <v>0</v>
          </cell>
          <cell r="N2944">
            <v>7</v>
          </cell>
          <cell r="O2944">
            <v>84</v>
          </cell>
        </row>
        <row r="2945">
          <cell r="I2945">
            <v>202609</v>
          </cell>
          <cell r="K2945">
            <v>0</v>
          </cell>
          <cell r="N2945">
            <v>7</v>
          </cell>
          <cell r="O2945">
            <v>84</v>
          </cell>
        </row>
        <row r="2946">
          <cell r="I2946">
            <v>202609</v>
          </cell>
          <cell r="K2946">
            <v>0</v>
          </cell>
          <cell r="N2946">
            <v>7</v>
          </cell>
          <cell r="O2946">
            <v>84</v>
          </cell>
        </row>
        <row r="2947">
          <cell r="I2947">
            <v>202609</v>
          </cell>
          <cell r="K2947">
            <v>0</v>
          </cell>
          <cell r="N2947">
            <v>7</v>
          </cell>
          <cell r="O2947">
            <v>84</v>
          </cell>
        </row>
        <row r="2948">
          <cell r="I2948">
            <v>202609</v>
          </cell>
          <cell r="K2948">
            <v>0</v>
          </cell>
          <cell r="N2948">
            <v>7</v>
          </cell>
          <cell r="O2948">
            <v>84</v>
          </cell>
        </row>
        <row r="2949">
          <cell r="I2949">
            <v>202609</v>
          </cell>
          <cell r="K2949">
            <v>0</v>
          </cell>
          <cell r="N2949">
            <v>7</v>
          </cell>
          <cell r="O2949">
            <v>84</v>
          </cell>
        </row>
        <row r="2950">
          <cell r="I2950">
            <v>202609</v>
          </cell>
          <cell r="K2950">
            <v>0</v>
          </cell>
          <cell r="N2950">
            <v>7</v>
          </cell>
          <cell r="O2950">
            <v>84</v>
          </cell>
        </row>
        <row r="2951">
          <cell r="I2951">
            <v>202609</v>
          </cell>
          <cell r="K2951">
            <v>0</v>
          </cell>
          <cell r="N2951">
            <v>7</v>
          </cell>
          <cell r="O2951">
            <v>84</v>
          </cell>
        </row>
        <row r="2952">
          <cell r="I2952">
            <v>202609</v>
          </cell>
          <cell r="K2952">
            <v>0</v>
          </cell>
          <cell r="N2952">
            <v>7</v>
          </cell>
          <cell r="O2952">
            <v>84</v>
          </cell>
        </row>
        <row r="2953">
          <cell r="I2953">
            <v>202609</v>
          </cell>
          <cell r="K2953">
            <v>0</v>
          </cell>
          <cell r="N2953">
            <v>7</v>
          </cell>
          <cell r="O2953">
            <v>84</v>
          </cell>
        </row>
        <row r="2954">
          <cell r="I2954">
            <v>202609</v>
          </cell>
          <cell r="K2954">
            <v>0</v>
          </cell>
          <cell r="N2954">
            <v>7</v>
          </cell>
          <cell r="O2954">
            <v>84</v>
          </cell>
        </row>
        <row r="2955">
          <cell r="I2955">
            <v>202609</v>
          </cell>
          <cell r="K2955">
            <v>0</v>
          </cell>
          <cell r="N2955">
            <v>7</v>
          </cell>
          <cell r="O2955">
            <v>84</v>
          </cell>
        </row>
        <row r="2956">
          <cell r="I2956">
            <v>202609</v>
          </cell>
          <cell r="K2956">
            <v>0</v>
          </cell>
          <cell r="N2956">
            <v>7</v>
          </cell>
          <cell r="O2956">
            <v>84</v>
          </cell>
        </row>
        <row r="2957">
          <cell r="I2957">
            <v>202609</v>
          </cell>
          <cell r="K2957">
            <v>0</v>
          </cell>
          <cell r="N2957">
            <v>7</v>
          </cell>
          <cell r="O2957">
            <v>84</v>
          </cell>
        </row>
        <row r="2958">
          <cell r="I2958">
            <v>202609</v>
          </cell>
          <cell r="K2958">
            <v>0</v>
          </cell>
          <cell r="N2958">
            <v>7</v>
          </cell>
          <cell r="O2958">
            <v>84</v>
          </cell>
        </row>
        <row r="2959">
          <cell r="I2959">
            <v>202609</v>
          </cell>
          <cell r="K2959">
            <v>0</v>
          </cell>
          <cell r="N2959">
            <v>7</v>
          </cell>
          <cell r="O2959">
            <v>84</v>
          </cell>
        </row>
        <row r="2960">
          <cell r="I2960">
            <v>202609</v>
          </cell>
          <cell r="K2960">
            <v>0</v>
          </cell>
          <cell r="N2960">
            <v>7</v>
          </cell>
          <cell r="O2960">
            <v>84</v>
          </cell>
        </row>
        <row r="2961">
          <cell r="I2961">
            <v>202609</v>
          </cell>
          <cell r="K2961">
            <v>0</v>
          </cell>
          <cell r="N2961">
            <v>7</v>
          </cell>
          <cell r="O2961">
            <v>84</v>
          </cell>
        </row>
        <row r="2962">
          <cell r="I2962">
            <v>202609</v>
          </cell>
          <cell r="K2962">
            <v>0</v>
          </cell>
          <cell r="N2962">
            <v>7</v>
          </cell>
          <cell r="O2962">
            <v>84</v>
          </cell>
        </row>
        <row r="2963">
          <cell r="I2963">
            <v>202609</v>
          </cell>
          <cell r="K2963">
            <v>0</v>
          </cell>
          <cell r="N2963">
            <v>7</v>
          </cell>
          <cell r="O2963">
            <v>84</v>
          </cell>
        </row>
        <row r="2964">
          <cell r="I2964">
            <v>202609</v>
          </cell>
          <cell r="K2964">
            <v>0</v>
          </cell>
          <cell r="N2964">
            <v>7</v>
          </cell>
          <cell r="O2964">
            <v>84</v>
          </cell>
        </row>
        <row r="2965">
          <cell r="I2965">
            <v>202609</v>
          </cell>
          <cell r="K2965">
            <v>0</v>
          </cell>
          <cell r="N2965">
            <v>7</v>
          </cell>
          <cell r="O2965">
            <v>84</v>
          </cell>
        </row>
        <row r="2966">
          <cell r="I2966">
            <v>202609</v>
          </cell>
          <cell r="K2966">
            <v>0</v>
          </cell>
          <cell r="N2966">
            <v>7</v>
          </cell>
          <cell r="O2966">
            <v>84</v>
          </cell>
        </row>
        <row r="2967">
          <cell r="I2967">
            <v>202609</v>
          </cell>
          <cell r="K2967">
            <v>0</v>
          </cell>
          <cell r="N2967">
            <v>7</v>
          </cell>
          <cell r="O2967">
            <v>84</v>
          </cell>
        </row>
        <row r="2968">
          <cell r="I2968">
            <v>202609</v>
          </cell>
          <cell r="K2968">
            <v>0</v>
          </cell>
          <cell r="N2968">
            <v>7</v>
          </cell>
          <cell r="O2968">
            <v>84</v>
          </cell>
        </row>
        <row r="2969">
          <cell r="I2969">
            <v>202609</v>
          </cell>
          <cell r="K2969">
            <v>0</v>
          </cell>
          <cell r="N2969">
            <v>7</v>
          </cell>
          <cell r="O2969">
            <v>84</v>
          </cell>
        </row>
        <row r="2970">
          <cell r="I2970">
            <v>202609</v>
          </cell>
          <cell r="K2970">
            <v>0</v>
          </cell>
          <cell r="N2970">
            <v>7</v>
          </cell>
          <cell r="O2970">
            <v>84</v>
          </cell>
        </row>
        <row r="2971">
          <cell r="I2971">
            <v>202609</v>
          </cell>
          <cell r="K2971">
            <v>0</v>
          </cell>
          <cell r="N2971">
            <v>7</v>
          </cell>
          <cell r="O2971">
            <v>84</v>
          </cell>
        </row>
        <row r="2972">
          <cell r="I2972">
            <v>202609</v>
          </cell>
          <cell r="K2972">
            <v>0</v>
          </cell>
          <cell r="N2972">
            <v>7</v>
          </cell>
          <cell r="O2972">
            <v>84</v>
          </cell>
        </row>
        <row r="2973">
          <cell r="I2973">
            <v>202609</v>
          </cell>
          <cell r="K2973">
            <v>0</v>
          </cell>
          <cell r="N2973">
            <v>7</v>
          </cell>
          <cell r="O2973">
            <v>84</v>
          </cell>
        </row>
        <row r="2974">
          <cell r="I2974">
            <v>202609</v>
          </cell>
          <cell r="K2974">
            <v>0</v>
          </cell>
          <cell r="N2974">
            <v>7</v>
          </cell>
          <cell r="O2974">
            <v>84</v>
          </cell>
        </row>
        <row r="2975">
          <cell r="I2975">
            <v>202609</v>
          </cell>
          <cell r="K2975">
            <v>0</v>
          </cell>
          <cell r="N2975">
            <v>7</v>
          </cell>
          <cell r="O2975">
            <v>84</v>
          </cell>
        </row>
        <row r="2976">
          <cell r="I2976">
            <v>202609</v>
          </cell>
          <cell r="K2976">
            <v>0</v>
          </cell>
          <cell r="N2976">
            <v>7</v>
          </cell>
          <cell r="O2976">
            <v>84</v>
          </cell>
        </row>
        <row r="2977">
          <cell r="I2977">
            <v>202609</v>
          </cell>
          <cell r="K2977">
            <v>0</v>
          </cell>
          <cell r="N2977">
            <v>7</v>
          </cell>
          <cell r="O2977">
            <v>84</v>
          </cell>
        </row>
        <row r="2978">
          <cell r="I2978">
            <v>202609</v>
          </cell>
          <cell r="K2978">
            <v>0</v>
          </cell>
          <cell r="N2978">
            <v>7</v>
          </cell>
          <cell r="O2978">
            <v>84</v>
          </cell>
        </row>
        <row r="2979">
          <cell r="I2979">
            <v>202609</v>
          </cell>
          <cell r="K2979">
            <v>0</v>
          </cell>
          <cell r="N2979">
            <v>7</v>
          </cell>
          <cell r="O2979">
            <v>84</v>
          </cell>
        </row>
        <row r="2980">
          <cell r="I2980">
            <v>202609</v>
          </cell>
          <cell r="K2980">
            <v>0</v>
          </cell>
          <cell r="N2980">
            <v>7</v>
          </cell>
          <cell r="O2980">
            <v>84</v>
          </cell>
        </row>
        <row r="2981">
          <cell r="I2981">
            <v>202609</v>
          </cell>
          <cell r="K2981">
            <v>0</v>
          </cell>
          <cell r="N2981">
            <v>7</v>
          </cell>
          <cell r="O2981">
            <v>84</v>
          </cell>
        </row>
        <row r="2982">
          <cell r="I2982">
            <v>202609</v>
          </cell>
          <cell r="K2982">
            <v>0</v>
          </cell>
          <cell r="N2982">
            <v>7</v>
          </cell>
          <cell r="O2982">
            <v>84</v>
          </cell>
        </row>
        <row r="2983">
          <cell r="I2983">
            <v>202609</v>
          </cell>
          <cell r="K2983">
            <v>0</v>
          </cell>
          <cell r="N2983">
            <v>7</v>
          </cell>
          <cell r="O2983">
            <v>84</v>
          </cell>
        </row>
        <row r="2984">
          <cell r="I2984">
            <v>202609</v>
          </cell>
          <cell r="K2984">
            <v>0</v>
          </cell>
          <cell r="N2984">
            <v>7</v>
          </cell>
          <cell r="O2984">
            <v>84</v>
          </cell>
        </row>
        <row r="2985">
          <cell r="I2985">
            <v>202609</v>
          </cell>
          <cell r="K2985">
            <v>0</v>
          </cell>
          <cell r="N2985">
            <v>7</v>
          </cell>
          <cell r="O2985">
            <v>84</v>
          </cell>
        </row>
        <row r="2986">
          <cell r="I2986">
            <v>202609</v>
          </cell>
          <cell r="K2986">
            <v>0</v>
          </cell>
          <cell r="N2986">
            <v>7</v>
          </cell>
          <cell r="O2986">
            <v>84</v>
          </cell>
        </row>
        <row r="2987">
          <cell r="I2987">
            <v>202609</v>
          </cell>
          <cell r="K2987">
            <v>0</v>
          </cell>
          <cell r="N2987">
            <v>7</v>
          </cell>
          <cell r="O2987">
            <v>84</v>
          </cell>
        </row>
        <row r="2988">
          <cell r="I2988">
            <v>202609</v>
          </cell>
          <cell r="K2988">
            <v>0</v>
          </cell>
          <cell r="N2988">
            <v>7</v>
          </cell>
          <cell r="O2988">
            <v>84</v>
          </cell>
        </row>
        <row r="2989">
          <cell r="I2989">
            <v>202609</v>
          </cell>
          <cell r="K2989">
            <v>0</v>
          </cell>
          <cell r="N2989">
            <v>7</v>
          </cell>
          <cell r="O2989">
            <v>84</v>
          </cell>
        </row>
        <row r="2990">
          <cell r="I2990">
            <v>202609</v>
          </cell>
          <cell r="K2990">
            <v>0</v>
          </cell>
          <cell r="N2990">
            <v>7</v>
          </cell>
          <cell r="O2990">
            <v>84</v>
          </cell>
        </row>
        <row r="2991">
          <cell r="I2991">
            <v>202609</v>
          </cell>
          <cell r="K2991">
            <v>0</v>
          </cell>
          <cell r="N2991">
            <v>7</v>
          </cell>
          <cell r="O2991">
            <v>84</v>
          </cell>
        </row>
        <row r="2992">
          <cell r="I2992">
            <v>202609</v>
          </cell>
          <cell r="K2992">
            <v>0</v>
          </cell>
          <cell r="N2992">
            <v>7</v>
          </cell>
          <cell r="O2992">
            <v>84</v>
          </cell>
        </row>
        <row r="2993">
          <cell r="I2993">
            <v>202609</v>
          </cell>
          <cell r="K2993">
            <v>0</v>
          </cell>
          <cell r="N2993">
            <v>7</v>
          </cell>
          <cell r="O2993">
            <v>84</v>
          </cell>
        </row>
        <row r="2994">
          <cell r="I2994">
            <v>202609</v>
          </cell>
          <cell r="K2994">
            <v>0</v>
          </cell>
          <cell r="N2994">
            <v>7</v>
          </cell>
          <cell r="O2994">
            <v>84</v>
          </cell>
        </row>
        <row r="2995">
          <cell r="I2995">
            <v>202609</v>
          </cell>
          <cell r="K2995">
            <v>0</v>
          </cell>
          <cell r="N2995">
            <v>7</v>
          </cell>
          <cell r="O2995">
            <v>84</v>
          </cell>
        </row>
        <row r="2996">
          <cell r="I2996">
            <v>202609</v>
          </cell>
          <cell r="K2996">
            <v>0</v>
          </cell>
          <cell r="N2996">
            <v>7</v>
          </cell>
          <cell r="O2996">
            <v>84</v>
          </cell>
        </row>
        <row r="2997">
          <cell r="I2997">
            <v>202609</v>
          </cell>
          <cell r="K2997">
            <v>0</v>
          </cell>
          <cell r="N2997">
            <v>7</v>
          </cell>
          <cell r="O2997">
            <v>84</v>
          </cell>
        </row>
        <row r="2998">
          <cell r="I2998">
            <v>202609</v>
          </cell>
          <cell r="K2998">
            <v>0</v>
          </cell>
          <cell r="N2998">
            <v>7</v>
          </cell>
          <cell r="O2998">
            <v>84</v>
          </cell>
        </row>
        <row r="2999">
          <cell r="I2999">
            <v>202609</v>
          </cell>
          <cell r="K2999">
            <v>0</v>
          </cell>
          <cell r="N2999">
            <v>7</v>
          </cell>
          <cell r="O2999">
            <v>84</v>
          </cell>
        </row>
        <row r="3000">
          <cell r="I3000">
            <v>202609</v>
          </cell>
          <cell r="K3000">
            <v>0</v>
          </cell>
          <cell r="N3000">
            <v>7</v>
          </cell>
          <cell r="O3000">
            <v>84</v>
          </cell>
        </row>
        <row r="3001">
          <cell r="I3001">
            <v>202609</v>
          </cell>
          <cell r="K3001">
            <v>0</v>
          </cell>
          <cell r="N3001">
            <v>7</v>
          </cell>
          <cell r="O3001">
            <v>84</v>
          </cell>
        </row>
        <row r="3002">
          <cell r="I3002">
            <v>202609</v>
          </cell>
          <cell r="K3002">
            <v>0</v>
          </cell>
          <cell r="N3002">
            <v>7</v>
          </cell>
          <cell r="O3002">
            <v>84</v>
          </cell>
        </row>
        <row r="3003">
          <cell r="I3003">
            <v>202609</v>
          </cell>
          <cell r="K3003">
            <v>0</v>
          </cell>
          <cell r="N3003">
            <v>7</v>
          </cell>
          <cell r="O3003">
            <v>84</v>
          </cell>
        </row>
      </sheetData>
      <sheetData sheetId="5">
        <row r="4">
          <cell r="A4" t="str">
            <v>260906-513817996803223</v>
          </cell>
          <cell r="E4" t="str">
            <v>【笔+键盘套装】联想拯救者平板 Y900 2026 11寸</v>
          </cell>
          <cell r="F4" t="str">
            <v>3289</v>
          </cell>
          <cell r="G4" t="str">
            <v>3399</v>
          </cell>
          <cell r="I4" t="str">
            <v>BO260913194135449</v>
          </cell>
          <cell r="K4" t="str">
            <v>2026-10-12 17:10:05</v>
          </cell>
          <cell r="M4">
            <v>110</v>
          </cell>
          <cell r="N4">
            <v>0</v>
          </cell>
          <cell r="O4">
            <v>110</v>
          </cell>
          <cell r="P4">
            <v>0</v>
          </cell>
          <cell r="Q4" t="str">
            <v>对</v>
          </cell>
          <cell r="R4">
            <v>1</v>
          </cell>
          <cell r="S4">
            <v>0</v>
          </cell>
        </row>
        <row r="5">
          <cell r="A5" t="str">
            <v>260813-598002942240447</v>
          </cell>
          <cell r="E5" t="str">
            <v>联想拯救者Y900 13英寸AI平板电脑 骁龙8至尊版144Hz办公学习平板</v>
          </cell>
          <cell r="F5" t="str">
            <v>3549</v>
          </cell>
          <cell r="G5" t="str">
            <v>3779</v>
          </cell>
          <cell r="I5" t="str">
            <v>BO260919079963782</v>
          </cell>
          <cell r="K5" t="str">
            <v>2026-10-12 17:07:42</v>
          </cell>
          <cell r="M5">
            <v>330</v>
          </cell>
          <cell r="N5">
            <v>100</v>
          </cell>
          <cell r="O5">
            <v>330</v>
          </cell>
          <cell r="P5">
            <v>0</v>
          </cell>
          <cell r="Q5" t="str">
            <v>对</v>
          </cell>
          <cell r="R5">
            <v>2</v>
          </cell>
          <cell r="S5">
            <v>0</v>
          </cell>
        </row>
        <row r="6">
          <cell r="A6" t="str">
            <v>260813-062956521081302</v>
          </cell>
          <cell r="E6" t="str">
            <v>联想拯救者Y900 13英寸AI平板电脑 骁龙8至尊版144Hz办公学习平板</v>
          </cell>
          <cell r="F6" t="str">
            <v>3549</v>
          </cell>
          <cell r="G6" t="str">
            <v>3779</v>
          </cell>
          <cell r="I6" t="str">
            <v>BO260919079963782</v>
          </cell>
          <cell r="K6" t="str">
            <v>2026-10-12 17:07:42</v>
          </cell>
          <cell r="M6">
            <v>230</v>
          </cell>
          <cell r="N6">
            <v>0</v>
          </cell>
          <cell r="O6">
            <v>230</v>
          </cell>
          <cell r="P6">
            <v>0</v>
          </cell>
          <cell r="Q6" t="str">
            <v>对</v>
          </cell>
          <cell r="R6">
            <v>2</v>
          </cell>
          <cell r="S6">
            <v>0</v>
          </cell>
        </row>
        <row r="7">
          <cell r="A7" t="str">
            <v>260813-391538358693732</v>
          </cell>
          <cell r="E7" t="str">
            <v>来酷斗战者 战7000P 锐龙版 锐龙9 16英寸电竞游戏本笔记本电脑</v>
          </cell>
          <cell r="F7" t="str">
            <v>9099</v>
          </cell>
          <cell r="G7" t="str">
            <v>9249</v>
          </cell>
          <cell r="I7" t="str">
            <v>BO260925082890891</v>
          </cell>
          <cell r="K7" t="str">
            <v>2026-10-12 17:07:47</v>
          </cell>
          <cell r="M7">
            <v>650</v>
          </cell>
          <cell r="N7">
            <v>500</v>
          </cell>
          <cell r="O7">
            <v>650</v>
          </cell>
          <cell r="P7">
            <v>0</v>
          </cell>
          <cell r="Q7" t="str">
            <v>对</v>
          </cell>
          <cell r="R7">
            <v>3</v>
          </cell>
          <cell r="S7">
            <v>0</v>
          </cell>
        </row>
        <row r="8">
          <cell r="R8">
            <v>3</v>
          </cell>
          <cell r="S8">
            <v>0</v>
          </cell>
        </row>
        <row r="9">
          <cell r="R9">
            <v>3</v>
          </cell>
          <cell r="S9">
            <v>0</v>
          </cell>
        </row>
        <row r="10">
          <cell r="R10">
            <v>3</v>
          </cell>
          <cell r="S10">
            <v>0</v>
          </cell>
        </row>
        <row r="11">
          <cell r="R11">
            <v>3</v>
          </cell>
          <cell r="S11">
            <v>0</v>
          </cell>
        </row>
        <row r="12">
          <cell r="R12">
            <v>3</v>
          </cell>
          <cell r="S12">
            <v>0</v>
          </cell>
        </row>
        <row r="13">
          <cell r="R13">
            <v>3</v>
          </cell>
          <cell r="S13">
            <v>0</v>
          </cell>
        </row>
        <row r="14">
          <cell r="R14">
            <v>3</v>
          </cell>
          <cell r="S14">
            <v>0</v>
          </cell>
        </row>
        <row r="15">
          <cell r="R15">
            <v>3</v>
          </cell>
          <cell r="S15">
            <v>0</v>
          </cell>
        </row>
        <row r="16">
          <cell r="R16">
            <v>3</v>
          </cell>
          <cell r="S16">
            <v>0</v>
          </cell>
        </row>
        <row r="17">
          <cell r="R17">
            <v>3</v>
          </cell>
          <cell r="S17">
            <v>0</v>
          </cell>
        </row>
        <row r="18">
          <cell r="R18">
            <v>3</v>
          </cell>
          <cell r="S18">
            <v>0</v>
          </cell>
        </row>
        <row r="19">
          <cell r="R19">
            <v>3</v>
          </cell>
          <cell r="S19">
            <v>0</v>
          </cell>
        </row>
        <row r="20">
          <cell r="R20">
            <v>3</v>
          </cell>
          <cell r="S20">
            <v>0</v>
          </cell>
        </row>
        <row r="21">
          <cell r="R21">
            <v>3</v>
          </cell>
          <cell r="S21">
            <v>0</v>
          </cell>
        </row>
        <row r="22">
          <cell r="R22">
            <v>3</v>
          </cell>
          <cell r="S22">
            <v>0</v>
          </cell>
        </row>
        <row r="23">
          <cell r="R23">
            <v>3</v>
          </cell>
          <cell r="S23">
            <v>0</v>
          </cell>
        </row>
        <row r="24">
          <cell r="R24">
            <v>3</v>
          </cell>
          <cell r="S24">
            <v>0</v>
          </cell>
        </row>
        <row r="25">
          <cell r="R25">
            <v>3</v>
          </cell>
          <cell r="S25">
            <v>0</v>
          </cell>
        </row>
        <row r="26">
          <cell r="R26">
            <v>3</v>
          </cell>
          <cell r="S26">
            <v>0</v>
          </cell>
        </row>
        <row r="27">
          <cell r="R27">
            <v>3</v>
          </cell>
          <cell r="S27">
            <v>0</v>
          </cell>
        </row>
        <row r="28">
          <cell r="R28">
            <v>3</v>
          </cell>
          <cell r="S28">
            <v>0</v>
          </cell>
        </row>
        <row r="29">
          <cell r="R29">
            <v>3</v>
          </cell>
          <cell r="S29">
            <v>0</v>
          </cell>
        </row>
        <row r="30">
          <cell r="R30">
            <v>3</v>
          </cell>
          <cell r="S30">
            <v>0</v>
          </cell>
        </row>
        <row r="31">
          <cell r="R31">
            <v>3</v>
          </cell>
          <cell r="S31">
            <v>0</v>
          </cell>
        </row>
        <row r="32">
          <cell r="R32">
            <v>3</v>
          </cell>
          <cell r="S32">
            <v>0</v>
          </cell>
        </row>
        <row r="33">
          <cell r="R33">
            <v>3</v>
          </cell>
          <cell r="S33">
            <v>0</v>
          </cell>
        </row>
        <row r="34">
          <cell r="R34">
            <v>3</v>
          </cell>
          <cell r="S34">
            <v>0</v>
          </cell>
        </row>
        <row r="35">
          <cell r="R35">
            <v>3</v>
          </cell>
          <cell r="S35">
            <v>0</v>
          </cell>
        </row>
        <row r="36">
          <cell r="R36">
            <v>3</v>
          </cell>
          <cell r="S36">
            <v>0</v>
          </cell>
        </row>
        <row r="37">
          <cell r="R37">
            <v>3</v>
          </cell>
          <cell r="S37">
            <v>0</v>
          </cell>
        </row>
        <row r="38">
          <cell r="R38">
            <v>3</v>
          </cell>
          <cell r="S38">
            <v>0</v>
          </cell>
        </row>
        <row r="39">
          <cell r="R39">
            <v>3</v>
          </cell>
          <cell r="S39">
            <v>0</v>
          </cell>
        </row>
        <row r="40">
          <cell r="R40">
            <v>3</v>
          </cell>
          <cell r="S40">
            <v>0</v>
          </cell>
        </row>
        <row r="41">
          <cell r="R41">
            <v>3</v>
          </cell>
          <cell r="S41">
            <v>0</v>
          </cell>
        </row>
        <row r="42">
          <cell r="R42">
            <v>3</v>
          </cell>
          <cell r="S42">
            <v>0</v>
          </cell>
        </row>
        <row r="43">
          <cell r="R43">
            <v>3</v>
          </cell>
          <cell r="S43">
            <v>0</v>
          </cell>
        </row>
        <row r="44">
          <cell r="R44">
            <v>3</v>
          </cell>
          <cell r="S44">
            <v>0</v>
          </cell>
        </row>
        <row r="45">
          <cell r="R45">
            <v>3</v>
          </cell>
          <cell r="S45">
            <v>0</v>
          </cell>
        </row>
        <row r="46">
          <cell r="R46">
            <v>3</v>
          </cell>
          <cell r="S46">
            <v>0</v>
          </cell>
        </row>
        <row r="47">
          <cell r="R47">
            <v>3</v>
          </cell>
          <cell r="S47">
            <v>0</v>
          </cell>
        </row>
        <row r="48">
          <cell r="R48">
            <v>3</v>
          </cell>
          <cell r="S48">
            <v>0</v>
          </cell>
        </row>
        <row r="49">
          <cell r="R49">
            <v>3</v>
          </cell>
          <cell r="S49">
            <v>0</v>
          </cell>
        </row>
        <row r="50">
          <cell r="R50">
            <v>3</v>
          </cell>
          <cell r="S50">
            <v>0</v>
          </cell>
        </row>
        <row r="51">
          <cell r="R51">
            <v>3</v>
          </cell>
          <cell r="S51">
            <v>0</v>
          </cell>
        </row>
        <row r="52">
          <cell r="R52">
            <v>3</v>
          </cell>
          <cell r="S52">
            <v>0</v>
          </cell>
        </row>
        <row r="53">
          <cell r="R53">
            <v>3</v>
          </cell>
          <cell r="S53">
            <v>0</v>
          </cell>
        </row>
        <row r="54">
          <cell r="R54">
            <v>3</v>
          </cell>
          <cell r="S54">
            <v>0</v>
          </cell>
        </row>
        <row r="55">
          <cell r="R55">
            <v>3</v>
          </cell>
          <cell r="S55">
            <v>0</v>
          </cell>
        </row>
        <row r="56">
          <cell r="R56">
            <v>3</v>
          </cell>
          <cell r="S56">
            <v>0</v>
          </cell>
        </row>
        <row r="57">
          <cell r="R57">
            <v>3</v>
          </cell>
          <cell r="S57">
            <v>0</v>
          </cell>
        </row>
        <row r="58">
          <cell r="R58">
            <v>3</v>
          </cell>
          <cell r="S58">
            <v>0</v>
          </cell>
        </row>
        <row r="59">
          <cell r="R59">
            <v>3</v>
          </cell>
          <cell r="S59">
            <v>0</v>
          </cell>
        </row>
        <row r="60">
          <cell r="R60">
            <v>3</v>
          </cell>
          <cell r="S60">
            <v>0</v>
          </cell>
        </row>
        <row r="61">
          <cell r="R61">
            <v>3</v>
          </cell>
          <cell r="S61">
            <v>0</v>
          </cell>
        </row>
        <row r="62">
          <cell r="R62">
            <v>3</v>
          </cell>
          <cell r="S62">
            <v>0</v>
          </cell>
        </row>
        <row r="63">
          <cell r="R63">
            <v>3</v>
          </cell>
          <cell r="S63">
            <v>0</v>
          </cell>
        </row>
        <row r="64">
          <cell r="R64">
            <v>3</v>
          </cell>
          <cell r="S64">
            <v>0</v>
          </cell>
        </row>
        <row r="65">
          <cell r="R65">
            <v>3</v>
          </cell>
          <cell r="S65">
            <v>0</v>
          </cell>
        </row>
        <row r="66">
          <cell r="R66">
            <v>3</v>
          </cell>
          <cell r="S66">
            <v>0</v>
          </cell>
        </row>
        <row r="67">
          <cell r="R67">
            <v>3</v>
          </cell>
          <cell r="S67">
            <v>0</v>
          </cell>
        </row>
        <row r="68">
          <cell r="R68">
            <v>3</v>
          </cell>
          <cell r="S68">
            <v>0</v>
          </cell>
        </row>
        <row r="69">
          <cell r="R69">
            <v>3</v>
          </cell>
          <cell r="S69">
            <v>0</v>
          </cell>
        </row>
        <row r="70">
          <cell r="R70">
            <v>3</v>
          </cell>
          <cell r="S70">
            <v>0</v>
          </cell>
        </row>
        <row r="71">
          <cell r="R71">
            <v>3</v>
          </cell>
          <cell r="S71">
            <v>0</v>
          </cell>
        </row>
        <row r="72">
          <cell r="R72">
            <v>3</v>
          </cell>
          <cell r="S72">
            <v>0</v>
          </cell>
        </row>
        <row r="73">
          <cell r="R73">
            <v>3</v>
          </cell>
          <cell r="S73">
            <v>0</v>
          </cell>
        </row>
        <row r="74">
          <cell r="R74">
            <v>3</v>
          </cell>
          <cell r="S74">
            <v>0</v>
          </cell>
        </row>
        <row r="75">
          <cell r="R75">
            <v>3</v>
          </cell>
          <cell r="S75">
            <v>0</v>
          </cell>
        </row>
        <row r="76">
          <cell r="R76">
            <v>3</v>
          </cell>
          <cell r="S76">
            <v>0</v>
          </cell>
        </row>
        <row r="77">
          <cell r="R77">
            <v>3</v>
          </cell>
          <cell r="S77">
            <v>0</v>
          </cell>
        </row>
        <row r="78">
          <cell r="R78">
            <v>3</v>
          </cell>
          <cell r="S78">
            <v>0</v>
          </cell>
        </row>
        <row r="79">
          <cell r="R79">
            <v>3</v>
          </cell>
          <cell r="S79">
            <v>0</v>
          </cell>
        </row>
        <row r="80">
          <cell r="R80">
            <v>3</v>
          </cell>
          <cell r="S80">
            <v>0</v>
          </cell>
        </row>
        <row r="81">
          <cell r="R81">
            <v>3</v>
          </cell>
          <cell r="S81">
            <v>0</v>
          </cell>
        </row>
        <row r="82">
          <cell r="R82">
            <v>3</v>
          </cell>
          <cell r="S82">
            <v>0</v>
          </cell>
        </row>
        <row r="83">
          <cell r="R83">
            <v>3</v>
          </cell>
          <cell r="S83">
            <v>0</v>
          </cell>
        </row>
        <row r="84">
          <cell r="R84">
            <v>3</v>
          </cell>
          <cell r="S84">
            <v>0</v>
          </cell>
        </row>
        <row r="85">
          <cell r="R85">
            <v>3</v>
          </cell>
          <cell r="S85">
            <v>0</v>
          </cell>
        </row>
        <row r="86">
          <cell r="R86">
            <v>3</v>
          </cell>
          <cell r="S86">
            <v>0</v>
          </cell>
        </row>
        <row r="87">
          <cell r="R87">
            <v>3</v>
          </cell>
          <cell r="S87">
            <v>0</v>
          </cell>
        </row>
        <row r="88">
          <cell r="R88">
            <v>3</v>
          </cell>
          <cell r="S88">
            <v>0</v>
          </cell>
        </row>
        <row r="89">
          <cell r="R89">
            <v>3</v>
          </cell>
          <cell r="S89">
            <v>0</v>
          </cell>
        </row>
        <row r="90">
          <cell r="R90">
            <v>3</v>
          </cell>
          <cell r="S90">
            <v>0</v>
          </cell>
        </row>
        <row r="91">
          <cell r="R91">
            <v>3</v>
          </cell>
          <cell r="S91">
            <v>0</v>
          </cell>
        </row>
        <row r="92">
          <cell r="R92">
            <v>3</v>
          </cell>
          <cell r="S92">
            <v>0</v>
          </cell>
        </row>
        <row r="93">
          <cell r="R93">
            <v>3</v>
          </cell>
          <cell r="S93">
            <v>0</v>
          </cell>
        </row>
        <row r="94">
          <cell r="R94">
            <v>3</v>
          </cell>
          <cell r="S94">
            <v>0</v>
          </cell>
        </row>
        <row r="95">
          <cell r="R95">
            <v>3</v>
          </cell>
          <cell r="S95">
            <v>0</v>
          </cell>
        </row>
        <row r="96">
          <cell r="R96">
            <v>3</v>
          </cell>
          <cell r="S96">
            <v>0</v>
          </cell>
        </row>
        <row r="97">
          <cell r="R97">
            <v>3</v>
          </cell>
          <cell r="S97">
            <v>0</v>
          </cell>
        </row>
        <row r="98">
          <cell r="R98">
            <v>3</v>
          </cell>
          <cell r="S98">
            <v>0</v>
          </cell>
        </row>
        <row r="99">
          <cell r="R99">
            <v>3</v>
          </cell>
          <cell r="S99">
            <v>0</v>
          </cell>
        </row>
        <row r="100">
          <cell r="R100">
            <v>3</v>
          </cell>
          <cell r="S100">
            <v>0</v>
          </cell>
        </row>
        <row r="101">
          <cell r="R101">
            <v>3</v>
          </cell>
          <cell r="S101">
            <v>0</v>
          </cell>
        </row>
        <row r="102">
          <cell r="R102">
            <v>3</v>
          </cell>
          <cell r="S102">
            <v>0</v>
          </cell>
        </row>
        <row r="103">
          <cell r="R103">
            <v>3</v>
          </cell>
          <cell r="S103">
            <v>0</v>
          </cell>
        </row>
        <row r="104">
          <cell r="R104">
            <v>3</v>
          </cell>
          <cell r="S104">
            <v>0</v>
          </cell>
        </row>
        <row r="105">
          <cell r="R105">
            <v>3</v>
          </cell>
          <cell r="S105">
            <v>0</v>
          </cell>
        </row>
        <row r="106">
          <cell r="R106">
            <v>3</v>
          </cell>
          <cell r="S106">
            <v>0</v>
          </cell>
        </row>
        <row r="107">
          <cell r="R107">
            <v>3</v>
          </cell>
          <cell r="S107">
            <v>0</v>
          </cell>
        </row>
        <row r="108">
          <cell r="R108">
            <v>3</v>
          </cell>
          <cell r="S108">
            <v>0</v>
          </cell>
        </row>
        <row r="109">
          <cell r="R109">
            <v>3</v>
          </cell>
          <cell r="S109">
            <v>0</v>
          </cell>
        </row>
        <row r="110">
          <cell r="R110">
            <v>3</v>
          </cell>
          <cell r="S110">
            <v>0</v>
          </cell>
        </row>
        <row r="111">
          <cell r="R111">
            <v>3</v>
          </cell>
          <cell r="S111">
            <v>0</v>
          </cell>
        </row>
        <row r="112">
          <cell r="R112">
            <v>3</v>
          </cell>
          <cell r="S112">
            <v>0</v>
          </cell>
        </row>
        <row r="113">
          <cell r="R113">
            <v>3</v>
          </cell>
          <cell r="S113">
            <v>0</v>
          </cell>
        </row>
        <row r="114">
          <cell r="R114">
            <v>3</v>
          </cell>
          <cell r="S114">
            <v>0</v>
          </cell>
        </row>
        <row r="115">
          <cell r="R115">
            <v>3</v>
          </cell>
          <cell r="S115">
            <v>0</v>
          </cell>
        </row>
        <row r="116">
          <cell r="R116">
            <v>3</v>
          </cell>
          <cell r="S116">
            <v>0</v>
          </cell>
        </row>
        <row r="117">
          <cell r="R117">
            <v>3</v>
          </cell>
          <cell r="S117">
            <v>0</v>
          </cell>
        </row>
        <row r="118">
          <cell r="R118">
            <v>3</v>
          </cell>
          <cell r="S118">
            <v>0</v>
          </cell>
        </row>
        <row r="119">
          <cell r="R119">
            <v>3</v>
          </cell>
          <cell r="S119">
            <v>0</v>
          </cell>
        </row>
        <row r="120">
          <cell r="R120">
            <v>3</v>
          </cell>
          <cell r="S120">
            <v>0</v>
          </cell>
        </row>
        <row r="121">
          <cell r="R121">
            <v>3</v>
          </cell>
          <cell r="S121">
            <v>0</v>
          </cell>
        </row>
        <row r="122">
          <cell r="R122">
            <v>3</v>
          </cell>
          <cell r="S122">
            <v>0</v>
          </cell>
        </row>
        <row r="123">
          <cell r="R123">
            <v>3</v>
          </cell>
          <cell r="S123">
            <v>0</v>
          </cell>
        </row>
        <row r="124">
          <cell r="R124">
            <v>3</v>
          </cell>
          <cell r="S124">
            <v>0</v>
          </cell>
        </row>
        <row r="125">
          <cell r="R125">
            <v>3</v>
          </cell>
          <cell r="S125">
            <v>0</v>
          </cell>
        </row>
        <row r="126">
          <cell r="R126">
            <v>3</v>
          </cell>
          <cell r="S126">
            <v>0</v>
          </cell>
        </row>
        <row r="127">
          <cell r="R127">
            <v>3</v>
          </cell>
          <cell r="S127">
            <v>0</v>
          </cell>
        </row>
        <row r="128">
          <cell r="R128">
            <v>3</v>
          </cell>
          <cell r="S128">
            <v>0</v>
          </cell>
        </row>
        <row r="129">
          <cell r="R129">
            <v>3</v>
          </cell>
          <cell r="S129">
            <v>0</v>
          </cell>
        </row>
        <row r="130">
          <cell r="R130">
            <v>3</v>
          </cell>
          <cell r="S130">
            <v>0</v>
          </cell>
        </row>
        <row r="131">
          <cell r="R131">
            <v>3</v>
          </cell>
          <cell r="S131">
            <v>0</v>
          </cell>
        </row>
        <row r="132">
          <cell r="R132">
            <v>3</v>
          </cell>
          <cell r="S132">
            <v>0</v>
          </cell>
        </row>
        <row r="133">
          <cell r="R133">
            <v>3</v>
          </cell>
          <cell r="S133">
            <v>0</v>
          </cell>
        </row>
        <row r="134">
          <cell r="R134">
            <v>3</v>
          </cell>
          <cell r="S134">
            <v>0</v>
          </cell>
        </row>
        <row r="135">
          <cell r="R135">
            <v>3</v>
          </cell>
          <cell r="S135">
            <v>0</v>
          </cell>
        </row>
        <row r="136">
          <cell r="R136">
            <v>3</v>
          </cell>
          <cell r="S136">
            <v>0</v>
          </cell>
        </row>
        <row r="137">
          <cell r="R137">
            <v>3</v>
          </cell>
          <cell r="S137">
            <v>0</v>
          </cell>
        </row>
        <row r="138">
          <cell r="R138">
            <v>3</v>
          </cell>
          <cell r="S138">
            <v>0</v>
          </cell>
        </row>
        <row r="139">
          <cell r="R139">
            <v>3</v>
          </cell>
          <cell r="S139">
            <v>0</v>
          </cell>
        </row>
        <row r="140">
          <cell r="R140">
            <v>3</v>
          </cell>
          <cell r="S140">
            <v>0</v>
          </cell>
        </row>
        <row r="141">
          <cell r="R141">
            <v>3</v>
          </cell>
          <cell r="S141">
            <v>0</v>
          </cell>
        </row>
        <row r="142">
          <cell r="R142">
            <v>3</v>
          </cell>
          <cell r="S142">
            <v>0</v>
          </cell>
        </row>
        <row r="143">
          <cell r="R143">
            <v>3</v>
          </cell>
          <cell r="S143">
            <v>0</v>
          </cell>
        </row>
        <row r="144">
          <cell r="R144">
            <v>3</v>
          </cell>
          <cell r="S144">
            <v>0</v>
          </cell>
        </row>
        <row r="145">
          <cell r="R145">
            <v>3</v>
          </cell>
          <cell r="S145">
            <v>0</v>
          </cell>
        </row>
        <row r="146">
          <cell r="R146">
            <v>3</v>
          </cell>
          <cell r="S146">
            <v>0</v>
          </cell>
        </row>
        <row r="147">
          <cell r="R147">
            <v>3</v>
          </cell>
          <cell r="S147">
            <v>0</v>
          </cell>
        </row>
        <row r="148">
          <cell r="R148">
            <v>3</v>
          </cell>
          <cell r="S148">
            <v>0</v>
          </cell>
        </row>
        <row r="149">
          <cell r="R149">
            <v>3</v>
          </cell>
          <cell r="S149">
            <v>0</v>
          </cell>
        </row>
        <row r="150">
          <cell r="R150">
            <v>3</v>
          </cell>
          <cell r="S150">
            <v>0</v>
          </cell>
        </row>
        <row r="151">
          <cell r="R151">
            <v>3</v>
          </cell>
          <cell r="S151">
            <v>0</v>
          </cell>
        </row>
        <row r="152">
          <cell r="R152">
            <v>3</v>
          </cell>
          <cell r="S152">
            <v>0</v>
          </cell>
        </row>
        <row r="153">
          <cell r="R153">
            <v>3</v>
          </cell>
          <cell r="S153">
            <v>0</v>
          </cell>
        </row>
        <row r="154">
          <cell r="R154">
            <v>3</v>
          </cell>
          <cell r="S154">
            <v>0</v>
          </cell>
        </row>
        <row r="155">
          <cell r="R155">
            <v>3</v>
          </cell>
          <cell r="S155">
            <v>0</v>
          </cell>
        </row>
        <row r="156">
          <cell r="R156">
            <v>3</v>
          </cell>
          <cell r="S156">
            <v>0</v>
          </cell>
        </row>
        <row r="157">
          <cell r="R157">
            <v>3</v>
          </cell>
          <cell r="S157">
            <v>0</v>
          </cell>
        </row>
        <row r="158">
          <cell r="R158">
            <v>3</v>
          </cell>
          <cell r="S158">
            <v>0</v>
          </cell>
        </row>
        <row r="159">
          <cell r="R159">
            <v>3</v>
          </cell>
          <cell r="S159">
            <v>0</v>
          </cell>
        </row>
        <row r="160">
          <cell r="R160">
            <v>3</v>
          </cell>
          <cell r="S160">
            <v>0</v>
          </cell>
        </row>
        <row r="161">
          <cell r="R161">
            <v>3</v>
          </cell>
          <cell r="S161">
            <v>0</v>
          </cell>
        </row>
        <row r="162">
          <cell r="R162">
            <v>3</v>
          </cell>
          <cell r="S162">
            <v>0</v>
          </cell>
        </row>
        <row r="163">
          <cell r="R163">
            <v>3</v>
          </cell>
          <cell r="S163">
            <v>0</v>
          </cell>
        </row>
        <row r="164">
          <cell r="R164">
            <v>3</v>
          </cell>
          <cell r="S164">
            <v>0</v>
          </cell>
        </row>
        <row r="165">
          <cell r="R165">
            <v>3</v>
          </cell>
          <cell r="S165">
            <v>0</v>
          </cell>
        </row>
        <row r="166">
          <cell r="R166">
            <v>3</v>
          </cell>
          <cell r="S166">
            <v>0</v>
          </cell>
        </row>
        <row r="167">
          <cell r="R167">
            <v>3</v>
          </cell>
          <cell r="S167">
            <v>0</v>
          </cell>
        </row>
        <row r="168">
          <cell r="R168">
            <v>3</v>
          </cell>
          <cell r="S168">
            <v>0</v>
          </cell>
        </row>
        <row r="169">
          <cell r="R169">
            <v>3</v>
          </cell>
          <cell r="S169">
            <v>0</v>
          </cell>
        </row>
        <row r="170">
          <cell r="R170">
            <v>3</v>
          </cell>
          <cell r="S170">
            <v>0</v>
          </cell>
        </row>
        <row r="171">
          <cell r="R171">
            <v>3</v>
          </cell>
          <cell r="S171">
            <v>0</v>
          </cell>
        </row>
        <row r="172">
          <cell r="R172">
            <v>3</v>
          </cell>
          <cell r="S172">
            <v>0</v>
          </cell>
        </row>
        <row r="173">
          <cell r="R173">
            <v>3</v>
          </cell>
          <cell r="S173">
            <v>0</v>
          </cell>
        </row>
        <row r="174">
          <cell r="R174">
            <v>3</v>
          </cell>
          <cell r="S174">
            <v>0</v>
          </cell>
        </row>
        <row r="175">
          <cell r="R175">
            <v>3</v>
          </cell>
          <cell r="S175">
            <v>0</v>
          </cell>
        </row>
        <row r="176">
          <cell r="R176">
            <v>3</v>
          </cell>
          <cell r="S176">
            <v>0</v>
          </cell>
        </row>
        <row r="177">
          <cell r="R177">
            <v>3</v>
          </cell>
          <cell r="S177">
            <v>0</v>
          </cell>
        </row>
        <row r="178">
          <cell r="R178">
            <v>3</v>
          </cell>
          <cell r="S178">
            <v>0</v>
          </cell>
        </row>
        <row r="179">
          <cell r="R179">
            <v>3</v>
          </cell>
          <cell r="S179">
            <v>0</v>
          </cell>
        </row>
        <row r="180">
          <cell r="R180">
            <v>3</v>
          </cell>
          <cell r="S180">
            <v>0</v>
          </cell>
        </row>
        <row r="181">
          <cell r="R181">
            <v>3</v>
          </cell>
          <cell r="S181">
            <v>0</v>
          </cell>
        </row>
        <row r="182">
          <cell r="R182">
            <v>3</v>
          </cell>
          <cell r="S182">
            <v>0</v>
          </cell>
        </row>
        <row r="183">
          <cell r="R183">
            <v>3</v>
          </cell>
          <cell r="S183">
            <v>0</v>
          </cell>
        </row>
        <row r="184">
          <cell r="R184">
            <v>3</v>
          </cell>
          <cell r="S184">
            <v>0</v>
          </cell>
        </row>
        <row r="185">
          <cell r="R185">
            <v>3</v>
          </cell>
          <cell r="S185">
            <v>0</v>
          </cell>
        </row>
        <row r="186">
          <cell r="R186">
            <v>3</v>
          </cell>
          <cell r="S186">
            <v>0</v>
          </cell>
        </row>
        <row r="187">
          <cell r="R187">
            <v>3</v>
          </cell>
          <cell r="S187">
            <v>0</v>
          </cell>
        </row>
        <row r="188">
          <cell r="R188">
            <v>3</v>
          </cell>
          <cell r="S188">
            <v>0</v>
          </cell>
        </row>
        <row r="189">
          <cell r="R189">
            <v>3</v>
          </cell>
          <cell r="S189">
            <v>0</v>
          </cell>
        </row>
        <row r="190">
          <cell r="R190">
            <v>3</v>
          </cell>
          <cell r="S190">
            <v>0</v>
          </cell>
        </row>
        <row r="191">
          <cell r="R191">
            <v>3</v>
          </cell>
          <cell r="S191">
            <v>0</v>
          </cell>
        </row>
        <row r="192">
          <cell r="R192">
            <v>3</v>
          </cell>
          <cell r="S192">
            <v>0</v>
          </cell>
        </row>
        <row r="193">
          <cell r="R193">
            <v>3</v>
          </cell>
          <cell r="S193">
            <v>0</v>
          </cell>
        </row>
        <row r="194">
          <cell r="R194">
            <v>3</v>
          </cell>
          <cell r="S194">
            <v>0</v>
          </cell>
        </row>
        <row r="195">
          <cell r="R195">
            <v>3</v>
          </cell>
          <cell r="S195">
            <v>0</v>
          </cell>
        </row>
        <row r="196">
          <cell r="R196">
            <v>3</v>
          </cell>
          <cell r="S196">
            <v>0</v>
          </cell>
        </row>
        <row r="197">
          <cell r="R197">
            <v>3</v>
          </cell>
          <cell r="S197">
            <v>0</v>
          </cell>
        </row>
        <row r="198">
          <cell r="R198">
            <v>3</v>
          </cell>
          <cell r="S198">
            <v>0</v>
          </cell>
        </row>
        <row r="199">
          <cell r="R199">
            <v>3</v>
          </cell>
          <cell r="S199">
            <v>0</v>
          </cell>
        </row>
        <row r="200">
          <cell r="R200">
            <v>3</v>
          </cell>
          <cell r="S200">
            <v>0</v>
          </cell>
        </row>
        <row r="201">
          <cell r="R201">
            <v>3</v>
          </cell>
          <cell r="S201">
            <v>0</v>
          </cell>
        </row>
        <row r="202">
          <cell r="R202">
            <v>3</v>
          </cell>
          <cell r="S202">
            <v>0</v>
          </cell>
        </row>
        <row r="203">
          <cell r="R203">
            <v>3</v>
          </cell>
          <cell r="S203">
            <v>0</v>
          </cell>
        </row>
        <row r="204">
          <cell r="R204">
            <v>3</v>
          </cell>
          <cell r="S204">
            <v>0</v>
          </cell>
        </row>
        <row r="205">
          <cell r="R205">
            <v>3</v>
          </cell>
          <cell r="S205">
            <v>0</v>
          </cell>
        </row>
        <row r="206">
          <cell r="R206">
            <v>3</v>
          </cell>
          <cell r="S206">
            <v>0</v>
          </cell>
        </row>
        <row r="207">
          <cell r="R207">
            <v>3</v>
          </cell>
          <cell r="S207">
            <v>0</v>
          </cell>
        </row>
        <row r="208">
          <cell r="R208">
            <v>3</v>
          </cell>
          <cell r="S208">
            <v>0</v>
          </cell>
        </row>
        <row r="209">
          <cell r="R209">
            <v>3</v>
          </cell>
          <cell r="S209">
            <v>0</v>
          </cell>
        </row>
        <row r="210">
          <cell r="R210">
            <v>3</v>
          </cell>
          <cell r="S210">
            <v>0</v>
          </cell>
        </row>
        <row r="211">
          <cell r="R211">
            <v>3</v>
          </cell>
          <cell r="S211">
            <v>0</v>
          </cell>
        </row>
        <row r="212">
          <cell r="R212">
            <v>3</v>
          </cell>
          <cell r="S212">
            <v>0</v>
          </cell>
        </row>
        <row r="213">
          <cell r="R213">
            <v>3</v>
          </cell>
          <cell r="S213">
            <v>0</v>
          </cell>
        </row>
        <row r="214">
          <cell r="R214">
            <v>3</v>
          </cell>
          <cell r="S214">
            <v>0</v>
          </cell>
        </row>
        <row r="215">
          <cell r="R215">
            <v>3</v>
          </cell>
          <cell r="S215">
            <v>0</v>
          </cell>
        </row>
        <row r="216">
          <cell r="R216">
            <v>3</v>
          </cell>
          <cell r="S216">
            <v>0</v>
          </cell>
        </row>
        <row r="217">
          <cell r="R217">
            <v>3</v>
          </cell>
          <cell r="S217">
            <v>0</v>
          </cell>
        </row>
        <row r="218">
          <cell r="R218">
            <v>3</v>
          </cell>
          <cell r="S218">
            <v>0</v>
          </cell>
        </row>
        <row r="219">
          <cell r="R219">
            <v>3</v>
          </cell>
          <cell r="S219">
            <v>0</v>
          </cell>
        </row>
        <row r="220">
          <cell r="R220">
            <v>3</v>
          </cell>
          <cell r="S220">
            <v>0</v>
          </cell>
        </row>
        <row r="221">
          <cell r="R221">
            <v>3</v>
          </cell>
          <cell r="S221">
            <v>0</v>
          </cell>
        </row>
        <row r="222">
          <cell r="R222">
            <v>3</v>
          </cell>
          <cell r="S222">
            <v>0</v>
          </cell>
        </row>
        <row r="223">
          <cell r="R223">
            <v>3</v>
          </cell>
          <cell r="S223">
            <v>0</v>
          </cell>
        </row>
        <row r="224">
          <cell r="R224">
            <v>3</v>
          </cell>
          <cell r="S224">
            <v>0</v>
          </cell>
        </row>
        <row r="225">
          <cell r="R225">
            <v>3</v>
          </cell>
          <cell r="S225">
            <v>0</v>
          </cell>
        </row>
        <row r="226">
          <cell r="R226">
            <v>3</v>
          </cell>
          <cell r="S226">
            <v>0</v>
          </cell>
        </row>
        <row r="227">
          <cell r="R227">
            <v>3</v>
          </cell>
          <cell r="S227">
            <v>0</v>
          </cell>
        </row>
        <row r="228">
          <cell r="R228">
            <v>3</v>
          </cell>
          <cell r="S228">
            <v>0</v>
          </cell>
        </row>
        <row r="229">
          <cell r="R229">
            <v>3</v>
          </cell>
          <cell r="S229">
            <v>0</v>
          </cell>
        </row>
        <row r="230">
          <cell r="R230">
            <v>3</v>
          </cell>
          <cell r="S230">
            <v>0</v>
          </cell>
        </row>
        <row r="231">
          <cell r="R231">
            <v>3</v>
          </cell>
          <cell r="S231">
            <v>0</v>
          </cell>
        </row>
        <row r="232">
          <cell r="R232">
            <v>3</v>
          </cell>
          <cell r="S232">
            <v>0</v>
          </cell>
        </row>
        <row r="233">
          <cell r="R233">
            <v>3</v>
          </cell>
          <cell r="S233">
            <v>0</v>
          </cell>
        </row>
        <row r="234">
          <cell r="R234">
            <v>3</v>
          </cell>
          <cell r="S234">
            <v>0</v>
          </cell>
        </row>
        <row r="235">
          <cell r="R235">
            <v>3</v>
          </cell>
          <cell r="S235">
            <v>0</v>
          </cell>
        </row>
        <row r="236">
          <cell r="R236">
            <v>3</v>
          </cell>
          <cell r="S236">
            <v>0</v>
          </cell>
        </row>
        <row r="237">
          <cell r="R237">
            <v>3</v>
          </cell>
          <cell r="S237">
            <v>0</v>
          </cell>
        </row>
        <row r="238">
          <cell r="R238">
            <v>3</v>
          </cell>
          <cell r="S238">
            <v>0</v>
          </cell>
        </row>
        <row r="239">
          <cell r="R239">
            <v>3</v>
          </cell>
          <cell r="S239">
            <v>0</v>
          </cell>
        </row>
        <row r="240">
          <cell r="R240">
            <v>3</v>
          </cell>
          <cell r="S240">
            <v>0</v>
          </cell>
        </row>
        <row r="241">
          <cell r="R241">
            <v>3</v>
          </cell>
          <cell r="S241">
            <v>0</v>
          </cell>
        </row>
        <row r="242">
          <cell r="R242">
            <v>3</v>
          </cell>
          <cell r="S242">
            <v>0</v>
          </cell>
        </row>
        <row r="243">
          <cell r="R243">
            <v>3</v>
          </cell>
          <cell r="S243">
            <v>0</v>
          </cell>
        </row>
        <row r="244">
          <cell r="R244">
            <v>3</v>
          </cell>
          <cell r="S244">
            <v>0</v>
          </cell>
        </row>
        <row r="245">
          <cell r="R245">
            <v>3</v>
          </cell>
          <cell r="S245">
            <v>0</v>
          </cell>
        </row>
        <row r="246">
          <cell r="R246">
            <v>3</v>
          </cell>
          <cell r="S246">
            <v>0</v>
          </cell>
        </row>
        <row r="247">
          <cell r="R247">
            <v>3</v>
          </cell>
          <cell r="S247">
            <v>0</v>
          </cell>
        </row>
        <row r="248">
          <cell r="R248">
            <v>3</v>
          </cell>
          <cell r="S248">
            <v>0</v>
          </cell>
        </row>
        <row r="249">
          <cell r="R249">
            <v>3</v>
          </cell>
          <cell r="S249">
            <v>0</v>
          </cell>
        </row>
        <row r="250">
          <cell r="R250">
            <v>3</v>
          </cell>
          <cell r="S250">
            <v>0</v>
          </cell>
        </row>
        <row r="251">
          <cell r="R251">
            <v>3</v>
          </cell>
          <cell r="S251">
            <v>0</v>
          </cell>
        </row>
        <row r="252">
          <cell r="R252">
            <v>3</v>
          </cell>
          <cell r="S252">
            <v>0</v>
          </cell>
        </row>
        <row r="253">
          <cell r="R253">
            <v>3</v>
          </cell>
          <cell r="S253">
            <v>0</v>
          </cell>
        </row>
        <row r="254">
          <cell r="R254">
            <v>3</v>
          </cell>
          <cell r="S254">
            <v>0</v>
          </cell>
        </row>
        <row r="255">
          <cell r="R255">
            <v>3</v>
          </cell>
          <cell r="S255">
            <v>0</v>
          </cell>
        </row>
        <row r="256">
          <cell r="R256">
            <v>3</v>
          </cell>
          <cell r="S256">
            <v>0</v>
          </cell>
        </row>
        <row r="257">
          <cell r="R257">
            <v>3</v>
          </cell>
          <cell r="S257">
            <v>0</v>
          </cell>
        </row>
        <row r="258">
          <cell r="R258">
            <v>3</v>
          </cell>
          <cell r="S258">
            <v>0</v>
          </cell>
        </row>
        <row r="259">
          <cell r="R259">
            <v>3</v>
          </cell>
          <cell r="S259">
            <v>0</v>
          </cell>
        </row>
        <row r="260">
          <cell r="R260">
            <v>3</v>
          </cell>
          <cell r="S260">
            <v>0</v>
          </cell>
        </row>
        <row r="261">
          <cell r="R261">
            <v>3</v>
          </cell>
          <cell r="S261">
            <v>0</v>
          </cell>
        </row>
        <row r="262">
          <cell r="R262">
            <v>3</v>
          </cell>
          <cell r="S262">
            <v>0</v>
          </cell>
        </row>
        <row r="263">
          <cell r="R263">
            <v>3</v>
          </cell>
          <cell r="S263">
            <v>0</v>
          </cell>
        </row>
        <row r="264">
          <cell r="R264">
            <v>3</v>
          </cell>
          <cell r="S264">
            <v>0</v>
          </cell>
        </row>
        <row r="265">
          <cell r="R265">
            <v>3</v>
          </cell>
          <cell r="S265">
            <v>0</v>
          </cell>
        </row>
        <row r="266">
          <cell r="R266">
            <v>3</v>
          </cell>
          <cell r="S266">
            <v>0</v>
          </cell>
        </row>
        <row r="267">
          <cell r="R267">
            <v>3</v>
          </cell>
          <cell r="S267">
            <v>0</v>
          </cell>
        </row>
        <row r="268">
          <cell r="R268">
            <v>3</v>
          </cell>
          <cell r="S268">
            <v>0</v>
          </cell>
        </row>
        <row r="269">
          <cell r="R269">
            <v>3</v>
          </cell>
          <cell r="S269">
            <v>0</v>
          </cell>
        </row>
        <row r="270">
          <cell r="R270">
            <v>3</v>
          </cell>
          <cell r="S270">
            <v>0</v>
          </cell>
        </row>
        <row r="271">
          <cell r="R271">
            <v>3</v>
          </cell>
          <cell r="S271">
            <v>0</v>
          </cell>
        </row>
        <row r="272">
          <cell r="R272">
            <v>3</v>
          </cell>
          <cell r="S272">
            <v>0</v>
          </cell>
        </row>
        <row r="273">
          <cell r="R273">
            <v>3</v>
          </cell>
          <cell r="S273">
            <v>0</v>
          </cell>
        </row>
        <row r="274">
          <cell r="R274">
            <v>3</v>
          </cell>
          <cell r="S274">
            <v>0</v>
          </cell>
        </row>
        <row r="275">
          <cell r="R275">
            <v>3</v>
          </cell>
          <cell r="S275">
            <v>0</v>
          </cell>
        </row>
        <row r="276">
          <cell r="R276">
            <v>3</v>
          </cell>
          <cell r="S276">
            <v>0</v>
          </cell>
        </row>
        <row r="277">
          <cell r="R277">
            <v>3</v>
          </cell>
          <cell r="S277">
            <v>0</v>
          </cell>
        </row>
        <row r="278">
          <cell r="R278">
            <v>3</v>
          </cell>
          <cell r="S278">
            <v>0</v>
          </cell>
        </row>
        <row r="279">
          <cell r="R279">
            <v>3</v>
          </cell>
          <cell r="S279">
            <v>0</v>
          </cell>
        </row>
        <row r="280">
          <cell r="R280">
            <v>3</v>
          </cell>
          <cell r="S280">
            <v>0</v>
          </cell>
        </row>
        <row r="281">
          <cell r="R281">
            <v>3</v>
          </cell>
          <cell r="S281">
            <v>0</v>
          </cell>
        </row>
        <row r="282">
          <cell r="R282">
            <v>3</v>
          </cell>
          <cell r="S282">
            <v>0</v>
          </cell>
        </row>
        <row r="283">
          <cell r="R283">
            <v>3</v>
          </cell>
          <cell r="S283">
            <v>0</v>
          </cell>
        </row>
        <row r="284">
          <cell r="R284">
            <v>3</v>
          </cell>
          <cell r="S284">
            <v>0</v>
          </cell>
        </row>
        <row r="285">
          <cell r="R285">
            <v>3</v>
          </cell>
          <cell r="S285">
            <v>0</v>
          </cell>
        </row>
        <row r="286">
          <cell r="R286">
            <v>3</v>
          </cell>
          <cell r="S286">
            <v>0</v>
          </cell>
        </row>
        <row r="287">
          <cell r="R287">
            <v>3</v>
          </cell>
          <cell r="S287">
            <v>0</v>
          </cell>
        </row>
        <row r="288">
          <cell r="R288">
            <v>3</v>
          </cell>
          <cell r="S288">
            <v>0</v>
          </cell>
        </row>
        <row r="289">
          <cell r="R289">
            <v>3</v>
          </cell>
          <cell r="S289">
            <v>0</v>
          </cell>
        </row>
        <row r="290">
          <cell r="R290">
            <v>3</v>
          </cell>
          <cell r="S290">
            <v>0</v>
          </cell>
        </row>
        <row r="291">
          <cell r="R291">
            <v>3</v>
          </cell>
          <cell r="S291">
            <v>0</v>
          </cell>
        </row>
        <row r="292">
          <cell r="R292">
            <v>3</v>
          </cell>
          <cell r="S292">
            <v>0</v>
          </cell>
        </row>
        <row r="293">
          <cell r="R293">
            <v>3</v>
          </cell>
          <cell r="S293">
            <v>0</v>
          </cell>
        </row>
        <row r="294">
          <cell r="R294">
            <v>3</v>
          </cell>
          <cell r="S294">
            <v>0</v>
          </cell>
        </row>
        <row r="295">
          <cell r="R295">
            <v>3</v>
          </cell>
          <cell r="S295">
            <v>0</v>
          </cell>
        </row>
        <row r="296">
          <cell r="R296">
            <v>3</v>
          </cell>
          <cell r="S296">
            <v>0</v>
          </cell>
        </row>
        <row r="297">
          <cell r="R297">
            <v>3</v>
          </cell>
          <cell r="S297">
            <v>0</v>
          </cell>
        </row>
        <row r="298">
          <cell r="R298">
            <v>3</v>
          </cell>
          <cell r="S298">
            <v>0</v>
          </cell>
        </row>
        <row r="299">
          <cell r="R299">
            <v>3</v>
          </cell>
          <cell r="S299">
            <v>0</v>
          </cell>
        </row>
        <row r="300">
          <cell r="R300">
            <v>3</v>
          </cell>
          <cell r="S300">
            <v>0</v>
          </cell>
        </row>
        <row r="301">
          <cell r="R301">
            <v>3</v>
          </cell>
          <cell r="S301">
            <v>0</v>
          </cell>
        </row>
        <row r="302">
          <cell r="R302">
            <v>3</v>
          </cell>
          <cell r="S302">
            <v>0</v>
          </cell>
        </row>
        <row r="303">
          <cell r="R303">
            <v>3</v>
          </cell>
          <cell r="S303">
            <v>0</v>
          </cell>
        </row>
        <row r="304">
          <cell r="R304">
            <v>3</v>
          </cell>
          <cell r="S304">
            <v>0</v>
          </cell>
        </row>
        <row r="305">
          <cell r="R305">
            <v>3</v>
          </cell>
          <cell r="S305">
            <v>0</v>
          </cell>
        </row>
        <row r="306">
          <cell r="R306">
            <v>3</v>
          </cell>
          <cell r="S306">
            <v>0</v>
          </cell>
        </row>
        <row r="307">
          <cell r="R307">
            <v>3</v>
          </cell>
          <cell r="S307">
            <v>0</v>
          </cell>
        </row>
        <row r="308">
          <cell r="R308">
            <v>3</v>
          </cell>
          <cell r="S308">
            <v>0</v>
          </cell>
        </row>
        <row r="309">
          <cell r="R309">
            <v>3</v>
          </cell>
          <cell r="S309">
            <v>0</v>
          </cell>
        </row>
        <row r="310">
          <cell r="R310">
            <v>3</v>
          </cell>
          <cell r="S310">
            <v>0</v>
          </cell>
        </row>
        <row r="311">
          <cell r="R311">
            <v>3</v>
          </cell>
          <cell r="S311">
            <v>0</v>
          </cell>
        </row>
        <row r="312">
          <cell r="R312">
            <v>3</v>
          </cell>
          <cell r="S312">
            <v>0</v>
          </cell>
        </row>
        <row r="313">
          <cell r="R313">
            <v>3</v>
          </cell>
          <cell r="S313">
            <v>0</v>
          </cell>
        </row>
        <row r="314">
          <cell r="R314">
            <v>3</v>
          </cell>
          <cell r="S314">
            <v>0</v>
          </cell>
        </row>
        <row r="315">
          <cell r="R315">
            <v>3</v>
          </cell>
          <cell r="S315">
            <v>0</v>
          </cell>
        </row>
        <row r="316">
          <cell r="R316">
            <v>3</v>
          </cell>
          <cell r="S316">
            <v>0</v>
          </cell>
        </row>
        <row r="317">
          <cell r="R317">
            <v>3</v>
          </cell>
          <cell r="S317">
            <v>0</v>
          </cell>
        </row>
        <row r="318">
          <cell r="R318">
            <v>3</v>
          </cell>
          <cell r="S318">
            <v>0</v>
          </cell>
        </row>
        <row r="319">
          <cell r="R319">
            <v>3</v>
          </cell>
          <cell r="S319">
            <v>0</v>
          </cell>
        </row>
        <row r="320">
          <cell r="R320">
            <v>3</v>
          </cell>
          <cell r="S320">
            <v>0</v>
          </cell>
        </row>
        <row r="321">
          <cell r="R321">
            <v>3</v>
          </cell>
          <cell r="S321">
            <v>0</v>
          </cell>
        </row>
        <row r="322">
          <cell r="R322">
            <v>3</v>
          </cell>
          <cell r="S322">
            <v>0</v>
          </cell>
        </row>
        <row r="323">
          <cell r="R323">
            <v>3</v>
          </cell>
          <cell r="S323">
            <v>0</v>
          </cell>
        </row>
        <row r="324">
          <cell r="R324">
            <v>3</v>
          </cell>
          <cell r="S324">
            <v>0</v>
          </cell>
        </row>
        <row r="325">
          <cell r="R325">
            <v>3</v>
          </cell>
          <cell r="S325">
            <v>0</v>
          </cell>
        </row>
        <row r="326">
          <cell r="R326">
            <v>3</v>
          </cell>
          <cell r="S326">
            <v>0</v>
          </cell>
        </row>
        <row r="327">
          <cell r="R327">
            <v>3</v>
          </cell>
          <cell r="S327">
            <v>0</v>
          </cell>
        </row>
        <row r="328">
          <cell r="R328">
            <v>3</v>
          </cell>
          <cell r="S328">
            <v>0</v>
          </cell>
        </row>
        <row r="329">
          <cell r="R329">
            <v>3</v>
          </cell>
          <cell r="S329">
            <v>0</v>
          </cell>
        </row>
        <row r="330">
          <cell r="R330">
            <v>3</v>
          </cell>
          <cell r="S330">
            <v>0</v>
          </cell>
        </row>
        <row r="331">
          <cell r="R331">
            <v>3</v>
          </cell>
          <cell r="S331">
            <v>0</v>
          </cell>
        </row>
        <row r="332">
          <cell r="R332">
            <v>3</v>
          </cell>
          <cell r="S332">
            <v>0</v>
          </cell>
        </row>
        <row r="333">
          <cell r="R333">
            <v>3</v>
          </cell>
          <cell r="S333">
            <v>0</v>
          </cell>
        </row>
        <row r="334">
          <cell r="R334">
            <v>3</v>
          </cell>
          <cell r="S334">
            <v>0</v>
          </cell>
        </row>
        <row r="335">
          <cell r="R335">
            <v>3</v>
          </cell>
          <cell r="S335">
            <v>0</v>
          </cell>
        </row>
        <row r="336">
          <cell r="R336">
            <v>3</v>
          </cell>
          <cell r="S336">
            <v>0</v>
          </cell>
        </row>
        <row r="337">
          <cell r="R337">
            <v>3</v>
          </cell>
          <cell r="S337">
            <v>0</v>
          </cell>
        </row>
        <row r="338">
          <cell r="R338">
            <v>3</v>
          </cell>
          <cell r="S338">
            <v>0</v>
          </cell>
        </row>
        <row r="339">
          <cell r="R339">
            <v>3</v>
          </cell>
          <cell r="S339">
            <v>0</v>
          </cell>
        </row>
        <row r="340">
          <cell r="R340">
            <v>3</v>
          </cell>
          <cell r="S340">
            <v>0</v>
          </cell>
        </row>
        <row r="341">
          <cell r="R341">
            <v>3</v>
          </cell>
          <cell r="S341">
            <v>0</v>
          </cell>
        </row>
        <row r="342">
          <cell r="R342">
            <v>3</v>
          </cell>
          <cell r="S342">
            <v>0</v>
          </cell>
        </row>
        <row r="343">
          <cell r="R343">
            <v>3</v>
          </cell>
          <cell r="S343">
            <v>0</v>
          </cell>
        </row>
        <row r="344">
          <cell r="R344">
            <v>3</v>
          </cell>
          <cell r="S344">
            <v>0</v>
          </cell>
        </row>
        <row r="345">
          <cell r="R345">
            <v>3</v>
          </cell>
          <cell r="S345">
            <v>0</v>
          </cell>
        </row>
        <row r="346">
          <cell r="R346">
            <v>3</v>
          </cell>
          <cell r="S346">
            <v>0</v>
          </cell>
        </row>
        <row r="347">
          <cell r="R347">
            <v>3</v>
          </cell>
          <cell r="S347">
            <v>0</v>
          </cell>
        </row>
        <row r="348">
          <cell r="R348">
            <v>3</v>
          </cell>
          <cell r="S348">
            <v>0</v>
          </cell>
        </row>
        <row r="349">
          <cell r="R349">
            <v>3</v>
          </cell>
          <cell r="S349">
            <v>0</v>
          </cell>
        </row>
        <row r="350">
          <cell r="R350">
            <v>3</v>
          </cell>
          <cell r="S350">
            <v>0</v>
          </cell>
        </row>
        <row r="351">
          <cell r="R351">
            <v>3</v>
          </cell>
          <cell r="S351">
            <v>0</v>
          </cell>
        </row>
        <row r="352">
          <cell r="R352">
            <v>3</v>
          </cell>
          <cell r="S352">
            <v>0</v>
          </cell>
        </row>
        <row r="353">
          <cell r="R353">
            <v>3</v>
          </cell>
          <cell r="S353">
            <v>0</v>
          </cell>
        </row>
        <row r="354">
          <cell r="R354">
            <v>3</v>
          </cell>
          <cell r="S354">
            <v>0</v>
          </cell>
        </row>
        <row r="355">
          <cell r="R355">
            <v>3</v>
          </cell>
          <cell r="S355">
            <v>0</v>
          </cell>
        </row>
        <row r="356">
          <cell r="R356">
            <v>3</v>
          </cell>
          <cell r="S356">
            <v>0</v>
          </cell>
        </row>
        <row r="357">
          <cell r="R357">
            <v>3</v>
          </cell>
          <cell r="S357">
            <v>0</v>
          </cell>
        </row>
        <row r="358">
          <cell r="R358">
            <v>3</v>
          </cell>
          <cell r="S358">
            <v>0</v>
          </cell>
        </row>
        <row r="359">
          <cell r="R359">
            <v>3</v>
          </cell>
          <cell r="S359">
            <v>0</v>
          </cell>
        </row>
        <row r="360">
          <cell r="R360">
            <v>3</v>
          </cell>
          <cell r="S360">
            <v>0</v>
          </cell>
        </row>
        <row r="361">
          <cell r="R361">
            <v>3</v>
          </cell>
          <cell r="S361">
            <v>0</v>
          </cell>
        </row>
        <row r="362">
          <cell r="R362">
            <v>3</v>
          </cell>
          <cell r="S362">
            <v>0</v>
          </cell>
        </row>
        <row r="363">
          <cell r="R363">
            <v>3</v>
          </cell>
          <cell r="S363">
            <v>0</v>
          </cell>
        </row>
        <row r="364">
          <cell r="R364">
            <v>3</v>
          </cell>
          <cell r="S364">
            <v>0</v>
          </cell>
        </row>
        <row r="365">
          <cell r="R365">
            <v>3</v>
          </cell>
          <cell r="S365">
            <v>0</v>
          </cell>
        </row>
        <row r="366">
          <cell r="R366">
            <v>3</v>
          </cell>
          <cell r="S366">
            <v>0</v>
          </cell>
        </row>
        <row r="367">
          <cell r="R367">
            <v>3</v>
          </cell>
          <cell r="S367">
            <v>0</v>
          </cell>
        </row>
        <row r="368">
          <cell r="R368">
            <v>3</v>
          </cell>
          <cell r="S368">
            <v>0</v>
          </cell>
        </row>
        <row r="369">
          <cell r="R369">
            <v>3</v>
          </cell>
          <cell r="S369">
            <v>0</v>
          </cell>
        </row>
        <row r="370">
          <cell r="R370">
            <v>3</v>
          </cell>
          <cell r="S370">
            <v>0</v>
          </cell>
        </row>
        <row r="371">
          <cell r="R371">
            <v>3</v>
          </cell>
          <cell r="S371">
            <v>0</v>
          </cell>
        </row>
        <row r="372">
          <cell r="R372">
            <v>3</v>
          </cell>
          <cell r="S372">
            <v>0</v>
          </cell>
        </row>
        <row r="373">
          <cell r="R373">
            <v>3</v>
          </cell>
          <cell r="S373">
            <v>0</v>
          </cell>
        </row>
        <row r="374">
          <cell r="R374">
            <v>3</v>
          </cell>
          <cell r="S374">
            <v>0</v>
          </cell>
        </row>
        <row r="375">
          <cell r="R375">
            <v>3</v>
          </cell>
          <cell r="S375">
            <v>0</v>
          </cell>
        </row>
        <row r="376">
          <cell r="R376">
            <v>3</v>
          </cell>
          <cell r="S376">
            <v>0</v>
          </cell>
        </row>
        <row r="377">
          <cell r="R377">
            <v>3</v>
          </cell>
          <cell r="S377">
            <v>0</v>
          </cell>
        </row>
        <row r="378">
          <cell r="R378">
            <v>3</v>
          </cell>
          <cell r="S378">
            <v>0</v>
          </cell>
        </row>
        <row r="379">
          <cell r="R379">
            <v>3</v>
          </cell>
          <cell r="S379">
            <v>0</v>
          </cell>
        </row>
        <row r="380">
          <cell r="R380">
            <v>3</v>
          </cell>
          <cell r="S380">
            <v>0</v>
          </cell>
        </row>
        <row r="381">
          <cell r="R381">
            <v>3</v>
          </cell>
          <cell r="S381">
            <v>0</v>
          </cell>
        </row>
        <row r="382">
          <cell r="R382">
            <v>3</v>
          </cell>
          <cell r="S382">
            <v>0</v>
          </cell>
        </row>
        <row r="383">
          <cell r="R383">
            <v>3</v>
          </cell>
          <cell r="S383">
            <v>0</v>
          </cell>
        </row>
        <row r="384">
          <cell r="R384">
            <v>3</v>
          </cell>
          <cell r="S384">
            <v>0</v>
          </cell>
        </row>
        <row r="385">
          <cell r="R385">
            <v>3</v>
          </cell>
          <cell r="S385">
            <v>0</v>
          </cell>
        </row>
        <row r="386">
          <cell r="R386">
            <v>3</v>
          </cell>
          <cell r="S386">
            <v>0</v>
          </cell>
        </row>
        <row r="387">
          <cell r="R387">
            <v>3</v>
          </cell>
          <cell r="S387">
            <v>0</v>
          </cell>
        </row>
        <row r="388">
          <cell r="R388">
            <v>3</v>
          </cell>
          <cell r="S388">
            <v>0</v>
          </cell>
        </row>
        <row r="389">
          <cell r="R389">
            <v>3</v>
          </cell>
          <cell r="S389">
            <v>0</v>
          </cell>
        </row>
        <row r="390">
          <cell r="R390">
            <v>3</v>
          </cell>
          <cell r="S390">
            <v>0</v>
          </cell>
        </row>
        <row r="391">
          <cell r="R391">
            <v>3</v>
          </cell>
          <cell r="S391">
            <v>0</v>
          </cell>
        </row>
        <row r="392">
          <cell r="R392">
            <v>3</v>
          </cell>
          <cell r="S392">
            <v>0</v>
          </cell>
        </row>
        <row r="393">
          <cell r="R393">
            <v>3</v>
          </cell>
          <cell r="S393">
            <v>0</v>
          </cell>
        </row>
        <row r="394">
          <cell r="R394">
            <v>3</v>
          </cell>
          <cell r="S394">
            <v>0</v>
          </cell>
        </row>
        <row r="395">
          <cell r="R395">
            <v>3</v>
          </cell>
          <cell r="S395">
            <v>0</v>
          </cell>
        </row>
        <row r="396">
          <cell r="R396">
            <v>3</v>
          </cell>
          <cell r="S396">
            <v>0</v>
          </cell>
        </row>
        <row r="397">
          <cell r="R397">
            <v>3</v>
          </cell>
          <cell r="S397">
            <v>0</v>
          </cell>
        </row>
        <row r="398">
          <cell r="R398">
            <v>3</v>
          </cell>
          <cell r="S398">
            <v>0</v>
          </cell>
        </row>
        <row r="399">
          <cell r="R399">
            <v>3</v>
          </cell>
          <cell r="S399">
            <v>0</v>
          </cell>
        </row>
        <row r="400">
          <cell r="R400">
            <v>3</v>
          </cell>
          <cell r="S400">
            <v>0</v>
          </cell>
        </row>
        <row r="401">
          <cell r="R401">
            <v>3</v>
          </cell>
          <cell r="S401">
            <v>0</v>
          </cell>
        </row>
        <row r="402">
          <cell r="R402">
            <v>3</v>
          </cell>
          <cell r="S402">
            <v>0</v>
          </cell>
        </row>
        <row r="403">
          <cell r="R403">
            <v>3</v>
          </cell>
          <cell r="S403">
            <v>0</v>
          </cell>
        </row>
        <row r="404">
          <cell r="R404">
            <v>3</v>
          </cell>
          <cell r="S404">
            <v>0</v>
          </cell>
        </row>
        <row r="405">
          <cell r="R405">
            <v>3</v>
          </cell>
          <cell r="S405">
            <v>0</v>
          </cell>
        </row>
        <row r="406">
          <cell r="R406">
            <v>3</v>
          </cell>
          <cell r="S406">
            <v>0</v>
          </cell>
        </row>
        <row r="407">
          <cell r="R407">
            <v>3</v>
          </cell>
          <cell r="S407">
            <v>0</v>
          </cell>
        </row>
        <row r="408">
          <cell r="R408">
            <v>3</v>
          </cell>
          <cell r="S408">
            <v>0</v>
          </cell>
        </row>
        <row r="409">
          <cell r="R409">
            <v>3</v>
          </cell>
          <cell r="S409">
            <v>0</v>
          </cell>
        </row>
        <row r="410">
          <cell r="R410">
            <v>3</v>
          </cell>
          <cell r="S410">
            <v>0</v>
          </cell>
        </row>
        <row r="411">
          <cell r="R411">
            <v>3</v>
          </cell>
          <cell r="S411">
            <v>0</v>
          </cell>
        </row>
        <row r="412">
          <cell r="R412">
            <v>3</v>
          </cell>
          <cell r="S412">
            <v>0</v>
          </cell>
        </row>
        <row r="413">
          <cell r="R413">
            <v>3</v>
          </cell>
          <cell r="S413">
            <v>0</v>
          </cell>
        </row>
        <row r="414">
          <cell r="R414">
            <v>3</v>
          </cell>
          <cell r="S414">
            <v>0</v>
          </cell>
        </row>
        <row r="415">
          <cell r="R415">
            <v>3</v>
          </cell>
          <cell r="S415">
            <v>0</v>
          </cell>
        </row>
        <row r="416">
          <cell r="R416">
            <v>3</v>
          </cell>
          <cell r="S416">
            <v>0</v>
          </cell>
        </row>
        <row r="417">
          <cell r="R417">
            <v>3</v>
          </cell>
          <cell r="S417">
            <v>0</v>
          </cell>
        </row>
        <row r="418">
          <cell r="R418">
            <v>3</v>
          </cell>
          <cell r="S418">
            <v>0</v>
          </cell>
        </row>
        <row r="419">
          <cell r="R419">
            <v>3</v>
          </cell>
          <cell r="S419">
            <v>0</v>
          </cell>
        </row>
        <row r="420">
          <cell r="R420">
            <v>3</v>
          </cell>
          <cell r="S420">
            <v>0</v>
          </cell>
        </row>
        <row r="421">
          <cell r="R421">
            <v>3</v>
          </cell>
          <cell r="S421">
            <v>0</v>
          </cell>
        </row>
        <row r="422">
          <cell r="R422">
            <v>3</v>
          </cell>
          <cell r="S422">
            <v>0</v>
          </cell>
        </row>
        <row r="423">
          <cell r="R423">
            <v>3</v>
          </cell>
          <cell r="S423">
            <v>0</v>
          </cell>
        </row>
        <row r="424">
          <cell r="R424">
            <v>3</v>
          </cell>
          <cell r="S424">
            <v>0</v>
          </cell>
        </row>
        <row r="425">
          <cell r="R425">
            <v>3</v>
          </cell>
          <cell r="S425">
            <v>0</v>
          </cell>
        </row>
        <row r="426">
          <cell r="R426">
            <v>3</v>
          </cell>
          <cell r="S426">
            <v>0</v>
          </cell>
        </row>
        <row r="427">
          <cell r="R427">
            <v>3</v>
          </cell>
          <cell r="S427">
            <v>0</v>
          </cell>
        </row>
        <row r="428">
          <cell r="R428">
            <v>3</v>
          </cell>
          <cell r="S428">
            <v>0</v>
          </cell>
        </row>
        <row r="429">
          <cell r="R429">
            <v>3</v>
          </cell>
          <cell r="S429">
            <v>0</v>
          </cell>
        </row>
        <row r="430">
          <cell r="R430">
            <v>3</v>
          </cell>
          <cell r="S430">
            <v>0</v>
          </cell>
        </row>
        <row r="431">
          <cell r="R431">
            <v>3</v>
          </cell>
          <cell r="S431">
            <v>0</v>
          </cell>
        </row>
        <row r="432">
          <cell r="R432">
            <v>3</v>
          </cell>
          <cell r="S432">
            <v>0</v>
          </cell>
        </row>
        <row r="433">
          <cell r="R433">
            <v>3</v>
          </cell>
          <cell r="S433">
            <v>0</v>
          </cell>
        </row>
        <row r="434">
          <cell r="R434">
            <v>3</v>
          </cell>
          <cell r="S434">
            <v>0</v>
          </cell>
        </row>
        <row r="435">
          <cell r="R435">
            <v>3</v>
          </cell>
          <cell r="S435">
            <v>0</v>
          </cell>
        </row>
        <row r="436">
          <cell r="R436">
            <v>3</v>
          </cell>
          <cell r="S436">
            <v>0</v>
          </cell>
        </row>
        <row r="437">
          <cell r="R437">
            <v>3</v>
          </cell>
          <cell r="S437">
            <v>0</v>
          </cell>
        </row>
        <row r="438">
          <cell r="R438">
            <v>3</v>
          </cell>
          <cell r="S438">
            <v>0</v>
          </cell>
        </row>
        <row r="439">
          <cell r="R439">
            <v>3</v>
          </cell>
          <cell r="S439">
            <v>0</v>
          </cell>
        </row>
        <row r="440">
          <cell r="R440">
            <v>3</v>
          </cell>
          <cell r="S440">
            <v>0</v>
          </cell>
        </row>
        <row r="441">
          <cell r="R441">
            <v>3</v>
          </cell>
          <cell r="S441">
            <v>0</v>
          </cell>
        </row>
        <row r="442">
          <cell r="R442">
            <v>3</v>
          </cell>
          <cell r="S442">
            <v>0</v>
          </cell>
        </row>
        <row r="443">
          <cell r="R443">
            <v>3</v>
          </cell>
          <cell r="S443">
            <v>0</v>
          </cell>
        </row>
        <row r="444">
          <cell r="R444">
            <v>3</v>
          </cell>
          <cell r="S444">
            <v>0</v>
          </cell>
        </row>
        <row r="445">
          <cell r="R445">
            <v>3</v>
          </cell>
          <cell r="S445">
            <v>0</v>
          </cell>
        </row>
        <row r="446">
          <cell r="R446">
            <v>3</v>
          </cell>
          <cell r="S446">
            <v>0</v>
          </cell>
        </row>
        <row r="447">
          <cell r="R447">
            <v>3</v>
          </cell>
          <cell r="S447">
            <v>0</v>
          </cell>
        </row>
        <row r="448">
          <cell r="R448">
            <v>3</v>
          </cell>
          <cell r="S448">
            <v>0</v>
          </cell>
        </row>
        <row r="449">
          <cell r="R449">
            <v>3</v>
          </cell>
          <cell r="S449">
            <v>0</v>
          </cell>
        </row>
        <row r="450">
          <cell r="R450">
            <v>3</v>
          </cell>
          <cell r="S450">
            <v>0</v>
          </cell>
        </row>
        <row r="451">
          <cell r="R451">
            <v>3</v>
          </cell>
          <cell r="S451">
            <v>0</v>
          </cell>
        </row>
        <row r="452">
          <cell r="R452">
            <v>3</v>
          </cell>
          <cell r="S452">
            <v>0</v>
          </cell>
        </row>
        <row r="453">
          <cell r="R453">
            <v>3</v>
          </cell>
          <cell r="S453">
            <v>0</v>
          </cell>
        </row>
        <row r="454">
          <cell r="R454">
            <v>3</v>
          </cell>
          <cell r="S454">
            <v>0</v>
          </cell>
        </row>
        <row r="455">
          <cell r="R455">
            <v>3</v>
          </cell>
          <cell r="S455">
            <v>0</v>
          </cell>
        </row>
        <row r="456">
          <cell r="R456">
            <v>3</v>
          </cell>
          <cell r="S456">
            <v>0</v>
          </cell>
        </row>
        <row r="457">
          <cell r="R457">
            <v>3</v>
          </cell>
          <cell r="S457">
            <v>0</v>
          </cell>
        </row>
        <row r="458">
          <cell r="R458">
            <v>3</v>
          </cell>
          <cell r="S458">
            <v>0</v>
          </cell>
        </row>
        <row r="459">
          <cell r="R459">
            <v>3</v>
          </cell>
          <cell r="S459">
            <v>0</v>
          </cell>
        </row>
        <row r="460">
          <cell r="R460">
            <v>3</v>
          </cell>
          <cell r="S460">
            <v>0</v>
          </cell>
        </row>
        <row r="461">
          <cell r="R461">
            <v>3</v>
          </cell>
          <cell r="S461">
            <v>0</v>
          </cell>
        </row>
        <row r="462">
          <cell r="R462">
            <v>3</v>
          </cell>
          <cell r="S462">
            <v>0</v>
          </cell>
        </row>
        <row r="463">
          <cell r="R463">
            <v>3</v>
          </cell>
          <cell r="S463">
            <v>0</v>
          </cell>
        </row>
        <row r="464">
          <cell r="R464">
            <v>3</v>
          </cell>
          <cell r="S464">
            <v>0</v>
          </cell>
        </row>
        <row r="465">
          <cell r="R465">
            <v>3</v>
          </cell>
          <cell r="S465">
            <v>0</v>
          </cell>
        </row>
        <row r="466">
          <cell r="R466">
            <v>3</v>
          </cell>
          <cell r="S466">
            <v>0</v>
          </cell>
        </row>
        <row r="467">
          <cell r="R467">
            <v>3</v>
          </cell>
          <cell r="S467">
            <v>0</v>
          </cell>
        </row>
        <row r="468">
          <cell r="R468">
            <v>3</v>
          </cell>
          <cell r="S468">
            <v>0</v>
          </cell>
        </row>
        <row r="469">
          <cell r="R469">
            <v>3</v>
          </cell>
          <cell r="S469">
            <v>0</v>
          </cell>
        </row>
        <row r="470">
          <cell r="R470">
            <v>3</v>
          </cell>
          <cell r="S470">
            <v>0</v>
          </cell>
        </row>
        <row r="471">
          <cell r="R471">
            <v>3</v>
          </cell>
          <cell r="S471">
            <v>0</v>
          </cell>
        </row>
        <row r="472">
          <cell r="R472">
            <v>3</v>
          </cell>
          <cell r="S472">
            <v>0</v>
          </cell>
        </row>
        <row r="473">
          <cell r="R473">
            <v>3</v>
          </cell>
          <cell r="S473">
            <v>0</v>
          </cell>
        </row>
        <row r="474">
          <cell r="R474">
            <v>3</v>
          </cell>
          <cell r="S474">
            <v>0</v>
          </cell>
        </row>
        <row r="475">
          <cell r="R475">
            <v>3</v>
          </cell>
          <cell r="S475">
            <v>0</v>
          </cell>
        </row>
        <row r="476">
          <cell r="R476">
            <v>3</v>
          </cell>
          <cell r="S476">
            <v>0</v>
          </cell>
        </row>
        <row r="477">
          <cell r="R477">
            <v>3</v>
          </cell>
          <cell r="S477">
            <v>0</v>
          </cell>
        </row>
        <row r="478">
          <cell r="R478">
            <v>3</v>
          </cell>
          <cell r="S478">
            <v>0</v>
          </cell>
        </row>
        <row r="479">
          <cell r="R479">
            <v>3</v>
          </cell>
          <cell r="S479">
            <v>0</v>
          </cell>
        </row>
        <row r="480">
          <cell r="R480">
            <v>3</v>
          </cell>
          <cell r="S480">
            <v>0</v>
          </cell>
        </row>
        <row r="481">
          <cell r="R481">
            <v>3</v>
          </cell>
          <cell r="S481">
            <v>0</v>
          </cell>
        </row>
        <row r="482">
          <cell r="R482">
            <v>3</v>
          </cell>
          <cell r="S482">
            <v>0</v>
          </cell>
        </row>
        <row r="483">
          <cell r="R483">
            <v>3</v>
          </cell>
          <cell r="S483">
            <v>0</v>
          </cell>
        </row>
        <row r="484">
          <cell r="R484">
            <v>3</v>
          </cell>
          <cell r="S484">
            <v>0</v>
          </cell>
        </row>
        <row r="485">
          <cell r="R485">
            <v>3</v>
          </cell>
          <cell r="S485">
            <v>0</v>
          </cell>
        </row>
        <row r="486">
          <cell r="R486">
            <v>3</v>
          </cell>
          <cell r="S486">
            <v>0</v>
          </cell>
        </row>
        <row r="487">
          <cell r="R487">
            <v>3</v>
          </cell>
          <cell r="S487">
            <v>0</v>
          </cell>
        </row>
        <row r="488">
          <cell r="R488">
            <v>3</v>
          </cell>
          <cell r="S488">
            <v>0</v>
          </cell>
        </row>
        <row r="489">
          <cell r="R489">
            <v>3</v>
          </cell>
          <cell r="S489">
            <v>0</v>
          </cell>
        </row>
        <row r="490">
          <cell r="R490">
            <v>3</v>
          </cell>
          <cell r="S490">
            <v>0</v>
          </cell>
        </row>
        <row r="491">
          <cell r="R491">
            <v>3</v>
          </cell>
          <cell r="S491">
            <v>0</v>
          </cell>
        </row>
        <row r="492">
          <cell r="R492">
            <v>3</v>
          </cell>
          <cell r="S492">
            <v>0</v>
          </cell>
        </row>
        <row r="493">
          <cell r="R493">
            <v>3</v>
          </cell>
          <cell r="S493">
            <v>0</v>
          </cell>
        </row>
        <row r="494">
          <cell r="R494">
            <v>3</v>
          </cell>
          <cell r="S494">
            <v>0</v>
          </cell>
        </row>
        <row r="495">
          <cell r="R495">
            <v>3</v>
          </cell>
          <cell r="S495">
            <v>0</v>
          </cell>
        </row>
        <row r="496">
          <cell r="R496">
            <v>3</v>
          </cell>
          <cell r="S496">
            <v>0</v>
          </cell>
        </row>
        <row r="497">
          <cell r="R497">
            <v>3</v>
          </cell>
          <cell r="S497">
            <v>0</v>
          </cell>
        </row>
        <row r="498">
          <cell r="R498">
            <v>3</v>
          </cell>
          <cell r="S498">
            <v>0</v>
          </cell>
        </row>
        <row r="499">
          <cell r="R499">
            <v>3</v>
          </cell>
          <cell r="S499">
            <v>0</v>
          </cell>
        </row>
        <row r="500">
          <cell r="R500">
            <v>3</v>
          </cell>
          <cell r="S500">
            <v>0</v>
          </cell>
        </row>
        <row r="501">
          <cell r="R501">
            <v>3</v>
          </cell>
          <cell r="S501">
            <v>0</v>
          </cell>
        </row>
        <row r="502">
          <cell r="R502">
            <v>3</v>
          </cell>
          <cell r="S502">
            <v>0</v>
          </cell>
        </row>
        <row r="503">
          <cell r="R503">
            <v>3</v>
          </cell>
          <cell r="S503">
            <v>0</v>
          </cell>
        </row>
        <row r="504">
          <cell r="R504">
            <v>3</v>
          </cell>
          <cell r="S504">
            <v>0</v>
          </cell>
        </row>
        <row r="505">
          <cell r="R505">
            <v>3</v>
          </cell>
          <cell r="S505">
            <v>0</v>
          </cell>
        </row>
        <row r="506">
          <cell r="R506">
            <v>3</v>
          </cell>
          <cell r="S506">
            <v>0</v>
          </cell>
        </row>
        <row r="507">
          <cell r="R507">
            <v>3</v>
          </cell>
          <cell r="S507">
            <v>0</v>
          </cell>
        </row>
        <row r="508">
          <cell r="R508">
            <v>3</v>
          </cell>
          <cell r="S508">
            <v>0</v>
          </cell>
        </row>
        <row r="509">
          <cell r="R509">
            <v>3</v>
          </cell>
          <cell r="S509">
            <v>0</v>
          </cell>
        </row>
        <row r="510">
          <cell r="R510">
            <v>3</v>
          </cell>
          <cell r="S510">
            <v>0</v>
          </cell>
        </row>
        <row r="511">
          <cell r="R511">
            <v>3</v>
          </cell>
          <cell r="S511">
            <v>0</v>
          </cell>
        </row>
        <row r="512">
          <cell r="R512">
            <v>3</v>
          </cell>
          <cell r="S512">
            <v>0</v>
          </cell>
        </row>
        <row r="513">
          <cell r="R513">
            <v>3</v>
          </cell>
          <cell r="S513">
            <v>0</v>
          </cell>
        </row>
        <row r="514">
          <cell r="R514">
            <v>3</v>
          </cell>
          <cell r="S514">
            <v>0</v>
          </cell>
        </row>
        <row r="515">
          <cell r="R515">
            <v>3</v>
          </cell>
          <cell r="S515">
            <v>0</v>
          </cell>
        </row>
        <row r="516">
          <cell r="R516">
            <v>3</v>
          </cell>
          <cell r="S516">
            <v>0</v>
          </cell>
        </row>
        <row r="517">
          <cell r="R517">
            <v>3</v>
          </cell>
          <cell r="S517">
            <v>0</v>
          </cell>
        </row>
        <row r="518">
          <cell r="R518">
            <v>3</v>
          </cell>
          <cell r="S518">
            <v>0</v>
          </cell>
        </row>
        <row r="519">
          <cell r="R519">
            <v>3</v>
          </cell>
          <cell r="S519">
            <v>0</v>
          </cell>
        </row>
        <row r="520">
          <cell r="R520">
            <v>3</v>
          </cell>
          <cell r="S520">
            <v>0</v>
          </cell>
        </row>
        <row r="521">
          <cell r="R521">
            <v>3</v>
          </cell>
          <cell r="S521">
            <v>0</v>
          </cell>
        </row>
        <row r="522">
          <cell r="R522">
            <v>3</v>
          </cell>
          <cell r="S522">
            <v>0</v>
          </cell>
        </row>
        <row r="523">
          <cell r="R523">
            <v>3</v>
          </cell>
          <cell r="S523">
            <v>0</v>
          </cell>
        </row>
        <row r="524">
          <cell r="R524">
            <v>3</v>
          </cell>
          <cell r="S524">
            <v>0</v>
          </cell>
        </row>
        <row r="525">
          <cell r="R525">
            <v>3</v>
          </cell>
          <cell r="S525">
            <v>0</v>
          </cell>
        </row>
        <row r="526">
          <cell r="R526">
            <v>3</v>
          </cell>
          <cell r="S526">
            <v>0</v>
          </cell>
        </row>
        <row r="527">
          <cell r="R527">
            <v>3</v>
          </cell>
          <cell r="S527">
            <v>0</v>
          </cell>
        </row>
        <row r="528">
          <cell r="R528">
            <v>3</v>
          </cell>
          <cell r="S528">
            <v>0</v>
          </cell>
        </row>
        <row r="529">
          <cell r="R529">
            <v>3</v>
          </cell>
          <cell r="S529">
            <v>0</v>
          </cell>
        </row>
        <row r="530">
          <cell r="R530">
            <v>3</v>
          </cell>
          <cell r="S530">
            <v>0</v>
          </cell>
        </row>
        <row r="531">
          <cell r="R531">
            <v>3</v>
          </cell>
          <cell r="S531">
            <v>0</v>
          </cell>
        </row>
        <row r="532">
          <cell r="R532">
            <v>3</v>
          </cell>
          <cell r="S532">
            <v>0</v>
          </cell>
        </row>
        <row r="533">
          <cell r="R533">
            <v>3</v>
          </cell>
          <cell r="S533">
            <v>0</v>
          </cell>
        </row>
        <row r="534">
          <cell r="R534">
            <v>3</v>
          </cell>
          <cell r="S534">
            <v>0</v>
          </cell>
        </row>
        <row r="535">
          <cell r="R535">
            <v>3</v>
          </cell>
          <cell r="S535">
            <v>0</v>
          </cell>
        </row>
        <row r="536">
          <cell r="R536">
            <v>3</v>
          </cell>
          <cell r="S536">
            <v>0</v>
          </cell>
        </row>
        <row r="537">
          <cell r="R537">
            <v>3</v>
          </cell>
          <cell r="S537">
            <v>0</v>
          </cell>
        </row>
        <row r="538">
          <cell r="R538">
            <v>3</v>
          </cell>
          <cell r="S538">
            <v>0</v>
          </cell>
        </row>
        <row r="539">
          <cell r="R539">
            <v>3</v>
          </cell>
          <cell r="S539">
            <v>0</v>
          </cell>
        </row>
        <row r="540">
          <cell r="R540">
            <v>3</v>
          </cell>
          <cell r="S540">
            <v>0</v>
          </cell>
        </row>
        <row r="541">
          <cell r="R541">
            <v>3</v>
          </cell>
          <cell r="S541">
            <v>0</v>
          </cell>
        </row>
        <row r="542">
          <cell r="R542">
            <v>3</v>
          </cell>
          <cell r="S542">
            <v>0</v>
          </cell>
        </row>
        <row r="543">
          <cell r="R543">
            <v>3</v>
          </cell>
          <cell r="S543">
            <v>0</v>
          </cell>
        </row>
        <row r="544">
          <cell r="R544">
            <v>3</v>
          </cell>
          <cell r="S544">
            <v>0</v>
          </cell>
        </row>
        <row r="545">
          <cell r="R545">
            <v>3</v>
          </cell>
          <cell r="S545">
            <v>0</v>
          </cell>
        </row>
        <row r="546">
          <cell r="R546">
            <v>3</v>
          </cell>
          <cell r="S546">
            <v>0</v>
          </cell>
        </row>
        <row r="547">
          <cell r="R547">
            <v>3</v>
          </cell>
          <cell r="S547">
            <v>0</v>
          </cell>
        </row>
        <row r="548">
          <cell r="R548">
            <v>3</v>
          </cell>
          <cell r="S548">
            <v>0</v>
          </cell>
        </row>
        <row r="549">
          <cell r="R549">
            <v>3</v>
          </cell>
          <cell r="S549">
            <v>0</v>
          </cell>
        </row>
        <row r="550">
          <cell r="R550">
            <v>3</v>
          </cell>
          <cell r="S550">
            <v>0</v>
          </cell>
        </row>
        <row r="551">
          <cell r="R551">
            <v>3</v>
          </cell>
          <cell r="S551">
            <v>0</v>
          </cell>
        </row>
        <row r="552">
          <cell r="R552">
            <v>3</v>
          </cell>
          <cell r="S552">
            <v>0</v>
          </cell>
        </row>
        <row r="553">
          <cell r="R553">
            <v>3</v>
          </cell>
          <cell r="S553">
            <v>0</v>
          </cell>
        </row>
        <row r="554">
          <cell r="R554">
            <v>3</v>
          </cell>
          <cell r="S554">
            <v>0</v>
          </cell>
        </row>
        <row r="555">
          <cell r="R555">
            <v>3</v>
          </cell>
          <cell r="S555">
            <v>0</v>
          </cell>
        </row>
        <row r="556">
          <cell r="R556">
            <v>3</v>
          </cell>
          <cell r="S556">
            <v>0</v>
          </cell>
        </row>
        <row r="557">
          <cell r="R557">
            <v>3</v>
          </cell>
          <cell r="S557">
            <v>0</v>
          </cell>
        </row>
        <row r="558">
          <cell r="R558">
            <v>3</v>
          </cell>
          <cell r="S558">
            <v>0</v>
          </cell>
        </row>
        <row r="559">
          <cell r="R559">
            <v>3</v>
          </cell>
          <cell r="S559">
            <v>0</v>
          </cell>
        </row>
        <row r="560">
          <cell r="R560">
            <v>3</v>
          </cell>
          <cell r="S560">
            <v>0</v>
          </cell>
        </row>
        <row r="561">
          <cell r="R561">
            <v>3</v>
          </cell>
          <cell r="S561">
            <v>0</v>
          </cell>
        </row>
        <row r="562">
          <cell r="R562">
            <v>3</v>
          </cell>
          <cell r="S562">
            <v>0</v>
          </cell>
        </row>
        <row r="563">
          <cell r="R563">
            <v>3</v>
          </cell>
          <cell r="S563">
            <v>0</v>
          </cell>
        </row>
        <row r="564">
          <cell r="R564">
            <v>3</v>
          </cell>
          <cell r="S564">
            <v>0</v>
          </cell>
        </row>
        <row r="565">
          <cell r="R565">
            <v>3</v>
          </cell>
          <cell r="S565">
            <v>0</v>
          </cell>
        </row>
        <row r="566">
          <cell r="R566">
            <v>3</v>
          </cell>
          <cell r="S566">
            <v>0</v>
          </cell>
        </row>
        <row r="567">
          <cell r="R567">
            <v>3</v>
          </cell>
          <cell r="S567">
            <v>0</v>
          </cell>
        </row>
        <row r="568">
          <cell r="R568">
            <v>3</v>
          </cell>
          <cell r="S568">
            <v>0</v>
          </cell>
        </row>
        <row r="569">
          <cell r="R569">
            <v>3</v>
          </cell>
          <cell r="S569">
            <v>0</v>
          </cell>
        </row>
        <row r="570">
          <cell r="R570">
            <v>3</v>
          </cell>
          <cell r="S570">
            <v>0</v>
          </cell>
        </row>
        <row r="571">
          <cell r="R571">
            <v>3</v>
          </cell>
          <cell r="S571">
            <v>0</v>
          </cell>
        </row>
        <row r="572">
          <cell r="R572">
            <v>3</v>
          </cell>
          <cell r="S572">
            <v>0</v>
          </cell>
        </row>
        <row r="573">
          <cell r="R573">
            <v>3</v>
          </cell>
          <cell r="S573">
            <v>0</v>
          </cell>
        </row>
        <row r="574">
          <cell r="R574">
            <v>3</v>
          </cell>
          <cell r="S574">
            <v>0</v>
          </cell>
        </row>
        <row r="575">
          <cell r="R575">
            <v>3</v>
          </cell>
          <cell r="S575">
            <v>0</v>
          </cell>
        </row>
        <row r="576">
          <cell r="R576">
            <v>3</v>
          </cell>
          <cell r="S576">
            <v>0</v>
          </cell>
        </row>
        <row r="577">
          <cell r="R577">
            <v>3</v>
          </cell>
          <cell r="S577">
            <v>0</v>
          </cell>
        </row>
        <row r="578">
          <cell r="R578">
            <v>3</v>
          </cell>
          <cell r="S578">
            <v>0</v>
          </cell>
        </row>
        <row r="579">
          <cell r="R579">
            <v>3</v>
          </cell>
          <cell r="S579">
            <v>0</v>
          </cell>
        </row>
        <row r="580">
          <cell r="R580">
            <v>3</v>
          </cell>
          <cell r="S580">
            <v>0</v>
          </cell>
        </row>
        <row r="581">
          <cell r="R581">
            <v>3</v>
          </cell>
          <cell r="S581">
            <v>0</v>
          </cell>
        </row>
        <row r="582">
          <cell r="R582">
            <v>3</v>
          </cell>
          <cell r="S582">
            <v>0</v>
          </cell>
        </row>
        <row r="583">
          <cell r="R583">
            <v>3</v>
          </cell>
          <cell r="S583">
            <v>0</v>
          </cell>
        </row>
        <row r="584">
          <cell r="R584">
            <v>3</v>
          </cell>
          <cell r="S584">
            <v>0</v>
          </cell>
        </row>
        <row r="585">
          <cell r="R585">
            <v>3</v>
          </cell>
          <cell r="S585">
            <v>0</v>
          </cell>
        </row>
        <row r="586">
          <cell r="R586">
            <v>3</v>
          </cell>
          <cell r="S586">
            <v>0</v>
          </cell>
        </row>
        <row r="587">
          <cell r="R587">
            <v>3</v>
          </cell>
          <cell r="S587">
            <v>0</v>
          </cell>
        </row>
        <row r="588">
          <cell r="R588">
            <v>3</v>
          </cell>
          <cell r="S588">
            <v>0</v>
          </cell>
        </row>
        <row r="589">
          <cell r="R589">
            <v>3</v>
          </cell>
          <cell r="S589">
            <v>0</v>
          </cell>
        </row>
        <row r="590">
          <cell r="R590">
            <v>3</v>
          </cell>
          <cell r="S590">
            <v>0</v>
          </cell>
        </row>
        <row r="591">
          <cell r="R591">
            <v>3</v>
          </cell>
          <cell r="S591">
            <v>0</v>
          </cell>
        </row>
        <row r="592">
          <cell r="R592">
            <v>3</v>
          </cell>
          <cell r="S592">
            <v>0</v>
          </cell>
        </row>
        <row r="593">
          <cell r="R593">
            <v>3</v>
          </cell>
          <cell r="S593">
            <v>0</v>
          </cell>
        </row>
        <row r="594">
          <cell r="R594">
            <v>3</v>
          </cell>
          <cell r="S594">
            <v>0</v>
          </cell>
        </row>
        <row r="595">
          <cell r="R595">
            <v>3</v>
          </cell>
          <cell r="S595">
            <v>0</v>
          </cell>
        </row>
        <row r="596">
          <cell r="R596">
            <v>3</v>
          </cell>
          <cell r="S596">
            <v>0</v>
          </cell>
        </row>
        <row r="597">
          <cell r="R597">
            <v>3</v>
          </cell>
          <cell r="S597">
            <v>0</v>
          </cell>
        </row>
        <row r="598">
          <cell r="R598">
            <v>3</v>
          </cell>
          <cell r="S598">
            <v>0</v>
          </cell>
        </row>
        <row r="599">
          <cell r="R599">
            <v>3</v>
          </cell>
          <cell r="S599">
            <v>0</v>
          </cell>
        </row>
        <row r="600">
          <cell r="R600">
            <v>3</v>
          </cell>
          <cell r="S600">
            <v>0</v>
          </cell>
        </row>
        <row r="601">
          <cell r="R601">
            <v>3</v>
          </cell>
          <cell r="S601">
            <v>0</v>
          </cell>
        </row>
        <row r="602">
          <cell r="R602">
            <v>3</v>
          </cell>
          <cell r="S602">
            <v>0</v>
          </cell>
        </row>
        <row r="603">
          <cell r="R603">
            <v>3</v>
          </cell>
          <cell r="S603">
            <v>0</v>
          </cell>
        </row>
        <row r="604">
          <cell r="R604">
            <v>3</v>
          </cell>
          <cell r="S604">
            <v>0</v>
          </cell>
        </row>
        <row r="605">
          <cell r="R605">
            <v>3</v>
          </cell>
          <cell r="S605">
            <v>0</v>
          </cell>
        </row>
        <row r="606">
          <cell r="R606">
            <v>3</v>
          </cell>
          <cell r="S606">
            <v>0</v>
          </cell>
        </row>
        <row r="607">
          <cell r="R607">
            <v>3</v>
          </cell>
          <cell r="S607">
            <v>0</v>
          </cell>
        </row>
        <row r="608">
          <cell r="R608">
            <v>3</v>
          </cell>
          <cell r="S608">
            <v>0</v>
          </cell>
        </row>
        <row r="609">
          <cell r="R609">
            <v>3</v>
          </cell>
          <cell r="S609">
            <v>0</v>
          </cell>
        </row>
        <row r="610">
          <cell r="R610">
            <v>3</v>
          </cell>
          <cell r="S610">
            <v>0</v>
          </cell>
        </row>
        <row r="611">
          <cell r="R611">
            <v>3</v>
          </cell>
          <cell r="S611">
            <v>0</v>
          </cell>
        </row>
        <row r="612">
          <cell r="R612">
            <v>3</v>
          </cell>
          <cell r="S612">
            <v>0</v>
          </cell>
        </row>
        <row r="613">
          <cell r="R613">
            <v>3</v>
          </cell>
          <cell r="S613">
            <v>0</v>
          </cell>
        </row>
        <row r="614">
          <cell r="R614">
            <v>3</v>
          </cell>
          <cell r="S614">
            <v>0</v>
          </cell>
        </row>
        <row r="615">
          <cell r="R615">
            <v>3</v>
          </cell>
          <cell r="S615">
            <v>0</v>
          </cell>
        </row>
        <row r="616">
          <cell r="R616">
            <v>3</v>
          </cell>
          <cell r="S616">
            <v>0</v>
          </cell>
        </row>
        <row r="617">
          <cell r="R617">
            <v>3</v>
          </cell>
          <cell r="S617">
            <v>0</v>
          </cell>
        </row>
        <row r="618">
          <cell r="R618">
            <v>3</v>
          </cell>
          <cell r="S618">
            <v>0</v>
          </cell>
        </row>
        <row r="619">
          <cell r="R619">
            <v>3</v>
          </cell>
          <cell r="S619">
            <v>0</v>
          </cell>
        </row>
        <row r="620">
          <cell r="R620">
            <v>3</v>
          </cell>
          <cell r="S620">
            <v>0</v>
          </cell>
        </row>
        <row r="621">
          <cell r="R621">
            <v>3</v>
          </cell>
          <cell r="S621">
            <v>0</v>
          </cell>
        </row>
        <row r="622">
          <cell r="R622">
            <v>3</v>
          </cell>
          <cell r="S622">
            <v>0</v>
          </cell>
        </row>
        <row r="623">
          <cell r="R623">
            <v>3</v>
          </cell>
          <cell r="S623">
            <v>0</v>
          </cell>
        </row>
        <row r="624">
          <cell r="R624">
            <v>3</v>
          </cell>
          <cell r="S624">
            <v>0</v>
          </cell>
        </row>
        <row r="625">
          <cell r="R625">
            <v>3</v>
          </cell>
          <cell r="S625">
            <v>0</v>
          </cell>
        </row>
        <row r="626">
          <cell r="R626">
            <v>3</v>
          </cell>
          <cell r="S626">
            <v>0</v>
          </cell>
        </row>
        <row r="627">
          <cell r="R627">
            <v>3</v>
          </cell>
          <cell r="S627">
            <v>0</v>
          </cell>
        </row>
        <row r="628">
          <cell r="R628">
            <v>3</v>
          </cell>
          <cell r="S628">
            <v>0</v>
          </cell>
        </row>
        <row r="629">
          <cell r="R629">
            <v>3</v>
          </cell>
          <cell r="S629">
            <v>0</v>
          </cell>
        </row>
        <row r="630">
          <cell r="R630">
            <v>3</v>
          </cell>
          <cell r="S630">
            <v>0</v>
          </cell>
        </row>
        <row r="631">
          <cell r="R631">
            <v>3</v>
          </cell>
          <cell r="S631">
            <v>0</v>
          </cell>
        </row>
        <row r="632">
          <cell r="R632">
            <v>3</v>
          </cell>
          <cell r="S632">
            <v>0</v>
          </cell>
        </row>
        <row r="633">
          <cell r="R633">
            <v>3</v>
          </cell>
          <cell r="S633">
            <v>0</v>
          </cell>
        </row>
        <row r="634">
          <cell r="R634">
            <v>3</v>
          </cell>
          <cell r="S634">
            <v>0</v>
          </cell>
        </row>
        <row r="635">
          <cell r="R635">
            <v>3</v>
          </cell>
          <cell r="S635">
            <v>0</v>
          </cell>
        </row>
        <row r="636">
          <cell r="R636">
            <v>3</v>
          </cell>
          <cell r="S636">
            <v>0</v>
          </cell>
        </row>
        <row r="637">
          <cell r="R637">
            <v>3</v>
          </cell>
          <cell r="S637">
            <v>0</v>
          </cell>
        </row>
        <row r="638">
          <cell r="R638">
            <v>3</v>
          </cell>
          <cell r="S638">
            <v>0</v>
          </cell>
        </row>
        <row r="639">
          <cell r="R639">
            <v>3</v>
          </cell>
          <cell r="S639">
            <v>0</v>
          </cell>
        </row>
        <row r="640">
          <cell r="R640">
            <v>3</v>
          </cell>
          <cell r="S640">
            <v>0</v>
          </cell>
        </row>
        <row r="641">
          <cell r="R641">
            <v>3</v>
          </cell>
          <cell r="S641">
            <v>0</v>
          </cell>
        </row>
        <row r="642">
          <cell r="R642">
            <v>3</v>
          </cell>
          <cell r="S642">
            <v>0</v>
          </cell>
        </row>
        <row r="643">
          <cell r="R643">
            <v>3</v>
          </cell>
          <cell r="S643">
            <v>0</v>
          </cell>
        </row>
        <row r="644">
          <cell r="R644">
            <v>3</v>
          </cell>
          <cell r="S644">
            <v>0</v>
          </cell>
        </row>
        <row r="645">
          <cell r="R645">
            <v>3</v>
          </cell>
          <cell r="S645">
            <v>0</v>
          </cell>
        </row>
        <row r="646">
          <cell r="R646">
            <v>3</v>
          </cell>
          <cell r="S646">
            <v>0</v>
          </cell>
        </row>
        <row r="647">
          <cell r="R647">
            <v>3</v>
          </cell>
          <cell r="S647">
            <v>0</v>
          </cell>
        </row>
        <row r="648">
          <cell r="R648">
            <v>3</v>
          </cell>
          <cell r="S648">
            <v>0</v>
          </cell>
        </row>
        <row r="649">
          <cell r="R649">
            <v>3</v>
          </cell>
          <cell r="S649">
            <v>0</v>
          </cell>
        </row>
        <row r="650">
          <cell r="R650">
            <v>3</v>
          </cell>
          <cell r="S650">
            <v>0</v>
          </cell>
        </row>
        <row r="651">
          <cell r="R651">
            <v>3</v>
          </cell>
          <cell r="S651">
            <v>0</v>
          </cell>
        </row>
        <row r="652">
          <cell r="R652">
            <v>3</v>
          </cell>
          <cell r="S652">
            <v>0</v>
          </cell>
        </row>
        <row r="653">
          <cell r="R653">
            <v>3</v>
          </cell>
          <cell r="S653">
            <v>0</v>
          </cell>
        </row>
        <row r="654">
          <cell r="R654">
            <v>3</v>
          </cell>
          <cell r="S654">
            <v>0</v>
          </cell>
        </row>
        <row r="655">
          <cell r="R655">
            <v>3</v>
          </cell>
          <cell r="S655">
            <v>0</v>
          </cell>
        </row>
        <row r="656">
          <cell r="R656">
            <v>3</v>
          </cell>
          <cell r="S656">
            <v>0</v>
          </cell>
        </row>
        <row r="657">
          <cell r="R657">
            <v>3</v>
          </cell>
          <cell r="S657">
            <v>0</v>
          </cell>
        </row>
        <row r="658">
          <cell r="R658">
            <v>3</v>
          </cell>
          <cell r="S658">
            <v>0</v>
          </cell>
        </row>
        <row r="659">
          <cell r="R659">
            <v>3</v>
          </cell>
          <cell r="S659">
            <v>0</v>
          </cell>
        </row>
        <row r="660">
          <cell r="R660">
            <v>3</v>
          </cell>
          <cell r="S660">
            <v>0</v>
          </cell>
        </row>
        <row r="661">
          <cell r="R661">
            <v>3</v>
          </cell>
          <cell r="S661">
            <v>0</v>
          </cell>
        </row>
        <row r="662">
          <cell r="R662">
            <v>3</v>
          </cell>
          <cell r="S662">
            <v>0</v>
          </cell>
        </row>
        <row r="663">
          <cell r="R663">
            <v>3</v>
          </cell>
          <cell r="S663">
            <v>0</v>
          </cell>
        </row>
        <row r="664">
          <cell r="R664">
            <v>3</v>
          </cell>
          <cell r="S664">
            <v>0</v>
          </cell>
        </row>
        <row r="665">
          <cell r="R665">
            <v>3</v>
          </cell>
          <cell r="S665">
            <v>0</v>
          </cell>
        </row>
        <row r="666">
          <cell r="R666">
            <v>3</v>
          </cell>
          <cell r="S666">
            <v>0</v>
          </cell>
        </row>
        <row r="667">
          <cell r="R667">
            <v>3</v>
          </cell>
          <cell r="S667">
            <v>0</v>
          </cell>
        </row>
        <row r="668">
          <cell r="R668">
            <v>3</v>
          </cell>
          <cell r="S668">
            <v>0</v>
          </cell>
        </row>
        <row r="669">
          <cell r="R669">
            <v>3</v>
          </cell>
          <cell r="S669">
            <v>0</v>
          </cell>
        </row>
        <row r="670">
          <cell r="R670">
            <v>3</v>
          </cell>
          <cell r="S670">
            <v>0</v>
          </cell>
        </row>
        <row r="671">
          <cell r="R671">
            <v>3</v>
          </cell>
          <cell r="S671">
            <v>0</v>
          </cell>
        </row>
        <row r="672">
          <cell r="R672">
            <v>3</v>
          </cell>
          <cell r="S672">
            <v>0</v>
          </cell>
        </row>
        <row r="673">
          <cell r="R673">
            <v>3</v>
          </cell>
          <cell r="S673">
            <v>0</v>
          </cell>
        </row>
        <row r="674">
          <cell r="R674">
            <v>3</v>
          </cell>
          <cell r="S674">
            <v>0</v>
          </cell>
        </row>
        <row r="675">
          <cell r="R675">
            <v>3</v>
          </cell>
          <cell r="S675">
            <v>0</v>
          </cell>
        </row>
        <row r="676">
          <cell r="R676">
            <v>3</v>
          </cell>
          <cell r="S676">
            <v>0</v>
          </cell>
        </row>
        <row r="677">
          <cell r="R677">
            <v>3</v>
          </cell>
          <cell r="S677">
            <v>0</v>
          </cell>
        </row>
        <row r="678">
          <cell r="R678">
            <v>3</v>
          </cell>
          <cell r="S678">
            <v>0</v>
          </cell>
        </row>
        <row r="679">
          <cell r="R679">
            <v>3</v>
          </cell>
          <cell r="S679">
            <v>0</v>
          </cell>
        </row>
        <row r="680">
          <cell r="R680">
            <v>3</v>
          </cell>
          <cell r="S680">
            <v>0</v>
          </cell>
        </row>
        <row r="681">
          <cell r="R681">
            <v>3</v>
          </cell>
          <cell r="S681">
            <v>0</v>
          </cell>
        </row>
        <row r="682">
          <cell r="R682">
            <v>3</v>
          </cell>
          <cell r="S682">
            <v>0</v>
          </cell>
        </row>
        <row r="683">
          <cell r="R683">
            <v>3</v>
          </cell>
          <cell r="S683">
            <v>0</v>
          </cell>
        </row>
        <row r="684">
          <cell r="R684">
            <v>3</v>
          </cell>
          <cell r="S684">
            <v>0</v>
          </cell>
        </row>
        <row r="685">
          <cell r="R685">
            <v>3</v>
          </cell>
          <cell r="S685">
            <v>0</v>
          </cell>
        </row>
        <row r="686">
          <cell r="R686">
            <v>3</v>
          </cell>
          <cell r="S686">
            <v>0</v>
          </cell>
        </row>
        <row r="687">
          <cell r="R687">
            <v>3</v>
          </cell>
          <cell r="S687">
            <v>0</v>
          </cell>
        </row>
        <row r="688">
          <cell r="R688">
            <v>3</v>
          </cell>
          <cell r="S688">
            <v>0</v>
          </cell>
        </row>
        <row r="689">
          <cell r="R689">
            <v>3</v>
          </cell>
          <cell r="S689">
            <v>0</v>
          </cell>
        </row>
        <row r="690">
          <cell r="R690">
            <v>3</v>
          </cell>
          <cell r="S690">
            <v>0</v>
          </cell>
        </row>
        <row r="691">
          <cell r="R691">
            <v>3</v>
          </cell>
          <cell r="S691">
            <v>0</v>
          </cell>
        </row>
        <row r="692">
          <cell r="R692">
            <v>3</v>
          </cell>
          <cell r="S692">
            <v>0</v>
          </cell>
        </row>
        <row r="693">
          <cell r="R693">
            <v>3</v>
          </cell>
          <cell r="S693">
            <v>0</v>
          </cell>
        </row>
        <row r="694">
          <cell r="R694">
            <v>3</v>
          </cell>
          <cell r="S694">
            <v>0</v>
          </cell>
        </row>
        <row r="695">
          <cell r="R695">
            <v>3</v>
          </cell>
          <cell r="S695">
            <v>0</v>
          </cell>
        </row>
        <row r="696">
          <cell r="R696">
            <v>3</v>
          </cell>
          <cell r="S696">
            <v>0</v>
          </cell>
        </row>
        <row r="697">
          <cell r="R697">
            <v>3</v>
          </cell>
          <cell r="S697">
            <v>0</v>
          </cell>
        </row>
        <row r="698">
          <cell r="R698">
            <v>3</v>
          </cell>
          <cell r="S698">
            <v>0</v>
          </cell>
        </row>
        <row r="699">
          <cell r="R699">
            <v>3</v>
          </cell>
          <cell r="S699">
            <v>0</v>
          </cell>
        </row>
        <row r="700">
          <cell r="R700">
            <v>3</v>
          </cell>
          <cell r="S700">
            <v>0</v>
          </cell>
        </row>
        <row r="701">
          <cell r="R701">
            <v>3</v>
          </cell>
          <cell r="S701">
            <v>0</v>
          </cell>
        </row>
        <row r="702">
          <cell r="R702">
            <v>3</v>
          </cell>
          <cell r="S702">
            <v>0</v>
          </cell>
        </row>
        <row r="703">
          <cell r="R703">
            <v>3</v>
          </cell>
          <cell r="S703">
            <v>0</v>
          </cell>
        </row>
        <row r="704">
          <cell r="R704">
            <v>3</v>
          </cell>
          <cell r="S704">
            <v>0</v>
          </cell>
        </row>
        <row r="705">
          <cell r="R705">
            <v>3</v>
          </cell>
          <cell r="S705">
            <v>0</v>
          </cell>
        </row>
        <row r="706">
          <cell r="R706">
            <v>3</v>
          </cell>
          <cell r="S706">
            <v>0</v>
          </cell>
        </row>
        <row r="707">
          <cell r="R707">
            <v>3</v>
          </cell>
          <cell r="S707">
            <v>0</v>
          </cell>
        </row>
        <row r="708">
          <cell r="R708">
            <v>3</v>
          </cell>
          <cell r="S708">
            <v>0</v>
          </cell>
        </row>
        <row r="709">
          <cell r="R709">
            <v>3</v>
          </cell>
          <cell r="S709">
            <v>0</v>
          </cell>
        </row>
        <row r="710">
          <cell r="R710">
            <v>3</v>
          </cell>
          <cell r="S710">
            <v>0</v>
          </cell>
        </row>
        <row r="711">
          <cell r="R711">
            <v>3</v>
          </cell>
          <cell r="S711">
            <v>0</v>
          </cell>
        </row>
        <row r="712">
          <cell r="R712">
            <v>3</v>
          </cell>
          <cell r="S712">
            <v>0</v>
          </cell>
        </row>
        <row r="713">
          <cell r="R713">
            <v>3</v>
          </cell>
          <cell r="S713">
            <v>0</v>
          </cell>
        </row>
        <row r="714">
          <cell r="R714">
            <v>3</v>
          </cell>
          <cell r="S714">
            <v>0</v>
          </cell>
        </row>
        <row r="715">
          <cell r="R715">
            <v>3</v>
          </cell>
          <cell r="S715">
            <v>0</v>
          </cell>
        </row>
        <row r="716">
          <cell r="R716">
            <v>3</v>
          </cell>
          <cell r="S716">
            <v>0</v>
          </cell>
        </row>
        <row r="717">
          <cell r="R717">
            <v>3</v>
          </cell>
          <cell r="S717">
            <v>0</v>
          </cell>
        </row>
        <row r="718">
          <cell r="R718">
            <v>3</v>
          </cell>
          <cell r="S718">
            <v>0</v>
          </cell>
        </row>
        <row r="719">
          <cell r="R719">
            <v>3</v>
          </cell>
          <cell r="S719">
            <v>0</v>
          </cell>
        </row>
        <row r="720">
          <cell r="R720">
            <v>3</v>
          </cell>
          <cell r="S720">
            <v>0</v>
          </cell>
        </row>
        <row r="721">
          <cell r="R721">
            <v>3</v>
          </cell>
          <cell r="S721">
            <v>0</v>
          </cell>
        </row>
        <row r="722">
          <cell r="R722">
            <v>3</v>
          </cell>
          <cell r="S722">
            <v>0</v>
          </cell>
        </row>
        <row r="723">
          <cell r="R723">
            <v>3</v>
          </cell>
          <cell r="S723">
            <v>0</v>
          </cell>
        </row>
        <row r="724">
          <cell r="R724">
            <v>3</v>
          </cell>
          <cell r="S724">
            <v>0</v>
          </cell>
        </row>
        <row r="725">
          <cell r="R725">
            <v>3</v>
          </cell>
          <cell r="S725">
            <v>0</v>
          </cell>
        </row>
        <row r="726">
          <cell r="R726">
            <v>3</v>
          </cell>
          <cell r="S726">
            <v>0</v>
          </cell>
        </row>
        <row r="727">
          <cell r="R727">
            <v>3</v>
          </cell>
          <cell r="S727">
            <v>0</v>
          </cell>
        </row>
        <row r="728">
          <cell r="R728">
            <v>3</v>
          </cell>
          <cell r="S728">
            <v>0</v>
          </cell>
        </row>
        <row r="729">
          <cell r="R729">
            <v>3</v>
          </cell>
          <cell r="S729">
            <v>0</v>
          </cell>
        </row>
        <row r="730">
          <cell r="R730">
            <v>3</v>
          </cell>
          <cell r="S730">
            <v>0</v>
          </cell>
        </row>
        <row r="731">
          <cell r="R731">
            <v>3</v>
          </cell>
          <cell r="S731">
            <v>0</v>
          </cell>
        </row>
        <row r="732">
          <cell r="R732">
            <v>3</v>
          </cell>
          <cell r="S732">
            <v>0</v>
          </cell>
        </row>
        <row r="733">
          <cell r="R733">
            <v>3</v>
          </cell>
          <cell r="S733">
            <v>0</v>
          </cell>
        </row>
        <row r="734">
          <cell r="R734">
            <v>3</v>
          </cell>
          <cell r="S734">
            <v>0</v>
          </cell>
        </row>
        <row r="735">
          <cell r="R735">
            <v>3</v>
          </cell>
          <cell r="S735">
            <v>0</v>
          </cell>
        </row>
        <row r="736">
          <cell r="R736">
            <v>3</v>
          </cell>
          <cell r="S736">
            <v>0</v>
          </cell>
        </row>
        <row r="737">
          <cell r="R737">
            <v>3</v>
          </cell>
          <cell r="S737">
            <v>0</v>
          </cell>
        </row>
        <row r="738">
          <cell r="R738">
            <v>3</v>
          </cell>
          <cell r="S738">
            <v>0</v>
          </cell>
        </row>
        <row r="739">
          <cell r="R739">
            <v>3</v>
          </cell>
          <cell r="S739">
            <v>0</v>
          </cell>
        </row>
        <row r="740">
          <cell r="R740">
            <v>3</v>
          </cell>
          <cell r="S740">
            <v>0</v>
          </cell>
        </row>
        <row r="741">
          <cell r="R741">
            <v>3</v>
          </cell>
          <cell r="S741">
            <v>0</v>
          </cell>
        </row>
        <row r="742">
          <cell r="R742">
            <v>3</v>
          </cell>
          <cell r="S742">
            <v>0</v>
          </cell>
        </row>
        <row r="743">
          <cell r="R743">
            <v>3</v>
          </cell>
          <cell r="S743">
            <v>0</v>
          </cell>
        </row>
        <row r="744">
          <cell r="R744">
            <v>3</v>
          </cell>
          <cell r="S744">
            <v>0</v>
          </cell>
        </row>
        <row r="745">
          <cell r="R745">
            <v>3</v>
          </cell>
          <cell r="S745">
            <v>0</v>
          </cell>
        </row>
        <row r="746">
          <cell r="R746">
            <v>3</v>
          </cell>
          <cell r="S746">
            <v>0</v>
          </cell>
        </row>
        <row r="747">
          <cell r="R747">
            <v>3</v>
          </cell>
          <cell r="S747">
            <v>0</v>
          </cell>
        </row>
        <row r="748">
          <cell r="R748">
            <v>3</v>
          </cell>
          <cell r="S748">
            <v>0</v>
          </cell>
        </row>
        <row r="749">
          <cell r="R749">
            <v>3</v>
          </cell>
          <cell r="S749">
            <v>0</v>
          </cell>
        </row>
        <row r="750">
          <cell r="R750">
            <v>3</v>
          </cell>
          <cell r="S750">
            <v>0</v>
          </cell>
        </row>
        <row r="751">
          <cell r="R751">
            <v>3</v>
          </cell>
          <cell r="S751">
            <v>0</v>
          </cell>
        </row>
        <row r="752">
          <cell r="R752">
            <v>3</v>
          </cell>
          <cell r="S752">
            <v>0</v>
          </cell>
        </row>
        <row r="753">
          <cell r="R753">
            <v>3</v>
          </cell>
          <cell r="S753">
            <v>0</v>
          </cell>
        </row>
        <row r="754">
          <cell r="R754">
            <v>3</v>
          </cell>
          <cell r="S754">
            <v>0</v>
          </cell>
        </row>
        <row r="755">
          <cell r="R755">
            <v>3</v>
          </cell>
          <cell r="S755">
            <v>0</v>
          </cell>
        </row>
        <row r="756">
          <cell r="R756">
            <v>3</v>
          </cell>
          <cell r="S756">
            <v>0</v>
          </cell>
        </row>
        <row r="757">
          <cell r="R757">
            <v>3</v>
          </cell>
          <cell r="S757">
            <v>0</v>
          </cell>
        </row>
        <row r="758">
          <cell r="R758">
            <v>3</v>
          </cell>
          <cell r="S758">
            <v>0</v>
          </cell>
        </row>
        <row r="759">
          <cell r="R759">
            <v>3</v>
          </cell>
          <cell r="S759">
            <v>0</v>
          </cell>
        </row>
        <row r="760">
          <cell r="R760">
            <v>3</v>
          </cell>
          <cell r="S760">
            <v>0</v>
          </cell>
        </row>
        <row r="761">
          <cell r="R761">
            <v>3</v>
          </cell>
          <cell r="S761">
            <v>0</v>
          </cell>
        </row>
        <row r="762">
          <cell r="R762">
            <v>3</v>
          </cell>
          <cell r="S762">
            <v>0</v>
          </cell>
        </row>
        <row r="763">
          <cell r="R763">
            <v>3</v>
          </cell>
          <cell r="S763">
            <v>0</v>
          </cell>
        </row>
        <row r="764">
          <cell r="R764">
            <v>3</v>
          </cell>
          <cell r="S764">
            <v>0</v>
          </cell>
        </row>
        <row r="765">
          <cell r="R765">
            <v>3</v>
          </cell>
          <cell r="S765">
            <v>0</v>
          </cell>
        </row>
        <row r="766">
          <cell r="R766">
            <v>3</v>
          </cell>
          <cell r="S766">
            <v>0</v>
          </cell>
        </row>
        <row r="767">
          <cell r="R767">
            <v>3</v>
          </cell>
          <cell r="S767">
            <v>0</v>
          </cell>
        </row>
        <row r="768">
          <cell r="R768">
            <v>3</v>
          </cell>
          <cell r="S768">
            <v>0</v>
          </cell>
        </row>
        <row r="769">
          <cell r="R769">
            <v>3</v>
          </cell>
          <cell r="S769">
            <v>0</v>
          </cell>
        </row>
        <row r="770">
          <cell r="R770">
            <v>3</v>
          </cell>
          <cell r="S770">
            <v>0</v>
          </cell>
        </row>
        <row r="771">
          <cell r="R771">
            <v>3</v>
          </cell>
          <cell r="S771">
            <v>0</v>
          </cell>
        </row>
        <row r="772">
          <cell r="R772">
            <v>3</v>
          </cell>
          <cell r="S772">
            <v>0</v>
          </cell>
        </row>
        <row r="773">
          <cell r="R773">
            <v>3</v>
          </cell>
          <cell r="S773">
            <v>0</v>
          </cell>
        </row>
        <row r="774">
          <cell r="R774">
            <v>3</v>
          </cell>
          <cell r="S774">
            <v>0</v>
          </cell>
        </row>
        <row r="775">
          <cell r="R775">
            <v>3</v>
          </cell>
          <cell r="S775">
            <v>0</v>
          </cell>
        </row>
        <row r="776">
          <cell r="R776">
            <v>3</v>
          </cell>
          <cell r="S776">
            <v>0</v>
          </cell>
        </row>
        <row r="777">
          <cell r="R777">
            <v>3</v>
          </cell>
          <cell r="S777">
            <v>0</v>
          </cell>
        </row>
        <row r="778">
          <cell r="R778">
            <v>3</v>
          </cell>
          <cell r="S778">
            <v>0</v>
          </cell>
        </row>
        <row r="779">
          <cell r="R779">
            <v>3</v>
          </cell>
          <cell r="S779">
            <v>0</v>
          </cell>
        </row>
        <row r="780">
          <cell r="R780">
            <v>3</v>
          </cell>
          <cell r="S780">
            <v>0</v>
          </cell>
        </row>
        <row r="781">
          <cell r="R781">
            <v>3</v>
          </cell>
          <cell r="S781">
            <v>0</v>
          </cell>
        </row>
        <row r="782">
          <cell r="R782">
            <v>3</v>
          </cell>
          <cell r="S782">
            <v>0</v>
          </cell>
        </row>
        <row r="783">
          <cell r="R783">
            <v>3</v>
          </cell>
          <cell r="S783">
            <v>0</v>
          </cell>
        </row>
        <row r="784">
          <cell r="R784">
            <v>3</v>
          </cell>
          <cell r="S784">
            <v>0</v>
          </cell>
        </row>
        <row r="785">
          <cell r="R785">
            <v>3</v>
          </cell>
          <cell r="S785">
            <v>0</v>
          </cell>
        </row>
        <row r="786">
          <cell r="R786">
            <v>3</v>
          </cell>
          <cell r="S786">
            <v>0</v>
          </cell>
        </row>
        <row r="787">
          <cell r="R787">
            <v>3</v>
          </cell>
          <cell r="S787">
            <v>0</v>
          </cell>
        </row>
        <row r="788">
          <cell r="R788">
            <v>3</v>
          </cell>
          <cell r="S788">
            <v>0</v>
          </cell>
        </row>
        <row r="789">
          <cell r="R789">
            <v>3</v>
          </cell>
          <cell r="S789">
            <v>0</v>
          </cell>
        </row>
        <row r="790">
          <cell r="R790">
            <v>3</v>
          </cell>
          <cell r="S790">
            <v>0</v>
          </cell>
        </row>
        <row r="791">
          <cell r="R791">
            <v>3</v>
          </cell>
          <cell r="S791">
            <v>0</v>
          </cell>
        </row>
        <row r="792">
          <cell r="R792">
            <v>3</v>
          </cell>
          <cell r="S792">
            <v>0</v>
          </cell>
        </row>
        <row r="793">
          <cell r="R793">
            <v>3</v>
          </cell>
          <cell r="S793">
            <v>0</v>
          </cell>
        </row>
        <row r="794">
          <cell r="R794">
            <v>3</v>
          </cell>
          <cell r="S794">
            <v>0</v>
          </cell>
        </row>
        <row r="795">
          <cell r="R795">
            <v>3</v>
          </cell>
          <cell r="S795">
            <v>0</v>
          </cell>
        </row>
        <row r="796">
          <cell r="R796">
            <v>3</v>
          </cell>
          <cell r="S796">
            <v>0</v>
          </cell>
        </row>
        <row r="797">
          <cell r="R797">
            <v>3</v>
          </cell>
          <cell r="S797">
            <v>0</v>
          </cell>
        </row>
        <row r="798">
          <cell r="R798">
            <v>3</v>
          </cell>
          <cell r="S798">
            <v>0</v>
          </cell>
        </row>
        <row r="799">
          <cell r="R799">
            <v>3</v>
          </cell>
          <cell r="S799">
            <v>0</v>
          </cell>
        </row>
        <row r="800">
          <cell r="R800">
            <v>3</v>
          </cell>
          <cell r="S800">
            <v>0</v>
          </cell>
        </row>
        <row r="801">
          <cell r="R801">
            <v>3</v>
          </cell>
          <cell r="S801">
            <v>0</v>
          </cell>
        </row>
        <row r="802">
          <cell r="R802">
            <v>3</v>
          </cell>
          <cell r="S802">
            <v>0</v>
          </cell>
        </row>
        <row r="803">
          <cell r="R803">
            <v>3</v>
          </cell>
          <cell r="S803">
            <v>0</v>
          </cell>
        </row>
        <row r="804">
          <cell r="R804">
            <v>3</v>
          </cell>
          <cell r="S804">
            <v>0</v>
          </cell>
        </row>
        <row r="805">
          <cell r="R805">
            <v>3</v>
          </cell>
          <cell r="S805">
            <v>0</v>
          </cell>
        </row>
        <row r="806">
          <cell r="R806">
            <v>3</v>
          </cell>
          <cell r="S806">
            <v>0</v>
          </cell>
        </row>
        <row r="807">
          <cell r="R807">
            <v>3</v>
          </cell>
          <cell r="S807">
            <v>0</v>
          </cell>
        </row>
        <row r="808">
          <cell r="R808">
            <v>3</v>
          </cell>
          <cell r="S808">
            <v>0</v>
          </cell>
        </row>
        <row r="809">
          <cell r="R809">
            <v>3</v>
          </cell>
          <cell r="S809">
            <v>0</v>
          </cell>
        </row>
        <row r="810">
          <cell r="R810">
            <v>3</v>
          </cell>
          <cell r="S810">
            <v>0</v>
          </cell>
        </row>
        <row r="811">
          <cell r="R811">
            <v>3</v>
          </cell>
          <cell r="S811">
            <v>0</v>
          </cell>
        </row>
        <row r="812">
          <cell r="R812">
            <v>3</v>
          </cell>
          <cell r="S812">
            <v>0</v>
          </cell>
        </row>
        <row r="813">
          <cell r="R813">
            <v>3</v>
          </cell>
          <cell r="S813">
            <v>0</v>
          </cell>
        </row>
        <row r="814">
          <cell r="R814">
            <v>3</v>
          </cell>
          <cell r="S814">
            <v>0</v>
          </cell>
        </row>
        <row r="815">
          <cell r="R815">
            <v>3</v>
          </cell>
          <cell r="S815">
            <v>0</v>
          </cell>
        </row>
        <row r="816">
          <cell r="R816">
            <v>3</v>
          </cell>
          <cell r="S816">
            <v>0</v>
          </cell>
        </row>
        <row r="817">
          <cell r="R817">
            <v>3</v>
          </cell>
          <cell r="S817">
            <v>0</v>
          </cell>
        </row>
        <row r="818">
          <cell r="R818">
            <v>3</v>
          </cell>
          <cell r="S818">
            <v>0</v>
          </cell>
        </row>
        <row r="819">
          <cell r="R819">
            <v>3</v>
          </cell>
          <cell r="S819">
            <v>0</v>
          </cell>
        </row>
        <row r="820">
          <cell r="R820">
            <v>3</v>
          </cell>
          <cell r="S820">
            <v>0</v>
          </cell>
        </row>
        <row r="821">
          <cell r="R821">
            <v>3</v>
          </cell>
          <cell r="S821">
            <v>0</v>
          </cell>
        </row>
        <row r="822">
          <cell r="R822">
            <v>3</v>
          </cell>
          <cell r="S822">
            <v>0</v>
          </cell>
        </row>
        <row r="823">
          <cell r="R823">
            <v>3</v>
          </cell>
          <cell r="S823">
            <v>0</v>
          </cell>
        </row>
        <row r="824">
          <cell r="R824">
            <v>3</v>
          </cell>
          <cell r="S824">
            <v>0</v>
          </cell>
        </row>
        <row r="825">
          <cell r="R825">
            <v>3</v>
          </cell>
          <cell r="S825">
            <v>0</v>
          </cell>
        </row>
        <row r="826">
          <cell r="R826">
            <v>3</v>
          </cell>
          <cell r="S826">
            <v>0</v>
          </cell>
        </row>
        <row r="827">
          <cell r="R827">
            <v>3</v>
          </cell>
          <cell r="S827">
            <v>0</v>
          </cell>
        </row>
        <row r="828">
          <cell r="R828">
            <v>3</v>
          </cell>
          <cell r="S828">
            <v>0</v>
          </cell>
        </row>
        <row r="829">
          <cell r="R829">
            <v>3</v>
          </cell>
          <cell r="S829">
            <v>0</v>
          </cell>
        </row>
        <row r="830">
          <cell r="R830">
            <v>3</v>
          </cell>
          <cell r="S830">
            <v>0</v>
          </cell>
        </row>
        <row r="831">
          <cell r="R831">
            <v>3</v>
          </cell>
          <cell r="S831">
            <v>0</v>
          </cell>
        </row>
        <row r="832">
          <cell r="R832">
            <v>3</v>
          </cell>
          <cell r="S832">
            <v>0</v>
          </cell>
        </row>
        <row r="833">
          <cell r="R833">
            <v>3</v>
          </cell>
          <cell r="S833">
            <v>0</v>
          </cell>
        </row>
        <row r="834">
          <cell r="R834">
            <v>3</v>
          </cell>
          <cell r="S834">
            <v>0</v>
          </cell>
        </row>
        <row r="835">
          <cell r="R835">
            <v>3</v>
          </cell>
          <cell r="S835">
            <v>0</v>
          </cell>
        </row>
        <row r="836">
          <cell r="R836">
            <v>3</v>
          </cell>
          <cell r="S836">
            <v>0</v>
          </cell>
        </row>
        <row r="837">
          <cell r="R837">
            <v>3</v>
          </cell>
          <cell r="S837">
            <v>0</v>
          </cell>
        </row>
        <row r="838">
          <cell r="R838">
            <v>3</v>
          </cell>
          <cell r="S838">
            <v>0</v>
          </cell>
        </row>
        <row r="839">
          <cell r="R839">
            <v>3</v>
          </cell>
          <cell r="S839">
            <v>0</v>
          </cell>
        </row>
        <row r="840">
          <cell r="R840">
            <v>3</v>
          </cell>
          <cell r="S840">
            <v>0</v>
          </cell>
        </row>
        <row r="841">
          <cell r="R841">
            <v>3</v>
          </cell>
          <cell r="S841">
            <v>0</v>
          </cell>
        </row>
        <row r="842">
          <cell r="R842">
            <v>3</v>
          </cell>
          <cell r="S842">
            <v>0</v>
          </cell>
        </row>
        <row r="843">
          <cell r="R843">
            <v>3</v>
          </cell>
          <cell r="S843">
            <v>0</v>
          </cell>
        </row>
        <row r="844">
          <cell r="R844">
            <v>3</v>
          </cell>
          <cell r="S844">
            <v>0</v>
          </cell>
        </row>
        <row r="845">
          <cell r="R845">
            <v>3</v>
          </cell>
          <cell r="S845">
            <v>0</v>
          </cell>
        </row>
        <row r="846">
          <cell r="R846">
            <v>3</v>
          </cell>
          <cell r="S846">
            <v>0</v>
          </cell>
        </row>
        <row r="847">
          <cell r="R847">
            <v>3</v>
          </cell>
          <cell r="S847">
            <v>0</v>
          </cell>
        </row>
        <row r="848">
          <cell r="R848">
            <v>3</v>
          </cell>
          <cell r="S848">
            <v>0</v>
          </cell>
        </row>
        <row r="849">
          <cell r="R849">
            <v>3</v>
          </cell>
          <cell r="S849">
            <v>0</v>
          </cell>
        </row>
        <row r="850">
          <cell r="R850">
            <v>3</v>
          </cell>
          <cell r="S850">
            <v>0</v>
          </cell>
        </row>
        <row r="851">
          <cell r="R851">
            <v>3</v>
          </cell>
          <cell r="S851">
            <v>0</v>
          </cell>
        </row>
        <row r="852">
          <cell r="R852">
            <v>3</v>
          </cell>
          <cell r="S852">
            <v>0</v>
          </cell>
        </row>
        <row r="853">
          <cell r="R853">
            <v>3</v>
          </cell>
          <cell r="S853">
            <v>0</v>
          </cell>
        </row>
        <row r="854">
          <cell r="R854">
            <v>3</v>
          </cell>
          <cell r="S854">
            <v>0</v>
          </cell>
        </row>
        <row r="855">
          <cell r="R855">
            <v>3</v>
          </cell>
          <cell r="S855">
            <v>0</v>
          </cell>
        </row>
        <row r="856">
          <cell r="R856">
            <v>3</v>
          </cell>
          <cell r="S856">
            <v>0</v>
          </cell>
        </row>
        <row r="857">
          <cell r="R857">
            <v>3</v>
          </cell>
          <cell r="S857">
            <v>0</v>
          </cell>
        </row>
        <row r="858">
          <cell r="R858">
            <v>3</v>
          </cell>
          <cell r="S858">
            <v>0</v>
          </cell>
        </row>
        <row r="859">
          <cell r="R859">
            <v>3</v>
          </cell>
          <cell r="S859">
            <v>0</v>
          </cell>
        </row>
        <row r="860">
          <cell r="R860">
            <v>3</v>
          </cell>
          <cell r="S860">
            <v>0</v>
          </cell>
        </row>
        <row r="861">
          <cell r="R861">
            <v>3</v>
          </cell>
          <cell r="S861">
            <v>0</v>
          </cell>
        </row>
        <row r="862">
          <cell r="R862">
            <v>3</v>
          </cell>
          <cell r="S862">
            <v>0</v>
          </cell>
        </row>
        <row r="863">
          <cell r="R863">
            <v>3</v>
          </cell>
          <cell r="S863">
            <v>0</v>
          </cell>
        </row>
        <row r="864">
          <cell r="R864">
            <v>3</v>
          </cell>
          <cell r="S864">
            <v>0</v>
          </cell>
        </row>
        <row r="865">
          <cell r="R865">
            <v>3</v>
          </cell>
          <cell r="S865">
            <v>0</v>
          </cell>
        </row>
        <row r="866">
          <cell r="R866">
            <v>3</v>
          </cell>
          <cell r="S866">
            <v>0</v>
          </cell>
        </row>
        <row r="867">
          <cell r="R867">
            <v>3</v>
          </cell>
          <cell r="S867">
            <v>0</v>
          </cell>
        </row>
        <row r="868">
          <cell r="R868">
            <v>3</v>
          </cell>
          <cell r="S868">
            <v>0</v>
          </cell>
        </row>
        <row r="869">
          <cell r="R869">
            <v>3</v>
          </cell>
          <cell r="S869">
            <v>0</v>
          </cell>
        </row>
        <row r="870">
          <cell r="R870">
            <v>3</v>
          </cell>
          <cell r="S870">
            <v>0</v>
          </cell>
        </row>
        <row r="871">
          <cell r="R871">
            <v>3</v>
          </cell>
          <cell r="S871">
            <v>0</v>
          </cell>
        </row>
        <row r="872">
          <cell r="R872">
            <v>3</v>
          </cell>
          <cell r="S872">
            <v>0</v>
          </cell>
        </row>
        <row r="873">
          <cell r="R873">
            <v>3</v>
          </cell>
          <cell r="S873">
            <v>0</v>
          </cell>
        </row>
        <row r="874">
          <cell r="R874">
            <v>3</v>
          </cell>
          <cell r="S874">
            <v>0</v>
          </cell>
        </row>
        <row r="875">
          <cell r="R875">
            <v>3</v>
          </cell>
          <cell r="S875">
            <v>0</v>
          </cell>
        </row>
        <row r="876">
          <cell r="R876">
            <v>3</v>
          </cell>
          <cell r="S876">
            <v>0</v>
          </cell>
        </row>
        <row r="877">
          <cell r="R877">
            <v>3</v>
          </cell>
          <cell r="S877">
            <v>0</v>
          </cell>
        </row>
        <row r="878">
          <cell r="R878">
            <v>3</v>
          </cell>
          <cell r="S878">
            <v>0</v>
          </cell>
        </row>
        <row r="879">
          <cell r="R879">
            <v>3</v>
          </cell>
          <cell r="S879">
            <v>0</v>
          </cell>
        </row>
        <row r="880">
          <cell r="R880">
            <v>3</v>
          </cell>
          <cell r="S880">
            <v>0</v>
          </cell>
        </row>
        <row r="881">
          <cell r="R881">
            <v>3</v>
          </cell>
          <cell r="S881">
            <v>0</v>
          </cell>
        </row>
        <row r="882">
          <cell r="R882">
            <v>3</v>
          </cell>
          <cell r="S882">
            <v>0</v>
          </cell>
        </row>
        <row r="883">
          <cell r="R883">
            <v>3</v>
          </cell>
          <cell r="S883">
            <v>0</v>
          </cell>
        </row>
        <row r="884">
          <cell r="R884">
            <v>3</v>
          </cell>
          <cell r="S884">
            <v>0</v>
          </cell>
        </row>
        <row r="885">
          <cell r="R885">
            <v>3</v>
          </cell>
          <cell r="S885">
            <v>0</v>
          </cell>
        </row>
        <row r="886">
          <cell r="R886">
            <v>3</v>
          </cell>
          <cell r="S886">
            <v>0</v>
          </cell>
        </row>
        <row r="887">
          <cell r="R887">
            <v>3</v>
          </cell>
          <cell r="S887">
            <v>0</v>
          </cell>
        </row>
        <row r="888">
          <cell r="R888">
            <v>3</v>
          </cell>
          <cell r="S888">
            <v>0</v>
          </cell>
        </row>
        <row r="889">
          <cell r="R889">
            <v>3</v>
          </cell>
          <cell r="S889">
            <v>0</v>
          </cell>
        </row>
        <row r="890">
          <cell r="R890">
            <v>3</v>
          </cell>
          <cell r="S890">
            <v>0</v>
          </cell>
        </row>
        <row r="891">
          <cell r="R891">
            <v>3</v>
          </cell>
          <cell r="S891">
            <v>0</v>
          </cell>
        </row>
        <row r="892">
          <cell r="R892">
            <v>3</v>
          </cell>
          <cell r="S892">
            <v>0</v>
          </cell>
        </row>
        <row r="893">
          <cell r="R893">
            <v>3</v>
          </cell>
          <cell r="S893">
            <v>0</v>
          </cell>
        </row>
        <row r="894">
          <cell r="R894">
            <v>3</v>
          </cell>
          <cell r="S894">
            <v>0</v>
          </cell>
        </row>
        <row r="895">
          <cell r="R895">
            <v>3</v>
          </cell>
          <cell r="S895">
            <v>0</v>
          </cell>
        </row>
        <row r="896">
          <cell r="R896">
            <v>3</v>
          </cell>
          <cell r="S896">
            <v>0</v>
          </cell>
        </row>
        <row r="897">
          <cell r="R897">
            <v>3</v>
          </cell>
          <cell r="S897">
            <v>0</v>
          </cell>
        </row>
        <row r="898">
          <cell r="R898">
            <v>3</v>
          </cell>
          <cell r="S898">
            <v>0</v>
          </cell>
        </row>
        <row r="899">
          <cell r="R899">
            <v>3</v>
          </cell>
          <cell r="S899">
            <v>0</v>
          </cell>
        </row>
        <row r="900">
          <cell r="R900">
            <v>3</v>
          </cell>
          <cell r="S900">
            <v>0</v>
          </cell>
        </row>
        <row r="901">
          <cell r="R901">
            <v>3</v>
          </cell>
          <cell r="S901">
            <v>0</v>
          </cell>
        </row>
        <row r="902">
          <cell r="R902">
            <v>3</v>
          </cell>
          <cell r="S902">
            <v>0</v>
          </cell>
        </row>
        <row r="903">
          <cell r="R903">
            <v>3</v>
          </cell>
          <cell r="S903">
            <v>0</v>
          </cell>
        </row>
        <row r="904">
          <cell r="R904">
            <v>3</v>
          </cell>
          <cell r="S904">
            <v>0</v>
          </cell>
        </row>
        <row r="905">
          <cell r="R905">
            <v>3</v>
          </cell>
          <cell r="S905">
            <v>0</v>
          </cell>
        </row>
        <row r="906">
          <cell r="R906">
            <v>3</v>
          </cell>
          <cell r="S906">
            <v>0</v>
          </cell>
        </row>
        <row r="907">
          <cell r="R907">
            <v>3</v>
          </cell>
          <cell r="S907">
            <v>0</v>
          </cell>
        </row>
        <row r="908">
          <cell r="R908">
            <v>3</v>
          </cell>
          <cell r="S908">
            <v>0</v>
          </cell>
        </row>
        <row r="909">
          <cell r="R909">
            <v>3</v>
          </cell>
          <cell r="S909">
            <v>0</v>
          </cell>
        </row>
        <row r="910">
          <cell r="R910">
            <v>3</v>
          </cell>
          <cell r="S910">
            <v>0</v>
          </cell>
        </row>
        <row r="911">
          <cell r="R911">
            <v>3</v>
          </cell>
          <cell r="S911">
            <v>0</v>
          </cell>
        </row>
        <row r="912">
          <cell r="R912">
            <v>3</v>
          </cell>
          <cell r="S912">
            <v>0</v>
          </cell>
        </row>
        <row r="913">
          <cell r="R913">
            <v>3</v>
          </cell>
          <cell r="S913">
            <v>0</v>
          </cell>
        </row>
        <row r="914">
          <cell r="R914">
            <v>3</v>
          </cell>
          <cell r="S914">
            <v>0</v>
          </cell>
        </row>
        <row r="915">
          <cell r="R915">
            <v>3</v>
          </cell>
          <cell r="S915">
            <v>0</v>
          </cell>
        </row>
        <row r="916">
          <cell r="R916">
            <v>3</v>
          </cell>
          <cell r="S916">
            <v>0</v>
          </cell>
        </row>
        <row r="917">
          <cell r="R917">
            <v>3</v>
          </cell>
          <cell r="S917">
            <v>0</v>
          </cell>
        </row>
        <row r="918">
          <cell r="R918">
            <v>3</v>
          </cell>
          <cell r="S918">
            <v>0</v>
          </cell>
        </row>
        <row r="919">
          <cell r="R919">
            <v>3</v>
          </cell>
          <cell r="S919">
            <v>0</v>
          </cell>
        </row>
        <row r="920">
          <cell r="R920">
            <v>3</v>
          </cell>
          <cell r="S920">
            <v>0</v>
          </cell>
        </row>
        <row r="921">
          <cell r="R921">
            <v>3</v>
          </cell>
          <cell r="S921">
            <v>0</v>
          </cell>
        </row>
        <row r="922">
          <cell r="R922">
            <v>3</v>
          </cell>
          <cell r="S922">
            <v>0</v>
          </cell>
        </row>
        <row r="923">
          <cell r="R923">
            <v>3</v>
          </cell>
          <cell r="S923">
            <v>0</v>
          </cell>
        </row>
        <row r="924">
          <cell r="R924">
            <v>3</v>
          </cell>
          <cell r="S924">
            <v>0</v>
          </cell>
        </row>
        <row r="925">
          <cell r="R925">
            <v>3</v>
          </cell>
          <cell r="S925">
            <v>0</v>
          </cell>
        </row>
        <row r="926">
          <cell r="R926">
            <v>3</v>
          </cell>
          <cell r="S926">
            <v>0</v>
          </cell>
        </row>
        <row r="927">
          <cell r="R927">
            <v>3</v>
          </cell>
          <cell r="S927">
            <v>0</v>
          </cell>
        </row>
        <row r="928">
          <cell r="R928">
            <v>3</v>
          </cell>
          <cell r="S928">
            <v>0</v>
          </cell>
        </row>
        <row r="929">
          <cell r="R929">
            <v>3</v>
          </cell>
          <cell r="S929">
            <v>0</v>
          </cell>
        </row>
        <row r="930">
          <cell r="R930">
            <v>3</v>
          </cell>
          <cell r="S930">
            <v>0</v>
          </cell>
        </row>
        <row r="931">
          <cell r="R931">
            <v>3</v>
          </cell>
          <cell r="S931">
            <v>0</v>
          </cell>
        </row>
        <row r="932">
          <cell r="R932">
            <v>3</v>
          </cell>
          <cell r="S932">
            <v>0</v>
          </cell>
        </row>
        <row r="933">
          <cell r="R933">
            <v>3</v>
          </cell>
          <cell r="S933">
            <v>0</v>
          </cell>
        </row>
        <row r="934">
          <cell r="R934">
            <v>3</v>
          </cell>
          <cell r="S934">
            <v>0</v>
          </cell>
        </row>
        <row r="935">
          <cell r="R935">
            <v>3</v>
          </cell>
          <cell r="S935">
            <v>0</v>
          </cell>
        </row>
        <row r="936">
          <cell r="R936">
            <v>3</v>
          </cell>
          <cell r="S936">
            <v>0</v>
          </cell>
        </row>
        <row r="937">
          <cell r="R937">
            <v>3</v>
          </cell>
          <cell r="S937">
            <v>0</v>
          </cell>
        </row>
        <row r="938">
          <cell r="R938">
            <v>3</v>
          </cell>
          <cell r="S938">
            <v>0</v>
          </cell>
        </row>
        <row r="939">
          <cell r="R939">
            <v>3</v>
          </cell>
          <cell r="S939">
            <v>0</v>
          </cell>
        </row>
        <row r="940">
          <cell r="R940">
            <v>3</v>
          </cell>
          <cell r="S940">
            <v>0</v>
          </cell>
        </row>
        <row r="941">
          <cell r="R941">
            <v>3</v>
          </cell>
          <cell r="S941">
            <v>0</v>
          </cell>
        </row>
        <row r="942">
          <cell r="R942">
            <v>3</v>
          </cell>
          <cell r="S942">
            <v>0</v>
          </cell>
        </row>
        <row r="943">
          <cell r="R943">
            <v>3</v>
          </cell>
          <cell r="S943">
            <v>0</v>
          </cell>
        </row>
        <row r="944">
          <cell r="R944">
            <v>3</v>
          </cell>
          <cell r="S944">
            <v>0</v>
          </cell>
        </row>
        <row r="945">
          <cell r="R945">
            <v>3</v>
          </cell>
          <cell r="S945">
            <v>0</v>
          </cell>
        </row>
        <row r="946">
          <cell r="R946">
            <v>3</v>
          </cell>
          <cell r="S946">
            <v>0</v>
          </cell>
        </row>
        <row r="947">
          <cell r="R947">
            <v>3</v>
          </cell>
          <cell r="S947">
            <v>0</v>
          </cell>
        </row>
        <row r="948">
          <cell r="R948">
            <v>3</v>
          </cell>
          <cell r="S948">
            <v>0</v>
          </cell>
        </row>
        <row r="949">
          <cell r="R949">
            <v>3</v>
          </cell>
          <cell r="S949">
            <v>0</v>
          </cell>
        </row>
        <row r="950">
          <cell r="R950">
            <v>3</v>
          </cell>
          <cell r="S950">
            <v>0</v>
          </cell>
        </row>
        <row r="951">
          <cell r="R951">
            <v>3</v>
          </cell>
          <cell r="S951">
            <v>0</v>
          </cell>
        </row>
        <row r="952">
          <cell r="R952">
            <v>3</v>
          </cell>
          <cell r="S952">
            <v>0</v>
          </cell>
        </row>
        <row r="953">
          <cell r="R953">
            <v>3</v>
          </cell>
          <cell r="S953">
            <v>0</v>
          </cell>
        </row>
        <row r="954">
          <cell r="R954">
            <v>3</v>
          </cell>
          <cell r="S954">
            <v>0</v>
          </cell>
        </row>
        <row r="955">
          <cell r="R955">
            <v>3</v>
          </cell>
          <cell r="S955">
            <v>0</v>
          </cell>
        </row>
        <row r="956">
          <cell r="R956">
            <v>3</v>
          </cell>
          <cell r="S956">
            <v>0</v>
          </cell>
        </row>
        <row r="957">
          <cell r="R957">
            <v>3</v>
          </cell>
          <cell r="S957">
            <v>0</v>
          </cell>
        </row>
        <row r="958">
          <cell r="R958">
            <v>3</v>
          </cell>
          <cell r="S958">
            <v>0</v>
          </cell>
        </row>
        <row r="959">
          <cell r="R959">
            <v>3</v>
          </cell>
          <cell r="S959">
            <v>0</v>
          </cell>
        </row>
        <row r="960">
          <cell r="R960">
            <v>3</v>
          </cell>
          <cell r="S960">
            <v>0</v>
          </cell>
        </row>
        <row r="961">
          <cell r="R961">
            <v>3</v>
          </cell>
          <cell r="S961">
            <v>0</v>
          </cell>
        </row>
        <row r="962">
          <cell r="R962">
            <v>3</v>
          </cell>
          <cell r="S962">
            <v>0</v>
          </cell>
        </row>
        <row r="963">
          <cell r="R963">
            <v>3</v>
          </cell>
          <cell r="S963">
            <v>0</v>
          </cell>
        </row>
        <row r="964">
          <cell r="R964">
            <v>3</v>
          </cell>
          <cell r="S964">
            <v>0</v>
          </cell>
        </row>
        <row r="965">
          <cell r="R965">
            <v>3</v>
          </cell>
          <cell r="S965">
            <v>0</v>
          </cell>
        </row>
        <row r="966">
          <cell r="R966">
            <v>3</v>
          </cell>
          <cell r="S966">
            <v>0</v>
          </cell>
        </row>
        <row r="967">
          <cell r="R967">
            <v>3</v>
          </cell>
          <cell r="S967">
            <v>0</v>
          </cell>
        </row>
        <row r="968">
          <cell r="R968">
            <v>3</v>
          </cell>
          <cell r="S968">
            <v>0</v>
          </cell>
        </row>
        <row r="969">
          <cell r="R969">
            <v>3</v>
          </cell>
          <cell r="S969">
            <v>0</v>
          </cell>
        </row>
        <row r="970">
          <cell r="R970">
            <v>3</v>
          </cell>
          <cell r="S970">
            <v>0</v>
          </cell>
        </row>
        <row r="971">
          <cell r="R971">
            <v>3</v>
          </cell>
          <cell r="S971">
            <v>0</v>
          </cell>
        </row>
        <row r="972">
          <cell r="R972">
            <v>3</v>
          </cell>
          <cell r="S972">
            <v>0</v>
          </cell>
        </row>
        <row r="973">
          <cell r="R973">
            <v>3</v>
          </cell>
          <cell r="S973">
            <v>0</v>
          </cell>
        </row>
        <row r="974">
          <cell r="R974">
            <v>3</v>
          </cell>
          <cell r="S974">
            <v>0</v>
          </cell>
        </row>
        <row r="975">
          <cell r="R975">
            <v>3</v>
          </cell>
          <cell r="S975">
            <v>0</v>
          </cell>
        </row>
        <row r="976">
          <cell r="R976">
            <v>3</v>
          </cell>
          <cell r="S976">
            <v>0</v>
          </cell>
        </row>
        <row r="977">
          <cell r="R977">
            <v>3</v>
          </cell>
          <cell r="S977">
            <v>0</v>
          </cell>
        </row>
        <row r="978">
          <cell r="R978">
            <v>3</v>
          </cell>
          <cell r="S978">
            <v>0</v>
          </cell>
        </row>
        <row r="979">
          <cell r="R979">
            <v>3</v>
          </cell>
          <cell r="S979">
            <v>0</v>
          </cell>
        </row>
        <row r="980">
          <cell r="R980">
            <v>3</v>
          </cell>
          <cell r="S980">
            <v>0</v>
          </cell>
        </row>
        <row r="981">
          <cell r="R981">
            <v>3</v>
          </cell>
          <cell r="S981">
            <v>0</v>
          </cell>
        </row>
        <row r="982">
          <cell r="R982">
            <v>3</v>
          </cell>
          <cell r="S982">
            <v>0</v>
          </cell>
        </row>
        <row r="983">
          <cell r="R983">
            <v>3</v>
          </cell>
          <cell r="S983">
            <v>0</v>
          </cell>
        </row>
        <row r="984">
          <cell r="R984">
            <v>3</v>
          </cell>
          <cell r="S984">
            <v>0</v>
          </cell>
        </row>
        <row r="985">
          <cell r="R985">
            <v>3</v>
          </cell>
          <cell r="S985">
            <v>0</v>
          </cell>
        </row>
        <row r="986">
          <cell r="R986">
            <v>3</v>
          </cell>
          <cell r="S986">
            <v>0</v>
          </cell>
        </row>
        <row r="987">
          <cell r="R987">
            <v>3</v>
          </cell>
          <cell r="S987">
            <v>0</v>
          </cell>
        </row>
        <row r="988">
          <cell r="R988">
            <v>3</v>
          </cell>
          <cell r="S988">
            <v>0</v>
          </cell>
        </row>
        <row r="989">
          <cell r="R989">
            <v>3</v>
          </cell>
          <cell r="S989">
            <v>0</v>
          </cell>
        </row>
        <row r="990">
          <cell r="R990">
            <v>3</v>
          </cell>
          <cell r="S990">
            <v>0</v>
          </cell>
        </row>
        <row r="991">
          <cell r="R991">
            <v>3</v>
          </cell>
          <cell r="S991">
            <v>0</v>
          </cell>
        </row>
        <row r="992">
          <cell r="R992">
            <v>3</v>
          </cell>
          <cell r="S992">
            <v>0</v>
          </cell>
        </row>
        <row r="993">
          <cell r="R993">
            <v>3</v>
          </cell>
          <cell r="S993">
            <v>0</v>
          </cell>
        </row>
        <row r="994">
          <cell r="R994">
            <v>3</v>
          </cell>
          <cell r="S994">
            <v>0</v>
          </cell>
        </row>
        <row r="995">
          <cell r="R995">
            <v>3</v>
          </cell>
          <cell r="S995">
            <v>0</v>
          </cell>
        </row>
        <row r="996">
          <cell r="R996">
            <v>3</v>
          </cell>
          <cell r="S996">
            <v>0</v>
          </cell>
        </row>
        <row r="997">
          <cell r="R997">
            <v>3</v>
          </cell>
          <cell r="S997">
            <v>0</v>
          </cell>
        </row>
        <row r="998">
          <cell r="R998">
            <v>3</v>
          </cell>
          <cell r="S998">
            <v>0</v>
          </cell>
        </row>
        <row r="999">
          <cell r="R999">
            <v>3</v>
          </cell>
          <cell r="S999">
            <v>0</v>
          </cell>
        </row>
        <row r="1000">
          <cell r="R1000">
            <v>3</v>
          </cell>
          <cell r="S1000">
            <v>0</v>
          </cell>
        </row>
        <row r="1001">
          <cell r="R1001">
            <v>3</v>
          </cell>
          <cell r="S1001">
            <v>0</v>
          </cell>
        </row>
        <row r="1002">
          <cell r="R1002">
            <v>3</v>
          </cell>
          <cell r="S1002">
            <v>0</v>
          </cell>
        </row>
        <row r="1003">
          <cell r="R1003">
            <v>3</v>
          </cell>
          <cell r="S1003">
            <v>0</v>
          </cell>
        </row>
        <row r="1004">
          <cell r="R1004">
            <v>3</v>
          </cell>
          <cell r="S1004">
            <v>0</v>
          </cell>
        </row>
        <row r="1005">
          <cell r="R1005">
            <v>3</v>
          </cell>
          <cell r="S1005">
            <v>0</v>
          </cell>
        </row>
        <row r="1006">
          <cell r="R1006">
            <v>3</v>
          </cell>
          <cell r="S1006">
            <v>0</v>
          </cell>
        </row>
        <row r="1007">
          <cell r="R1007">
            <v>3</v>
          </cell>
          <cell r="S1007">
            <v>0</v>
          </cell>
        </row>
        <row r="1008">
          <cell r="R1008">
            <v>3</v>
          </cell>
          <cell r="S1008">
            <v>0</v>
          </cell>
        </row>
        <row r="1009">
          <cell r="R1009">
            <v>3</v>
          </cell>
          <cell r="S1009">
            <v>0</v>
          </cell>
        </row>
        <row r="1010">
          <cell r="R1010">
            <v>3</v>
          </cell>
          <cell r="S1010">
            <v>0</v>
          </cell>
        </row>
        <row r="1011">
          <cell r="R1011">
            <v>3</v>
          </cell>
          <cell r="S1011">
            <v>0</v>
          </cell>
        </row>
        <row r="1012">
          <cell r="R1012">
            <v>3</v>
          </cell>
          <cell r="S1012">
            <v>0</v>
          </cell>
        </row>
        <row r="1013">
          <cell r="R1013">
            <v>3</v>
          </cell>
          <cell r="S1013">
            <v>0</v>
          </cell>
        </row>
        <row r="1014">
          <cell r="R1014">
            <v>3</v>
          </cell>
          <cell r="S1014">
            <v>0</v>
          </cell>
        </row>
        <row r="1015">
          <cell r="R1015">
            <v>3</v>
          </cell>
          <cell r="S1015">
            <v>0</v>
          </cell>
        </row>
        <row r="1016">
          <cell r="R1016">
            <v>3</v>
          </cell>
          <cell r="S1016">
            <v>0</v>
          </cell>
        </row>
        <row r="1017">
          <cell r="R1017">
            <v>3</v>
          </cell>
          <cell r="S1017">
            <v>0</v>
          </cell>
        </row>
        <row r="1018">
          <cell r="R1018">
            <v>3</v>
          </cell>
          <cell r="S1018">
            <v>0</v>
          </cell>
        </row>
        <row r="1019">
          <cell r="R1019">
            <v>3</v>
          </cell>
          <cell r="S1019">
            <v>0</v>
          </cell>
        </row>
        <row r="1020">
          <cell r="R1020">
            <v>3</v>
          </cell>
          <cell r="S1020">
            <v>0</v>
          </cell>
        </row>
        <row r="1021">
          <cell r="R1021">
            <v>3</v>
          </cell>
          <cell r="S1021">
            <v>0</v>
          </cell>
        </row>
        <row r="1022">
          <cell r="R1022">
            <v>3</v>
          </cell>
          <cell r="S1022">
            <v>0</v>
          </cell>
        </row>
        <row r="1023">
          <cell r="R1023">
            <v>3</v>
          </cell>
          <cell r="S1023">
            <v>0</v>
          </cell>
        </row>
        <row r="1024">
          <cell r="R1024">
            <v>3</v>
          </cell>
          <cell r="S1024">
            <v>0</v>
          </cell>
        </row>
        <row r="1025">
          <cell r="R1025">
            <v>3</v>
          </cell>
          <cell r="S1025">
            <v>0</v>
          </cell>
        </row>
        <row r="1026">
          <cell r="R1026">
            <v>3</v>
          </cell>
          <cell r="S1026">
            <v>0</v>
          </cell>
        </row>
        <row r="1027">
          <cell r="R1027">
            <v>3</v>
          </cell>
          <cell r="S1027">
            <v>0</v>
          </cell>
        </row>
        <row r="1028">
          <cell r="R1028">
            <v>3</v>
          </cell>
          <cell r="S1028">
            <v>0</v>
          </cell>
        </row>
        <row r="1029">
          <cell r="R1029">
            <v>3</v>
          </cell>
          <cell r="S1029">
            <v>0</v>
          </cell>
        </row>
        <row r="1030">
          <cell r="R1030">
            <v>3</v>
          </cell>
          <cell r="S1030">
            <v>0</v>
          </cell>
        </row>
        <row r="1031">
          <cell r="R1031">
            <v>3</v>
          </cell>
          <cell r="S1031">
            <v>0</v>
          </cell>
        </row>
        <row r="1032">
          <cell r="R1032">
            <v>3</v>
          </cell>
          <cell r="S1032">
            <v>0</v>
          </cell>
        </row>
        <row r="1033">
          <cell r="R1033">
            <v>3</v>
          </cell>
          <cell r="S1033">
            <v>0</v>
          </cell>
        </row>
        <row r="1034">
          <cell r="R1034">
            <v>3</v>
          </cell>
          <cell r="S1034">
            <v>0</v>
          </cell>
        </row>
        <row r="1035">
          <cell r="R1035">
            <v>3</v>
          </cell>
          <cell r="S1035">
            <v>0</v>
          </cell>
        </row>
        <row r="1036">
          <cell r="R1036">
            <v>3</v>
          </cell>
          <cell r="S1036">
            <v>0</v>
          </cell>
        </row>
        <row r="1037">
          <cell r="R1037">
            <v>3</v>
          </cell>
          <cell r="S1037">
            <v>0</v>
          </cell>
        </row>
        <row r="1038">
          <cell r="R1038">
            <v>3</v>
          </cell>
          <cell r="S1038">
            <v>0</v>
          </cell>
        </row>
        <row r="1039">
          <cell r="R1039">
            <v>3</v>
          </cell>
          <cell r="S1039">
            <v>0</v>
          </cell>
        </row>
        <row r="1040">
          <cell r="R1040">
            <v>3</v>
          </cell>
          <cell r="S1040">
            <v>0</v>
          </cell>
        </row>
        <row r="1041">
          <cell r="R1041">
            <v>3</v>
          </cell>
          <cell r="S1041">
            <v>0</v>
          </cell>
        </row>
        <row r="1042">
          <cell r="R1042">
            <v>3</v>
          </cell>
          <cell r="S1042">
            <v>0</v>
          </cell>
        </row>
        <row r="1043">
          <cell r="R1043">
            <v>3</v>
          </cell>
          <cell r="S1043">
            <v>0</v>
          </cell>
        </row>
        <row r="1044">
          <cell r="R1044">
            <v>3</v>
          </cell>
          <cell r="S1044">
            <v>0</v>
          </cell>
        </row>
        <row r="1045">
          <cell r="R1045">
            <v>3</v>
          </cell>
          <cell r="S1045">
            <v>0</v>
          </cell>
        </row>
        <row r="1046">
          <cell r="R1046">
            <v>3</v>
          </cell>
          <cell r="S1046">
            <v>0</v>
          </cell>
        </row>
        <row r="1047">
          <cell r="R1047">
            <v>3</v>
          </cell>
          <cell r="S1047">
            <v>0</v>
          </cell>
        </row>
        <row r="1048">
          <cell r="R1048">
            <v>3</v>
          </cell>
          <cell r="S1048">
            <v>0</v>
          </cell>
        </row>
        <row r="1049">
          <cell r="R1049">
            <v>3</v>
          </cell>
          <cell r="S1049">
            <v>0</v>
          </cell>
        </row>
        <row r="1050">
          <cell r="R1050">
            <v>3</v>
          </cell>
          <cell r="S1050">
            <v>0</v>
          </cell>
        </row>
        <row r="1051">
          <cell r="R1051">
            <v>3</v>
          </cell>
          <cell r="S1051">
            <v>0</v>
          </cell>
        </row>
        <row r="1052">
          <cell r="R1052">
            <v>3</v>
          </cell>
          <cell r="S1052">
            <v>0</v>
          </cell>
        </row>
        <row r="1053">
          <cell r="R1053">
            <v>3</v>
          </cell>
          <cell r="S1053">
            <v>0</v>
          </cell>
        </row>
        <row r="1054">
          <cell r="R1054">
            <v>3</v>
          </cell>
          <cell r="S1054">
            <v>0</v>
          </cell>
        </row>
        <row r="1055">
          <cell r="R1055">
            <v>3</v>
          </cell>
          <cell r="S1055">
            <v>0</v>
          </cell>
        </row>
        <row r="1056">
          <cell r="R1056">
            <v>3</v>
          </cell>
          <cell r="S1056">
            <v>0</v>
          </cell>
        </row>
        <row r="1057">
          <cell r="R1057">
            <v>3</v>
          </cell>
          <cell r="S1057">
            <v>0</v>
          </cell>
        </row>
        <row r="1058">
          <cell r="R1058">
            <v>3</v>
          </cell>
          <cell r="S1058">
            <v>0</v>
          </cell>
        </row>
        <row r="1059">
          <cell r="R1059">
            <v>3</v>
          </cell>
          <cell r="S1059">
            <v>0</v>
          </cell>
        </row>
        <row r="1060">
          <cell r="R1060">
            <v>3</v>
          </cell>
          <cell r="S1060">
            <v>0</v>
          </cell>
        </row>
        <row r="1061">
          <cell r="R1061">
            <v>3</v>
          </cell>
          <cell r="S1061">
            <v>0</v>
          </cell>
        </row>
        <row r="1062">
          <cell r="R1062">
            <v>3</v>
          </cell>
          <cell r="S1062">
            <v>0</v>
          </cell>
        </row>
        <row r="1063">
          <cell r="R1063">
            <v>3</v>
          </cell>
          <cell r="S1063">
            <v>0</v>
          </cell>
        </row>
        <row r="1064">
          <cell r="R1064">
            <v>3</v>
          </cell>
          <cell r="S1064">
            <v>0</v>
          </cell>
        </row>
        <row r="1065">
          <cell r="R1065">
            <v>3</v>
          </cell>
          <cell r="S1065">
            <v>0</v>
          </cell>
        </row>
        <row r="1066">
          <cell r="R1066">
            <v>3</v>
          </cell>
          <cell r="S1066">
            <v>0</v>
          </cell>
        </row>
        <row r="1067">
          <cell r="R1067">
            <v>3</v>
          </cell>
          <cell r="S1067">
            <v>0</v>
          </cell>
        </row>
        <row r="1068">
          <cell r="R1068">
            <v>3</v>
          </cell>
          <cell r="S1068">
            <v>0</v>
          </cell>
        </row>
        <row r="1069">
          <cell r="R1069">
            <v>3</v>
          </cell>
          <cell r="S1069">
            <v>0</v>
          </cell>
        </row>
        <row r="1070">
          <cell r="R1070">
            <v>3</v>
          </cell>
          <cell r="S1070">
            <v>0</v>
          </cell>
        </row>
        <row r="1071">
          <cell r="R1071">
            <v>3</v>
          </cell>
          <cell r="S1071">
            <v>0</v>
          </cell>
        </row>
        <row r="1072">
          <cell r="R1072">
            <v>3</v>
          </cell>
          <cell r="S1072">
            <v>0</v>
          </cell>
        </row>
        <row r="1073">
          <cell r="R1073">
            <v>3</v>
          </cell>
          <cell r="S1073">
            <v>0</v>
          </cell>
        </row>
        <row r="1074">
          <cell r="R1074">
            <v>3</v>
          </cell>
          <cell r="S1074">
            <v>0</v>
          </cell>
        </row>
        <row r="1075">
          <cell r="R1075">
            <v>3</v>
          </cell>
          <cell r="S1075">
            <v>0</v>
          </cell>
        </row>
        <row r="1076">
          <cell r="R1076">
            <v>3</v>
          </cell>
          <cell r="S1076">
            <v>0</v>
          </cell>
        </row>
        <row r="1077">
          <cell r="R1077">
            <v>3</v>
          </cell>
          <cell r="S1077">
            <v>0</v>
          </cell>
        </row>
        <row r="1078">
          <cell r="R1078">
            <v>3</v>
          </cell>
          <cell r="S1078">
            <v>0</v>
          </cell>
        </row>
        <row r="1079">
          <cell r="R1079">
            <v>3</v>
          </cell>
          <cell r="S1079">
            <v>0</v>
          </cell>
        </row>
        <row r="1080">
          <cell r="R1080">
            <v>3</v>
          </cell>
          <cell r="S1080">
            <v>0</v>
          </cell>
        </row>
        <row r="1081">
          <cell r="R1081">
            <v>3</v>
          </cell>
          <cell r="S1081">
            <v>0</v>
          </cell>
        </row>
        <row r="1082">
          <cell r="R1082">
            <v>3</v>
          </cell>
          <cell r="S1082">
            <v>0</v>
          </cell>
        </row>
        <row r="1083">
          <cell r="R1083">
            <v>3</v>
          </cell>
          <cell r="S1083">
            <v>0</v>
          </cell>
        </row>
        <row r="1084">
          <cell r="R1084">
            <v>3</v>
          </cell>
          <cell r="S1084">
            <v>0</v>
          </cell>
        </row>
        <row r="1085">
          <cell r="R1085">
            <v>3</v>
          </cell>
          <cell r="S1085">
            <v>0</v>
          </cell>
        </row>
        <row r="1086">
          <cell r="R1086">
            <v>3</v>
          </cell>
          <cell r="S1086">
            <v>0</v>
          </cell>
        </row>
        <row r="1087">
          <cell r="R1087">
            <v>3</v>
          </cell>
          <cell r="S1087">
            <v>0</v>
          </cell>
        </row>
        <row r="1088">
          <cell r="R1088">
            <v>3</v>
          </cell>
          <cell r="S1088">
            <v>0</v>
          </cell>
        </row>
        <row r="1089">
          <cell r="R1089">
            <v>3</v>
          </cell>
          <cell r="S1089">
            <v>0</v>
          </cell>
        </row>
        <row r="1090">
          <cell r="R1090">
            <v>3</v>
          </cell>
          <cell r="S1090">
            <v>0</v>
          </cell>
        </row>
        <row r="1091">
          <cell r="R1091">
            <v>3</v>
          </cell>
          <cell r="S1091">
            <v>0</v>
          </cell>
        </row>
        <row r="1092">
          <cell r="R1092">
            <v>3</v>
          </cell>
          <cell r="S1092">
            <v>0</v>
          </cell>
        </row>
        <row r="1093">
          <cell r="R1093">
            <v>3</v>
          </cell>
          <cell r="S1093">
            <v>0</v>
          </cell>
        </row>
        <row r="1094">
          <cell r="R1094">
            <v>3</v>
          </cell>
          <cell r="S1094">
            <v>0</v>
          </cell>
        </row>
        <row r="1095">
          <cell r="R1095">
            <v>3</v>
          </cell>
          <cell r="S1095">
            <v>0</v>
          </cell>
        </row>
        <row r="1096">
          <cell r="R1096">
            <v>3</v>
          </cell>
          <cell r="S1096">
            <v>0</v>
          </cell>
        </row>
        <row r="1097">
          <cell r="R1097">
            <v>3</v>
          </cell>
          <cell r="S1097">
            <v>0</v>
          </cell>
        </row>
        <row r="1098">
          <cell r="R1098">
            <v>3</v>
          </cell>
          <cell r="S1098">
            <v>0</v>
          </cell>
        </row>
        <row r="1099">
          <cell r="R1099">
            <v>3</v>
          </cell>
          <cell r="S1099">
            <v>0</v>
          </cell>
        </row>
        <row r="1100">
          <cell r="R1100">
            <v>3</v>
          </cell>
          <cell r="S1100">
            <v>0</v>
          </cell>
        </row>
        <row r="1101">
          <cell r="R1101">
            <v>3</v>
          </cell>
          <cell r="S1101">
            <v>0</v>
          </cell>
        </row>
        <row r="1102">
          <cell r="R1102">
            <v>3</v>
          </cell>
          <cell r="S1102">
            <v>0</v>
          </cell>
        </row>
        <row r="1103">
          <cell r="R1103">
            <v>3</v>
          </cell>
          <cell r="S1103">
            <v>0</v>
          </cell>
        </row>
        <row r="1104">
          <cell r="R1104">
            <v>3</v>
          </cell>
          <cell r="S1104">
            <v>0</v>
          </cell>
        </row>
        <row r="1105">
          <cell r="R1105">
            <v>3</v>
          </cell>
          <cell r="S1105">
            <v>0</v>
          </cell>
        </row>
        <row r="1106">
          <cell r="R1106">
            <v>3</v>
          </cell>
          <cell r="S1106">
            <v>0</v>
          </cell>
        </row>
        <row r="1107">
          <cell r="R1107">
            <v>3</v>
          </cell>
          <cell r="S1107">
            <v>0</v>
          </cell>
        </row>
        <row r="1108">
          <cell r="R1108">
            <v>3</v>
          </cell>
          <cell r="S1108">
            <v>0</v>
          </cell>
        </row>
        <row r="1109">
          <cell r="R1109">
            <v>3</v>
          </cell>
          <cell r="S1109">
            <v>0</v>
          </cell>
        </row>
        <row r="1110">
          <cell r="R1110">
            <v>3</v>
          </cell>
          <cell r="S1110">
            <v>0</v>
          </cell>
        </row>
        <row r="1111">
          <cell r="R1111">
            <v>3</v>
          </cell>
          <cell r="S1111">
            <v>0</v>
          </cell>
        </row>
        <row r="1112">
          <cell r="R1112">
            <v>3</v>
          </cell>
          <cell r="S1112">
            <v>0</v>
          </cell>
        </row>
        <row r="1113">
          <cell r="R1113">
            <v>3</v>
          </cell>
          <cell r="S1113">
            <v>0</v>
          </cell>
        </row>
        <row r="1114">
          <cell r="R1114">
            <v>3</v>
          </cell>
          <cell r="S1114">
            <v>0</v>
          </cell>
        </row>
        <row r="1115">
          <cell r="R1115">
            <v>3</v>
          </cell>
          <cell r="S1115">
            <v>0</v>
          </cell>
        </row>
        <row r="1116">
          <cell r="R1116">
            <v>3</v>
          </cell>
          <cell r="S1116">
            <v>0</v>
          </cell>
        </row>
        <row r="1117">
          <cell r="R1117">
            <v>3</v>
          </cell>
          <cell r="S1117">
            <v>0</v>
          </cell>
        </row>
        <row r="1118">
          <cell r="R1118">
            <v>3</v>
          </cell>
          <cell r="S1118">
            <v>0</v>
          </cell>
        </row>
        <row r="1119">
          <cell r="R1119">
            <v>3</v>
          </cell>
          <cell r="S1119">
            <v>0</v>
          </cell>
        </row>
        <row r="1120">
          <cell r="R1120">
            <v>3</v>
          </cell>
          <cell r="S1120">
            <v>0</v>
          </cell>
        </row>
        <row r="1121">
          <cell r="R1121">
            <v>3</v>
          </cell>
          <cell r="S1121">
            <v>0</v>
          </cell>
        </row>
        <row r="1122">
          <cell r="R1122">
            <v>3</v>
          </cell>
          <cell r="S1122">
            <v>0</v>
          </cell>
        </row>
        <row r="1123">
          <cell r="R1123">
            <v>3</v>
          </cell>
          <cell r="S1123">
            <v>0</v>
          </cell>
        </row>
        <row r="1124">
          <cell r="R1124">
            <v>3</v>
          </cell>
          <cell r="S1124">
            <v>0</v>
          </cell>
        </row>
        <row r="1125">
          <cell r="R1125">
            <v>3</v>
          </cell>
          <cell r="S1125">
            <v>0</v>
          </cell>
        </row>
        <row r="1126">
          <cell r="R1126">
            <v>3</v>
          </cell>
          <cell r="S1126">
            <v>0</v>
          </cell>
        </row>
        <row r="1127">
          <cell r="R1127">
            <v>3</v>
          </cell>
          <cell r="S1127">
            <v>0</v>
          </cell>
        </row>
        <row r="1128">
          <cell r="R1128">
            <v>3</v>
          </cell>
          <cell r="S1128">
            <v>0</v>
          </cell>
        </row>
        <row r="1129">
          <cell r="R1129">
            <v>3</v>
          </cell>
          <cell r="S1129">
            <v>0</v>
          </cell>
        </row>
        <row r="1130">
          <cell r="R1130">
            <v>3</v>
          </cell>
          <cell r="S1130">
            <v>0</v>
          </cell>
        </row>
        <row r="1131">
          <cell r="R1131">
            <v>3</v>
          </cell>
          <cell r="S1131">
            <v>0</v>
          </cell>
        </row>
        <row r="1132">
          <cell r="R1132">
            <v>3</v>
          </cell>
          <cell r="S1132">
            <v>0</v>
          </cell>
        </row>
        <row r="1133">
          <cell r="R1133">
            <v>3</v>
          </cell>
          <cell r="S1133">
            <v>0</v>
          </cell>
        </row>
        <row r="1134">
          <cell r="R1134">
            <v>3</v>
          </cell>
          <cell r="S1134">
            <v>0</v>
          </cell>
        </row>
        <row r="1135">
          <cell r="R1135">
            <v>3</v>
          </cell>
          <cell r="S1135">
            <v>0</v>
          </cell>
        </row>
        <row r="1136">
          <cell r="R1136">
            <v>3</v>
          </cell>
          <cell r="S1136">
            <v>0</v>
          </cell>
        </row>
        <row r="1137">
          <cell r="R1137">
            <v>3</v>
          </cell>
          <cell r="S1137">
            <v>0</v>
          </cell>
        </row>
        <row r="1138">
          <cell r="R1138">
            <v>3</v>
          </cell>
          <cell r="S1138">
            <v>0</v>
          </cell>
        </row>
        <row r="1139">
          <cell r="R1139">
            <v>3</v>
          </cell>
          <cell r="S1139">
            <v>0</v>
          </cell>
        </row>
        <row r="1140">
          <cell r="R1140">
            <v>3</v>
          </cell>
          <cell r="S1140">
            <v>0</v>
          </cell>
        </row>
        <row r="1141">
          <cell r="R1141">
            <v>3</v>
          </cell>
          <cell r="S1141">
            <v>0</v>
          </cell>
        </row>
        <row r="1142">
          <cell r="R1142">
            <v>3</v>
          </cell>
          <cell r="S1142">
            <v>0</v>
          </cell>
        </row>
        <row r="1143">
          <cell r="R1143">
            <v>3</v>
          </cell>
          <cell r="S1143">
            <v>0</v>
          </cell>
        </row>
        <row r="1144">
          <cell r="R1144">
            <v>3</v>
          </cell>
          <cell r="S1144">
            <v>0</v>
          </cell>
        </row>
        <row r="1145">
          <cell r="R1145">
            <v>3</v>
          </cell>
          <cell r="S1145">
            <v>0</v>
          </cell>
        </row>
        <row r="1146">
          <cell r="R1146">
            <v>3</v>
          </cell>
          <cell r="S1146">
            <v>0</v>
          </cell>
        </row>
        <row r="1147">
          <cell r="R1147">
            <v>3</v>
          </cell>
          <cell r="S1147">
            <v>0</v>
          </cell>
        </row>
        <row r="1148">
          <cell r="R1148">
            <v>3</v>
          </cell>
          <cell r="S1148">
            <v>0</v>
          </cell>
        </row>
        <row r="1149">
          <cell r="R1149">
            <v>3</v>
          </cell>
          <cell r="S1149">
            <v>0</v>
          </cell>
        </row>
        <row r="1150">
          <cell r="R1150">
            <v>3</v>
          </cell>
          <cell r="S1150">
            <v>0</v>
          </cell>
        </row>
        <row r="1151">
          <cell r="R1151">
            <v>3</v>
          </cell>
          <cell r="S1151">
            <v>0</v>
          </cell>
        </row>
        <row r="1152">
          <cell r="R1152">
            <v>3</v>
          </cell>
          <cell r="S1152">
            <v>0</v>
          </cell>
        </row>
        <row r="1153">
          <cell r="R1153">
            <v>3</v>
          </cell>
          <cell r="S1153">
            <v>0</v>
          </cell>
        </row>
        <row r="1154">
          <cell r="R1154">
            <v>3</v>
          </cell>
          <cell r="S1154">
            <v>0</v>
          </cell>
        </row>
        <row r="1155">
          <cell r="R1155">
            <v>3</v>
          </cell>
          <cell r="S1155">
            <v>0</v>
          </cell>
        </row>
        <row r="1156">
          <cell r="R1156">
            <v>3</v>
          </cell>
          <cell r="S1156">
            <v>0</v>
          </cell>
        </row>
        <row r="1157">
          <cell r="R1157">
            <v>3</v>
          </cell>
          <cell r="S1157">
            <v>0</v>
          </cell>
        </row>
        <row r="1158">
          <cell r="R1158">
            <v>3</v>
          </cell>
          <cell r="S1158">
            <v>0</v>
          </cell>
        </row>
        <row r="1159">
          <cell r="R1159">
            <v>3</v>
          </cell>
          <cell r="S1159">
            <v>0</v>
          </cell>
        </row>
        <row r="1160">
          <cell r="R1160">
            <v>3</v>
          </cell>
          <cell r="S1160">
            <v>0</v>
          </cell>
        </row>
        <row r="1161">
          <cell r="R1161">
            <v>3</v>
          </cell>
          <cell r="S1161">
            <v>0</v>
          </cell>
        </row>
        <row r="1162">
          <cell r="R1162">
            <v>3</v>
          </cell>
          <cell r="S1162">
            <v>0</v>
          </cell>
        </row>
        <row r="1163">
          <cell r="R1163">
            <v>3</v>
          </cell>
          <cell r="S1163">
            <v>0</v>
          </cell>
        </row>
        <row r="1164">
          <cell r="R1164">
            <v>3</v>
          </cell>
          <cell r="S1164">
            <v>0</v>
          </cell>
        </row>
        <row r="1165">
          <cell r="R1165">
            <v>3</v>
          </cell>
          <cell r="S1165">
            <v>0</v>
          </cell>
        </row>
        <row r="1166">
          <cell r="R1166">
            <v>3</v>
          </cell>
          <cell r="S1166">
            <v>0</v>
          </cell>
        </row>
        <row r="1167">
          <cell r="R1167">
            <v>3</v>
          </cell>
          <cell r="S1167">
            <v>0</v>
          </cell>
        </row>
        <row r="1168">
          <cell r="R1168">
            <v>3</v>
          </cell>
          <cell r="S1168">
            <v>0</v>
          </cell>
        </row>
        <row r="1169">
          <cell r="R1169">
            <v>3</v>
          </cell>
          <cell r="S1169">
            <v>0</v>
          </cell>
        </row>
        <row r="1170">
          <cell r="R1170">
            <v>3</v>
          </cell>
          <cell r="S1170">
            <v>0</v>
          </cell>
        </row>
        <row r="1171">
          <cell r="R1171">
            <v>3</v>
          </cell>
          <cell r="S1171">
            <v>0</v>
          </cell>
        </row>
        <row r="1172">
          <cell r="R1172">
            <v>3</v>
          </cell>
          <cell r="S1172">
            <v>0</v>
          </cell>
        </row>
        <row r="1173">
          <cell r="R1173">
            <v>3</v>
          </cell>
          <cell r="S1173">
            <v>0</v>
          </cell>
        </row>
        <row r="1174">
          <cell r="R1174">
            <v>3</v>
          </cell>
          <cell r="S1174">
            <v>0</v>
          </cell>
        </row>
        <row r="1175">
          <cell r="R1175">
            <v>3</v>
          </cell>
          <cell r="S1175">
            <v>0</v>
          </cell>
        </row>
        <row r="1176">
          <cell r="R1176">
            <v>3</v>
          </cell>
          <cell r="S1176">
            <v>0</v>
          </cell>
        </row>
        <row r="1177">
          <cell r="R1177">
            <v>3</v>
          </cell>
          <cell r="S1177">
            <v>0</v>
          </cell>
        </row>
        <row r="1178">
          <cell r="R1178">
            <v>3</v>
          </cell>
          <cell r="S1178">
            <v>0</v>
          </cell>
        </row>
        <row r="1179">
          <cell r="R1179">
            <v>3</v>
          </cell>
          <cell r="S1179">
            <v>0</v>
          </cell>
        </row>
        <row r="1180">
          <cell r="R1180">
            <v>3</v>
          </cell>
          <cell r="S1180">
            <v>0</v>
          </cell>
        </row>
        <row r="1181">
          <cell r="R1181">
            <v>3</v>
          </cell>
          <cell r="S1181">
            <v>0</v>
          </cell>
        </row>
        <row r="1182">
          <cell r="R1182">
            <v>3</v>
          </cell>
          <cell r="S1182">
            <v>0</v>
          </cell>
        </row>
        <row r="1183">
          <cell r="R1183">
            <v>3</v>
          </cell>
          <cell r="S1183">
            <v>0</v>
          </cell>
        </row>
        <row r="1184">
          <cell r="R1184">
            <v>3</v>
          </cell>
          <cell r="S1184">
            <v>0</v>
          </cell>
        </row>
        <row r="1185">
          <cell r="R1185">
            <v>3</v>
          </cell>
          <cell r="S1185">
            <v>0</v>
          </cell>
        </row>
        <row r="1186">
          <cell r="R1186">
            <v>3</v>
          </cell>
          <cell r="S1186">
            <v>0</v>
          </cell>
        </row>
        <row r="1187">
          <cell r="R1187">
            <v>3</v>
          </cell>
          <cell r="S1187">
            <v>0</v>
          </cell>
        </row>
        <row r="1188">
          <cell r="R1188">
            <v>3</v>
          </cell>
          <cell r="S1188">
            <v>0</v>
          </cell>
        </row>
        <row r="1189">
          <cell r="R1189">
            <v>3</v>
          </cell>
          <cell r="S1189">
            <v>0</v>
          </cell>
        </row>
        <row r="1190">
          <cell r="R1190">
            <v>3</v>
          </cell>
          <cell r="S1190">
            <v>0</v>
          </cell>
        </row>
        <row r="1191">
          <cell r="R1191">
            <v>3</v>
          </cell>
          <cell r="S1191">
            <v>0</v>
          </cell>
        </row>
        <row r="1192">
          <cell r="R1192">
            <v>3</v>
          </cell>
          <cell r="S1192">
            <v>0</v>
          </cell>
        </row>
        <row r="1193">
          <cell r="R1193">
            <v>3</v>
          </cell>
          <cell r="S1193">
            <v>0</v>
          </cell>
        </row>
        <row r="1194">
          <cell r="R1194">
            <v>3</v>
          </cell>
          <cell r="S1194">
            <v>0</v>
          </cell>
        </row>
        <row r="1195">
          <cell r="R1195">
            <v>3</v>
          </cell>
          <cell r="S1195">
            <v>0</v>
          </cell>
        </row>
        <row r="1196">
          <cell r="R1196">
            <v>3</v>
          </cell>
          <cell r="S1196">
            <v>0</v>
          </cell>
        </row>
        <row r="1197">
          <cell r="R1197">
            <v>3</v>
          </cell>
          <cell r="S1197">
            <v>0</v>
          </cell>
        </row>
        <row r="1198">
          <cell r="R1198">
            <v>3</v>
          </cell>
          <cell r="S1198">
            <v>0</v>
          </cell>
        </row>
        <row r="1199">
          <cell r="R1199">
            <v>3</v>
          </cell>
          <cell r="S1199">
            <v>0</v>
          </cell>
        </row>
        <row r="1200">
          <cell r="R1200">
            <v>3</v>
          </cell>
          <cell r="S1200">
            <v>0</v>
          </cell>
        </row>
        <row r="1201">
          <cell r="R1201">
            <v>3</v>
          </cell>
          <cell r="S1201">
            <v>0</v>
          </cell>
        </row>
        <row r="1202">
          <cell r="R1202">
            <v>3</v>
          </cell>
          <cell r="S1202">
            <v>0</v>
          </cell>
        </row>
        <row r="1203">
          <cell r="R1203">
            <v>3</v>
          </cell>
          <cell r="S1203">
            <v>0</v>
          </cell>
        </row>
        <row r="1204">
          <cell r="R1204">
            <v>3</v>
          </cell>
          <cell r="S1204">
            <v>0</v>
          </cell>
        </row>
        <row r="1205">
          <cell r="R1205">
            <v>3</v>
          </cell>
          <cell r="S1205">
            <v>0</v>
          </cell>
        </row>
        <row r="1206">
          <cell r="R1206">
            <v>3</v>
          </cell>
          <cell r="S1206">
            <v>0</v>
          </cell>
        </row>
        <row r="1207">
          <cell r="R1207">
            <v>3</v>
          </cell>
          <cell r="S1207">
            <v>0</v>
          </cell>
        </row>
        <row r="1208">
          <cell r="R1208">
            <v>3</v>
          </cell>
          <cell r="S1208">
            <v>0</v>
          </cell>
        </row>
        <row r="1209">
          <cell r="R1209">
            <v>3</v>
          </cell>
          <cell r="S1209">
            <v>0</v>
          </cell>
        </row>
        <row r="1210">
          <cell r="R1210">
            <v>3</v>
          </cell>
          <cell r="S1210">
            <v>0</v>
          </cell>
        </row>
        <row r="1211">
          <cell r="R1211">
            <v>3</v>
          </cell>
          <cell r="S1211">
            <v>0</v>
          </cell>
        </row>
        <row r="1212">
          <cell r="R1212">
            <v>3</v>
          </cell>
          <cell r="S1212">
            <v>0</v>
          </cell>
        </row>
        <row r="1213">
          <cell r="R1213">
            <v>3</v>
          </cell>
          <cell r="S1213">
            <v>0</v>
          </cell>
        </row>
        <row r="1214">
          <cell r="R1214">
            <v>3</v>
          </cell>
          <cell r="S1214">
            <v>0</v>
          </cell>
        </row>
        <row r="1215">
          <cell r="R1215">
            <v>3</v>
          </cell>
          <cell r="S1215">
            <v>0</v>
          </cell>
        </row>
        <row r="1216">
          <cell r="R1216">
            <v>3</v>
          </cell>
          <cell r="S1216">
            <v>0</v>
          </cell>
        </row>
        <row r="1217">
          <cell r="R1217">
            <v>3</v>
          </cell>
          <cell r="S1217">
            <v>0</v>
          </cell>
        </row>
        <row r="1218">
          <cell r="R1218">
            <v>3</v>
          </cell>
          <cell r="S1218">
            <v>0</v>
          </cell>
        </row>
        <row r="1219">
          <cell r="R1219">
            <v>3</v>
          </cell>
          <cell r="S1219">
            <v>0</v>
          </cell>
        </row>
        <row r="1220">
          <cell r="R1220">
            <v>3</v>
          </cell>
          <cell r="S1220">
            <v>0</v>
          </cell>
        </row>
        <row r="1221">
          <cell r="R1221">
            <v>3</v>
          </cell>
          <cell r="S1221">
            <v>0</v>
          </cell>
        </row>
        <row r="1222">
          <cell r="R1222">
            <v>3</v>
          </cell>
          <cell r="S1222">
            <v>0</v>
          </cell>
        </row>
        <row r="1223">
          <cell r="R1223">
            <v>3</v>
          </cell>
          <cell r="S1223">
            <v>0</v>
          </cell>
        </row>
        <row r="1224">
          <cell r="R1224">
            <v>3</v>
          </cell>
          <cell r="S1224">
            <v>0</v>
          </cell>
        </row>
        <row r="1225">
          <cell r="R1225">
            <v>3</v>
          </cell>
          <cell r="S1225">
            <v>0</v>
          </cell>
        </row>
        <row r="1226">
          <cell r="R1226">
            <v>3</v>
          </cell>
          <cell r="S1226">
            <v>0</v>
          </cell>
        </row>
        <row r="1227">
          <cell r="R1227">
            <v>3</v>
          </cell>
          <cell r="S1227">
            <v>0</v>
          </cell>
        </row>
        <row r="1228">
          <cell r="R1228">
            <v>3</v>
          </cell>
          <cell r="S1228">
            <v>0</v>
          </cell>
        </row>
        <row r="1229">
          <cell r="R1229">
            <v>3</v>
          </cell>
          <cell r="S1229">
            <v>0</v>
          </cell>
        </row>
        <row r="1230">
          <cell r="R1230">
            <v>3</v>
          </cell>
          <cell r="S1230">
            <v>0</v>
          </cell>
        </row>
        <row r="1231">
          <cell r="R1231">
            <v>3</v>
          </cell>
          <cell r="S1231">
            <v>0</v>
          </cell>
        </row>
        <row r="1232">
          <cell r="R1232">
            <v>3</v>
          </cell>
          <cell r="S1232">
            <v>0</v>
          </cell>
        </row>
        <row r="1233">
          <cell r="R1233">
            <v>3</v>
          </cell>
          <cell r="S1233">
            <v>0</v>
          </cell>
        </row>
        <row r="1234">
          <cell r="R1234">
            <v>3</v>
          </cell>
          <cell r="S1234">
            <v>0</v>
          </cell>
        </row>
        <row r="1235">
          <cell r="R1235">
            <v>3</v>
          </cell>
          <cell r="S1235">
            <v>0</v>
          </cell>
        </row>
        <row r="1236">
          <cell r="R1236">
            <v>3</v>
          </cell>
          <cell r="S1236">
            <v>0</v>
          </cell>
        </row>
        <row r="1237">
          <cell r="R1237">
            <v>3</v>
          </cell>
          <cell r="S1237">
            <v>0</v>
          </cell>
        </row>
        <row r="1238">
          <cell r="R1238">
            <v>3</v>
          </cell>
          <cell r="S1238">
            <v>0</v>
          </cell>
        </row>
        <row r="1239">
          <cell r="R1239">
            <v>3</v>
          </cell>
          <cell r="S1239">
            <v>0</v>
          </cell>
        </row>
        <row r="1240">
          <cell r="R1240">
            <v>3</v>
          </cell>
          <cell r="S1240">
            <v>0</v>
          </cell>
        </row>
        <row r="1241">
          <cell r="R1241">
            <v>3</v>
          </cell>
          <cell r="S1241">
            <v>0</v>
          </cell>
        </row>
        <row r="1242">
          <cell r="R1242">
            <v>3</v>
          </cell>
          <cell r="S1242">
            <v>0</v>
          </cell>
        </row>
        <row r="1243">
          <cell r="R1243">
            <v>3</v>
          </cell>
          <cell r="S1243">
            <v>0</v>
          </cell>
        </row>
        <row r="1244">
          <cell r="R1244">
            <v>3</v>
          </cell>
          <cell r="S1244">
            <v>0</v>
          </cell>
        </row>
        <row r="1245">
          <cell r="R1245">
            <v>3</v>
          </cell>
          <cell r="S1245">
            <v>0</v>
          </cell>
        </row>
        <row r="1246">
          <cell r="R1246">
            <v>3</v>
          </cell>
          <cell r="S1246">
            <v>0</v>
          </cell>
        </row>
        <row r="1247">
          <cell r="R1247">
            <v>3</v>
          </cell>
          <cell r="S1247">
            <v>0</v>
          </cell>
        </row>
        <row r="1248">
          <cell r="R1248">
            <v>3</v>
          </cell>
          <cell r="S1248">
            <v>0</v>
          </cell>
        </row>
        <row r="1249">
          <cell r="R1249">
            <v>3</v>
          </cell>
          <cell r="S1249">
            <v>0</v>
          </cell>
        </row>
        <row r="1250">
          <cell r="R1250">
            <v>3</v>
          </cell>
          <cell r="S1250">
            <v>0</v>
          </cell>
        </row>
        <row r="1251">
          <cell r="R1251">
            <v>3</v>
          </cell>
          <cell r="S1251">
            <v>0</v>
          </cell>
        </row>
        <row r="1252">
          <cell r="R1252">
            <v>3</v>
          </cell>
          <cell r="S1252">
            <v>0</v>
          </cell>
        </row>
        <row r="1253">
          <cell r="R1253">
            <v>3</v>
          </cell>
          <cell r="S1253">
            <v>0</v>
          </cell>
        </row>
        <row r="1254">
          <cell r="R1254">
            <v>3</v>
          </cell>
          <cell r="S1254">
            <v>0</v>
          </cell>
        </row>
        <row r="1255">
          <cell r="R1255">
            <v>3</v>
          </cell>
          <cell r="S1255">
            <v>0</v>
          </cell>
        </row>
        <row r="1256">
          <cell r="R1256">
            <v>3</v>
          </cell>
          <cell r="S1256">
            <v>0</v>
          </cell>
        </row>
        <row r="1257">
          <cell r="R1257">
            <v>3</v>
          </cell>
          <cell r="S1257">
            <v>0</v>
          </cell>
        </row>
        <row r="1258">
          <cell r="R1258">
            <v>3</v>
          </cell>
          <cell r="S1258">
            <v>0</v>
          </cell>
        </row>
        <row r="1259">
          <cell r="R1259">
            <v>3</v>
          </cell>
          <cell r="S1259">
            <v>0</v>
          </cell>
        </row>
        <row r="1260">
          <cell r="R1260">
            <v>3</v>
          </cell>
          <cell r="S1260">
            <v>0</v>
          </cell>
        </row>
        <row r="1261">
          <cell r="R1261">
            <v>3</v>
          </cell>
          <cell r="S1261">
            <v>0</v>
          </cell>
        </row>
        <row r="1262">
          <cell r="R1262">
            <v>3</v>
          </cell>
          <cell r="S1262">
            <v>0</v>
          </cell>
        </row>
        <row r="1263">
          <cell r="R1263">
            <v>3</v>
          </cell>
          <cell r="S1263">
            <v>0</v>
          </cell>
        </row>
        <row r="1264">
          <cell r="R1264">
            <v>3</v>
          </cell>
          <cell r="S1264">
            <v>0</v>
          </cell>
        </row>
        <row r="1265">
          <cell r="R1265">
            <v>3</v>
          </cell>
          <cell r="S1265">
            <v>0</v>
          </cell>
        </row>
        <row r="1266">
          <cell r="R1266">
            <v>3</v>
          </cell>
          <cell r="S1266">
            <v>0</v>
          </cell>
        </row>
        <row r="1267">
          <cell r="R1267">
            <v>3</v>
          </cell>
          <cell r="S1267">
            <v>0</v>
          </cell>
        </row>
        <row r="1268">
          <cell r="R1268">
            <v>3</v>
          </cell>
          <cell r="S1268">
            <v>0</v>
          </cell>
        </row>
        <row r="1269">
          <cell r="R1269">
            <v>3</v>
          </cell>
          <cell r="S1269">
            <v>0</v>
          </cell>
        </row>
        <row r="1270">
          <cell r="R1270">
            <v>3</v>
          </cell>
          <cell r="S1270">
            <v>0</v>
          </cell>
        </row>
        <row r="1271">
          <cell r="R1271">
            <v>3</v>
          </cell>
          <cell r="S1271">
            <v>0</v>
          </cell>
        </row>
        <row r="1272">
          <cell r="R1272">
            <v>3</v>
          </cell>
          <cell r="S1272">
            <v>0</v>
          </cell>
        </row>
        <row r="1273">
          <cell r="R1273">
            <v>3</v>
          </cell>
          <cell r="S1273">
            <v>0</v>
          </cell>
        </row>
        <row r="1274">
          <cell r="R1274">
            <v>3</v>
          </cell>
          <cell r="S1274">
            <v>0</v>
          </cell>
        </row>
        <row r="1275">
          <cell r="R1275">
            <v>3</v>
          </cell>
          <cell r="S1275">
            <v>0</v>
          </cell>
        </row>
        <row r="1276">
          <cell r="R1276">
            <v>3</v>
          </cell>
          <cell r="S1276">
            <v>0</v>
          </cell>
        </row>
        <row r="1277">
          <cell r="R1277">
            <v>3</v>
          </cell>
          <cell r="S1277">
            <v>0</v>
          </cell>
        </row>
        <row r="1278">
          <cell r="R1278">
            <v>3</v>
          </cell>
          <cell r="S1278">
            <v>0</v>
          </cell>
        </row>
        <row r="1279">
          <cell r="R1279">
            <v>3</v>
          </cell>
          <cell r="S1279">
            <v>0</v>
          </cell>
        </row>
        <row r="1280">
          <cell r="R1280">
            <v>3</v>
          </cell>
          <cell r="S1280">
            <v>0</v>
          </cell>
        </row>
        <row r="1281">
          <cell r="R1281">
            <v>3</v>
          </cell>
          <cell r="S1281">
            <v>0</v>
          </cell>
        </row>
        <row r="1282">
          <cell r="R1282">
            <v>3</v>
          </cell>
          <cell r="S1282">
            <v>0</v>
          </cell>
        </row>
        <row r="1283">
          <cell r="R1283">
            <v>3</v>
          </cell>
          <cell r="S1283">
            <v>0</v>
          </cell>
        </row>
        <row r="1284">
          <cell r="R1284">
            <v>3</v>
          </cell>
          <cell r="S1284">
            <v>0</v>
          </cell>
        </row>
        <row r="1285">
          <cell r="R1285">
            <v>3</v>
          </cell>
          <cell r="S1285">
            <v>0</v>
          </cell>
        </row>
        <row r="1286">
          <cell r="R1286">
            <v>3</v>
          </cell>
          <cell r="S1286">
            <v>0</v>
          </cell>
        </row>
        <row r="1287">
          <cell r="R1287">
            <v>3</v>
          </cell>
          <cell r="S1287">
            <v>0</v>
          </cell>
        </row>
        <row r="1288">
          <cell r="R1288">
            <v>3</v>
          </cell>
          <cell r="S1288">
            <v>0</v>
          </cell>
        </row>
        <row r="1289">
          <cell r="R1289">
            <v>3</v>
          </cell>
          <cell r="S1289">
            <v>0</v>
          </cell>
        </row>
        <row r="1290">
          <cell r="R1290">
            <v>3</v>
          </cell>
          <cell r="S1290">
            <v>0</v>
          </cell>
        </row>
        <row r="1291">
          <cell r="R1291">
            <v>3</v>
          </cell>
          <cell r="S1291">
            <v>0</v>
          </cell>
        </row>
        <row r="1292">
          <cell r="R1292">
            <v>3</v>
          </cell>
          <cell r="S1292">
            <v>0</v>
          </cell>
        </row>
        <row r="1293">
          <cell r="R1293">
            <v>3</v>
          </cell>
          <cell r="S1293">
            <v>0</v>
          </cell>
        </row>
        <row r="1294">
          <cell r="R1294">
            <v>3</v>
          </cell>
          <cell r="S1294">
            <v>0</v>
          </cell>
        </row>
        <row r="1295">
          <cell r="R1295">
            <v>3</v>
          </cell>
          <cell r="S1295">
            <v>0</v>
          </cell>
        </row>
        <row r="1296">
          <cell r="R1296">
            <v>3</v>
          </cell>
          <cell r="S1296">
            <v>0</v>
          </cell>
        </row>
        <row r="1297">
          <cell r="R1297">
            <v>3</v>
          </cell>
          <cell r="S1297">
            <v>0</v>
          </cell>
        </row>
        <row r="1298">
          <cell r="R1298">
            <v>3</v>
          </cell>
          <cell r="S1298">
            <v>0</v>
          </cell>
        </row>
        <row r="1299">
          <cell r="R1299">
            <v>3</v>
          </cell>
          <cell r="S1299">
            <v>0</v>
          </cell>
        </row>
        <row r="1300">
          <cell r="R1300">
            <v>3</v>
          </cell>
          <cell r="S1300">
            <v>0</v>
          </cell>
        </row>
        <row r="1301">
          <cell r="R1301">
            <v>3</v>
          </cell>
          <cell r="S1301">
            <v>0</v>
          </cell>
        </row>
        <row r="1302">
          <cell r="R1302">
            <v>3</v>
          </cell>
          <cell r="S1302">
            <v>0</v>
          </cell>
        </row>
        <row r="1303">
          <cell r="R1303">
            <v>3</v>
          </cell>
          <cell r="S1303">
            <v>0</v>
          </cell>
        </row>
        <row r="1304">
          <cell r="R1304">
            <v>3</v>
          </cell>
          <cell r="S1304">
            <v>0</v>
          </cell>
        </row>
        <row r="1305">
          <cell r="R1305">
            <v>3</v>
          </cell>
          <cell r="S1305">
            <v>0</v>
          </cell>
        </row>
        <row r="1306">
          <cell r="R1306">
            <v>3</v>
          </cell>
          <cell r="S1306">
            <v>0</v>
          </cell>
        </row>
        <row r="1307">
          <cell r="R1307">
            <v>3</v>
          </cell>
          <cell r="S1307">
            <v>0</v>
          </cell>
        </row>
        <row r="1308">
          <cell r="R1308">
            <v>3</v>
          </cell>
          <cell r="S1308">
            <v>0</v>
          </cell>
        </row>
        <row r="1309">
          <cell r="R1309">
            <v>3</v>
          </cell>
          <cell r="S1309">
            <v>0</v>
          </cell>
        </row>
        <row r="1310">
          <cell r="R1310">
            <v>3</v>
          </cell>
          <cell r="S1310">
            <v>0</v>
          </cell>
        </row>
        <row r="1311">
          <cell r="R1311">
            <v>3</v>
          </cell>
          <cell r="S1311">
            <v>0</v>
          </cell>
        </row>
        <row r="1312">
          <cell r="R1312">
            <v>3</v>
          </cell>
          <cell r="S1312">
            <v>0</v>
          </cell>
        </row>
        <row r="1313">
          <cell r="R1313">
            <v>3</v>
          </cell>
          <cell r="S1313">
            <v>0</v>
          </cell>
        </row>
        <row r="1314">
          <cell r="R1314">
            <v>3</v>
          </cell>
          <cell r="S1314">
            <v>0</v>
          </cell>
        </row>
        <row r="1315">
          <cell r="R1315">
            <v>3</v>
          </cell>
          <cell r="S1315">
            <v>0</v>
          </cell>
        </row>
        <row r="1316">
          <cell r="R1316">
            <v>3</v>
          </cell>
          <cell r="S1316">
            <v>0</v>
          </cell>
        </row>
        <row r="1317">
          <cell r="R1317">
            <v>3</v>
          </cell>
          <cell r="S1317">
            <v>0</v>
          </cell>
        </row>
        <row r="1318">
          <cell r="R1318">
            <v>3</v>
          </cell>
          <cell r="S1318">
            <v>0</v>
          </cell>
        </row>
        <row r="1319">
          <cell r="R1319">
            <v>3</v>
          </cell>
          <cell r="S1319">
            <v>0</v>
          </cell>
        </row>
        <row r="1320">
          <cell r="R1320">
            <v>3</v>
          </cell>
          <cell r="S1320">
            <v>0</v>
          </cell>
        </row>
        <row r="1321">
          <cell r="R1321">
            <v>3</v>
          </cell>
          <cell r="S1321">
            <v>0</v>
          </cell>
        </row>
        <row r="1322">
          <cell r="R1322">
            <v>3</v>
          </cell>
          <cell r="S1322">
            <v>0</v>
          </cell>
        </row>
        <row r="1323">
          <cell r="R1323">
            <v>3</v>
          </cell>
          <cell r="S1323">
            <v>0</v>
          </cell>
        </row>
        <row r="1324">
          <cell r="R1324">
            <v>3</v>
          </cell>
          <cell r="S1324">
            <v>0</v>
          </cell>
        </row>
        <row r="1325">
          <cell r="R1325">
            <v>3</v>
          </cell>
          <cell r="S1325">
            <v>0</v>
          </cell>
        </row>
        <row r="1326">
          <cell r="R1326">
            <v>3</v>
          </cell>
          <cell r="S1326">
            <v>0</v>
          </cell>
        </row>
        <row r="1327">
          <cell r="R1327">
            <v>3</v>
          </cell>
          <cell r="S1327">
            <v>0</v>
          </cell>
        </row>
        <row r="1328">
          <cell r="R1328">
            <v>3</v>
          </cell>
          <cell r="S1328">
            <v>0</v>
          </cell>
        </row>
        <row r="1329">
          <cell r="R1329">
            <v>3</v>
          </cell>
          <cell r="S1329">
            <v>0</v>
          </cell>
        </row>
        <row r="1330">
          <cell r="R1330">
            <v>3</v>
          </cell>
          <cell r="S1330">
            <v>0</v>
          </cell>
        </row>
        <row r="1331">
          <cell r="R1331">
            <v>3</v>
          </cell>
          <cell r="S1331">
            <v>0</v>
          </cell>
        </row>
        <row r="1332">
          <cell r="R1332">
            <v>3</v>
          </cell>
          <cell r="S1332">
            <v>0</v>
          </cell>
        </row>
        <row r="1333">
          <cell r="R1333">
            <v>3</v>
          </cell>
          <cell r="S1333">
            <v>0</v>
          </cell>
        </row>
        <row r="1334">
          <cell r="R1334">
            <v>3</v>
          </cell>
          <cell r="S1334">
            <v>0</v>
          </cell>
        </row>
        <row r="1335">
          <cell r="R1335">
            <v>3</v>
          </cell>
          <cell r="S1335">
            <v>0</v>
          </cell>
        </row>
        <row r="1336">
          <cell r="R1336">
            <v>3</v>
          </cell>
          <cell r="S1336">
            <v>0</v>
          </cell>
        </row>
        <row r="1337">
          <cell r="R1337">
            <v>3</v>
          </cell>
          <cell r="S1337">
            <v>0</v>
          </cell>
        </row>
        <row r="1338">
          <cell r="R1338">
            <v>3</v>
          </cell>
          <cell r="S1338">
            <v>0</v>
          </cell>
        </row>
        <row r="1339">
          <cell r="R1339">
            <v>3</v>
          </cell>
          <cell r="S1339">
            <v>0</v>
          </cell>
        </row>
        <row r="1340">
          <cell r="R1340">
            <v>3</v>
          </cell>
          <cell r="S1340">
            <v>0</v>
          </cell>
        </row>
        <row r="1341">
          <cell r="R1341">
            <v>3</v>
          </cell>
          <cell r="S1341">
            <v>0</v>
          </cell>
        </row>
        <row r="1342">
          <cell r="R1342">
            <v>3</v>
          </cell>
          <cell r="S1342">
            <v>0</v>
          </cell>
        </row>
        <row r="1343">
          <cell r="R1343">
            <v>3</v>
          </cell>
          <cell r="S1343">
            <v>0</v>
          </cell>
        </row>
        <row r="1344">
          <cell r="R1344">
            <v>3</v>
          </cell>
          <cell r="S1344">
            <v>0</v>
          </cell>
        </row>
        <row r="1345">
          <cell r="R1345">
            <v>3</v>
          </cell>
          <cell r="S1345">
            <v>0</v>
          </cell>
        </row>
        <row r="1346">
          <cell r="R1346">
            <v>3</v>
          </cell>
          <cell r="S1346">
            <v>0</v>
          </cell>
        </row>
        <row r="1347">
          <cell r="R1347">
            <v>3</v>
          </cell>
          <cell r="S1347">
            <v>0</v>
          </cell>
        </row>
        <row r="1348">
          <cell r="R1348">
            <v>3</v>
          </cell>
          <cell r="S1348">
            <v>0</v>
          </cell>
        </row>
        <row r="1349">
          <cell r="R1349">
            <v>3</v>
          </cell>
          <cell r="S1349">
            <v>0</v>
          </cell>
        </row>
        <row r="1350">
          <cell r="R1350">
            <v>3</v>
          </cell>
          <cell r="S1350">
            <v>0</v>
          </cell>
        </row>
        <row r="1351">
          <cell r="R1351">
            <v>3</v>
          </cell>
          <cell r="S1351">
            <v>0</v>
          </cell>
        </row>
        <row r="1352">
          <cell r="R1352">
            <v>3</v>
          </cell>
          <cell r="S1352">
            <v>0</v>
          </cell>
        </row>
        <row r="1353">
          <cell r="R1353">
            <v>3</v>
          </cell>
          <cell r="S1353">
            <v>0</v>
          </cell>
        </row>
        <row r="1354">
          <cell r="R1354">
            <v>3</v>
          </cell>
          <cell r="S1354">
            <v>0</v>
          </cell>
        </row>
        <row r="1355">
          <cell r="R1355">
            <v>3</v>
          </cell>
          <cell r="S1355">
            <v>0</v>
          </cell>
        </row>
        <row r="1356">
          <cell r="R1356">
            <v>3</v>
          </cell>
          <cell r="S1356">
            <v>0</v>
          </cell>
        </row>
        <row r="1357">
          <cell r="R1357">
            <v>3</v>
          </cell>
          <cell r="S1357">
            <v>0</v>
          </cell>
        </row>
        <row r="1358">
          <cell r="R1358">
            <v>3</v>
          </cell>
          <cell r="S1358">
            <v>0</v>
          </cell>
        </row>
        <row r="1359">
          <cell r="R1359">
            <v>3</v>
          </cell>
          <cell r="S1359">
            <v>0</v>
          </cell>
        </row>
        <row r="1360">
          <cell r="R1360">
            <v>3</v>
          </cell>
          <cell r="S1360">
            <v>0</v>
          </cell>
        </row>
        <row r="1361">
          <cell r="R1361">
            <v>3</v>
          </cell>
          <cell r="S1361">
            <v>0</v>
          </cell>
        </row>
        <row r="1362">
          <cell r="R1362">
            <v>3</v>
          </cell>
          <cell r="S1362">
            <v>0</v>
          </cell>
        </row>
        <row r="1363">
          <cell r="R1363">
            <v>3</v>
          </cell>
          <cell r="S1363">
            <v>0</v>
          </cell>
        </row>
        <row r="1364">
          <cell r="R1364">
            <v>3</v>
          </cell>
          <cell r="S1364">
            <v>0</v>
          </cell>
        </row>
        <row r="1365">
          <cell r="R1365">
            <v>3</v>
          </cell>
          <cell r="S1365">
            <v>0</v>
          </cell>
        </row>
        <row r="1366">
          <cell r="R1366">
            <v>3</v>
          </cell>
          <cell r="S1366">
            <v>0</v>
          </cell>
        </row>
        <row r="1367">
          <cell r="R1367">
            <v>3</v>
          </cell>
          <cell r="S1367">
            <v>0</v>
          </cell>
        </row>
        <row r="1368">
          <cell r="R1368">
            <v>3</v>
          </cell>
          <cell r="S1368">
            <v>0</v>
          </cell>
        </row>
        <row r="1369">
          <cell r="R1369">
            <v>3</v>
          </cell>
          <cell r="S1369">
            <v>0</v>
          </cell>
        </row>
        <row r="1370">
          <cell r="R1370">
            <v>3</v>
          </cell>
          <cell r="S1370">
            <v>0</v>
          </cell>
        </row>
        <row r="1371">
          <cell r="R1371">
            <v>3</v>
          </cell>
          <cell r="S1371">
            <v>0</v>
          </cell>
        </row>
        <row r="1372">
          <cell r="R1372">
            <v>3</v>
          </cell>
          <cell r="S1372">
            <v>0</v>
          </cell>
        </row>
        <row r="1373">
          <cell r="R1373">
            <v>3</v>
          </cell>
          <cell r="S1373">
            <v>0</v>
          </cell>
        </row>
        <row r="1374">
          <cell r="R1374">
            <v>3</v>
          </cell>
          <cell r="S1374">
            <v>0</v>
          </cell>
        </row>
        <row r="1375">
          <cell r="R1375">
            <v>3</v>
          </cell>
          <cell r="S1375">
            <v>0</v>
          </cell>
        </row>
        <row r="1376">
          <cell r="R1376">
            <v>3</v>
          </cell>
          <cell r="S1376">
            <v>0</v>
          </cell>
        </row>
        <row r="1377">
          <cell r="R1377">
            <v>3</v>
          </cell>
          <cell r="S1377">
            <v>0</v>
          </cell>
        </row>
        <row r="1378">
          <cell r="R1378">
            <v>3</v>
          </cell>
          <cell r="S1378">
            <v>0</v>
          </cell>
        </row>
        <row r="1379">
          <cell r="R1379">
            <v>3</v>
          </cell>
          <cell r="S1379">
            <v>0</v>
          </cell>
        </row>
        <row r="1380">
          <cell r="R1380">
            <v>3</v>
          </cell>
          <cell r="S1380">
            <v>0</v>
          </cell>
        </row>
        <row r="1381">
          <cell r="R1381">
            <v>3</v>
          </cell>
          <cell r="S1381">
            <v>0</v>
          </cell>
        </row>
        <row r="1382">
          <cell r="R1382">
            <v>3</v>
          </cell>
          <cell r="S1382">
            <v>0</v>
          </cell>
        </row>
        <row r="1383">
          <cell r="R1383">
            <v>3</v>
          </cell>
          <cell r="S1383">
            <v>0</v>
          </cell>
        </row>
        <row r="1384">
          <cell r="R1384">
            <v>3</v>
          </cell>
          <cell r="S1384">
            <v>0</v>
          </cell>
        </row>
        <row r="1385">
          <cell r="R1385">
            <v>3</v>
          </cell>
          <cell r="S1385">
            <v>0</v>
          </cell>
        </row>
        <row r="1386">
          <cell r="R1386">
            <v>3</v>
          </cell>
          <cell r="S1386">
            <v>0</v>
          </cell>
        </row>
        <row r="1387">
          <cell r="R1387">
            <v>3</v>
          </cell>
          <cell r="S1387">
            <v>0</v>
          </cell>
        </row>
        <row r="1388">
          <cell r="R1388">
            <v>3</v>
          </cell>
          <cell r="S1388">
            <v>0</v>
          </cell>
        </row>
        <row r="1389">
          <cell r="R1389">
            <v>3</v>
          </cell>
          <cell r="S1389">
            <v>0</v>
          </cell>
        </row>
        <row r="1390">
          <cell r="R1390">
            <v>3</v>
          </cell>
          <cell r="S1390">
            <v>0</v>
          </cell>
        </row>
        <row r="1391">
          <cell r="R1391">
            <v>3</v>
          </cell>
          <cell r="S1391">
            <v>0</v>
          </cell>
        </row>
        <row r="1392">
          <cell r="R1392">
            <v>3</v>
          </cell>
          <cell r="S1392">
            <v>0</v>
          </cell>
        </row>
        <row r="1393">
          <cell r="R1393">
            <v>3</v>
          </cell>
          <cell r="S1393">
            <v>0</v>
          </cell>
        </row>
        <row r="1394">
          <cell r="R1394">
            <v>3</v>
          </cell>
          <cell r="S1394">
            <v>0</v>
          </cell>
        </row>
        <row r="1395">
          <cell r="R1395">
            <v>3</v>
          </cell>
          <cell r="S1395">
            <v>0</v>
          </cell>
        </row>
        <row r="1396">
          <cell r="R1396">
            <v>3</v>
          </cell>
          <cell r="S1396">
            <v>0</v>
          </cell>
        </row>
        <row r="1397">
          <cell r="R1397">
            <v>3</v>
          </cell>
          <cell r="S1397">
            <v>0</v>
          </cell>
        </row>
        <row r="1398">
          <cell r="R1398">
            <v>3</v>
          </cell>
          <cell r="S1398">
            <v>0</v>
          </cell>
        </row>
        <row r="1399">
          <cell r="R1399">
            <v>3</v>
          </cell>
          <cell r="S1399">
            <v>0</v>
          </cell>
        </row>
        <row r="1400">
          <cell r="R1400">
            <v>3</v>
          </cell>
          <cell r="S1400">
            <v>0</v>
          </cell>
        </row>
        <row r="1401">
          <cell r="R1401">
            <v>3</v>
          </cell>
          <cell r="S1401">
            <v>0</v>
          </cell>
        </row>
        <row r="1402">
          <cell r="R1402">
            <v>3</v>
          </cell>
          <cell r="S1402">
            <v>0</v>
          </cell>
        </row>
        <row r="1403">
          <cell r="R1403">
            <v>3</v>
          </cell>
          <cell r="S1403">
            <v>0</v>
          </cell>
        </row>
        <row r="1404">
          <cell r="R1404">
            <v>3</v>
          </cell>
          <cell r="S1404">
            <v>0</v>
          </cell>
        </row>
        <row r="1405">
          <cell r="R1405">
            <v>3</v>
          </cell>
          <cell r="S1405">
            <v>0</v>
          </cell>
        </row>
        <row r="1406">
          <cell r="R1406">
            <v>3</v>
          </cell>
          <cell r="S1406">
            <v>0</v>
          </cell>
        </row>
        <row r="1407">
          <cell r="R1407">
            <v>3</v>
          </cell>
          <cell r="S1407">
            <v>0</v>
          </cell>
        </row>
        <row r="1408">
          <cell r="R1408">
            <v>3</v>
          </cell>
          <cell r="S1408">
            <v>0</v>
          </cell>
        </row>
        <row r="1409">
          <cell r="R1409">
            <v>3</v>
          </cell>
          <cell r="S1409">
            <v>0</v>
          </cell>
        </row>
        <row r="1410">
          <cell r="R1410">
            <v>3</v>
          </cell>
          <cell r="S1410">
            <v>0</v>
          </cell>
        </row>
        <row r="1411">
          <cell r="R1411">
            <v>3</v>
          </cell>
          <cell r="S1411">
            <v>0</v>
          </cell>
        </row>
        <row r="1412">
          <cell r="R1412">
            <v>3</v>
          </cell>
          <cell r="S1412">
            <v>0</v>
          </cell>
        </row>
        <row r="1413">
          <cell r="R1413">
            <v>3</v>
          </cell>
          <cell r="S1413">
            <v>0</v>
          </cell>
        </row>
        <row r="1414">
          <cell r="R1414">
            <v>3</v>
          </cell>
          <cell r="S1414">
            <v>0</v>
          </cell>
        </row>
        <row r="1415">
          <cell r="R1415">
            <v>3</v>
          </cell>
          <cell r="S1415">
            <v>0</v>
          </cell>
        </row>
        <row r="1416">
          <cell r="R1416">
            <v>3</v>
          </cell>
          <cell r="S1416">
            <v>0</v>
          </cell>
        </row>
        <row r="1417">
          <cell r="R1417">
            <v>3</v>
          </cell>
          <cell r="S1417">
            <v>0</v>
          </cell>
        </row>
        <row r="1418">
          <cell r="R1418">
            <v>3</v>
          </cell>
          <cell r="S1418">
            <v>0</v>
          </cell>
        </row>
        <row r="1419">
          <cell r="R1419">
            <v>3</v>
          </cell>
          <cell r="S1419">
            <v>0</v>
          </cell>
        </row>
        <row r="1420">
          <cell r="R1420">
            <v>3</v>
          </cell>
          <cell r="S1420">
            <v>0</v>
          </cell>
        </row>
        <row r="1421">
          <cell r="R1421">
            <v>3</v>
          </cell>
          <cell r="S1421">
            <v>0</v>
          </cell>
        </row>
        <row r="1422">
          <cell r="R1422">
            <v>3</v>
          </cell>
          <cell r="S1422">
            <v>0</v>
          </cell>
        </row>
        <row r="1423">
          <cell r="R1423">
            <v>3</v>
          </cell>
          <cell r="S1423">
            <v>0</v>
          </cell>
        </row>
        <row r="1424">
          <cell r="R1424">
            <v>3</v>
          </cell>
          <cell r="S1424">
            <v>0</v>
          </cell>
        </row>
        <row r="1425">
          <cell r="R1425">
            <v>3</v>
          </cell>
          <cell r="S1425">
            <v>0</v>
          </cell>
        </row>
        <row r="1426">
          <cell r="R1426">
            <v>3</v>
          </cell>
          <cell r="S1426">
            <v>0</v>
          </cell>
        </row>
        <row r="1427">
          <cell r="R1427">
            <v>3</v>
          </cell>
          <cell r="S1427">
            <v>0</v>
          </cell>
        </row>
        <row r="1428">
          <cell r="R1428">
            <v>3</v>
          </cell>
          <cell r="S1428">
            <v>0</v>
          </cell>
        </row>
        <row r="1429">
          <cell r="R1429">
            <v>3</v>
          </cell>
          <cell r="S1429">
            <v>0</v>
          </cell>
        </row>
        <row r="1430">
          <cell r="R1430">
            <v>3</v>
          </cell>
          <cell r="S1430">
            <v>0</v>
          </cell>
        </row>
        <row r="1431">
          <cell r="R1431">
            <v>3</v>
          </cell>
          <cell r="S1431">
            <v>0</v>
          </cell>
        </row>
        <row r="1432">
          <cell r="R1432">
            <v>3</v>
          </cell>
          <cell r="S1432">
            <v>0</v>
          </cell>
        </row>
        <row r="1433">
          <cell r="R1433">
            <v>3</v>
          </cell>
          <cell r="S1433">
            <v>0</v>
          </cell>
        </row>
        <row r="1434">
          <cell r="R1434">
            <v>3</v>
          </cell>
          <cell r="S1434">
            <v>0</v>
          </cell>
        </row>
        <row r="1435">
          <cell r="R1435">
            <v>3</v>
          </cell>
          <cell r="S1435">
            <v>0</v>
          </cell>
        </row>
        <row r="1436">
          <cell r="R1436">
            <v>3</v>
          </cell>
          <cell r="S1436">
            <v>0</v>
          </cell>
        </row>
        <row r="1437">
          <cell r="R1437">
            <v>3</v>
          </cell>
          <cell r="S1437">
            <v>0</v>
          </cell>
        </row>
        <row r="1438">
          <cell r="R1438">
            <v>3</v>
          </cell>
          <cell r="S1438">
            <v>0</v>
          </cell>
        </row>
        <row r="1439">
          <cell r="R1439">
            <v>3</v>
          </cell>
          <cell r="S1439">
            <v>0</v>
          </cell>
        </row>
        <row r="1440">
          <cell r="R1440">
            <v>3</v>
          </cell>
          <cell r="S1440">
            <v>0</v>
          </cell>
        </row>
        <row r="1441">
          <cell r="R1441">
            <v>3</v>
          </cell>
          <cell r="S1441">
            <v>0</v>
          </cell>
        </row>
        <row r="1442">
          <cell r="R1442">
            <v>3</v>
          </cell>
          <cell r="S1442">
            <v>0</v>
          </cell>
        </row>
        <row r="1443">
          <cell r="R1443">
            <v>3</v>
          </cell>
          <cell r="S1443">
            <v>0</v>
          </cell>
        </row>
        <row r="1444">
          <cell r="R1444">
            <v>3</v>
          </cell>
          <cell r="S1444">
            <v>0</v>
          </cell>
        </row>
        <row r="1445">
          <cell r="R1445">
            <v>3</v>
          </cell>
          <cell r="S1445">
            <v>0</v>
          </cell>
        </row>
        <row r="1446">
          <cell r="R1446">
            <v>3</v>
          </cell>
          <cell r="S1446">
            <v>0</v>
          </cell>
        </row>
        <row r="1447">
          <cell r="R1447">
            <v>3</v>
          </cell>
          <cell r="S1447">
            <v>0</v>
          </cell>
        </row>
        <row r="1448">
          <cell r="R1448">
            <v>3</v>
          </cell>
          <cell r="S1448">
            <v>0</v>
          </cell>
        </row>
        <row r="1449">
          <cell r="R1449">
            <v>3</v>
          </cell>
          <cell r="S1449">
            <v>0</v>
          </cell>
        </row>
        <row r="1450">
          <cell r="R1450">
            <v>3</v>
          </cell>
          <cell r="S1450">
            <v>0</v>
          </cell>
        </row>
        <row r="1451">
          <cell r="R1451">
            <v>3</v>
          </cell>
          <cell r="S1451">
            <v>0</v>
          </cell>
        </row>
        <row r="1452">
          <cell r="R1452">
            <v>3</v>
          </cell>
          <cell r="S1452">
            <v>0</v>
          </cell>
        </row>
        <row r="1453">
          <cell r="R1453">
            <v>3</v>
          </cell>
          <cell r="S1453">
            <v>0</v>
          </cell>
        </row>
        <row r="1454">
          <cell r="R1454">
            <v>3</v>
          </cell>
          <cell r="S1454">
            <v>0</v>
          </cell>
        </row>
        <row r="1455">
          <cell r="R1455">
            <v>3</v>
          </cell>
          <cell r="S1455">
            <v>0</v>
          </cell>
        </row>
        <row r="1456">
          <cell r="R1456">
            <v>3</v>
          </cell>
          <cell r="S1456">
            <v>0</v>
          </cell>
        </row>
        <row r="1457">
          <cell r="R1457">
            <v>3</v>
          </cell>
          <cell r="S1457">
            <v>0</v>
          </cell>
        </row>
        <row r="1458">
          <cell r="R1458">
            <v>3</v>
          </cell>
          <cell r="S1458">
            <v>0</v>
          </cell>
        </row>
        <row r="1459">
          <cell r="R1459">
            <v>3</v>
          </cell>
          <cell r="S1459">
            <v>0</v>
          </cell>
        </row>
        <row r="1460">
          <cell r="R1460">
            <v>3</v>
          </cell>
          <cell r="S1460">
            <v>0</v>
          </cell>
        </row>
        <row r="1461">
          <cell r="R1461">
            <v>3</v>
          </cell>
          <cell r="S1461">
            <v>0</v>
          </cell>
        </row>
        <row r="1462">
          <cell r="R1462">
            <v>3</v>
          </cell>
          <cell r="S1462">
            <v>0</v>
          </cell>
        </row>
        <row r="1463">
          <cell r="R1463">
            <v>3</v>
          </cell>
          <cell r="S1463">
            <v>0</v>
          </cell>
        </row>
        <row r="1464">
          <cell r="R1464">
            <v>3</v>
          </cell>
          <cell r="S1464">
            <v>0</v>
          </cell>
        </row>
        <row r="1465">
          <cell r="R1465">
            <v>3</v>
          </cell>
          <cell r="S1465">
            <v>0</v>
          </cell>
        </row>
        <row r="1466">
          <cell r="R1466">
            <v>3</v>
          </cell>
          <cell r="S1466">
            <v>0</v>
          </cell>
        </row>
        <row r="1467">
          <cell r="R1467">
            <v>3</v>
          </cell>
          <cell r="S1467">
            <v>0</v>
          </cell>
        </row>
        <row r="1468">
          <cell r="R1468">
            <v>3</v>
          </cell>
          <cell r="S1468">
            <v>0</v>
          </cell>
        </row>
        <row r="1469">
          <cell r="R1469">
            <v>3</v>
          </cell>
          <cell r="S1469">
            <v>0</v>
          </cell>
        </row>
        <row r="1470">
          <cell r="R1470">
            <v>3</v>
          </cell>
          <cell r="S1470">
            <v>0</v>
          </cell>
        </row>
        <row r="1471">
          <cell r="R1471">
            <v>3</v>
          </cell>
          <cell r="S1471">
            <v>0</v>
          </cell>
        </row>
        <row r="1472">
          <cell r="R1472">
            <v>3</v>
          </cell>
          <cell r="S1472">
            <v>0</v>
          </cell>
        </row>
        <row r="1473">
          <cell r="R1473">
            <v>3</v>
          </cell>
          <cell r="S1473">
            <v>0</v>
          </cell>
        </row>
        <row r="1474">
          <cell r="R1474">
            <v>3</v>
          </cell>
          <cell r="S1474">
            <v>0</v>
          </cell>
        </row>
        <row r="1475">
          <cell r="R1475">
            <v>3</v>
          </cell>
          <cell r="S1475">
            <v>0</v>
          </cell>
        </row>
        <row r="1476">
          <cell r="R1476">
            <v>3</v>
          </cell>
          <cell r="S1476">
            <v>0</v>
          </cell>
        </row>
        <row r="1477">
          <cell r="R1477">
            <v>3</v>
          </cell>
          <cell r="S1477">
            <v>0</v>
          </cell>
        </row>
        <row r="1478">
          <cell r="R1478">
            <v>3</v>
          </cell>
          <cell r="S1478">
            <v>0</v>
          </cell>
        </row>
        <row r="1479">
          <cell r="R1479">
            <v>3</v>
          </cell>
          <cell r="S1479">
            <v>0</v>
          </cell>
        </row>
        <row r="1480">
          <cell r="R1480">
            <v>3</v>
          </cell>
          <cell r="S1480">
            <v>0</v>
          </cell>
        </row>
        <row r="1481">
          <cell r="R1481">
            <v>3</v>
          </cell>
          <cell r="S1481">
            <v>0</v>
          </cell>
        </row>
        <row r="1482">
          <cell r="R1482">
            <v>3</v>
          </cell>
          <cell r="S1482">
            <v>0</v>
          </cell>
        </row>
        <row r="1483">
          <cell r="R1483">
            <v>3</v>
          </cell>
          <cell r="S1483">
            <v>0</v>
          </cell>
        </row>
        <row r="1484">
          <cell r="R1484">
            <v>3</v>
          </cell>
          <cell r="S1484">
            <v>0</v>
          </cell>
        </row>
        <row r="1485">
          <cell r="R1485">
            <v>3</v>
          </cell>
          <cell r="S1485">
            <v>0</v>
          </cell>
        </row>
        <row r="1486">
          <cell r="R1486">
            <v>3</v>
          </cell>
          <cell r="S1486">
            <v>0</v>
          </cell>
        </row>
        <row r="1487">
          <cell r="R1487">
            <v>3</v>
          </cell>
          <cell r="S1487">
            <v>0</v>
          </cell>
        </row>
        <row r="1488">
          <cell r="R1488">
            <v>3</v>
          </cell>
          <cell r="S1488">
            <v>0</v>
          </cell>
        </row>
        <row r="1489">
          <cell r="R1489">
            <v>3</v>
          </cell>
          <cell r="S1489">
            <v>0</v>
          </cell>
        </row>
        <row r="1490">
          <cell r="R1490">
            <v>3</v>
          </cell>
          <cell r="S1490">
            <v>0</v>
          </cell>
        </row>
        <row r="1491">
          <cell r="R1491">
            <v>3</v>
          </cell>
          <cell r="S1491">
            <v>0</v>
          </cell>
        </row>
        <row r="1492">
          <cell r="R1492">
            <v>3</v>
          </cell>
          <cell r="S1492">
            <v>0</v>
          </cell>
        </row>
        <row r="1493">
          <cell r="R1493">
            <v>3</v>
          </cell>
          <cell r="S1493">
            <v>0</v>
          </cell>
        </row>
        <row r="1494">
          <cell r="R1494">
            <v>3</v>
          </cell>
          <cell r="S1494">
            <v>0</v>
          </cell>
        </row>
        <row r="1495">
          <cell r="R1495">
            <v>3</v>
          </cell>
          <cell r="S1495">
            <v>0</v>
          </cell>
        </row>
        <row r="1496">
          <cell r="R1496">
            <v>3</v>
          </cell>
          <cell r="S1496">
            <v>0</v>
          </cell>
        </row>
        <row r="1497">
          <cell r="R1497">
            <v>3</v>
          </cell>
          <cell r="S1497">
            <v>0</v>
          </cell>
        </row>
        <row r="1498">
          <cell r="R1498">
            <v>3</v>
          </cell>
          <cell r="S1498">
            <v>0</v>
          </cell>
        </row>
        <row r="1499">
          <cell r="R1499">
            <v>3</v>
          </cell>
          <cell r="S1499">
            <v>0</v>
          </cell>
        </row>
        <row r="1500">
          <cell r="R1500">
            <v>3</v>
          </cell>
          <cell r="S1500">
            <v>0</v>
          </cell>
        </row>
        <row r="1501">
          <cell r="R1501">
            <v>3</v>
          </cell>
          <cell r="S1501">
            <v>0</v>
          </cell>
        </row>
        <row r="1502">
          <cell r="R1502">
            <v>3</v>
          </cell>
          <cell r="S1502">
            <v>0</v>
          </cell>
        </row>
        <row r="1503">
          <cell r="R1503">
            <v>3</v>
          </cell>
          <cell r="S1503">
            <v>0</v>
          </cell>
        </row>
        <row r="1504">
          <cell r="R1504">
            <v>3</v>
          </cell>
          <cell r="S1504">
            <v>0</v>
          </cell>
        </row>
        <row r="1505">
          <cell r="R1505">
            <v>3</v>
          </cell>
          <cell r="S1505">
            <v>0</v>
          </cell>
        </row>
        <row r="1506">
          <cell r="R1506">
            <v>3</v>
          </cell>
          <cell r="S1506">
            <v>0</v>
          </cell>
        </row>
        <row r="1507">
          <cell r="R1507">
            <v>3</v>
          </cell>
          <cell r="S1507">
            <v>0</v>
          </cell>
        </row>
        <row r="1508">
          <cell r="R1508">
            <v>3</v>
          </cell>
          <cell r="S1508">
            <v>0</v>
          </cell>
        </row>
        <row r="1509">
          <cell r="R1509">
            <v>3</v>
          </cell>
          <cell r="S1509">
            <v>0</v>
          </cell>
        </row>
        <row r="1510">
          <cell r="R1510">
            <v>3</v>
          </cell>
          <cell r="S1510">
            <v>0</v>
          </cell>
        </row>
        <row r="1511">
          <cell r="R1511">
            <v>3</v>
          </cell>
          <cell r="S1511">
            <v>0</v>
          </cell>
        </row>
        <row r="1512">
          <cell r="R1512">
            <v>3</v>
          </cell>
          <cell r="S1512">
            <v>0</v>
          </cell>
        </row>
        <row r="1513">
          <cell r="R1513">
            <v>3</v>
          </cell>
          <cell r="S1513">
            <v>0</v>
          </cell>
        </row>
        <row r="1514">
          <cell r="R1514">
            <v>3</v>
          </cell>
          <cell r="S1514">
            <v>0</v>
          </cell>
        </row>
        <row r="1515">
          <cell r="R1515">
            <v>3</v>
          </cell>
          <cell r="S1515">
            <v>0</v>
          </cell>
        </row>
        <row r="1516">
          <cell r="R1516">
            <v>3</v>
          </cell>
          <cell r="S1516">
            <v>0</v>
          </cell>
        </row>
        <row r="1517">
          <cell r="R1517">
            <v>3</v>
          </cell>
          <cell r="S1517">
            <v>0</v>
          </cell>
        </row>
        <row r="1518">
          <cell r="R1518">
            <v>3</v>
          </cell>
          <cell r="S1518">
            <v>0</v>
          </cell>
        </row>
        <row r="1519">
          <cell r="R1519">
            <v>3</v>
          </cell>
          <cell r="S1519">
            <v>0</v>
          </cell>
        </row>
        <row r="1520">
          <cell r="R1520">
            <v>3</v>
          </cell>
          <cell r="S1520">
            <v>0</v>
          </cell>
        </row>
        <row r="1521">
          <cell r="R1521">
            <v>3</v>
          </cell>
          <cell r="S1521">
            <v>0</v>
          </cell>
        </row>
        <row r="1522">
          <cell r="R1522">
            <v>3</v>
          </cell>
          <cell r="S1522">
            <v>0</v>
          </cell>
        </row>
        <row r="1523">
          <cell r="R1523">
            <v>3</v>
          </cell>
          <cell r="S1523">
            <v>0</v>
          </cell>
        </row>
        <row r="1524">
          <cell r="R1524">
            <v>3</v>
          </cell>
          <cell r="S1524">
            <v>0</v>
          </cell>
        </row>
        <row r="1525">
          <cell r="R1525">
            <v>3</v>
          </cell>
          <cell r="S1525">
            <v>0</v>
          </cell>
        </row>
        <row r="1526">
          <cell r="R1526">
            <v>3</v>
          </cell>
          <cell r="S1526">
            <v>0</v>
          </cell>
        </row>
        <row r="1527">
          <cell r="R1527">
            <v>3</v>
          </cell>
          <cell r="S1527">
            <v>0</v>
          </cell>
        </row>
        <row r="1528">
          <cell r="R1528">
            <v>3</v>
          </cell>
          <cell r="S1528">
            <v>0</v>
          </cell>
        </row>
        <row r="1529">
          <cell r="R1529">
            <v>3</v>
          </cell>
          <cell r="S1529">
            <v>0</v>
          </cell>
        </row>
        <row r="1530">
          <cell r="R1530">
            <v>3</v>
          </cell>
          <cell r="S1530">
            <v>0</v>
          </cell>
        </row>
        <row r="1531">
          <cell r="R1531">
            <v>3</v>
          </cell>
          <cell r="S1531">
            <v>0</v>
          </cell>
        </row>
        <row r="1532">
          <cell r="R1532">
            <v>3</v>
          </cell>
          <cell r="S1532">
            <v>0</v>
          </cell>
        </row>
        <row r="1533">
          <cell r="R1533">
            <v>3</v>
          </cell>
          <cell r="S1533">
            <v>0</v>
          </cell>
        </row>
        <row r="1534">
          <cell r="R1534">
            <v>3</v>
          </cell>
          <cell r="S1534">
            <v>0</v>
          </cell>
        </row>
        <row r="1535">
          <cell r="R1535">
            <v>3</v>
          </cell>
          <cell r="S1535">
            <v>0</v>
          </cell>
        </row>
        <row r="1536">
          <cell r="R1536">
            <v>3</v>
          </cell>
          <cell r="S1536">
            <v>0</v>
          </cell>
        </row>
        <row r="1537">
          <cell r="R1537">
            <v>3</v>
          </cell>
          <cell r="S1537">
            <v>0</v>
          </cell>
        </row>
        <row r="1538">
          <cell r="R1538">
            <v>3</v>
          </cell>
          <cell r="S1538">
            <v>0</v>
          </cell>
        </row>
        <row r="1539">
          <cell r="R1539">
            <v>3</v>
          </cell>
          <cell r="S1539">
            <v>0</v>
          </cell>
        </row>
        <row r="1540">
          <cell r="R1540">
            <v>3</v>
          </cell>
          <cell r="S1540">
            <v>0</v>
          </cell>
        </row>
        <row r="1541">
          <cell r="R1541">
            <v>3</v>
          </cell>
          <cell r="S1541">
            <v>0</v>
          </cell>
        </row>
        <row r="1542">
          <cell r="R1542">
            <v>3</v>
          </cell>
          <cell r="S1542">
            <v>0</v>
          </cell>
        </row>
        <row r="1543">
          <cell r="R1543">
            <v>3</v>
          </cell>
          <cell r="S1543">
            <v>0</v>
          </cell>
        </row>
        <row r="1544">
          <cell r="R1544">
            <v>3</v>
          </cell>
          <cell r="S1544">
            <v>0</v>
          </cell>
        </row>
        <row r="1545">
          <cell r="R1545">
            <v>3</v>
          </cell>
          <cell r="S1545">
            <v>0</v>
          </cell>
        </row>
        <row r="1546">
          <cell r="R1546">
            <v>3</v>
          </cell>
          <cell r="S1546">
            <v>0</v>
          </cell>
        </row>
        <row r="1547">
          <cell r="R1547">
            <v>3</v>
          </cell>
          <cell r="S1547">
            <v>0</v>
          </cell>
        </row>
        <row r="1548">
          <cell r="R1548">
            <v>3</v>
          </cell>
          <cell r="S1548">
            <v>0</v>
          </cell>
        </row>
        <row r="1549">
          <cell r="R1549">
            <v>3</v>
          </cell>
          <cell r="S1549">
            <v>0</v>
          </cell>
        </row>
        <row r="1550">
          <cell r="R1550">
            <v>3</v>
          </cell>
          <cell r="S1550">
            <v>0</v>
          </cell>
        </row>
        <row r="1551">
          <cell r="R1551">
            <v>3</v>
          </cell>
          <cell r="S1551">
            <v>0</v>
          </cell>
        </row>
        <row r="1552">
          <cell r="R1552">
            <v>3</v>
          </cell>
          <cell r="S1552">
            <v>0</v>
          </cell>
        </row>
        <row r="1553">
          <cell r="R1553">
            <v>3</v>
          </cell>
          <cell r="S1553">
            <v>0</v>
          </cell>
        </row>
        <row r="1554">
          <cell r="R1554">
            <v>3</v>
          </cell>
          <cell r="S1554">
            <v>0</v>
          </cell>
        </row>
        <row r="1555">
          <cell r="R1555">
            <v>3</v>
          </cell>
          <cell r="S1555">
            <v>0</v>
          </cell>
        </row>
        <row r="1556">
          <cell r="R1556">
            <v>3</v>
          </cell>
          <cell r="S1556">
            <v>0</v>
          </cell>
        </row>
        <row r="1557">
          <cell r="R1557">
            <v>3</v>
          </cell>
          <cell r="S1557">
            <v>0</v>
          </cell>
        </row>
        <row r="1558">
          <cell r="R1558">
            <v>3</v>
          </cell>
          <cell r="S1558">
            <v>0</v>
          </cell>
        </row>
        <row r="1559">
          <cell r="R1559">
            <v>3</v>
          </cell>
          <cell r="S1559">
            <v>0</v>
          </cell>
        </row>
        <row r="1560">
          <cell r="R1560">
            <v>3</v>
          </cell>
          <cell r="S1560">
            <v>0</v>
          </cell>
        </row>
        <row r="1561">
          <cell r="R1561">
            <v>3</v>
          </cell>
          <cell r="S1561">
            <v>0</v>
          </cell>
        </row>
        <row r="1562">
          <cell r="R1562">
            <v>3</v>
          </cell>
          <cell r="S1562">
            <v>0</v>
          </cell>
        </row>
        <row r="1563">
          <cell r="R1563">
            <v>3</v>
          </cell>
          <cell r="S1563">
            <v>0</v>
          </cell>
        </row>
        <row r="1564">
          <cell r="R1564">
            <v>3</v>
          </cell>
          <cell r="S1564">
            <v>0</v>
          </cell>
        </row>
        <row r="1565">
          <cell r="R1565">
            <v>3</v>
          </cell>
          <cell r="S1565">
            <v>0</v>
          </cell>
        </row>
        <row r="1566">
          <cell r="R1566">
            <v>3</v>
          </cell>
          <cell r="S1566">
            <v>0</v>
          </cell>
        </row>
        <row r="1567">
          <cell r="R1567">
            <v>3</v>
          </cell>
          <cell r="S1567">
            <v>0</v>
          </cell>
        </row>
        <row r="1568">
          <cell r="R1568">
            <v>3</v>
          </cell>
          <cell r="S1568">
            <v>0</v>
          </cell>
        </row>
        <row r="1569">
          <cell r="R1569">
            <v>3</v>
          </cell>
          <cell r="S1569">
            <v>0</v>
          </cell>
        </row>
        <row r="1570">
          <cell r="R1570">
            <v>3</v>
          </cell>
          <cell r="S1570">
            <v>0</v>
          </cell>
        </row>
        <row r="1571">
          <cell r="R1571">
            <v>3</v>
          </cell>
          <cell r="S1571">
            <v>0</v>
          </cell>
        </row>
        <row r="1572">
          <cell r="R1572">
            <v>3</v>
          </cell>
          <cell r="S1572">
            <v>0</v>
          </cell>
        </row>
        <row r="1573">
          <cell r="R1573">
            <v>3</v>
          </cell>
          <cell r="S1573">
            <v>0</v>
          </cell>
        </row>
        <row r="1574">
          <cell r="R1574">
            <v>3</v>
          </cell>
          <cell r="S1574">
            <v>0</v>
          </cell>
        </row>
        <row r="1575">
          <cell r="R1575">
            <v>3</v>
          </cell>
          <cell r="S1575">
            <v>0</v>
          </cell>
        </row>
        <row r="1576">
          <cell r="R1576">
            <v>3</v>
          </cell>
          <cell r="S1576">
            <v>0</v>
          </cell>
        </row>
        <row r="1577">
          <cell r="R1577">
            <v>3</v>
          </cell>
          <cell r="S1577">
            <v>0</v>
          </cell>
        </row>
        <row r="1578">
          <cell r="R1578">
            <v>3</v>
          </cell>
          <cell r="S1578">
            <v>0</v>
          </cell>
        </row>
        <row r="1579">
          <cell r="R1579">
            <v>3</v>
          </cell>
          <cell r="S1579">
            <v>0</v>
          </cell>
        </row>
        <row r="1580">
          <cell r="R1580">
            <v>3</v>
          </cell>
          <cell r="S1580">
            <v>0</v>
          </cell>
        </row>
        <row r="1581">
          <cell r="R1581">
            <v>3</v>
          </cell>
          <cell r="S1581">
            <v>0</v>
          </cell>
        </row>
        <row r="1582">
          <cell r="R1582">
            <v>3</v>
          </cell>
          <cell r="S1582">
            <v>0</v>
          </cell>
        </row>
        <row r="1583">
          <cell r="R1583">
            <v>3</v>
          </cell>
          <cell r="S1583">
            <v>0</v>
          </cell>
        </row>
        <row r="1584">
          <cell r="R1584">
            <v>3</v>
          </cell>
          <cell r="S1584">
            <v>0</v>
          </cell>
        </row>
        <row r="1585">
          <cell r="R1585">
            <v>3</v>
          </cell>
          <cell r="S1585">
            <v>0</v>
          </cell>
        </row>
        <row r="1586">
          <cell r="R1586">
            <v>3</v>
          </cell>
          <cell r="S1586">
            <v>0</v>
          </cell>
        </row>
        <row r="1587">
          <cell r="R1587">
            <v>3</v>
          </cell>
          <cell r="S1587">
            <v>0</v>
          </cell>
        </row>
        <row r="1588">
          <cell r="R1588">
            <v>3</v>
          </cell>
          <cell r="S1588">
            <v>0</v>
          </cell>
        </row>
        <row r="1589">
          <cell r="R1589">
            <v>3</v>
          </cell>
          <cell r="S1589">
            <v>0</v>
          </cell>
        </row>
        <row r="1590">
          <cell r="R1590">
            <v>3</v>
          </cell>
          <cell r="S1590">
            <v>0</v>
          </cell>
        </row>
        <row r="1591">
          <cell r="R1591">
            <v>3</v>
          </cell>
          <cell r="S1591">
            <v>0</v>
          </cell>
        </row>
        <row r="1592">
          <cell r="R1592">
            <v>3</v>
          </cell>
          <cell r="S1592">
            <v>0</v>
          </cell>
        </row>
        <row r="1593">
          <cell r="R1593">
            <v>3</v>
          </cell>
          <cell r="S1593">
            <v>0</v>
          </cell>
        </row>
        <row r="1594">
          <cell r="R1594">
            <v>3</v>
          </cell>
          <cell r="S1594">
            <v>0</v>
          </cell>
        </row>
        <row r="1595">
          <cell r="R1595">
            <v>3</v>
          </cell>
          <cell r="S1595">
            <v>0</v>
          </cell>
        </row>
        <row r="1596">
          <cell r="R1596">
            <v>3</v>
          </cell>
          <cell r="S1596">
            <v>0</v>
          </cell>
        </row>
        <row r="1597">
          <cell r="R1597">
            <v>3</v>
          </cell>
          <cell r="S1597">
            <v>0</v>
          </cell>
        </row>
        <row r="1598">
          <cell r="R1598">
            <v>3</v>
          </cell>
          <cell r="S1598">
            <v>0</v>
          </cell>
        </row>
        <row r="1599">
          <cell r="R1599">
            <v>3</v>
          </cell>
          <cell r="S1599">
            <v>0</v>
          </cell>
        </row>
        <row r="1600">
          <cell r="R1600">
            <v>3</v>
          </cell>
          <cell r="S1600">
            <v>0</v>
          </cell>
        </row>
        <row r="1601">
          <cell r="R1601">
            <v>3</v>
          </cell>
          <cell r="S1601">
            <v>0</v>
          </cell>
        </row>
        <row r="1602">
          <cell r="R1602">
            <v>3</v>
          </cell>
          <cell r="S1602">
            <v>0</v>
          </cell>
        </row>
        <row r="1603">
          <cell r="R1603">
            <v>3</v>
          </cell>
          <cell r="S1603">
            <v>0</v>
          </cell>
        </row>
        <row r="1604">
          <cell r="R1604">
            <v>3</v>
          </cell>
          <cell r="S1604">
            <v>0</v>
          </cell>
        </row>
        <row r="1605">
          <cell r="R1605">
            <v>3</v>
          </cell>
          <cell r="S1605">
            <v>0</v>
          </cell>
        </row>
        <row r="1606">
          <cell r="R1606">
            <v>3</v>
          </cell>
          <cell r="S1606">
            <v>0</v>
          </cell>
        </row>
        <row r="1607">
          <cell r="R1607">
            <v>3</v>
          </cell>
          <cell r="S1607">
            <v>0</v>
          </cell>
        </row>
        <row r="1608">
          <cell r="R1608">
            <v>3</v>
          </cell>
          <cell r="S1608">
            <v>0</v>
          </cell>
        </row>
        <row r="1609">
          <cell r="R1609">
            <v>3</v>
          </cell>
          <cell r="S1609">
            <v>0</v>
          </cell>
        </row>
        <row r="1610">
          <cell r="R1610">
            <v>3</v>
          </cell>
          <cell r="S1610">
            <v>0</v>
          </cell>
        </row>
        <row r="1611">
          <cell r="R1611">
            <v>3</v>
          </cell>
          <cell r="S1611">
            <v>0</v>
          </cell>
        </row>
        <row r="1612">
          <cell r="R1612">
            <v>3</v>
          </cell>
          <cell r="S1612">
            <v>0</v>
          </cell>
        </row>
        <row r="1613">
          <cell r="R1613">
            <v>3</v>
          </cell>
          <cell r="S1613">
            <v>0</v>
          </cell>
        </row>
        <row r="1614">
          <cell r="R1614">
            <v>3</v>
          </cell>
          <cell r="S1614">
            <v>0</v>
          </cell>
        </row>
        <row r="1615">
          <cell r="R1615">
            <v>3</v>
          </cell>
          <cell r="S1615">
            <v>0</v>
          </cell>
        </row>
        <row r="1616">
          <cell r="R1616">
            <v>3</v>
          </cell>
          <cell r="S1616">
            <v>0</v>
          </cell>
        </row>
        <row r="1617">
          <cell r="R1617">
            <v>3</v>
          </cell>
          <cell r="S1617">
            <v>0</v>
          </cell>
        </row>
        <row r="1618">
          <cell r="R1618">
            <v>3</v>
          </cell>
          <cell r="S1618">
            <v>0</v>
          </cell>
        </row>
        <row r="1619">
          <cell r="R1619">
            <v>3</v>
          </cell>
          <cell r="S1619">
            <v>0</v>
          </cell>
        </row>
        <row r="1620">
          <cell r="R1620">
            <v>3</v>
          </cell>
          <cell r="S1620">
            <v>0</v>
          </cell>
        </row>
        <row r="1621">
          <cell r="R1621">
            <v>3</v>
          </cell>
          <cell r="S1621">
            <v>0</v>
          </cell>
        </row>
        <row r="1622">
          <cell r="R1622">
            <v>3</v>
          </cell>
          <cell r="S1622">
            <v>0</v>
          </cell>
        </row>
        <row r="1623">
          <cell r="R1623">
            <v>3</v>
          </cell>
          <cell r="S1623">
            <v>0</v>
          </cell>
        </row>
        <row r="1624">
          <cell r="R1624">
            <v>3</v>
          </cell>
          <cell r="S1624">
            <v>0</v>
          </cell>
        </row>
        <row r="1625">
          <cell r="R1625">
            <v>3</v>
          </cell>
          <cell r="S1625">
            <v>0</v>
          </cell>
        </row>
        <row r="1626">
          <cell r="R1626">
            <v>3</v>
          </cell>
          <cell r="S1626">
            <v>0</v>
          </cell>
        </row>
        <row r="1627">
          <cell r="R1627">
            <v>3</v>
          </cell>
          <cell r="S1627">
            <v>0</v>
          </cell>
        </row>
        <row r="1628">
          <cell r="R1628">
            <v>3</v>
          </cell>
          <cell r="S1628">
            <v>0</v>
          </cell>
        </row>
        <row r="1629">
          <cell r="R1629">
            <v>3</v>
          </cell>
          <cell r="S1629">
            <v>0</v>
          </cell>
        </row>
        <row r="1630">
          <cell r="R1630">
            <v>3</v>
          </cell>
          <cell r="S1630">
            <v>0</v>
          </cell>
        </row>
        <row r="1631">
          <cell r="R1631">
            <v>3</v>
          </cell>
          <cell r="S1631">
            <v>0</v>
          </cell>
        </row>
        <row r="1632">
          <cell r="R1632">
            <v>3</v>
          </cell>
          <cell r="S1632">
            <v>0</v>
          </cell>
        </row>
        <row r="1633">
          <cell r="R1633">
            <v>3</v>
          </cell>
          <cell r="S1633">
            <v>0</v>
          </cell>
        </row>
        <row r="1634">
          <cell r="R1634">
            <v>3</v>
          </cell>
          <cell r="S1634">
            <v>0</v>
          </cell>
        </row>
        <row r="1635">
          <cell r="R1635">
            <v>3</v>
          </cell>
          <cell r="S1635">
            <v>0</v>
          </cell>
        </row>
        <row r="1636">
          <cell r="R1636">
            <v>3</v>
          </cell>
          <cell r="S1636">
            <v>0</v>
          </cell>
        </row>
        <row r="1637">
          <cell r="R1637">
            <v>3</v>
          </cell>
          <cell r="S1637">
            <v>0</v>
          </cell>
        </row>
        <row r="1638">
          <cell r="R1638">
            <v>3</v>
          </cell>
          <cell r="S1638">
            <v>0</v>
          </cell>
        </row>
        <row r="1639">
          <cell r="R1639">
            <v>3</v>
          </cell>
          <cell r="S1639">
            <v>0</v>
          </cell>
        </row>
        <row r="1640">
          <cell r="R1640">
            <v>3</v>
          </cell>
          <cell r="S1640">
            <v>0</v>
          </cell>
        </row>
        <row r="1641">
          <cell r="R1641">
            <v>3</v>
          </cell>
          <cell r="S1641">
            <v>0</v>
          </cell>
        </row>
        <row r="1642">
          <cell r="R1642">
            <v>3</v>
          </cell>
          <cell r="S1642">
            <v>0</v>
          </cell>
        </row>
        <row r="1643">
          <cell r="R1643">
            <v>3</v>
          </cell>
          <cell r="S1643">
            <v>0</v>
          </cell>
        </row>
        <row r="1644">
          <cell r="R1644">
            <v>3</v>
          </cell>
          <cell r="S1644">
            <v>0</v>
          </cell>
        </row>
        <row r="1645">
          <cell r="R1645">
            <v>3</v>
          </cell>
          <cell r="S1645">
            <v>0</v>
          </cell>
        </row>
        <row r="1646">
          <cell r="R1646">
            <v>3</v>
          </cell>
          <cell r="S1646">
            <v>0</v>
          </cell>
        </row>
        <row r="1647">
          <cell r="R1647">
            <v>3</v>
          </cell>
          <cell r="S1647">
            <v>0</v>
          </cell>
        </row>
        <row r="1648">
          <cell r="R1648">
            <v>3</v>
          </cell>
          <cell r="S1648">
            <v>0</v>
          </cell>
        </row>
        <row r="1649">
          <cell r="R1649">
            <v>3</v>
          </cell>
          <cell r="S1649">
            <v>0</v>
          </cell>
        </row>
        <row r="1650">
          <cell r="R1650">
            <v>3</v>
          </cell>
          <cell r="S1650">
            <v>0</v>
          </cell>
        </row>
        <row r="1651">
          <cell r="R1651">
            <v>3</v>
          </cell>
          <cell r="S1651">
            <v>0</v>
          </cell>
        </row>
        <row r="1652">
          <cell r="R1652">
            <v>3</v>
          </cell>
          <cell r="S1652">
            <v>0</v>
          </cell>
        </row>
        <row r="1653">
          <cell r="R1653">
            <v>3</v>
          </cell>
          <cell r="S1653">
            <v>0</v>
          </cell>
        </row>
        <row r="1654">
          <cell r="R1654">
            <v>3</v>
          </cell>
          <cell r="S1654">
            <v>0</v>
          </cell>
        </row>
        <row r="1655">
          <cell r="R1655">
            <v>3</v>
          </cell>
          <cell r="S1655">
            <v>0</v>
          </cell>
        </row>
        <row r="1656">
          <cell r="R1656">
            <v>3</v>
          </cell>
          <cell r="S1656">
            <v>0</v>
          </cell>
        </row>
        <row r="1657">
          <cell r="R1657">
            <v>3</v>
          </cell>
          <cell r="S1657">
            <v>0</v>
          </cell>
        </row>
        <row r="1658">
          <cell r="R1658">
            <v>3</v>
          </cell>
          <cell r="S1658">
            <v>0</v>
          </cell>
        </row>
        <row r="1659">
          <cell r="R1659">
            <v>3</v>
          </cell>
          <cell r="S1659">
            <v>0</v>
          </cell>
        </row>
        <row r="1660">
          <cell r="R1660">
            <v>3</v>
          </cell>
          <cell r="S1660">
            <v>0</v>
          </cell>
        </row>
        <row r="1661">
          <cell r="R1661">
            <v>3</v>
          </cell>
          <cell r="S1661">
            <v>0</v>
          </cell>
        </row>
        <row r="1662">
          <cell r="R1662">
            <v>3</v>
          </cell>
          <cell r="S1662">
            <v>0</v>
          </cell>
        </row>
        <row r="1663">
          <cell r="R1663">
            <v>3</v>
          </cell>
          <cell r="S1663">
            <v>0</v>
          </cell>
        </row>
        <row r="1664">
          <cell r="R1664">
            <v>3</v>
          </cell>
          <cell r="S1664">
            <v>0</v>
          </cell>
        </row>
        <row r="1665">
          <cell r="R1665">
            <v>3</v>
          </cell>
          <cell r="S1665">
            <v>0</v>
          </cell>
        </row>
        <row r="1666">
          <cell r="R1666">
            <v>3</v>
          </cell>
          <cell r="S1666">
            <v>0</v>
          </cell>
        </row>
        <row r="1667">
          <cell r="R1667">
            <v>3</v>
          </cell>
          <cell r="S1667">
            <v>0</v>
          </cell>
        </row>
        <row r="1668">
          <cell r="R1668">
            <v>3</v>
          </cell>
          <cell r="S1668">
            <v>0</v>
          </cell>
        </row>
        <row r="1669">
          <cell r="R1669">
            <v>3</v>
          </cell>
          <cell r="S1669">
            <v>0</v>
          </cell>
        </row>
        <row r="1670">
          <cell r="R1670">
            <v>3</v>
          </cell>
          <cell r="S1670">
            <v>0</v>
          </cell>
        </row>
        <row r="1671">
          <cell r="R1671">
            <v>3</v>
          </cell>
          <cell r="S1671">
            <v>0</v>
          </cell>
        </row>
        <row r="1672">
          <cell r="R1672">
            <v>3</v>
          </cell>
          <cell r="S1672">
            <v>0</v>
          </cell>
        </row>
        <row r="1673">
          <cell r="R1673">
            <v>3</v>
          </cell>
          <cell r="S1673">
            <v>0</v>
          </cell>
        </row>
        <row r="1674">
          <cell r="R1674">
            <v>3</v>
          </cell>
          <cell r="S1674">
            <v>0</v>
          </cell>
        </row>
        <row r="1675">
          <cell r="R1675">
            <v>3</v>
          </cell>
          <cell r="S1675">
            <v>0</v>
          </cell>
        </row>
        <row r="1676">
          <cell r="R1676">
            <v>3</v>
          </cell>
          <cell r="S1676">
            <v>0</v>
          </cell>
        </row>
        <row r="1677">
          <cell r="R1677">
            <v>3</v>
          </cell>
          <cell r="S1677">
            <v>0</v>
          </cell>
        </row>
        <row r="1678">
          <cell r="R1678">
            <v>3</v>
          </cell>
          <cell r="S1678">
            <v>0</v>
          </cell>
        </row>
        <row r="1679">
          <cell r="R1679">
            <v>3</v>
          </cell>
          <cell r="S1679">
            <v>0</v>
          </cell>
        </row>
        <row r="1680">
          <cell r="R1680">
            <v>3</v>
          </cell>
          <cell r="S1680">
            <v>0</v>
          </cell>
        </row>
        <row r="1681">
          <cell r="R1681">
            <v>3</v>
          </cell>
          <cell r="S1681">
            <v>0</v>
          </cell>
        </row>
        <row r="1682">
          <cell r="R1682">
            <v>3</v>
          </cell>
          <cell r="S1682">
            <v>0</v>
          </cell>
        </row>
        <row r="1683">
          <cell r="R1683">
            <v>3</v>
          </cell>
          <cell r="S1683">
            <v>0</v>
          </cell>
        </row>
        <row r="1684">
          <cell r="R1684">
            <v>3</v>
          </cell>
          <cell r="S1684">
            <v>0</v>
          </cell>
        </row>
        <row r="1685">
          <cell r="R1685">
            <v>3</v>
          </cell>
          <cell r="S1685">
            <v>0</v>
          </cell>
        </row>
        <row r="1686">
          <cell r="R1686">
            <v>3</v>
          </cell>
          <cell r="S1686">
            <v>0</v>
          </cell>
        </row>
        <row r="1687">
          <cell r="R1687">
            <v>3</v>
          </cell>
          <cell r="S1687">
            <v>0</v>
          </cell>
        </row>
        <row r="1688">
          <cell r="R1688">
            <v>3</v>
          </cell>
          <cell r="S1688">
            <v>0</v>
          </cell>
        </row>
        <row r="1689">
          <cell r="R1689">
            <v>3</v>
          </cell>
          <cell r="S1689">
            <v>0</v>
          </cell>
        </row>
        <row r="1690">
          <cell r="R1690">
            <v>3</v>
          </cell>
          <cell r="S1690">
            <v>0</v>
          </cell>
        </row>
        <row r="1691">
          <cell r="R1691">
            <v>3</v>
          </cell>
          <cell r="S1691">
            <v>0</v>
          </cell>
        </row>
        <row r="1692">
          <cell r="R1692">
            <v>3</v>
          </cell>
          <cell r="S1692">
            <v>0</v>
          </cell>
        </row>
        <row r="1693">
          <cell r="R1693">
            <v>3</v>
          </cell>
          <cell r="S1693">
            <v>0</v>
          </cell>
        </row>
        <row r="1694">
          <cell r="R1694">
            <v>3</v>
          </cell>
          <cell r="S1694">
            <v>0</v>
          </cell>
        </row>
        <row r="1695">
          <cell r="R1695">
            <v>3</v>
          </cell>
          <cell r="S1695">
            <v>0</v>
          </cell>
        </row>
        <row r="1696">
          <cell r="R1696">
            <v>3</v>
          </cell>
          <cell r="S1696">
            <v>0</v>
          </cell>
        </row>
        <row r="1697">
          <cell r="R1697">
            <v>3</v>
          </cell>
          <cell r="S1697">
            <v>0</v>
          </cell>
        </row>
        <row r="1698">
          <cell r="R1698">
            <v>3</v>
          </cell>
          <cell r="S1698">
            <v>0</v>
          </cell>
        </row>
        <row r="1699">
          <cell r="R1699">
            <v>3</v>
          </cell>
          <cell r="S1699">
            <v>0</v>
          </cell>
        </row>
        <row r="1700">
          <cell r="R1700">
            <v>3</v>
          </cell>
          <cell r="S1700">
            <v>0</v>
          </cell>
        </row>
        <row r="1701">
          <cell r="R1701">
            <v>3</v>
          </cell>
          <cell r="S1701">
            <v>0</v>
          </cell>
        </row>
        <row r="1702">
          <cell r="R1702">
            <v>3</v>
          </cell>
          <cell r="S1702">
            <v>0</v>
          </cell>
        </row>
        <row r="1703">
          <cell r="R1703">
            <v>3</v>
          </cell>
          <cell r="S1703">
            <v>0</v>
          </cell>
        </row>
        <row r="1704">
          <cell r="R1704">
            <v>3</v>
          </cell>
          <cell r="S1704">
            <v>0</v>
          </cell>
        </row>
        <row r="1705">
          <cell r="R1705">
            <v>3</v>
          </cell>
          <cell r="S1705">
            <v>0</v>
          </cell>
        </row>
        <row r="1706">
          <cell r="R1706">
            <v>3</v>
          </cell>
          <cell r="S1706">
            <v>0</v>
          </cell>
        </row>
        <row r="1707">
          <cell r="R1707">
            <v>3</v>
          </cell>
          <cell r="S1707">
            <v>0</v>
          </cell>
        </row>
        <row r="1708">
          <cell r="R1708">
            <v>3</v>
          </cell>
          <cell r="S1708">
            <v>0</v>
          </cell>
        </row>
        <row r="1709">
          <cell r="R1709">
            <v>3</v>
          </cell>
          <cell r="S1709">
            <v>0</v>
          </cell>
        </row>
        <row r="1710">
          <cell r="R1710">
            <v>3</v>
          </cell>
          <cell r="S1710">
            <v>0</v>
          </cell>
        </row>
        <row r="1711">
          <cell r="R1711">
            <v>3</v>
          </cell>
          <cell r="S1711">
            <v>0</v>
          </cell>
        </row>
        <row r="1712">
          <cell r="R1712">
            <v>3</v>
          </cell>
          <cell r="S1712">
            <v>0</v>
          </cell>
        </row>
        <row r="1713">
          <cell r="R1713">
            <v>3</v>
          </cell>
          <cell r="S1713">
            <v>0</v>
          </cell>
        </row>
        <row r="1714">
          <cell r="R1714">
            <v>3</v>
          </cell>
          <cell r="S1714">
            <v>0</v>
          </cell>
        </row>
        <row r="1715">
          <cell r="R1715">
            <v>3</v>
          </cell>
          <cell r="S1715">
            <v>0</v>
          </cell>
        </row>
        <row r="1716">
          <cell r="R1716">
            <v>3</v>
          </cell>
          <cell r="S1716">
            <v>0</v>
          </cell>
        </row>
        <row r="1717">
          <cell r="R1717">
            <v>3</v>
          </cell>
          <cell r="S1717">
            <v>0</v>
          </cell>
        </row>
        <row r="1718">
          <cell r="R1718">
            <v>3</v>
          </cell>
          <cell r="S1718">
            <v>0</v>
          </cell>
        </row>
        <row r="1719">
          <cell r="R1719">
            <v>3</v>
          </cell>
          <cell r="S1719">
            <v>0</v>
          </cell>
        </row>
        <row r="1720">
          <cell r="R1720">
            <v>3</v>
          </cell>
          <cell r="S1720">
            <v>0</v>
          </cell>
        </row>
        <row r="1721">
          <cell r="R1721">
            <v>3</v>
          </cell>
          <cell r="S1721">
            <v>0</v>
          </cell>
        </row>
        <row r="1722">
          <cell r="R1722">
            <v>3</v>
          </cell>
          <cell r="S1722">
            <v>0</v>
          </cell>
        </row>
        <row r="1723">
          <cell r="R1723">
            <v>3</v>
          </cell>
          <cell r="S1723">
            <v>0</v>
          </cell>
        </row>
        <row r="1724">
          <cell r="R1724">
            <v>3</v>
          </cell>
          <cell r="S1724">
            <v>0</v>
          </cell>
        </row>
        <row r="1725">
          <cell r="R1725">
            <v>3</v>
          </cell>
          <cell r="S1725">
            <v>0</v>
          </cell>
        </row>
        <row r="1726">
          <cell r="R1726">
            <v>3</v>
          </cell>
          <cell r="S1726">
            <v>0</v>
          </cell>
        </row>
        <row r="1727">
          <cell r="R1727">
            <v>3</v>
          </cell>
          <cell r="S1727">
            <v>0</v>
          </cell>
        </row>
        <row r="1728">
          <cell r="R1728">
            <v>3</v>
          </cell>
          <cell r="S1728">
            <v>0</v>
          </cell>
        </row>
        <row r="1729">
          <cell r="R1729">
            <v>3</v>
          </cell>
          <cell r="S1729">
            <v>0</v>
          </cell>
        </row>
        <row r="1730">
          <cell r="R1730">
            <v>3</v>
          </cell>
          <cell r="S1730">
            <v>0</v>
          </cell>
        </row>
        <row r="1731">
          <cell r="R1731">
            <v>3</v>
          </cell>
          <cell r="S1731">
            <v>0</v>
          </cell>
        </row>
        <row r="1732">
          <cell r="R1732">
            <v>3</v>
          </cell>
          <cell r="S1732">
            <v>0</v>
          </cell>
        </row>
        <row r="1733">
          <cell r="R1733">
            <v>3</v>
          </cell>
          <cell r="S1733">
            <v>0</v>
          </cell>
        </row>
        <row r="1734">
          <cell r="R1734">
            <v>3</v>
          </cell>
          <cell r="S1734">
            <v>0</v>
          </cell>
        </row>
        <row r="1735">
          <cell r="R1735">
            <v>3</v>
          </cell>
          <cell r="S1735">
            <v>0</v>
          </cell>
        </row>
        <row r="1736">
          <cell r="R1736">
            <v>3</v>
          </cell>
          <cell r="S1736">
            <v>0</v>
          </cell>
        </row>
        <row r="1737">
          <cell r="R1737">
            <v>3</v>
          </cell>
          <cell r="S1737">
            <v>0</v>
          </cell>
        </row>
        <row r="1738">
          <cell r="R1738">
            <v>3</v>
          </cell>
          <cell r="S1738">
            <v>0</v>
          </cell>
        </row>
        <row r="1739">
          <cell r="R1739">
            <v>3</v>
          </cell>
          <cell r="S1739">
            <v>0</v>
          </cell>
        </row>
        <row r="1740">
          <cell r="R1740">
            <v>3</v>
          </cell>
          <cell r="S1740">
            <v>0</v>
          </cell>
        </row>
        <row r="1741">
          <cell r="R1741">
            <v>3</v>
          </cell>
          <cell r="S1741">
            <v>0</v>
          </cell>
        </row>
        <row r="1742">
          <cell r="R1742">
            <v>3</v>
          </cell>
          <cell r="S1742">
            <v>0</v>
          </cell>
        </row>
        <row r="1743">
          <cell r="R1743">
            <v>3</v>
          </cell>
          <cell r="S1743">
            <v>0</v>
          </cell>
        </row>
        <row r="1744">
          <cell r="R1744">
            <v>3</v>
          </cell>
          <cell r="S1744">
            <v>0</v>
          </cell>
        </row>
        <row r="1745">
          <cell r="R1745">
            <v>3</v>
          </cell>
          <cell r="S1745">
            <v>0</v>
          </cell>
        </row>
        <row r="1746">
          <cell r="R1746">
            <v>3</v>
          </cell>
          <cell r="S1746">
            <v>0</v>
          </cell>
        </row>
        <row r="1747">
          <cell r="R1747">
            <v>3</v>
          </cell>
          <cell r="S1747">
            <v>0</v>
          </cell>
        </row>
        <row r="1748">
          <cell r="R1748">
            <v>3</v>
          </cell>
          <cell r="S1748">
            <v>0</v>
          </cell>
        </row>
        <row r="1749">
          <cell r="R1749">
            <v>3</v>
          </cell>
          <cell r="S1749">
            <v>0</v>
          </cell>
        </row>
        <row r="1750">
          <cell r="R1750">
            <v>3</v>
          </cell>
          <cell r="S1750">
            <v>0</v>
          </cell>
        </row>
        <row r="1751">
          <cell r="R1751">
            <v>3</v>
          </cell>
          <cell r="S1751">
            <v>0</v>
          </cell>
        </row>
        <row r="1752">
          <cell r="R1752">
            <v>3</v>
          </cell>
          <cell r="S1752">
            <v>0</v>
          </cell>
        </row>
        <row r="1753">
          <cell r="R1753">
            <v>3</v>
          </cell>
          <cell r="S1753">
            <v>0</v>
          </cell>
        </row>
        <row r="1754">
          <cell r="R1754">
            <v>3</v>
          </cell>
          <cell r="S1754">
            <v>0</v>
          </cell>
        </row>
        <row r="1755">
          <cell r="R1755">
            <v>3</v>
          </cell>
          <cell r="S1755">
            <v>0</v>
          </cell>
        </row>
        <row r="1756">
          <cell r="R1756">
            <v>3</v>
          </cell>
          <cell r="S1756">
            <v>0</v>
          </cell>
        </row>
        <row r="1757">
          <cell r="R1757">
            <v>3</v>
          </cell>
          <cell r="S1757">
            <v>0</v>
          </cell>
        </row>
        <row r="1758">
          <cell r="R1758">
            <v>3</v>
          </cell>
          <cell r="S1758">
            <v>0</v>
          </cell>
        </row>
        <row r="1759">
          <cell r="R1759">
            <v>3</v>
          </cell>
          <cell r="S1759">
            <v>0</v>
          </cell>
        </row>
        <row r="1760">
          <cell r="R1760">
            <v>3</v>
          </cell>
          <cell r="S1760">
            <v>0</v>
          </cell>
        </row>
        <row r="1761">
          <cell r="R1761">
            <v>3</v>
          </cell>
          <cell r="S1761">
            <v>0</v>
          </cell>
        </row>
        <row r="1762">
          <cell r="R1762">
            <v>3</v>
          </cell>
          <cell r="S1762">
            <v>0</v>
          </cell>
        </row>
        <row r="1763">
          <cell r="R1763">
            <v>3</v>
          </cell>
          <cell r="S1763">
            <v>0</v>
          </cell>
        </row>
        <row r="1764">
          <cell r="R1764">
            <v>3</v>
          </cell>
          <cell r="S1764">
            <v>0</v>
          </cell>
        </row>
        <row r="1765">
          <cell r="R1765">
            <v>3</v>
          </cell>
          <cell r="S1765">
            <v>0</v>
          </cell>
        </row>
        <row r="1766">
          <cell r="R1766">
            <v>3</v>
          </cell>
          <cell r="S1766">
            <v>0</v>
          </cell>
        </row>
        <row r="1767">
          <cell r="R1767">
            <v>3</v>
          </cell>
          <cell r="S1767">
            <v>0</v>
          </cell>
        </row>
        <row r="1768">
          <cell r="R1768">
            <v>3</v>
          </cell>
          <cell r="S1768">
            <v>0</v>
          </cell>
        </row>
        <row r="1769">
          <cell r="R1769">
            <v>3</v>
          </cell>
          <cell r="S1769">
            <v>0</v>
          </cell>
        </row>
        <row r="1770">
          <cell r="R1770">
            <v>3</v>
          </cell>
          <cell r="S1770">
            <v>0</v>
          </cell>
        </row>
        <row r="1771">
          <cell r="R1771">
            <v>3</v>
          </cell>
          <cell r="S1771">
            <v>0</v>
          </cell>
        </row>
        <row r="1772">
          <cell r="R1772">
            <v>3</v>
          </cell>
          <cell r="S1772">
            <v>0</v>
          </cell>
        </row>
        <row r="1773">
          <cell r="R1773">
            <v>3</v>
          </cell>
          <cell r="S1773">
            <v>0</v>
          </cell>
        </row>
        <row r="1774">
          <cell r="R1774">
            <v>3</v>
          </cell>
          <cell r="S1774">
            <v>0</v>
          </cell>
        </row>
        <row r="1775">
          <cell r="R1775">
            <v>3</v>
          </cell>
          <cell r="S1775">
            <v>0</v>
          </cell>
        </row>
        <row r="1776">
          <cell r="R1776">
            <v>3</v>
          </cell>
          <cell r="S1776">
            <v>0</v>
          </cell>
        </row>
        <row r="1777">
          <cell r="R1777">
            <v>3</v>
          </cell>
          <cell r="S1777">
            <v>0</v>
          </cell>
        </row>
        <row r="1778">
          <cell r="R1778">
            <v>3</v>
          </cell>
          <cell r="S1778">
            <v>0</v>
          </cell>
        </row>
        <row r="1779">
          <cell r="R1779">
            <v>3</v>
          </cell>
          <cell r="S1779">
            <v>0</v>
          </cell>
        </row>
        <row r="1780">
          <cell r="R1780">
            <v>3</v>
          </cell>
          <cell r="S1780">
            <v>0</v>
          </cell>
        </row>
        <row r="1781">
          <cell r="R1781">
            <v>3</v>
          </cell>
          <cell r="S1781">
            <v>0</v>
          </cell>
        </row>
        <row r="1782">
          <cell r="R1782">
            <v>3</v>
          </cell>
          <cell r="S1782">
            <v>0</v>
          </cell>
        </row>
        <row r="1783">
          <cell r="R1783">
            <v>3</v>
          </cell>
          <cell r="S1783">
            <v>0</v>
          </cell>
        </row>
        <row r="1784">
          <cell r="R1784">
            <v>3</v>
          </cell>
          <cell r="S1784">
            <v>0</v>
          </cell>
        </row>
        <row r="1785">
          <cell r="R1785">
            <v>3</v>
          </cell>
          <cell r="S1785">
            <v>0</v>
          </cell>
        </row>
        <row r="1786">
          <cell r="R1786">
            <v>3</v>
          </cell>
          <cell r="S1786">
            <v>0</v>
          </cell>
        </row>
        <row r="1787">
          <cell r="R1787">
            <v>3</v>
          </cell>
          <cell r="S1787">
            <v>0</v>
          </cell>
        </row>
        <row r="1788">
          <cell r="R1788">
            <v>3</v>
          </cell>
          <cell r="S1788">
            <v>0</v>
          </cell>
        </row>
        <row r="1789">
          <cell r="R1789">
            <v>3</v>
          </cell>
          <cell r="S1789">
            <v>0</v>
          </cell>
        </row>
        <row r="1790">
          <cell r="R1790">
            <v>3</v>
          </cell>
          <cell r="S1790">
            <v>0</v>
          </cell>
        </row>
        <row r="1791">
          <cell r="R1791">
            <v>3</v>
          </cell>
          <cell r="S1791">
            <v>0</v>
          </cell>
        </row>
        <row r="1792">
          <cell r="R1792">
            <v>3</v>
          </cell>
          <cell r="S1792">
            <v>0</v>
          </cell>
        </row>
        <row r="1793">
          <cell r="R1793">
            <v>3</v>
          </cell>
          <cell r="S1793">
            <v>0</v>
          </cell>
        </row>
        <row r="1794">
          <cell r="R1794">
            <v>3</v>
          </cell>
          <cell r="S1794">
            <v>0</v>
          </cell>
        </row>
        <row r="1795">
          <cell r="R1795">
            <v>3</v>
          </cell>
          <cell r="S1795">
            <v>0</v>
          </cell>
        </row>
        <row r="1796">
          <cell r="R1796">
            <v>3</v>
          </cell>
          <cell r="S1796">
            <v>0</v>
          </cell>
        </row>
        <row r="1797">
          <cell r="R1797">
            <v>3</v>
          </cell>
          <cell r="S1797">
            <v>0</v>
          </cell>
        </row>
        <row r="1798">
          <cell r="R1798">
            <v>3</v>
          </cell>
          <cell r="S1798">
            <v>0</v>
          </cell>
        </row>
        <row r="1799">
          <cell r="R1799">
            <v>3</v>
          </cell>
          <cell r="S1799">
            <v>0</v>
          </cell>
        </row>
        <row r="1800">
          <cell r="R1800">
            <v>3</v>
          </cell>
          <cell r="S1800">
            <v>0</v>
          </cell>
        </row>
        <row r="1801">
          <cell r="R1801">
            <v>3</v>
          </cell>
          <cell r="S1801">
            <v>0</v>
          </cell>
        </row>
        <row r="1802">
          <cell r="R1802">
            <v>3</v>
          </cell>
          <cell r="S1802">
            <v>0</v>
          </cell>
        </row>
        <row r="1803">
          <cell r="R1803">
            <v>3</v>
          </cell>
          <cell r="S1803">
            <v>0</v>
          </cell>
        </row>
        <row r="1804">
          <cell r="R1804">
            <v>3</v>
          </cell>
          <cell r="S1804">
            <v>0</v>
          </cell>
        </row>
        <row r="1805">
          <cell r="R1805">
            <v>3</v>
          </cell>
          <cell r="S1805">
            <v>0</v>
          </cell>
        </row>
        <row r="1806">
          <cell r="R1806">
            <v>3</v>
          </cell>
          <cell r="S1806">
            <v>0</v>
          </cell>
        </row>
        <row r="1807">
          <cell r="R1807">
            <v>3</v>
          </cell>
          <cell r="S1807">
            <v>0</v>
          </cell>
        </row>
        <row r="1808">
          <cell r="R1808">
            <v>3</v>
          </cell>
          <cell r="S1808">
            <v>0</v>
          </cell>
        </row>
        <row r="1809">
          <cell r="R1809">
            <v>3</v>
          </cell>
          <cell r="S1809">
            <v>0</v>
          </cell>
        </row>
        <row r="1810">
          <cell r="R1810">
            <v>3</v>
          </cell>
          <cell r="S1810">
            <v>0</v>
          </cell>
        </row>
        <row r="1811">
          <cell r="R1811">
            <v>3</v>
          </cell>
          <cell r="S1811">
            <v>0</v>
          </cell>
        </row>
        <row r="1812">
          <cell r="R1812">
            <v>3</v>
          </cell>
          <cell r="S1812">
            <v>0</v>
          </cell>
        </row>
        <row r="1813">
          <cell r="R1813">
            <v>3</v>
          </cell>
          <cell r="S1813">
            <v>0</v>
          </cell>
        </row>
        <row r="1814">
          <cell r="R1814">
            <v>3</v>
          </cell>
          <cell r="S1814">
            <v>0</v>
          </cell>
        </row>
        <row r="1815">
          <cell r="R1815">
            <v>3</v>
          </cell>
          <cell r="S1815">
            <v>0</v>
          </cell>
        </row>
        <row r="1816">
          <cell r="R1816">
            <v>3</v>
          </cell>
          <cell r="S1816">
            <v>0</v>
          </cell>
        </row>
        <row r="1817">
          <cell r="R1817">
            <v>3</v>
          </cell>
          <cell r="S1817">
            <v>0</v>
          </cell>
        </row>
        <row r="1818">
          <cell r="R1818">
            <v>3</v>
          </cell>
          <cell r="S1818">
            <v>0</v>
          </cell>
        </row>
        <row r="1819">
          <cell r="R1819">
            <v>3</v>
          </cell>
          <cell r="S1819">
            <v>0</v>
          </cell>
        </row>
        <row r="1820">
          <cell r="R1820">
            <v>3</v>
          </cell>
          <cell r="S1820">
            <v>0</v>
          </cell>
        </row>
        <row r="1821">
          <cell r="R1821">
            <v>3</v>
          </cell>
          <cell r="S1821">
            <v>0</v>
          </cell>
        </row>
        <row r="1822">
          <cell r="R1822">
            <v>3</v>
          </cell>
          <cell r="S1822">
            <v>0</v>
          </cell>
        </row>
        <row r="1823">
          <cell r="R1823">
            <v>3</v>
          </cell>
          <cell r="S1823">
            <v>0</v>
          </cell>
        </row>
        <row r="1824">
          <cell r="R1824">
            <v>3</v>
          </cell>
          <cell r="S1824">
            <v>0</v>
          </cell>
        </row>
        <row r="1825">
          <cell r="R1825">
            <v>3</v>
          </cell>
          <cell r="S1825">
            <v>0</v>
          </cell>
        </row>
        <row r="1826">
          <cell r="R1826">
            <v>3</v>
          </cell>
          <cell r="S1826">
            <v>0</v>
          </cell>
        </row>
        <row r="1827">
          <cell r="R1827">
            <v>3</v>
          </cell>
          <cell r="S1827">
            <v>0</v>
          </cell>
        </row>
        <row r="1828">
          <cell r="R1828">
            <v>3</v>
          </cell>
          <cell r="S1828">
            <v>0</v>
          </cell>
        </row>
        <row r="1829">
          <cell r="R1829">
            <v>3</v>
          </cell>
          <cell r="S1829">
            <v>0</v>
          </cell>
        </row>
        <row r="1830">
          <cell r="R1830">
            <v>3</v>
          </cell>
          <cell r="S1830">
            <v>0</v>
          </cell>
        </row>
        <row r="1831">
          <cell r="R1831">
            <v>3</v>
          </cell>
          <cell r="S1831">
            <v>0</v>
          </cell>
        </row>
        <row r="1832">
          <cell r="R1832">
            <v>3</v>
          </cell>
          <cell r="S1832">
            <v>0</v>
          </cell>
        </row>
        <row r="1833">
          <cell r="R1833">
            <v>3</v>
          </cell>
          <cell r="S1833">
            <v>0</v>
          </cell>
        </row>
        <row r="1834">
          <cell r="R1834">
            <v>3</v>
          </cell>
          <cell r="S1834">
            <v>0</v>
          </cell>
        </row>
        <row r="1835">
          <cell r="R1835">
            <v>3</v>
          </cell>
          <cell r="S1835">
            <v>0</v>
          </cell>
        </row>
        <row r="1836">
          <cell r="R1836">
            <v>3</v>
          </cell>
          <cell r="S1836">
            <v>0</v>
          </cell>
        </row>
        <row r="1837">
          <cell r="R1837">
            <v>3</v>
          </cell>
          <cell r="S1837">
            <v>0</v>
          </cell>
        </row>
        <row r="1838">
          <cell r="R1838">
            <v>3</v>
          </cell>
          <cell r="S1838">
            <v>0</v>
          </cell>
        </row>
        <row r="1839">
          <cell r="R1839">
            <v>3</v>
          </cell>
          <cell r="S1839">
            <v>0</v>
          </cell>
        </row>
        <row r="1840">
          <cell r="R1840">
            <v>3</v>
          </cell>
          <cell r="S1840">
            <v>0</v>
          </cell>
        </row>
        <row r="1841">
          <cell r="R1841">
            <v>3</v>
          </cell>
          <cell r="S1841">
            <v>0</v>
          </cell>
        </row>
        <row r="1842">
          <cell r="R1842">
            <v>3</v>
          </cell>
          <cell r="S1842">
            <v>0</v>
          </cell>
        </row>
        <row r="1843">
          <cell r="R1843">
            <v>3</v>
          </cell>
          <cell r="S1843">
            <v>0</v>
          </cell>
        </row>
        <row r="1844">
          <cell r="R1844">
            <v>3</v>
          </cell>
          <cell r="S1844">
            <v>0</v>
          </cell>
        </row>
        <row r="1845">
          <cell r="R1845">
            <v>3</v>
          </cell>
          <cell r="S1845">
            <v>0</v>
          </cell>
        </row>
        <row r="1846">
          <cell r="R1846">
            <v>3</v>
          </cell>
          <cell r="S1846">
            <v>0</v>
          </cell>
        </row>
        <row r="1847">
          <cell r="R1847">
            <v>3</v>
          </cell>
          <cell r="S1847">
            <v>0</v>
          </cell>
        </row>
        <row r="1848">
          <cell r="R1848">
            <v>3</v>
          </cell>
          <cell r="S1848">
            <v>0</v>
          </cell>
        </row>
        <row r="1849">
          <cell r="R1849">
            <v>3</v>
          </cell>
          <cell r="S1849">
            <v>0</v>
          </cell>
        </row>
        <row r="1850">
          <cell r="R1850">
            <v>3</v>
          </cell>
          <cell r="S1850">
            <v>0</v>
          </cell>
        </row>
        <row r="1851">
          <cell r="R1851">
            <v>3</v>
          </cell>
          <cell r="S1851">
            <v>0</v>
          </cell>
        </row>
        <row r="1852">
          <cell r="R1852">
            <v>3</v>
          </cell>
          <cell r="S1852">
            <v>0</v>
          </cell>
        </row>
        <row r="1853">
          <cell r="R1853">
            <v>3</v>
          </cell>
          <cell r="S1853">
            <v>0</v>
          </cell>
        </row>
        <row r="1854">
          <cell r="R1854">
            <v>3</v>
          </cell>
          <cell r="S1854">
            <v>0</v>
          </cell>
        </row>
        <row r="1855">
          <cell r="R1855">
            <v>3</v>
          </cell>
          <cell r="S1855">
            <v>0</v>
          </cell>
        </row>
        <row r="1856">
          <cell r="R1856">
            <v>3</v>
          </cell>
          <cell r="S1856">
            <v>0</v>
          </cell>
        </row>
        <row r="1857">
          <cell r="R1857">
            <v>3</v>
          </cell>
          <cell r="S1857">
            <v>0</v>
          </cell>
        </row>
        <row r="1858">
          <cell r="R1858">
            <v>3</v>
          </cell>
          <cell r="S1858">
            <v>0</v>
          </cell>
        </row>
        <row r="1859">
          <cell r="R1859">
            <v>3</v>
          </cell>
          <cell r="S1859">
            <v>0</v>
          </cell>
        </row>
        <row r="1860">
          <cell r="R1860">
            <v>3</v>
          </cell>
          <cell r="S1860">
            <v>0</v>
          </cell>
        </row>
        <row r="1861">
          <cell r="R1861">
            <v>3</v>
          </cell>
          <cell r="S1861">
            <v>0</v>
          </cell>
        </row>
        <row r="1862">
          <cell r="R1862">
            <v>3</v>
          </cell>
          <cell r="S1862">
            <v>0</v>
          </cell>
        </row>
        <row r="1863">
          <cell r="R1863">
            <v>3</v>
          </cell>
          <cell r="S1863">
            <v>0</v>
          </cell>
        </row>
        <row r="1864">
          <cell r="R1864">
            <v>3</v>
          </cell>
          <cell r="S1864">
            <v>0</v>
          </cell>
        </row>
        <row r="1865">
          <cell r="R1865">
            <v>3</v>
          </cell>
          <cell r="S1865">
            <v>0</v>
          </cell>
        </row>
        <row r="1866">
          <cell r="R1866">
            <v>3</v>
          </cell>
          <cell r="S1866">
            <v>0</v>
          </cell>
        </row>
        <row r="1867">
          <cell r="R1867">
            <v>3</v>
          </cell>
          <cell r="S1867">
            <v>0</v>
          </cell>
        </row>
        <row r="1868">
          <cell r="R1868">
            <v>3</v>
          </cell>
          <cell r="S1868">
            <v>0</v>
          </cell>
        </row>
        <row r="1869">
          <cell r="R1869">
            <v>3</v>
          </cell>
          <cell r="S1869">
            <v>0</v>
          </cell>
        </row>
        <row r="1870">
          <cell r="R1870">
            <v>3</v>
          </cell>
          <cell r="S1870">
            <v>0</v>
          </cell>
        </row>
        <row r="1871">
          <cell r="R1871">
            <v>3</v>
          </cell>
          <cell r="S1871">
            <v>0</v>
          </cell>
        </row>
        <row r="1872">
          <cell r="R1872">
            <v>3</v>
          </cell>
          <cell r="S1872">
            <v>0</v>
          </cell>
        </row>
        <row r="1873">
          <cell r="R1873">
            <v>3</v>
          </cell>
          <cell r="S1873">
            <v>0</v>
          </cell>
        </row>
        <row r="1874">
          <cell r="R1874">
            <v>3</v>
          </cell>
          <cell r="S1874">
            <v>0</v>
          </cell>
        </row>
        <row r="1875">
          <cell r="R1875">
            <v>3</v>
          </cell>
          <cell r="S1875">
            <v>0</v>
          </cell>
        </row>
        <row r="1876">
          <cell r="R1876">
            <v>3</v>
          </cell>
          <cell r="S1876">
            <v>0</v>
          </cell>
        </row>
        <row r="1877">
          <cell r="R1877">
            <v>3</v>
          </cell>
          <cell r="S1877">
            <v>0</v>
          </cell>
        </row>
        <row r="1878">
          <cell r="R1878">
            <v>3</v>
          </cell>
          <cell r="S1878">
            <v>0</v>
          </cell>
        </row>
        <row r="1879">
          <cell r="R1879">
            <v>3</v>
          </cell>
          <cell r="S1879">
            <v>0</v>
          </cell>
        </row>
        <row r="1880">
          <cell r="R1880">
            <v>3</v>
          </cell>
          <cell r="S1880">
            <v>0</v>
          </cell>
        </row>
        <row r="1881">
          <cell r="R1881">
            <v>3</v>
          </cell>
          <cell r="S1881">
            <v>0</v>
          </cell>
        </row>
        <row r="1882">
          <cell r="R1882">
            <v>3</v>
          </cell>
          <cell r="S1882">
            <v>0</v>
          </cell>
        </row>
        <row r="1883">
          <cell r="R1883">
            <v>3</v>
          </cell>
          <cell r="S1883">
            <v>0</v>
          </cell>
        </row>
        <row r="1884">
          <cell r="R1884">
            <v>3</v>
          </cell>
          <cell r="S1884">
            <v>0</v>
          </cell>
        </row>
        <row r="1885">
          <cell r="R1885">
            <v>3</v>
          </cell>
          <cell r="S1885">
            <v>0</v>
          </cell>
        </row>
        <row r="1886">
          <cell r="R1886">
            <v>3</v>
          </cell>
          <cell r="S1886">
            <v>0</v>
          </cell>
        </row>
        <row r="1887">
          <cell r="R1887">
            <v>3</v>
          </cell>
          <cell r="S1887">
            <v>0</v>
          </cell>
        </row>
        <row r="1888">
          <cell r="R1888">
            <v>3</v>
          </cell>
          <cell r="S1888">
            <v>0</v>
          </cell>
        </row>
        <row r="1889">
          <cell r="R1889">
            <v>3</v>
          </cell>
          <cell r="S1889">
            <v>0</v>
          </cell>
        </row>
        <row r="1890">
          <cell r="R1890">
            <v>3</v>
          </cell>
          <cell r="S1890">
            <v>0</v>
          </cell>
        </row>
        <row r="1891">
          <cell r="R1891">
            <v>3</v>
          </cell>
          <cell r="S1891">
            <v>0</v>
          </cell>
        </row>
        <row r="1892">
          <cell r="R1892">
            <v>3</v>
          </cell>
          <cell r="S1892">
            <v>0</v>
          </cell>
        </row>
        <row r="1893">
          <cell r="R1893">
            <v>3</v>
          </cell>
          <cell r="S1893">
            <v>0</v>
          </cell>
        </row>
        <row r="1894">
          <cell r="R1894">
            <v>3</v>
          </cell>
          <cell r="S1894">
            <v>0</v>
          </cell>
        </row>
        <row r="1895">
          <cell r="R1895">
            <v>3</v>
          </cell>
          <cell r="S1895">
            <v>0</v>
          </cell>
        </row>
        <row r="1896">
          <cell r="R1896">
            <v>3</v>
          </cell>
          <cell r="S1896">
            <v>0</v>
          </cell>
        </row>
        <row r="1897">
          <cell r="R1897">
            <v>3</v>
          </cell>
          <cell r="S1897">
            <v>0</v>
          </cell>
        </row>
        <row r="1898">
          <cell r="R1898">
            <v>3</v>
          </cell>
          <cell r="S1898">
            <v>0</v>
          </cell>
        </row>
        <row r="1899">
          <cell r="R1899">
            <v>3</v>
          </cell>
          <cell r="S1899">
            <v>0</v>
          </cell>
        </row>
        <row r="1900">
          <cell r="R1900">
            <v>3</v>
          </cell>
          <cell r="S1900">
            <v>0</v>
          </cell>
        </row>
        <row r="1901">
          <cell r="R1901">
            <v>3</v>
          </cell>
          <cell r="S1901">
            <v>0</v>
          </cell>
        </row>
        <row r="1902">
          <cell r="R1902">
            <v>3</v>
          </cell>
          <cell r="S1902">
            <v>0</v>
          </cell>
        </row>
        <row r="1903">
          <cell r="R1903">
            <v>3</v>
          </cell>
          <cell r="S1903">
            <v>0</v>
          </cell>
        </row>
        <row r="1904">
          <cell r="R1904">
            <v>3</v>
          </cell>
          <cell r="S1904">
            <v>0</v>
          </cell>
        </row>
        <row r="1905">
          <cell r="R1905">
            <v>3</v>
          </cell>
          <cell r="S1905">
            <v>0</v>
          </cell>
        </row>
        <row r="1906">
          <cell r="R1906">
            <v>3</v>
          </cell>
          <cell r="S1906">
            <v>0</v>
          </cell>
        </row>
        <row r="1907">
          <cell r="R1907">
            <v>3</v>
          </cell>
          <cell r="S1907">
            <v>0</v>
          </cell>
        </row>
        <row r="1908">
          <cell r="R1908">
            <v>3</v>
          </cell>
          <cell r="S1908">
            <v>0</v>
          </cell>
        </row>
        <row r="1909">
          <cell r="R1909">
            <v>3</v>
          </cell>
          <cell r="S1909">
            <v>0</v>
          </cell>
        </row>
        <row r="1910">
          <cell r="R1910">
            <v>3</v>
          </cell>
          <cell r="S1910">
            <v>0</v>
          </cell>
        </row>
        <row r="1911">
          <cell r="R1911">
            <v>3</v>
          </cell>
          <cell r="S1911">
            <v>0</v>
          </cell>
        </row>
        <row r="1912">
          <cell r="R1912">
            <v>3</v>
          </cell>
          <cell r="S1912">
            <v>0</v>
          </cell>
        </row>
        <row r="1913">
          <cell r="R1913">
            <v>3</v>
          </cell>
          <cell r="S1913">
            <v>0</v>
          </cell>
        </row>
        <row r="1914">
          <cell r="R1914">
            <v>3</v>
          </cell>
          <cell r="S1914">
            <v>0</v>
          </cell>
        </row>
        <row r="1915">
          <cell r="R1915">
            <v>3</v>
          </cell>
          <cell r="S1915">
            <v>0</v>
          </cell>
        </row>
        <row r="1916">
          <cell r="R1916">
            <v>3</v>
          </cell>
          <cell r="S1916">
            <v>0</v>
          </cell>
        </row>
        <row r="1917">
          <cell r="R1917">
            <v>3</v>
          </cell>
          <cell r="S1917">
            <v>0</v>
          </cell>
        </row>
        <row r="1918">
          <cell r="R1918">
            <v>3</v>
          </cell>
          <cell r="S1918">
            <v>0</v>
          </cell>
        </row>
        <row r="1919">
          <cell r="R1919">
            <v>3</v>
          </cell>
          <cell r="S1919">
            <v>0</v>
          </cell>
        </row>
        <row r="1920">
          <cell r="R1920">
            <v>3</v>
          </cell>
          <cell r="S1920">
            <v>0</v>
          </cell>
        </row>
        <row r="1921">
          <cell r="R1921">
            <v>3</v>
          </cell>
          <cell r="S1921">
            <v>0</v>
          </cell>
        </row>
        <row r="1922">
          <cell r="R1922">
            <v>3</v>
          </cell>
          <cell r="S1922">
            <v>0</v>
          </cell>
        </row>
        <row r="1923">
          <cell r="R1923">
            <v>3</v>
          </cell>
          <cell r="S1923">
            <v>0</v>
          </cell>
        </row>
        <row r="1924">
          <cell r="R1924">
            <v>3</v>
          </cell>
          <cell r="S1924">
            <v>0</v>
          </cell>
        </row>
        <row r="1925">
          <cell r="R1925">
            <v>3</v>
          </cell>
          <cell r="S1925">
            <v>0</v>
          </cell>
        </row>
        <row r="1926">
          <cell r="R1926">
            <v>3</v>
          </cell>
          <cell r="S1926">
            <v>0</v>
          </cell>
        </row>
        <row r="1927">
          <cell r="R1927">
            <v>3</v>
          </cell>
          <cell r="S1927">
            <v>0</v>
          </cell>
        </row>
        <row r="1928">
          <cell r="R1928">
            <v>3</v>
          </cell>
          <cell r="S1928">
            <v>0</v>
          </cell>
        </row>
        <row r="1929">
          <cell r="R1929">
            <v>3</v>
          </cell>
          <cell r="S1929">
            <v>0</v>
          </cell>
        </row>
        <row r="1930">
          <cell r="R1930">
            <v>3</v>
          </cell>
          <cell r="S1930">
            <v>0</v>
          </cell>
        </row>
        <row r="1931">
          <cell r="R1931">
            <v>3</v>
          </cell>
          <cell r="S1931">
            <v>0</v>
          </cell>
        </row>
        <row r="1932">
          <cell r="R1932">
            <v>3</v>
          </cell>
          <cell r="S1932">
            <v>0</v>
          </cell>
        </row>
        <row r="1933">
          <cell r="R1933">
            <v>3</v>
          </cell>
          <cell r="S1933">
            <v>0</v>
          </cell>
        </row>
        <row r="1934">
          <cell r="R1934">
            <v>3</v>
          </cell>
          <cell r="S1934">
            <v>0</v>
          </cell>
        </row>
        <row r="1935">
          <cell r="R1935">
            <v>3</v>
          </cell>
          <cell r="S1935">
            <v>0</v>
          </cell>
        </row>
        <row r="1936">
          <cell r="R1936">
            <v>3</v>
          </cell>
          <cell r="S1936">
            <v>0</v>
          </cell>
        </row>
        <row r="1937">
          <cell r="R1937">
            <v>3</v>
          </cell>
          <cell r="S1937">
            <v>0</v>
          </cell>
        </row>
        <row r="1938">
          <cell r="R1938">
            <v>3</v>
          </cell>
          <cell r="S1938">
            <v>0</v>
          </cell>
        </row>
        <row r="1939">
          <cell r="R1939">
            <v>3</v>
          </cell>
          <cell r="S1939">
            <v>0</v>
          </cell>
        </row>
        <row r="1940">
          <cell r="R1940">
            <v>3</v>
          </cell>
          <cell r="S1940">
            <v>0</v>
          </cell>
        </row>
        <row r="1941">
          <cell r="R1941">
            <v>3</v>
          </cell>
          <cell r="S1941">
            <v>0</v>
          </cell>
        </row>
        <row r="1942">
          <cell r="R1942">
            <v>3</v>
          </cell>
          <cell r="S1942">
            <v>0</v>
          </cell>
        </row>
        <row r="1943">
          <cell r="R1943">
            <v>3</v>
          </cell>
          <cell r="S1943">
            <v>0</v>
          </cell>
        </row>
        <row r="1944">
          <cell r="R1944">
            <v>3</v>
          </cell>
          <cell r="S1944">
            <v>0</v>
          </cell>
        </row>
        <row r="1945">
          <cell r="R1945">
            <v>3</v>
          </cell>
          <cell r="S1945">
            <v>0</v>
          </cell>
        </row>
        <row r="1946">
          <cell r="R1946">
            <v>3</v>
          </cell>
          <cell r="S1946">
            <v>0</v>
          </cell>
        </row>
        <row r="1947">
          <cell r="R1947">
            <v>3</v>
          </cell>
          <cell r="S1947">
            <v>0</v>
          </cell>
        </row>
        <row r="1948">
          <cell r="R1948">
            <v>3</v>
          </cell>
          <cell r="S1948">
            <v>0</v>
          </cell>
        </row>
        <row r="1949">
          <cell r="R1949">
            <v>3</v>
          </cell>
          <cell r="S1949">
            <v>0</v>
          </cell>
        </row>
        <row r="1950">
          <cell r="R1950">
            <v>3</v>
          </cell>
          <cell r="S1950">
            <v>0</v>
          </cell>
        </row>
        <row r="1951">
          <cell r="R1951">
            <v>3</v>
          </cell>
          <cell r="S1951">
            <v>0</v>
          </cell>
        </row>
        <row r="1952">
          <cell r="R1952">
            <v>3</v>
          </cell>
          <cell r="S1952">
            <v>0</v>
          </cell>
        </row>
        <row r="1953">
          <cell r="R1953">
            <v>3</v>
          </cell>
          <cell r="S1953">
            <v>0</v>
          </cell>
        </row>
        <row r="1954">
          <cell r="R1954">
            <v>3</v>
          </cell>
          <cell r="S1954">
            <v>0</v>
          </cell>
        </row>
        <row r="1955">
          <cell r="R1955">
            <v>3</v>
          </cell>
          <cell r="S1955">
            <v>0</v>
          </cell>
        </row>
        <row r="1956">
          <cell r="R1956">
            <v>3</v>
          </cell>
          <cell r="S1956">
            <v>0</v>
          </cell>
        </row>
        <row r="1957">
          <cell r="R1957">
            <v>3</v>
          </cell>
          <cell r="S1957">
            <v>0</v>
          </cell>
        </row>
        <row r="1958">
          <cell r="R1958">
            <v>3</v>
          </cell>
          <cell r="S1958">
            <v>0</v>
          </cell>
        </row>
        <row r="1959">
          <cell r="R1959">
            <v>3</v>
          </cell>
          <cell r="S1959">
            <v>0</v>
          </cell>
        </row>
        <row r="1960">
          <cell r="R1960">
            <v>3</v>
          </cell>
          <cell r="S1960">
            <v>0</v>
          </cell>
        </row>
        <row r="1961">
          <cell r="R1961">
            <v>3</v>
          </cell>
          <cell r="S1961">
            <v>0</v>
          </cell>
        </row>
        <row r="1962">
          <cell r="R1962">
            <v>3</v>
          </cell>
          <cell r="S1962">
            <v>0</v>
          </cell>
        </row>
        <row r="1963">
          <cell r="R1963">
            <v>3</v>
          </cell>
          <cell r="S1963">
            <v>0</v>
          </cell>
        </row>
        <row r="1964">
          <cell r="R1964">
            <v>3</v>
          </cell>
          <cell r="S1964">
            <v>0</v>
          </cell>
        </row>
        <row r="1965">
          <cell r="R1965">
            <v>3</v>
          </cell>
          <cell r="S1965">
            <v>0</v>
          </cell>
        </row>
        <row r="1966">
          <cell r="R1966">
            <v>3</v>
          </cell>
          <cell r="S1966">
            <v>0</v>
          </cell>
        </row>
        <row r="1967">
          <cell r="R1967">
            <v>3</v>
          </cell>
          <cell r="S1967">
            <v>0</v>
          </cell>
        </row>
        <row r="1968">
          <cell r="R1968">
            <v>3</v>
          </cell>
          <cell r="S1968">
            <v>0</v>
          </cell>
        </row>
        <row r="1969">
          <cell r="R1969">
            <v>3</v>
          </cell>
          <cell r="S1969">
            <v>0</v>
          </cell>
        </row>
        <row r="1970">
          <cell r="R1970">
            <v>3</v>
          </cell>
          <cell r="S1970">
            <v>0</v>
          </cell>
        </row>
        <row r="1971">
          <cell r="R1971">
            <v>3</v>
          </cell>
          <cell r="S1971">
            <v>0</v>
          </cell>
        </row>
        <row r="1972">
          <cell r="R1972">
            <v>3</v>
          </cell>
          <cell r="S1972">
            <v>0</v>
          </cell>
        </row>
        <row r="1973">
          <cell r="R1973">
            <v>3</v>
          </cell>
          <cell r="S1973">
            <v>0</v>
          </cell>
        </row>
        <row r="1974">
          <cell r="R1974">
            <v>3</v>
          </cell>
          <cell r="S1974">
            <v>0</v>
          </cell>
        </row>
        <row r="1975">
          <cell r="R1975">
            <v>3</v>
          </cell>
          <cell r="S1975">
            <v>0</v>
          </cell>
        </row>
        <row r="1976">
          <cell r="R1976">
            <v>3</v>
          </cell>
          <cell r="S1976">
            <v>0</v>
          </cell>
        </row>
        <row r="1977">
          <cell r="R1977">
            <v>3</v>
          </cell>
          <cell r="S1977">
            <v>0</v>
          </cell>
        </row>
        <row r="1978">
          <cell r="R1978">
            <v>3</v>
          </cell>
          <cell r="S1978">
            <v>0</v>
          </cell>
        </row>
        <row r="1979">
          <cell r="R1979">
            <v>3</v>
          </cell>
          <cell r="S1979">
            <v>0</v>
          </cell>
        </row>
        <row r="1980">
          <cell r="R1980">
            <v>3</v>
          </cell>
          <cell r="S1980">
            <v>0</v>
          </cell>
        </row>
        <row r="1981">
          <cell r="R1981">
            <v>3</v>
          </cell>
          <cell r="S1981">
            <v>0</v>
          </cell>
        </row>
        <row r="1982">
          <cell r="R1982">
            <v>3</v>
          </cell>
          <cell r="S1982">
            <v>0</v>
          </cell>
        </row>
        <row r="1983">
          <cell r="R1983">
            <v>3</v>
          </cell>
          <cell r="S1983">
            <v>0</v>
          </cell>
        </row>
        <row r="1984">
          <cell r="R1984">
            <v>3</v>
          </cell>
          <cell r="S1984">
            <v>0</v>
          </cell>
        </row>
        <row r="1985">
          <cell r="R1985">
            <v>3</v>
          </cell>
          <cell r="S1985">
            <v>0</v>
          </cell>
        </row>
        <row r="1986">
          <cell r="R1986">
            <v>3</v>
          </cell>
          <cell r="S1986">
            <v>0</v>
          </cell>
        </row>
        <row r="1987">
          <cell r="R1987">
            <v>3</v>
          </cell>
          <cell r="S1987">
            <v>0</v>
          </cell>
        </row>
        <row r="1988">
          <cell r="R1988">
            <v>3</v>
          </cell>
          <cell r="S1988">
            <v>0</v>
          </cell>
        </row>
        <row r="1989">
          <cell r="R1989">
            <v>3</v>
          </cell>
          <cell r="S1989">
            <v>0</v>
          </cell>
        </row>
        <row r="1990">
          <cell r="R1990">
            <v>3</v>
          </cell>
          <cell r="S1990">
            <v>0</v>
          </cell>
        </row>
        <row r="1991">
          <cell r="R1991">
            <v>3</v>
          </cell>
          <cell r="S1991">
            <v>0</v>
          </cell>
        </row>
        <row r="1992">
          <cell r="R1992">
            <v>3</v>
          </cell>
          <cell r="S1992">
            <v>0</v>
          </cell>
        </row>
        <row r="1993">
          <cell r="R1993">
            <v>3</v>
          </cell>
          <cell r="S1993">
            <v>0</v>
          </cell>
        </row>
        <row r="1994">
          <cell r="R1994">
            <v>3</v>
          </cell>
          <cell r="S1994">
            <v>0</v>
          </cell>
        </row>
        <row r="1995">
          <cell r="R1995">
            <v>3</v>
          </cell>
          <cell r="S1995">
            <v>0</v>
          </cell>
        </row>
        <row r="1996">
          <cell r="R1996">
            <v>3</v>
          </cell>
          <cell r="S1996">
            <v>0</v>
          </cell>
        </row>
        <row r="1997">
          <cell r="R1997">
            <v>3</v>
          </cell>
          <cell r="S1997">
            <v>0</v>
          </cell>
        </row>
        <row r="1998">
          <cell r="R1998">
            <v>3</v>
          </cell>
          <cell r="S1998">
            <v>0</v>
          </cell>
        </row>
        <row r="1999">
          <cell r="R1999">
            <v>3</v>
          </cell>
          <cell r="S1999">
            <v>0</v>
          </cell>
        </row>
        <row r="2000">
          <cell r="R2000">
            <v>3</v>
          </cell>
          <cell r="S2000">
            <v>0</v>
          </cell>
        </row>
        <row r="2001">
          <cell r="R2001">
            <v>3</v>
          </cell>
          <cell r="S2001">
            <v>0</v>
          </cell>
        </row>
        <row r="2002">
          <cell r="R2002">
            <v>3</v>
          </cell>
          <cell r="S2002">
            <v>0</v>
          </cell>
        </row>
        <row r="2003">
          <cell r="R2003">
            <v>3</v>
          </cell>
          <cell r="S2003">
            <v>0</v>
          </cell>
        </row>
        <row r="2004">
          <cell r="R2004">
            <v>3</v>
          </cell>
          <cell r="S2004">
            <v>0</v>
          </cell>
        </row>
        <row r="2005">
          <cell r="R2005">
            <v>3</v>
          </cell>
          <cell r="S2005">
            <v>0</v>
          </cell>
        </row>
        <row r="2006">
          <cell r="R2006">
            <v>3</v>
          </cell>
          <cell r="S2006">
            <v>0</v>
          </cell>
        </row>
        <row r="2007">
          <cell r="R2007">
            <v>3</v>
          </cell>
          <cell r="S2007">
            <v>0</v>
          </cell>
        </row>
        <row r="2008">
          <cell r="R2008">
            <v>3</v>
          </cell>
          <cell r="S2008">
            <v>0</v>
          </cell>
        </row>
        <row r="2009">
          <cell r="R2009">
            <v>3</v>
          </cell>
          <cell r="S2009">
            <v>0</v>
          </cell>
        </row>
        <row r="2010">
          <cell r="R2010">
            <v>3</v>
          </cell>
          <cell r="S2010">
            <v>0</v>
          </cell>
        </row>
        <row r="2011">
          <cell r="R2011">
            <v>3</v>
          </cell>
          <cell r="S2011">
            <v>0</v>
          </cell>
        </row>
        <row r="2012">
          <cell r="R2012">
            <v>3</v>
          </cell>
          <cell r="S2012">
            <v>0</v>
          </cell>
        </row>
        <row r="2013">
          <cell r="R2013">
            <v>3</v>
          </cell>
          <cell r="S2013">
            <v>0</v>
          </cell>
        </row>
        <row r="2014">
          <cell r="R2014">
            <v>3</v>
          </cell>
          <cell r="S2014">
            <v>0</v>
          </cell>
        </row>
        <row r="2015">
          <cell r="R2015">
            <v>3</v>
          </cell>
          <cell r="S2015">
            <v>0</v>
          </cell>
        </row>
        <row r="2016">
          <cell r="R2016">
            <v>3</v>
          </cell>
          <cell r="S2016">
            <v>0</v>
          </cell>
        </row>
        <row r="2017">
          <cell r="R2017">
            <v>3</v>
          </cell>
          <cell r="S2017">
            <v>0</v>
          </cell>
        </row>
        <row r="2018">
          <cell r="R2018">
            <v>3</v>
          </cell>
          <cell r="S2018">
            <v>0</v>
          </cell>
        </row>
        <row r="2019">
          <cell r="R2019">
            <v>3</v>
          </cell>
          <cell r="S2019">
            <v>0</v>
          </cell>
        </row>
        <row r="2020">
          <cell r="R2020">
            <v>3</v>
          </cell>
          <cell r="S2020">
            <v>0</v>
          </cell>
        </row>
        <row r="2021">
          <cell r="R2021">
            <v>3</v>
          </cell>
          <cell r="S2021">
            <v>0</v>
          </cell>
        </row>
        <row r="2022">
          <cell r="R2022">
            <v>3</v>
          </cell>
          <cell r="S2022">
            <v>0</v>
          </cell>
        </row>
        <row r="2023">
          <cell r="R2023">
            <v>3</v>
          </cell>
          <cell r="S2023">
            <v>0</v>
          </cell>
        </row>
        <row r="2024">
          <cell r="R2024">
            <v>3</v>
          </cell>
          <cell r="S2024">
            <v>0</v>
          </cell>
        </row>
        <row r="2025">
          <cell r="R2025">
            <v>3</v>
          </cell>
          <cell r="S2025">
            <v>0</v>
          </cell>
        </row>
        <row r="2026">
          <cell r="R2026">
            <v>3</v>
          </cell>
          <cell r="S2026">
            <v>0</v>
          </cell>
        </row>
        <row r="2027">
          <cell r="R2027">
            <v>3</v>
          </cell>
          <cell r="S2027">
            <v>0</v>
          </cell>
        </row>
        <row r="2028">
          <cell r="R2028">
            <v>3</v>
          </cell>
          <cell r="S2028">
            <v>0</v>
          </cell>
        </row>
        <row r="2029">
          <cell r="R2029">
            <v>3</v>
          </cell>
          <cell r="S2029">
            <v>0</v>
          </cell>
        </row>
        <row r="2030">
          <cell r="R2030">
            <v>3</v>
          </cell>
          <cell r="S2030">
            <v>0</v>
          </cell>
        </row>
        <row r="2031">
          <cell r="R2031">
            <v>3</v>
          </cell>
          <cell r="S2031">
            <v>0</v>
          </cell>
        </row>
        <row r="2032">
          <cell r="R2032">
            <v>3</v>
          </cell>
          <cell r="S2032">
            <v>0</v>
          </cell>
        </row>
        <row r="2033">
          <cell r="R2033">
            <v>3</v>
          </cell>
          <cell r="S2033">
            <v>0</v>
          </cell>
        </row>
        <row r="2034">
          <cell r="R2034">
            <v>3</v>
          </cell>
          <cell r="S2034">
            <v>0</v>
          </cell>
        </row>
        <row r="2035">
          <cell r="R2035">
            <v>3</v>
          </cell>
          <cell r="S2035">
            <v>0</v>
          </cell>
        </row>
        <row r="2036">
          <cell r="R2036">
            <v>3</v>
          </cell>
          <cell r="S2036">
            <v>0</v>
          </cell>
        </row>
        <row r="2037">
          <cell r="R2037">
            <v>3</v>
          </cell>
          <cell r="S2037">
            <v>0</v>
          </cell>
        </row>
        <row r="2038">
          <cell r="R2038">
            <v>3</v>
          </cell>
          <cell r="S2038">
            <v>0</v>
          </cell>
        </row>
        <row r="2039">
          <cell r="R2039">
            <v>3</v>
          </cell>
          <cell r="S2039">
            <v>0</v>
          </cell>
        </row>
        <row r="2040">
          <cell r="R2040">
            <v>3</v>
          </cell>
          <cell r="S2040">
            <v>0</v>
          </cell>
        </row>
        <row r="2041">
          <cell r="R2041">
            <v>3</v>
          </cell>
          <cell r="S2041">
            <v>0</v>
          </cell>
        </row>
        <row r="2042">
          <cell r="R2042">
            <v>3</v>
          </cell>
          <cell r="S2042">
            <v>0</v>
          </cell>
        </row>
        <row r="2043">
          <cell r="R2043">
            <v>3</v>
          </cell>
          <cell r="S2043">
            <v>0</v>
          </cell>
        </row>
        <row r="2044">
          <cell r="R2044">
            <v>3</v>
          </cell>
          <cell r="S2044">
            <v>0</v>
          </cell>
        </row>
        <row r="2045">
          <cell r="R2045">
            <v>3</v>
          </cell>
          <cell r="S2045">
            <v>0</v>
          </cell>
        </row>
        <row r="2046">
          <cell r="R2046">
            <v>3</v>
          </cell>
          <cell r="S2046">
            <v>0</v>
          </cell>
        </row>
        <row r="2047">
          <cell r="R2047">
            <v>3</v>
          </cell>
          <cell r="S2047">
            <v>0</v>
          </cell>
        </row>
        <row r="2048">
          <cell r="R2048">
            <v>3</v>
          </cell>
          <cell r="S2048">
            <v>0</v>
          </cell>
        </row>
        <row r="2049">
          <cell r="R2049">
            <v>3</v>
          </cell>
          <cell r="S2049">
            <v>0</v>
          </cell>
        </row>
        <row r="2050">
          <cell r="R2050">
            <v>3</v>
          </cell>
          <cell r="S2050">
            <v>0</v>
          </cell>
        </row>
        <row r="2051">
          <cell r="R2051">
            <v>3</v>
          </cell>
          <cell r="S2051">
            <v>0</v>
          </cell>
        </row>
        <row r="2052">
          <cell r="R2052">
            <v>3</v>
          </cell>
          <cell r="S2052">
            <v>0</v>
          </cell>
        </row>
        <row r="2053">
          <cell r="R2053">
            <v>3</v>
          </cell>
          <cell r="S2053">
            <v>0</v>
          </cell>
        </row>
        <row r="2054">
          <cell r="R2054">
            <v>3</v>
          </cell>
          <cell r="S2054">
            <v>0</v>
          </cell>
        </row>
        <row r="2055">
          <cell r="R2055">
            <v>3</v>
          </cell>
          <cell r="S2055">
            <v>0</v>
          </cell>
        </row>
        <row r="2056">
          <cell r="R2056">
            <v>3</v>
          </cell>
          <cell r="S2056">
            <v>0</v>
          </cell>
        </row>
        <row r="2057">
          <cell r="R2057">
            <v>3</v>
          </cell>
          <cell r="S2057">
            <v>0</v>
          </cell>
        </row>
        <row r="2058">
          <cell r="R2058">
            <v>3</v>
          </cell>
          <cell r="S2058">
            <v>0</v>
          </cell>
        </row>
        <row r="2059">
          <cell r="R2059">
            <v>3</v>
          </cell>
          <cell r="S2059">
            <v>0</v>
          </cell>
        </row>
        <row r="2060">
          <cell r="R2060">
            <v>3</v>
          </cell>
          <cell r="S2060">
            <v>0</v>
          </cell>
        </row>
        <row r="2061">
          <cell r="R2061">
            <v>3</v>
          </cell>
          <cell r="S2061">
            <v>0</v>
          </cell>
        </row>
        <row r="2062">
          <cell r="R2062">
            <v>3</v>
          </cell>
          <cell r="S2062">
            <v>0</v>
          </cell>
        </row>
        <row r="2063">
          <cell r="R2063">
            <v>3</v>
          </cell>
          <cell r="S2063">
            <v>0</v>
          </cell>
        </row>
        <row r="2064">
          <cell r="R2064">
            <v>3</v>
          </cell>
          <cell r="S2064">
            <v>0</v>
          </cell>
        </row>
        <row r="2065">
          <cell r="R2065">
            <v>3</v>
          </cell>
          <cell r="S2065">
            <v>0</v>
          </cell>
        </row>
        <row r="2066">
          <cell r="R2066">
            <v>3</v>
          </cell>
          <cell r="S2066">
            <v>0</v>
          </cell>
        </row>
        <row r="2067">
          <cell r="R2067">
            <v>3</v>
          </cell>
          <cell r="S2067">
            <v>0</v>
          </cell>
        </row>
        <row r="2068">
          <cell r="R2068">
            <v>3</v>
          </cell>
          <cell r="S2068">
            <v>0</v>
          </cell>
        </row>
        <row r="2069">
          <cell r="R2069">
            <v>3</v>
          </cell>
          <cell r="S2069">
            <v>0</v>
          </cell>
        </row>
        <row r="2070">
          <cell r="R2070">
            <v>3</v>
          </cell>
          <cell r="S2070">
            <v>0</v>
          </cell>
        </row>
        <row r="2071">
          <cell r="R2071">
            <v>3</v>
          </cell>
          <cell r="S2071">
            <v>0</v>
          </cell>
        </row>
        <row r="2072">
          <cell r="R2072">
            <v>3</v>
          </cell>
          <cell r="S2072">
            <v>0</v>
          </cell>
        </row>
        <row r="2073">
          <cell r="R2073">
            <v>3</v>
          </cell>
          <cell r="S2073">
            <v>0</v>
          </cell>
        </row>
        <row r="2074">
          <cell r="R2074">
            <v>3</v>
          </cell>
          <cell r="S2074">
            <v>0</v>
          </cell>
        </row>
        <row r="2075">
          <cell r="R2075">
            <v>3</v>
          </cell>
          <cell r="S2075">
            <v>0</v>
          </cell>
        </row>
        <row r="2076">
          <cell r="R2076">
            <v>3</v>
          </cell>
          <cell r="S2076">
            <v>0</v>
          </cell>
        </row>
        <row r="2077">
          <cell r="R2077">
            <v>3</v>
          </cell>
          <cell r="S2077">
            <v>0</v>
          </cell>
        </row>
        <row r="2078">
          <cell r="R2078">
            <v>3</v>
          </cell>
          <cell r="S2078">
            <v>0</v>
          </cell>
        </row>
        <row r="2079">
          <cell r="R2079">
            <v>3</v>
          </cell>
          <cell r="S2079">
            <v>0</v>
          </cell>
        </row>
        <row r="2080">
          <cell r="R2080">
            <v>3</v>
          </cell>
          <cell r="S2080">
            <v>0</v>
          </cell>
        </row>
        <row r="2081">
          <cell r="R2081">
            <v>3</v>
          </cell>
          <cell r="S2081">
            <v>0</v>
          </cell>
        </row>
        <row r="2082">
          <cell r="R2082">
            <v>3</v>
          </cell>
          <cell r="S2082">
            <v>0</v>
          </cell>
        </row>
        <row r="2083">
          <cell r="R2083">
            <v>3</v>
          </cell>
          <cell r="S2083">
            <v>0</v>
          </cell>
        </row>
        <row r="2084">
          <cell r="R2084">
            <v>3</v>
          </cell>
          <cell r="S2084">
            <v>0</v>
          </cell>
        </row>
        <row r="2085">
          <cell r="R2085">
            <v>3</v>
          </cell>
          <cell r="S2085">
            <v>0</v>
          </cell>
        </row>
        <row r="2086">
          <cell r="R2086">
            <v>3</v>
          </cell>
          <cell r="S2086">
            <v>0</v>
          </cell>
        </row>
        <row r="2087">
          <cell r="R2087">
            <v>3</v>
          </cell>
          <cell r="S2087">
            <v>0</v>
          </cell>
        </row>
        <row r="2088">
          <cell r="R2088">
            <v>3</v>
          </cell>
          <cell r="S2088">
            <v>0</v>
          </cell>
        </row>
        <row r="2089">
          <cell r="R2089">
            <v>3</v>
          </cell>
          <cell r="S2089">
            <v>0</v>
          </cell>
        </row>
        <row r="2090">
          <cell r="R2090">
            <v>3</v>
          </cell>
          <cell r="S2090">
            <v>0</v>
          </cell>
        </row>
        <row r="2091">
          <cell r="R2091">
            <v>3</v>
          </cell>
          <cell r="S2091">
            <v>0</v>
          </cell>
        </row>
        <row r="2092">
          <cell r="R2092">
            <v>3</v>
          </cell>
          <cell r="S2092">
            <v>0</v>
          </cell>
        </row>
        <row r="2093">
          <cell r="R2093">
            <v>3</v>
          </cell>
          <cell r="S2093">
            <v>0</v>
          </cell>
        </row>
        <row r="2094">
          <cell r="R2094">
            <v>3</v>
          </cell>
          <cell r="S2094">
            <v>0</v>
          </cell>
        </row>
        <row r="2095">
          <cell r="R2095">
            <v>3</v>
          </cell>
          <cell r="S2095">
            <v>0</v>
          </cell>
        </row>
        <row r="2096">
          <cell r="R2096">
            <v>3</v>
          </cell>
          <cell r="S2096">
            <v>0</v>
          </cell>
        </row>
        <row r="2097">
          <cell r="R2097">
            <v>3</v>
          </cell>
          <cell r="S2097">
            <v>0</v>
          </cell>
        </row>
        <row r="2098">
          <cell r="R2098">
            <v>3</v>
          </cell>
          <cell r="S2098">
            <v>0</v>
          </cell>
        </row>
        <row r="2099">
          <cell r="R2099">
            <v>3</v>
          </cell>
          <cell r="S2099">
            <v>0</v>
          </cell>
        </row>
        <row r="2100">
          <cell r="R2100">
            <v>3</v>
          </cell>
          <cell r="S2100">
            <v>0</v>
          </cell>
        </row>
        <row r="2101">
          <cell r="R2101">
            <v>3</v>
          </cell>
          <cell r="S2101">
            <v>0</v>
          </cell>
        </row>
        <row r="2102">
          <cell r="R2102">
            <v>3</v>
          </cell>
          <cell r="S2102">
            <v>0</v>
          </cell>
        </row>
        <row r="2103">
          <cell r="R2103">
            <v>3</v>
          </cell>
          <cell r="S2103">
            <v>0</v>
          </cell>
        </row>
        <row r="2104">
          <cell r="R2104">
            <v>3</v>
          </cell>
          <cell r="S2104">
            <v>0</v>
          </cell>
        </row>
        <row r="2105">
          <cell r="R2105">
            <v>3</v>
          </cell>
          <cell r="S2105">
            <v>0</v>
          </cell>
        </row>
        <row r="2106">
          <cell r="R2106">
            <v>3</v>
          </cell>
          <cell r="S2106">
            <v>0</v>
          </cell>
        </row>
        <row r="2107">
          <cell r="R2107">
            <v>3</v>
          </cell>
          <cell r="S2107">
            <v>0</v>
          </cell>
        </row>
        <row r="2108">
          <cell r="R2108">
            <v>3</v>
          </cell>
          <cell r="S2108">
            <v>0</v>
          </cell>
        </row>
        <row r="2109">
          <cell r="R2109">
            <v>3</v>
          </cell>
          <cell r="S2109">
            <v>0</v>
          </cell>
        </row>
        <row r="2110">
          <cell r="R2110">
            <v>3</v>
          </cell>
          <cell r="S2110">
            <v>0</v>
          </cell>
        </row>
        <row r="2111">
          <cell r="R2111">
            <v>3</v>
          </cell>
          <cell r="S2111">
            <v>0</v>
          </cell>
        </row>
        <row r="2112">
          <cell r="R2112">
            <v>3</v>
          </cell>
          <cell r="S2112">
            <v>0</v>
          </cell>
        </row>
        <row r="2113">
          <cell r="R2113">
            <v>3</v>
          </cell>
          <cell r="S2113">
            <v>0</v>
          </cell>
        </row>
        <row r="2114">
          <cell r="R2114">
            <v>3</v>
          </cell>
          <cell r="S2114">
            <v>0</v>
          </cell>
        </row>
        <row r="2115">
          <cell r="R2115">
            <v>3</v>
          </cell>
          <cell r="S2115">
            <v>0</v>
          </cell>
        </row>
        <row r="2116">
          <cell r="R2116">
            <v>3</v>
          </cell>
          <cell r="S2116">
            <v>0</v>
          </cell>
        </row>
        <row r="2117">
          <cell r="R2117">
            <v>3</v>
          </cell>
          <cell r="S2117">
            <v>0</v>
          </cell>
        </row>
        <row r="2118">
          <cell r="R2118">
            <v>3</v>
          </cell>
          <cell r="S2118">
            <v>0</v>
          </cell>
        </row>
        <row r="2119">
          <cell r="R2119">
            <v>3</v>
          </cell>
          <cell r="S2119">
            <v>0</v>
          </cell>
        </row>
        <row r="2120">
          <cell r="R2120">
            <v>3</v>
          </cell>
          <cell r="S2120">
            <v>0</v>
          </cell>
        </row>
        <row r="2121">
          <cell r="R2121">
            <v>3</v>
          </cell>
          <cell r="S2121">
            <v>0</v>
          </cell>
        </row>
        <row r="2122">
          <cell r="R2122">
            <v>3</v>
          </cell>
          <cell r="S2122">
            <v>0</v>
          </cell>
        </row>
        <row r="2123">
          <cell r="R2123">
            <v>3</v>
          </cell>
          <cell r="S2123">
            <v>0</v>
          </cell>
        </row>
        <row r="2124">
          <cell r="R2124">
            <v>3</v>
          </cell>
          <cell r="S2124">
            <v>0</v>
          </cell>
        </row>
        <row r="2125">
          <cell r="R2125">
            <v>3</v>
          </cell>
          <cell r="S2125">
            <v>0</v>
          </cell>
        </row>
        <row r="2126">
          <cell r="R2126">
            <v>3</v>
          </cell>
          <cell r="S2126">
            <v>0</v>
          </cell>
        </row>
        <row r="2127">
          <cell r="R2127">
            <v>3</v>
          </cell>
          <cell r="S2127">
            <v>0</v>
          </cell>
        </row>
        <row r="2128">
          <cell r="R2128">
            <v>3</v>
          </cell>
          <cell r="S2128">
            <v>0</v>
          </cell>
        </row>
        <row r="2129">
          <cell r="R2129">
            <v>3</v>
          </cell>
          <cell r="S2129">
            <v>0</v>
          </cell>
        </row>
        <row r="2130">
          <cell r="R2130">
            <v>3</v>
          </cell>
          <cell r="S2130">
            <v>0</v>
          </cell>
        </row>
        <row r="2131">
          <cell r="R2131">
            <v>3</v>
          </cell>
          <cell r="S2131">
            <v>0</v>
          </cell>
        </row>
        <row r="2132">
          <cell r="R2132">
            <v>3</v>
          </cell>
          <cell r="S2132">
            <v>0</v>
          </cell>
        </row>
        <row r="2133">
          <cell r="R2133">
            <v>3</v>
          </cell>
          <cell r="S2133">
            <v>0</v>
          </cell>
        </row>
        <row r="2134">
          <cell r="R2134">
            <v>3</v>
          </cell>
          <cell r="S2134">
            <v>0</v>
          </cell>
        </row>
        <row r="2135">
          <cell r="R2135">
            <v>3</v>
          </cell>
          <cell r="S2135">
            <v>0</v>
          </cell>
        </row>
        <row r="2136">
          <cell r="R2136">
            <v>3</v>
          </cell>
          <cell r="S2136">
            <v>0</v>
          </cell>
        </row>
        <row r="2137">
          <cell r="R2137">
            <v>3</v>
          </cell>
          <cell r="S2137">
            <v>0</v>
          </cell>
        </row>
        <row r="2138">
          <cell r="R2138">
            <v>3</v>
          </cell>
          <cell r="S2138">
            <v>0</v>
          </cell>
        </row>
        <row r="2139">
          <cell r="R2139">
            <v>3</v>
          </cell>
          <cell r="S2139">
            <v>0</v>
          </cell>
        </row>
        <row r="2140">
          <cell r="R2140">
            <v>3</v>
          </cell>
          <cell r="S2140">
            <v>0</v>
          </cell>
        </row>
        <row r="2141">
          <cell r="R2141">
            <v>3</v>
          </cell>
          <cell r="S2141">
            <v>0</v>
          </cell>
        </row>
        <row r="2142">
          <cell r="R2142">
            <v>3</v>
          </cell>
          <cell r="S2142">
            <v>0</v>
          </cell>
        </row>
        <row r="2143">
          <cell r="R2143">
            <v>3</v>
          </cell>
          <cell r="S2143">
            <v>0</v>
          </cell>
        </row>
        <row r="2144">
          <cell r="R2144">
            <v>3</v>
          </cell>
          <cell r="S2144">
            <v>0</v>
          </cell>
        </row>
        <row r="2145">
          <cell r="R2145">
            <v>3</v>
          </cell>
          <cell r="S2145">
            <v>0</v>
          </cell>
        </row>
        <row r="2146">
          <cell r="R2146">
            <v>3</v>
          </cell>
          <cell r="S2146">
            <v>0</v>
          </cell>
        </row>
        <row r="2147">
          <cell r="R2147">
            <v>3</v>
          </cell>
          <cell r="S2147">
            <v>0</v>
          </cell>
        </row>
        <row r="2148">
          <cell r="R2148">
            <v>3</v>
          </cell>
          <cell r="S2148">
            <v>0</v>
          </cell>
        </row>
        <row r="2149">
          <cell r="R2149">
            <v>3</v>
          </cell>
          <cell r="S2149">
            <v>0</v>
          </cell>
        </row>
        <row r="2150">
          <cell r="R2150">
            <v>3</v>
          </cell>
          <cell r="S2150">
            <v>0</v>
          </cell>
        </row>
        <row r="2151">
          <cell r="R2151">
            <v>3</v>
          </cell>
          <cell r="S2151">
            <v>0</v>
          </cell>
        </row>
        <row r="2152">
          <cell r="R2152">
            <v>3</v>
          </cell>
          <cell r="S2152">
            <v>0</v>
          </cell>
        </row>
        <row r="2153">
          <cell r="R2153">
            <v>3</v>
          </cell>
          <cell r="S2153">
            <v>0</v>
          </cell>
        </row>
        <row r="2154">
          <cell r="R2154">
            <v>3</v>
          </cell>
          <cell r="S2154">
            <v>0</v>
          </cell>
        </row>
        <row r="2155">
          <cell r="R2155">
            <v>3</v>
          </cell>
          <cell r="S2155">
            <v>0</v>
          </cell>
        </row>
        <row r="2156">
          <cell r="R2156">
            <v>3</v>
          </cell>
          <cell r="S2156">
            <v>0</v>
          </cell>
        </row>
        <row r="2157">
          <cell r="R2157">
            <v>3</v>
          </cell>
          <cell r="S2157">
            <v>0</v>
          </cell>
        </row>
        <row r="2158">
          <cell r="R2158">
            <v>3</v>
          </cell>
          <cell r="S2158">
            <v>0</v>
          </cell>
        </row>
        <row r="2159">
          <cell r="R2159">
            <v>3</v>
          </cell>
          <cell r="S2159">
            <v>0</v>
          </cell>
        </row>
        <row r="2160">
          <cell r="R2160">
            <v>3</v>
          </cell>
          <cell r="S2160">
            <v>0</v>
          </cell>
        </row>
        <row r="2161">
          <cell r="R2161">
            <v>3</v>
          </cell>
          <cell r="S2161">
            <v>0</v>
          </cell>
        </row>
        <row r="2162">
          <cell r="R2162">
            <v>3</v>
          </cell>
          <cell r="S2162">
            <v>0</v>
          </cell>
        </row>
        <row r="2163">
          <cell r="R2163">
            <v>3</v>
          </cell>
          <cell r="S2163">
            <v>0</v>
          </cell>
        </row>
        <row r="2164">
          <cell r="R2164">
            <v>3</v>
          </cell>
          <cell r="S2164">
            <v>0</v>
          </cell>
        </row>
        <row r="2165">
          <cell r="R2165">
            <v>3</v>
          </cell>
          <cell r="S2165">
            <v>0</v>
          </cell>
        </row>
        <row r="2166">
          <cell r="R2166">
            <v>3</v>
          </cell>
          <cell r="S2166">
            <v>0</v>
          </cell>
        </row>
        <row r="2167">
          <cell r="R2167">
            <v>3</v>
          </cell>
          <cell r="S2167">
            <v>0</v>
          </cell>
        </row>
        <row r="2168">
          <cell r="R2168">
            <v>3</v>
          </cell>
          <cell r="S2168">
            <v>0</v>
          </cell>
        </row>
        <row r="2169">
          <cell r="R2169">
            <v>3</v>
          </cell>
          <cell r="S2169">
            <v>0</v>
          </cell>
        </row>
        <row r="2170">
          <cell r="R2170">
            <v>3</v>
          </cell>
          <cell r="S2170">
            <v>0</v>
          </cell>
        </row>
        <row r="2171">
          <cell r="R2171">
            <v>3</v>
          </cell>
          <cell r="S2171">
            <v>0</v>
          </cell>
        </row>
        <row r="2172">
          <cell r="R2172">
            <v>3</v>
          </cell>
          <cell r="S2172">
            <v>0</v>
          </cell>
        </row>
        <row r="2173">
          <cell r="R2173">
            <v>3</v>
          </cell>
          <cell r="S2173">
            <v>0</v>
          </cell>
        </row>
        <row r="2174">
          <cell r="R2174">
            <v>3</v>
          </cell>
          <cell r="S2174">
            <v>0</v>
          </cell>
        </row>
        <row r="2175">
          <cell r="R2175">
            <v>3</v>
          </cell>
          <cell r="S2175">
            <v>0</v>
          </cell>
        </row>
        <row r="2176">
          <cell r="R2176">
            <v>3</v>
          </cell>
          <cell r="S2176">
            <v>0</v>
          </cell>
        </row>
        <row r="2177">
          <cell r="R2177">
            <v>3</v>
          </cell>
          <cell r="S2177">
            <v>0</v>
          </cell>
        </row>
        <row r="2178">
          <cell r="R2178">
            <v>3</v>
          </cell>
          <cell r="S2178">
            <v>0</v>
          </cell>
        </row>
        <row r="2179">
          <cell r="R2179">
            <v>3</v>
          </cell>
          <cell r="S2179">
            <v>0</v>
          </cell>
        </row>
        <row r="2180">
          <cell r="R2180">
            <v>3</v>
          </cell>
          <cell r="S2180">
            <v>0</v>
          </cell>
        </row>
        <row r="2181">
          <cell r="R2181">
            <v>3</v>
          </cell>
          <cell r="S2181">
            <v>0</v>
          </cell>
        </row>
        <row r="2182">
          <cell r="R2182">
            <v>3</v>
          </cell>
          <cell r="S2182">
            <v>0</v>
          </cell>
        </row>
        <row r="2183">
          <cell r="R2183">
            <v>3</v>
          </cell>
          <cell r="S2183">
            <v>0</v>
          </cell>
        </row>
        <row r="2184">
          <cell r="R2184">
            <v>3</v>
          </cell>
          <cell r="S2184">
            <v>0</v>
          </cell>
        </row>
        <row r="2185">
          <cell r="R2185">
            <v>3</v>
          </cell>
          <cell r="S2185">
            <v>0</v>
          </cell>
        </row>
        <row r="2186">
          <cell r="R2186">
            <v>3</v>
          </cell>
          <cell r="S2186">
            <v>0</v>
          </cell>
        </row>
        <row r="2187">
          <cell r="R2187">
            <v>3</v>
          </cell>
          <cell r="S2187">
            <v>0</v>
          </cell>
        </row>
        <row r="2188">
          <cell r="R2188">
            <v>3</v>
          </cell>
          <cell r="S2188">
            <v>0</v>
          </cell>
        </row>
        <row r="2189">
          <cell r="R2189">
            <v>3</v>
          </cell>
          <cell r="S2189">
            <v>0</v>
          </cell>
        </row>
        <row r="2190">
          <cell r="R2190">
            <v>3</v>
          </cell>
          <cell r="S2190">
            <v>0</v>
          </cell>
        </row>
        <row r="2191">
          <cell r="R2191">
            <v>3</v>
          </cell>
          <cell r="S2191">
            <v>0</v>
          </cell>
        </row>
        <row r="2192">
          <cell r="R2192">
            <v>3</v>
          </cell>
          <cell r="S2192">
            <v>0</v>
          </cell>
        </row>
        <row r="2193">
          <cell r="R2193">
            <v>3</v>
          </cell>
          <cell r="S2193">
            <v>0</v>
          </cell>
        </row>
        <row r="2194">
          <cell r="R2194">
            <v>3</v>
          </cell>
          <cell r="S2194">
            <v>0</v>
          </cell>
        </row>
        <row r="2195">
          <cell r="R2195">
            <v>3</v>
          </cell>
          <cell r="S2195">
            <v>0</v>
          </cell>
        </row>
        <row r="2196">
          <cell r="R2196">
            <v>3</v>
          </cell>
          <cell r="S2196">
            <v>0</v>
          </cell>
        </row>
        <row r="2197">
          <cell r="R2197">
            <v>3</v>
          </cell>
          <cell r="S2197">
            <v>0</v>
          </cell>
        </row>
        <row r="2198">
          <cell r="R2198">
            <v>3</v>
          </cell>
          <cell r="S2198">
            <v>0</v>
          </cell>
        </row>
        <row r="2199">
          <cell r="R2199">
            <v>3</v>
          </cell>
          <cell r="S2199">
            <v>0</v>
          </cell>
        </row>
        <row r="2200">
          <cell r="R2200">
            <v>3</v>
          </cell>
          <cell r="S2200">
            <v>0</v>
          </cell>
        </row>
        <row r="2201">
          <cell r="R2201">
            <v>3</v>
          </cell>
          <cell r="S2201">
            <v>0</v>
          </cell>
        </row>
        <row r="2202">
          <cell r="R2202">
            <v>3</v>
          </cell>
          <cell r="S2202">
            <v>0</v>
          </cell>
        </row>
        <row r="2203">
          <cell r="R2203">
            <v>3</v>
          </cell>
          <cell r="S2203">
            <v>0</v>
          </cell>
        </row>
        <row r="2204">
          <cell r="R2204">
            <v>3</v>
          </cell>
          <cell r="S2204">
            <v>0</v>
          </cell>
        </row>
        <row r="2205">
          <cell r="R2205">
            <v>3</v>
          </cell>
          <cell r="S2205">
            <v>0</v>
          </cell>
        </row>
        <row r="2206">
          <cell r="R2206">
            <v>3</v>
          </cell>
          <cell r="S2206">
            <v>0</v>
          </cell>
        </row>
        <row r="2207">
          <cell r="R2207">
            <v>3</v>
          </cell>
          <cell r="S2207">
            <v>0</v>
          </cell>
        </row>
        <row r="2208">
          <cell r="R2208">
            <v>3</v>
          </cell>
          <cell r="S2208">
            <v>0</v>
          </cell>
        </row>
        <row r="2209">
          <cell r="R2209">
            <v>3</v>
          </cell>
          <cell r="S2209">
            <v>0</v>
          </cell>
        </row>
        <row r="2210">
          <cell r="R2210">
            <v>3</v>
          </cell>
          <cell r="S2210">
            <v>0</v>
          </cell>
        </row>
        <row r="2211">
          <cell r="R2211">
            <v>3</v>
          </cell>
          <cell r="S2211">
            <v>0</v>
          </cell>
        </row>
        <row r="2212">
          <cell r="R2212">
            <v>3</v>
          </cell>
          <cell r="S2212">
            <v>0</v>
          </cell>
        </row>
        <row r="2213">
          <cell r="R2213">
            <v>3</v>
          </cell>
          <cell r="S2213">
            <v>0</v>
          </cell>
        </row>
        <row r="2214">
          <cell r="R2214">
            <v>3</v>
          </cell>
          <cell r="S2214">
            <v>0</v>
          </cell>
        </row>
        <row r="2215">
          <cell r="R2215">
            <v>3</v>
          </cell>
          <cell r="S2215">
            <v>0</v>
          </cell>
        </row>
        <row r="2216">
          <cell r="R2216">
            <v>3</v>
          </cell>
          <cell r="S2216">
            <v>0</v>
          </cell>
        </row>
        <row r="2217">
          <cell r="R2217">
            <v>3</v>
          </cell>
          <cell r="S2217">
            <v>0</v>
          </cell>
        </row>
        <row r="2218">
          <cell r="R2218">
            <v>3</v>
          </cell>
          <cell r="S2218">
            <v>0</v>
          </cell>
        </row>
        <row r="2219">
          <cell r="R2219">
            <v>3</v>
          </cell>
          <cell r="S2219">
            <v>0</v>
          </cell>
        </row>
        <row r="2220">
          <cell r="R2220">
            <v>3</v>
          </cell>
          <cell r="S2220">
            <v>0</v>
          </cell>
        </row>
        <row r="2221">
          <cell r="R2221">
            <v>3</v>
          </cell>
          <cell r="S2221">
            <v>0</v>
          </cell>
        </row>
        <row r="2222">
          <cell r="R2222">
            <v>3</v>
          </cell>
          <cell r="S2222">
            <v>0</v>
          </cell>
        </row>
        <row r="2223">
          <cell r="R2223">
            <v>3</v>
          </cell>
          <cell r="S2223">
            <v>0</v>
          </cell>
        </row>
        <row r="2224">
          <cell r="R2224">
            <v>3</v>
          </cell>
          <cell r="S2224">
            <v>0</v>
          </cell>
        </row>
        <row r="2225">
          <cell r="R2225">
            <v>3</v>
          </cell>
          <cell r="S2225">
            <v>0</v>
          </cell>
        </row>
        <row r="2226">
          <cell r="R2226">
            <v>3</v>
          </cell>
          <cell r="S2226">
            <v>0</v>
          </cell>
        </row>
        <row r="2227">
          <cell r="R2227">
            <v>3</v>
          </cell>
          <cell r="S2227">
            <v>0</v>
          </cell>
        </row>
        <row r="2228">
          <cell r="R2228">
            <v>3</v>
          </cell>
          <cell r="S2228">
            <v>0</v>
          </cell>
        </row>
        <row r="2229">
          <cell r="R2229">
            <v>3</v>
          </cell>
          <cell r="S2229">
            <v>0</v>
          </cell>
        </row>
        <row r="2230">
          <cell r="R2230">
            <v>3</v>
          </cell>
          <cell r="S2230">
            <v>0</v>
          </cell>
        </row>
        <row r="2231">
          <cell r="R2231">
            <v>3</v>
          </cell>
          <cell r="S2231">
            <v>0</v>
          </cell>
        </row>
        <row r="2232">
          <cell r="R2232">
            <v>3</v>
          </cell>
          <cell r="S2232">
            <v>0</v>
          </cell>
        </row>
        <row r="2233">
          <cell r="R2233">
            <v>3</v>
          </cell>
          <cell r="S2233">
            <v>0</v>
          </cell>
        </row>
        <row r="2234">
          <cell r="R2234">
            <v>3</v>
          </cell>
          <cell r="S2234">
            <v>0</v>
          </cell>
        </row>
        <row r="2235">
          <cell r="R2235">
            <v>3</v>
          </cell>
          <cell r="S2235">
            <v>0</v>
          </cell>
        </row>
        <row r="2236">
          <cell r="R2236">
            <v>3</v>
          </cell>
          <cell r="S2236">
            <v>0</v>
          </cell>
        </row>
        <row r="2237">
          <cell r="R2237">
            <v>3</v>
          </cell>
          <cell r="S2237">
            <v>0</v>
          </cell>
        </row>
        <row r="2238">
          <cell r="R2238">
            <v>3</v>
          </cell>
          <cell r="S2238">
            <v>0</v>
          </cell>
        </row>
        <row r="2239">
          <cell r="R2239">
            <v>3</v>
          </cell>
          <cell r="S2239">
            <v>0</v>
          </cell>
        </row>
        <row r="2240">
          <cell r="R2240">
            <v>3</v>
          </cell>
          <cell r="S2240">
            <v>0</v>
          </cell>
        </row>
        <row r="2241">
          <cell r="R2241">
            <v>3</v>
          </cell>
          <cell r="S2241">
            <v>0</v>
          </cell>
        </row>
        <row r="2242">
          <cell r="R2242">
            <v>3</v>
          </cell>
          <cell r="S2242">
            <v>0</v>
          </cell>
        </row>
        <row r="2243">
          <cell r="R2243">
            <v>3</v>
          </cell>
          <cell r="S2243">
            <v>0</v>
          </cell>
        </row>
        <row r="2244">
          <cell r="R2244">
            <v>3</v>
          </cell>
          <cell r="S2244">
            <v>0</v>
          </cell>
        </row>
        <row r="2245">
          <cell r="R2245">
            <v>3</v>
          </cell>
          <cell r="S2245">
            <v>0</v>
          </cell>
        </row>
        <row r="2246">
          <cell r="R2246">
            <v>3</v>
          </cell>
          <cell r="S2246">
            <v>0</v>
          </cell>
        </row>
        <row r="2247">
          <cell r="R2247">
            <v>3</v>
          </cell>
          <cell r="S2247">
            <v>0</v>
          </cell>
        </row>
        <row r="2248">
          <cell r="R2248">
            <v>3</v>
          </cell>
          <cell r="S2248">
            <v>0</v>
          </cell>
        </row>
        <row r="2249">
          <cell r="R2249">
            <v>3</v>
          </cell>
          <cell r="S2249">
            <v>0</v>
          </cell>
        </row>
        <row r="2250">
          <cell r="R2250">
            <v>3</v>
          </cell>
          <cell r="S2250">
            <v>0</v>
          </cell>
        </row>
        <row r="2251">
          <cell r="R2251">
            <v>3</v>
          </cell>
          <cell r="S2251">
            <v>0</v>
          </cell>
        </row>
        <row r="2252">
          <cell r="R2252">
            <v>3</v>
          </cell>
          <cell r="S2252">
            <v>0</v>
          </cell>
        </row>
        <row r="2253">
          <cell r="R2253">
            <v>3</v>
          </cell>
          <cell r="S2253">
            <v>0</v>
          </cell>
        </row>
        <row r="2254">
          <cell r="R2254">
            <v>3</v>
          </cell>
          <cell r="S2254">
            <v>0</v>
          </cell>
        </row>
        <row r="2255">
          <cell r="R2255">
            <v>3</v>
          </cell>
          <cell r="S2255">
            <v>0</v>
          </cell>
        </row>
        <row r="2256">
          <cell r="R2256">
            <v>3</v>
          </cell>
          <cell r="S2256">
            <v>0</v>
          </cell>
        </row>
        <row r="2257">
          <cell r="R2257">
            <v>3</v>
          </cell>
          <cell r="S2257">
            <v>0</v>
          </cell>
        </row>
        <row r="2258">
          <cell r="R2258">
            <v>3</v>
          </cell>
          <cell r="S2258">
            <v>0</v>
          </cell>
        </row>
        <row r="2259">
          <cell r="R2259">
            <v>3</v>
          </cell>
          <cell r="S2259">
            <v>0</v>
          </cell>
        </row>
        <row r="2260">
          <cell r="R2260">
            <v>3</v>
          </cell>
          <cell r="S2260">
            <v>0</v>
          </cell>
        </row>
        <row r="2261">
          <cell r="R2261">
            <v>3</v>
          </cell>
          <cell r="S2261">
            <v>0</v>
          </cell>
        </row>
        <row r="2262">
          <cell r="R2262">
            <v>3</v>
          </cell>
          <cell r="S2262">
            <v>0</v>
          </cell>
        </row>
        <row r="2263">
          <cell r="R2263">
            <v>3</v>
          </cell>
          <cell r="S2263">
            <v>0</v>
          </cell>
        </row>
        <row r="2264">
          <cell r="R2264">
            <v>3</v>
          </cell>
          <cell r="S2264">
            <v>0</v>
          </cell>
        </row>
        <row r="2265">
          <cell r="R2265">
            <v>3</v>
          </cell>
          <cell r="S2265">
            <v>0</v>
          </cell>
        </row>
        <row r="2266">
          <cell r="R2266">
            <v>3</v>
          </cell>
          <cell r="S2266">
            <v>0</v>
          </cell>
        </row>
        <row r="2267">
          <cell r="R2267">
            <v>3</v>
          </cell>
          <cell r="S2267">
            <v>0</v>
          </cell>
        </row>
        <row r="2268">
          <cell r="R2268">
            <v>3</v>
          </cell>
          <cell r="S2268">
            <v>0</v>
          </cell>
        </row>
        <row r="2269">
          <cell r="R2269">
            <v>3</v>
          </cell>
          <cell r="S2269">
            <v>0</v>
          </cell>
        </row>
        <row r="2270">
          <cell r="R2270">
            <v>3</v>
          </cell>
          <cell r="S2270">
            <v>0</v>
          </cell>
        </row>
        <row r="2271">
          <cell r="R2271">
            <v>3</v>
          </cell>
          <cell r="S2271">
            <v>0</v>
          </cell>
        </row>
        <row r="2272">
          <cell r="R2272">
            <v>3</v>
          </cell>
          <cell r="S2272">
            <v>0</v>
          </cell>
        </row>
        <row r="2273">
          <cell r="R2273">
            <v>3</v>
          </cell>
          <cell r="S2273">
            <v>0</v>
          </cell>
        </row>
        <row r="2274">
          <cell r="R2274">
            <v>3</v>
          </cell>
          <cell r="S2274">
            <v>0</v>
          </cell>
        </row>
        <row r="2275">
          <cell r="R2275">
            <v>3</v>
          </cell>
          <cell r="S2275">
            <v>0</v>
          </cell>
        </row>
        <row r="2276">
          <cell r="R2276">
            <v>3</v>
          </cell>
          <cell r="S2276">
            <v>0</v>
          </cell>
        </row>
        <row r="2277">
          <cell r="R2277">
            <v>3</v>
          </cell>
          <cell r="S2277">
            <v>0</v>
          </cell>
        </row>
        <row r="2278">
          <cell r="R2278">
            <v>3</v>
          </cell>
          <cell r="S2278">
            <v>0</v>
          </cell>
        </row>
        <row r="2279">
          <cell r="R2279">
            <v>3</v>
          </cell>
          <cell r="S2279">
            <v>0</v>
          </cell>
        </row>
        <row r="2280">
          <cell r="R2280">
            <v>3</v>
          </cell>
          <cell r="S2280">
            <v>0</v>
          </cell>
        </row>
        <row r="2281">
          <cell r="R2281">
            <v>3</v>
          </cell>
          <cell r="S2281">
            <v>0</v>
          </cell>
        </row>
        <row r="2282">
          <cell r="R2282">
            <v>3</v>
          </cell>
          <cell r="S2282">
            <v>0</v>
          </cell>
        </row>
        <row r="2283">
          <cell r="R2283">
            <v>3</v>
          </cell>
          <cell r="S2283">
            <v>0</v>
          </cell>
        </row>
        <row r="2284">
          <cell r="R2284">
            <v>3</v>
          </cell>
          <cell r="S2284">
            <v>0</v>
          </cell>
        </row>
        <row r="2285">
          <cell r="R2285">
            <v>3</v>
          </cell>
          <cell r="S2285">
            <v>0</v>
          </cell>
        </row>
        <row r="2286">
          <cell r="R2286">
            <v>3</v>
          </cell>
          <cell r="S2286">
            <v>0</v>
          </cell>
        </row>
        <row r="2287">
          <cell r="R2287">
            <v>3</v>
          </cell>
          <cell r="S2287">
            <v>0</v>
          </cell>
        </row>
        <row r="2288">
          <cell r="R2288">
            <v>3</v>
          </cell>
          <cell r="S2288">
            <v>0</v>
          </cell>
        </row>
        <row r="2289">
          <cell r="R2289">
            <v>3</v>
          </cell>
          <cell r="S2289">
            <v>0</v>
          </cell>
        </row>
        <row r="2290">
          <cell r="R2290">
            <v>3</v>
          </cell>
          <cell r="S2290">
            <v>0</v>
          </cell>
        </row>
        <row r="2291">
          <cell r="R2291">
            <v>3</v>
          </cell>
          <cell r="S2291">
            <v>0</v>
          </cell>
        </row>
        <row r="2292">
          <cell r="R2292">
            <v>3</v>
          </cell>
          <cell r="S2292">
            <v>0</v>
          </cell>
        </row>
        <row r="2293">
          <cell r="R2293">
            <v>3</v>
          </cell>
          <cell r="S2293">
            <v>0</v>
          </cell>
        </row>
        <row r="2294">
          <cell r="R2294">
            <v>3</v>
          </cell>
          <cell r="S2294">
            <v>0</v>
          </cell>
        </row>
        <row r="2295">
          <cell r="R2295">
            <v>3</v>
          </cell>
          <cell r="S2295">
            <v>0</v>
          </cell>
        </row>
        <row r="2296">
          <cell r="R2296">
            <v>3</v>
          </cell>
          <cell r="S2296">
            <v>0</v>
          </cell>
        </row>
        <row r="2297">
          <cell r="R2297">
            <v>3</v>
          </cell>
          <cell r="S2297">
            <v>0</v>
          </cell>
        </row>
        <row r="2298">
          <cell r="R2298">
            <v>3</v>
          </cell>
          <cell r="S2298">
            <v>0</v>
          </cell>
        </row>
        <row r="2299">
          <cell r="R2299">
            <v>3</v>
          </cell>
          <cell r="S2299">
            <v>0</v>
          </cell>
        </row>
        <row r="2300">
          <cell r="R2300">
            <v>3</v>
          </cell>
          <cell r="S2300">
            <v>0</v>
          </cell>
        </row>
        <row r="2301">
          <cell r="R2301">
            <v>3</v>
          </cell>
          <cell r="S2301">
            <v>0</v>
          </cell>
        </row>
        <row r="2302">
          <cell r="R2302">
            <v>3</v>
          </cell>
          <cell r="S2302">
            <v>0</v>
          </cell>
        </row>
        <row r="2303">
          <cell r="R2303">
            <v>3</v>
          </cell>
          <cell r="S2303">
            <v>0</v>
          </cell>
        </row>
        <row r="2304">
          <cell r="R2304">
            <v>3</v>
          </cell>
          <cell r="S2304">
            <v>0</v>
          </cell>
        </row>
        <row r="2305">
          <cell r="R2305">
            <v>3</v>
          </cell>
          <cell r="S2305">
            <v>0</v>
          </cell>
        </row>
        <row r="2306">
          <cell r="R2306">
            <v>3</v>
          </cell>
          <cell r="S2306">
            <v>0</v>
          </cell>
        </row>
        <row r="2307">
          <cell r="R2307">
            <v>3</v>
          </cell>
          <cell r="S2307">
            <v>0</v>
          </cell>
        </row>
        <row r="2308">
          <cell r="R2308">
            <v>3</v>
          </cell>
          <cell r="S2308">
            <v>0</v>
          </cell>
        </row>
        <row r="2309">
          <cell r="R2309">
            <v>3</v>
          </cell>
          <cell r="S2309">
            <v>0</v>
          </cell>
        </row>
        <row r="2310">
          <cell r="R2310">
            <v>3</v>
          </cell>
          <cell r="S2310">
            <v>0</v>
          </cell>
        </row>
        <row r="2311">
          <cell r="R2311">
            <v>3</v>
          </cell>
          <cell r="S2311">
            <v>0</v>
          </cell>
        </row>
        <row r="2312">
          <cell r="R2312">
            <v>3</v>
          </cell>
          <cell r="S2312">
            <v>0</v>
          </cell>
        </row>
        <row r="2313">
          <cell r="R2313">
            <v>3</v>
          </cell>
          <cell r="S2313">
            <v>0</v>
          </cell>
        </row>
        <row r="2314">
          <cell r="R2314">
            <v>3</v>
          </cell>
          <cell r="S2314">
            <v>0</v>
          </cell>
        </row>
        <row r="2315">
          <cell r="R2315">
            <v>3</v>
          </cell>
          <cell r="S2315">
            <v>0</v>
          </cell>
        </row>
        <row r="2316">
          <cell r="R2316">
            <v>3</v>
          </cell>
          <cell r="S2316">
            <v>0</v>
          </cell>
        </row>
        <row r="2317">
          <cell r="R2317">
            <v>3</v>
          </cell>
          <cell r="S2317">
            <v>0</v>
          </cell>
        </row>
        <row r="2318">
          <cell r="R2318">
            <v>3</v>
          </cell>
          <cell r="S2318">
            <v>0</v>
          </cell>
        </row>
        <row r="2319">
          <cell r="R2319">
            <v>3</v>
          </cell>
          <cell r="S2319">
            <v>0</v>
          </cell>
        </row>
        <row r="2320">
          <cell r="R2320">
            <v>3</v>
          </cell>
          <cell r="S2320">
            <v>0</v>
          </cell>
        </row>
        <row r="2321">
          <cell r="R2321">
            <v>3</v>
          </cell>
          <cell r="S2321">
            <v>0</v>
          </cell>
        </row>
        <row r="2322">
          <cell r="R2322">
            <v>3</v>
          </cell>
          <cell r="S2322">
            <v>0</v>
          </cell>
        </row>
        <row r="2323">
          <cell r="R2323">
            <v>3</v>
          </cell>
          <cell r="S2323">
            <v>0</v>
          </cell>
        </row>
        <row r="2324">
          <cell r="R2324">
            <v>3</v>
          </cell>
          <cell r="S2324">
            <v>0</v>
          </cell>
        </row>
        <row r="2325">
          <cell r="R2325">
            <v>3</v>
          </cell>
          <cell r="S2325">
            <v>0</v>
          </cell>
        </row>
        <row r="2326">
          <cell r="R2326">
            <v>3</v>
          </cell>
          <cell r="S2326">
            <v>0</v>
          </cell>
        </row>
        <row r="2327">
          <cell r="R2327">
            <v>3</v>
          </cell>
          <cell r="S2327">
            <v>0</v>
          </cell>
        </row>
        <row r="2328">
          <cell r="R2328">
            <v>3</v>
          </cell>
          <cell r="S2328">
            <v>0</v>
          </cell>
        </row>
        <row r="2329">
          <cell r="R2329">
            <v>3</v>
          </cell>
          <cell r="S2329">
            <v>0</v>
          </cell>
        </row>
        <row r="2330">
          <cell r="R2330">
            <v>3</v>
          </cell>
          <cell r="S2330">
            <v>0</v>
          </cell>
        </row>
        <row r="2331">
          <cell r="R2331">
            <v>3</v>
          </cell>
          <cell r="S2331">
            <v>0</v>
          </cell>
        </row>
        <row r="2332">
          <cell r="R2332">
            <v>3</v>
          </cell>
          <cell r="S2332">
            <v>0</v>
          </cell>
        </row>
        <row r="2333">
          <cell r="R2333">
            <v>3</v>
          </cell>
          <cell r="S2333">
            <v>0</v>
          </cell>
        </row>
        <row r="2334">
          <cell r="R2334">
            <v>3</v>
          </cell>
          <cell r="S2334">
            <v>0</v>
          </cell>
        </row>
        <row r="2335">
          <cell r="R2335">
            <v>3</v>
          </cell>
          <cell r="S2335">
            <v>0</v>
          </cell>
        </row>
        <row r="2336">
          <cell r="R2336">
            <v>3</v>
          </cell>
          <cell r="S2336">
            <v>0</v>
          </cell>
        </row>
        <row r="2337">
          <cell r="R2337">
            <v>3</v>
          </cell>
          <cell r="S2337">
            <v>0</v>
          </cell>
        </row>
        <row r="2338">
          <cell r="R2338">
            <v>3</v>
          </cell>
          <cell r="S2338">
            <v>0</v>
          </cell>
        </row>
        <row r="2339">
          <cell r="R2339">
            <v>3</v>
          </cell>
          <cell r="S2339">
            <v>0</v>
          </cell>
        </row>
        <row r="2340">
          <cell r="R2340">
            <v>3</v>
          </cell>
          <cell r="S2340">
            <v>0</v>
          </cell>
        </row>
        <row r="2341">
          <cell r="R2341">
            <v>3</v>
          </cell>
          <cell r="S2341">
            <v>0</v>
          </cell>
        </row>
        <row r="2342">
          <cell r="R2342">
            <v>3</v>
          </cell>
          <cell r="S2342">
            <v>0</v>
          </cell>
        </row>
        <row r="2343">
          <cell r="R2343">
            <v>3</v>
          </cell>
          <cell r="S2343">
            <v>0</v>
          </cell>
        </row>
        <row r="2344">
          <cell r="R2344">
            <v>3</v>
          </cell>
          <cell r="S2344">
            <v>0</v>
          </cell>
        </row>
        <row r="2345">
          <cell r="R2345">
            <v>3</v>
          </cell>
          <cell r="S2345">
            <v>0</v>
          </cell>
        </row>
        <row r="2346">
          <cell r="R2346">
            <v>3</v>
          </cell>
          <cell r="S2346">
            <v>0</v>
          </cell>
        </row>
        <row r="2347">
          <cell r="R2347">
            <v>3</v>
          </cell>
          <cell r="S2347">
            <v>0</v>
          </cell>
        </row>
        <row r="2348">
          <cell r="R2348">
            <v>3</v>
          </cell>
          <cell r="S2348">
            <v>0</v>
          </cell>
        </row>
        <row r="2349">
          <cell r="R2349">
            <v>3</v>
          </cell>
          <cell r="S2349">
            <v>0</v>
          </cell>
        </row>
        <row r="2350">
          <cell r="R2350">
            <v>3</v>
          </cell>
          <cell r="S2350">
            <v>0</v>
          </cell>
        </row>
        <row r="2351">
          <cell r="R2351">
            <v>3</v>
          </cell>
          <cell r="S2351">
            <v>0</v>
          </cell>
        </row>
        <row r="2352">
          <cell r="R2352">
            <v>3</v>
          </cell>
          <cell r="S2352">
            <v>0</v>
          </cell>
        </row>
        <row r="2353">
          <cell r="R2353">
            <v>3</v>
          </cell>
          <cell r="S2353">
            <v>0</v>
          </cell>
        </row>
        <row r="2354">
          <cell r="R2354">
            <v>3</v>
          </cell>
          <cell r="S2354">
            <v>0</v>
          </cell>
        </row>
        <row r="2355">
          <cell r="R2355">
            <v>3</v>
          </cell>
          <cell r="S2355">
            <v>0</v>
          </cell>
        </row>
        <row r="2356">
          <cell r="R2356">
            <v>3</v>
          </cell>
          <cell r="S2356">
            <v>0</v>
          </cell>
        </row>
        <row r="2357">
          <cell r="R2357">
            <v>3</v>
          </cell>
          <cell r="S2357">
            <v>0</v>
          </cell>
        </row>
        <row r="2358">
          <cell r="R2358">
            <v>3</v>
          </cell>
          <cell r="S2358">
            <v>0</v>
          </cell>
        </row>
        <row r="2359">
          <cell r="R2359">
            <v>3</v>
          </cell>
          <cell r="S2359">
            <v>0</v>
          </cell>
        </row>
        <row r="2360">
          <cell r="R2360">
            <v>3</v>
          </cell>
          <cell r="S2360">
            <v>0</v>
          </cell>
        </row>
        <row r="2361">
          <cell r="R2361">
            <v>3</v>
          </cell>
          <cell r="S2361">
            <v>0</v>
          </cell>
        </row>
        <row r="2362">
          <cell r="R2362">
            <v>3</v>
          </cell>
          <cell r="S2362">
            <v>0</v>
          </cell>
        </row>
        <row r="2363">
          <cell r="R2363">
            <v>3</v>
          </cell>
          <cell r="S2363">
            <v>0</v>
          </cell>
        </row>
        <row r="2364">
          <cell r="R2364">
            <v>3</v>
          </cell>
          <cell r="S2364">
            <v>0</v>
          </cell>
        </row>
        <row r="2365">
          <cell r="R2365">
            <v>3</v>
          </cell>
          <cell r="S2365">
            <v>0</v>
          </cell>
        </row>
        <row r="2366">
          <cell r="R2366">
            <v>3</v>
          </cell>
          <cell r="S2366">
            <v>0</v>
          </cell>
        </row>
        <row r="2367">
          <cell r="R2367">
            <v>3</v>
          </cell>
          <cell r="S2367">
            <v>0</v>
          </cell>
        </row>
        <row r="2368">
          <cell r="R2368">
            <v>3</v>
          </cell>
          <cell r="S2368">
            <v>0</v>
          </cell>
        </row>
        <row r="2369">
          <cell r="R2369">
            <v>3</v>
          </cell>
          <cell r="S2369">
            <v>0</v>
          </cell>
        </row>
        <row r="2370">
          <cell r="R2370">
            <v>3</v>
          </cell>
          <cell r="S2370">
            <v>0</v>
          </cell>
        </row>
        <row r="2371">
          <cell r="R2371">
            <v>3</v>
          </cell>
          <cell r="S2371">
            <v>0</v>
          </cell>
        </row>
        <row r="2372">
          <cell r="R2372">
            <v>3</v>
          </cell>
          <cell r="S2372">
            <v>0</v>
          </cell>
        </row>
        <row r="2373">
          <cell r="R2373">
            <v>3</v>
          </cell>
          <cell r="S2373">
            <v>0</v>
          </cell>
        </row>
        <row r="2374">
          <cell r="R2374">
            <v>3</v>
          </cell>
          <cell r="S2374">
            <v>0</v>
          </cell>
        </row>
        <row r="2375">
          <cell r="R2375">
            <v>3</v>
          </cell>
          <cell r="S2375">
            <v>0</v>
          </cell>
        </row>
        <row r="2376">
          <cell r="R2376">
            <v>3</v>
          </cell>
          <cell r="S2376">
            <v>0</v>
          </cell>
        </row>
        <row r="2377">
          <cell r="R2377">
            <v>3</v>
          </cell>
          <cell r="S2377">
            <v>0</v>
          </cell>
        </row>
        <row r="2378">
          <cell r="R2378">
            <v>3</v>
          </cell>
          <cell r="S2378">
            <v>0</v>
          </cell>
        </row>
        <row r="2379">
          <cell r="R2379">
            <v>3</v>
          </cell>
          <cell r="S2379">
            <v>0</v>
          </cell>
        </row>
        <row r="2380">
          <cell r="R2380">
            <v>3</v>
          </cell>
          <cell r="S2380">
            <v>0</v>
          </cell>
        </row>
        <row r="2381">
          <cell r="R2381">
            <v>3</v>
          </cell>
          <cell r="S2381">
            <v>0</v>
          </cell>
        </row>
        <row r="2382">
          <cell r="R2382">
            <v>3</v>
          </cell>
          <cell r="S2382">
            <v>0</v>
          </cell>
        </row>
        <row r="2383">
          <cell r="R2383">
            <v>3</v>
          </cell>
          <cell r="S2383">
            <v>0</v>
          </cell>
        </row>
        <row r="2384">
          <cell r="R2384">
            <v>3</v>
          </cell>
          <cell r="S2384">
            <v>0</v>
          </cell>
        </row>
        <row r="2385">
          <cell r="R2385">
            <v>3</v>
          </cell>
          <cell r="S2385">
            <v>0</v>
          </cell>
        </row>
        <row r="2386">
          <cell r="R2386">
            <v>3</v>
          </cell>
          <cell r="S2386">
            <v>0</v>
          </cell>
        </row>
        <row r="2387">
          <cell r="R2387">
            <v>3</v>
          </cell>
          <cell r="S2387">
            <v>0</v>
          </cell>
        </row>
        <row r="2388">
          <cell r="R2388">
            <v>3</v>
          </cell>
          <cell r="S2388">
            <v>0</v>
          </cell>
        </row>
        <row r="2389">
          <cell r="R2389">
            <v>3</v>
          </cell>
          <cell r="S2389">
            <v>0</v>
          </cell>
        </row>
        <row r="2390">
          <cell r="R2390">
            <v>3</v>
          </cell>
          <cell r="S2390">
            <v>0</v>
          </cell>
        </row>
        <row r="2391">
          <cell r="R2391">
            <v>3</v>
          </cell>
          <cell r="S2391">
            <v>0</v>
          </cell>
        </row>
        <row r="2392">
          <cell r="R2392">
            <v>3</v>
          </cell>
          <cell r="S2392">
            <v>0</v>
          </cell>
        </row>
        <row r="2393">
          <cell r="R2393">
            <v>3</v>
          </cell>
          <cell r="S2393">
            <v>0</v>
          </cell>
        </row>
        <row r="2394">
          <cell r="R2394">
            <v>3</v>
          </cell>
          <cell r="S2394">
            <v>0</v>
          </cell>
        </row>
        <row r="2395">
          <cell r="R2395">
            <v>3</v>
          </cell>
          <cell r="S2395">
            <v>0</v>
          </cell>
        </row>
        <row r="2396">
          <cell r="R2396">
            <v>3</v>
          </cell>
          <cell r="S2396">
            <v>0</v>
          </cell>
        </row>
        <row r="2397">
          <cell r="R2397">
            <v>3</v>
          </cell>
          <cell r="S2397">
            <v>0</v>
          </cell>
        </row>
        <row r="2398">
          <cell r="R2398">
            <v>3</v>
          </cell>
          <cell r="S2398">
            <v>0</v>
          </cell>
        </row>
        <row r="2399">
          <cell r="R2399">
            <v>3</v>
          </cell>
          <cell r="S2399">
            <v>0</v>
          </cell>
        </row>
        <row r="2400">
          <cell r="R2400">
            <v>3</v>
          </cell>
          <cell r="S2400">
            <v>0</v>
          </cell>
        </row>
        <row r="2401">
          <cell r="R2401">
            <v>3</v>
          </cell>
          <cell r="S2401">
            <v>0</v>
          </cell>
        </row>
        <row r="2402">
          <cell r="R2402">
            <v>3</v>
          </cell>
          <cell r="S2402">
            <v>0</v>
          </cell>
        </row>
        <row r="2403">
          <cell r="R2403">
            <v>3</v>
          </cell>
          <cell r="S2403">
            <v>0</v>
          </cell>
        </row>
        <row r="2404">
          <cell r="R2404">
            <v>3</v>
          </cell>
          <cell r="S2404">
            <v>0</v>
          </cell>
        </row>
        <row r="2405">
          <cell r="R2405">
            <v>3</v>
          </cell>
          <cell r="S2405">
            <v>0</v>
          </cell>
        </row>
        <row r="2406">
          <cell r="R2406">
            <v>3</v>
          </cell>
          <cell r="S2406">
            <v>0</v>
          </cell>
        </row>
        <row r="2407">
          <cell r="R2407">
            <v>3</v>
          </cell>
          <cell r="S2407">
            <v>0</v>
          </cell>
        </row>
        <row r="2408">
          <cell r="R2408">
            <v>3</v>
          </cell>
          <cell r="S2408">
            <v>0</v>
          </cell>
        </row>
        <row r="2409">
          <cell r="R2409">
            <v>3</v>
          </cell>
          <cell r="S2409">
            <v>0</v>
          </cell>
        </row>
        <row r="2410">
          <cell r="R2410">
            <v>3</v>
          </cell>
          <cell r="S2410">
            <v>0</v>
          </cell>
        </row>
        <row r="2411">
          <cell r="R2411">
            <v>3</v>
          </cell>
          <cell r="S2411">
            <v>0</v>
          </cell>
        </row>
        <row r="2412">
          <cell r="R2412">
            <v>3</v>
          </cell>
          <cell r="S2412">
            <v>0</v>
          </cell>
        </row>
        <row r="2413">
          <cell r="R2413">
            <v>3</v>
          </cell>
          <cell r="S2413">
            <v>0</v>
          </cell>
        </row>
        <row r="2414">
          <cell r="R2414">
            <v>3</v>
          </cell>
          <cell r="S2414">
            <v>0</v>
          </cell>
        </row>
        <row r="2415">
          <cell r="R2415">
            <v>3</v>
          </cell>
          <cell r="S2415">
            <v>0</v>
          </cell>
        </row>
        <row r="2416">
          <cell r="R2416">
            <v>3</v>
          </cell>
          <cell r="S2416">
            <v>0</v>
          </cell>
        </row>
        <row r="2417">
          <cell r="R2417">
            <v>3</v>
          </cell>
          <cell r="S2417">
            <v>0</v>
          </cell>
        </row>
        <row r="2418">
          <cell r="R2418">
            <v>3</v>
          </cell>
          <cell r="S2418">
            <v>0</v>
          </cell>
        </row>
        <row r="2419">
          <cell r="R2419">
            <v>3</v>
          </cell>
          <cell r="S2419">
            <v>0</v>
          </cell>
        </row>
        <row r="2420">
          <cell r="R2420">
            <v>3</v>
          </cell>
          <cell r="S2420">
            <v>0</v>
          </cell>
        </row>
        <row r="2421">
          <cell r="R2421">
            <v>3</v>
          </cell>
          <cell r="S2421">
            <v>0</v>
          </cell>
        </row>
        <row r="2422">
          <cell r="R2422">
            <v>3</v>
          </cell>
          <cell r="S2422">
            <v>0</v>
          </cell>
        </row>
        <row r="2423">
          <cell r="R2423">
            <v>3</v>
          </cell>
          <cell r="S2423">
            <v>0</v>
          </cell>
        </row>
        <row r="2424">
          <cell r="R2424">
            <v>3</v>
          </cell>
          <cell r="S2424">
            <v>0</v>
          </cell>
        </row>
        <row r="2425">
          <cell r="R2425">
            <v>3</v>
          </cell>
          <cell r="S2425">
            <v>0</v>
          </cell>
        </row>
        <row r="2426">
          <cell r="R2426">
            <v>3</v>
          </cell>
          <cell r="S2426">
            <v>0</v>
          </cell>
        </row>
        <row r="2427">
          <cell r="R2427">
            <v>3</v>
          </cell>
          <cell r="S2427">
            <v>0</v>
          </cell>
        </row>
        <row r="2428">
          <cell r="R2428">
            <v>3</v>
          </cell>
          <cell r="S2428">
            <v>0</v>
          </cell>
        </row>
        <row r="2429">
          <cell r="R2429">
            <v>3</v>
          </cell>
          <cell r="S2429">
            <v>0</v>
          </cell>
        </row>
        <row r="2430">
          <cell r="R2430">
            <v>3</v>
          </cell>
          <cell r="S2430">
            <v>0</v>
          </cell>
        </row>
        <row r="2431">
          <cell r="R2431">
            <v>3</v>
          </cell>
          <cell r="S2431">
            <v>0</v>
          </cell>
        </row>
        <row r="2432">
          <cell r="R2432">
            <v>3</v>
          </cell>
          <cell r="S2432">
            <v>0</v>
          </cell>
        </row>
        <row r="2433">
          <cell r="R2433">
            <v>3</v>
          </cell>
          <cell r="S2433">
            <v>0</v>
          </cell>
        </row>
        <row r="2434">
          <cell r="R2434">
            <v>3</v>
          </cell>
          <cell r="S2434">
            <v>0</v>
          </cell>
        </row>
        <row r="2435">
          <cell r="R2435">
            <v>3</v>
          </cell>
          <cell r="S2435">
            <v>0</v>
          </cell>
        </row>
        <row r="2436">
          <cell r="R2436">
            <v>3</v>
          </cell>
          <cell r="S2436">
            <v>0</v>
          </cell>
        </row>
        <row r="2437">
          <cell r="R2437">
            <v>3</v>
          </cell>
          <cell r="S2437">
            <v>0</v>
          </cell>
        </row>
        <row r="2438">
          <cell r="R2438">
            <v>3</v>
          </cell>
          <cell r="S2438">
            <v>0</v>
          </cell>
        </row>
        <row r="2439">
          <cell r="R2439">
            <v>3</v>
          </cell>
          <cell r="S2439">
            <v>0</v>
          </cell>
        </row>
        <row r="2440">
          <cell r="R2440">
            <v>3</v>
          </cell>
          <cell r="S2440">
            <v>0</v>
          </cell>
        </row>
        <row r="2441">
          <cell r="R2441">
            <v>3</v>
          </cell>
          <cell r="S2441">
            <v>0</v>
          </cell>
        </row>
        <row r="2442">
          <cell r="R2442">
            <v>3</v>
          </cell>
          <cell r="S2442">
            <v>0</v>
          </cell>
        </row>
        <row r="2443">
          <cell r="R2443">
            <v>3</v>
          </cell>
          <cell r="S2443">
            <v>0</v>
          </cell>
        </row>
        <row r="2444">
          <cell r="R2444">
            <v>3</v>
          </cell>
          <cell r="S2444">
            <v>0</v>
          </cell>
        </row>
        <row r="2445">
          <cell r="R2445">
            <v>3</v>
          </cell>
          <cell r="S2445">
            <v>0</v>
          </cell>
        </row>
        <row r="2446">
          <cell r="R2446">
            <v>3</v>
          </cell>
          <cell r="S2446">
            <v>0</v>
          </cell>
        </row>
        <row r="2447">
          <cell r="R2447">
            <v>3</v>
          </cell>
          <cell r="S2447">
            <v>0</v>
          </cell>
        </row>
        <row r="2448">
          <cell r="R2448">
            <v>3</v>
          </cell>
          <cell r="S2448">
            <v>0</v>
          </cell>
        </row>
        <row r="2449">
          <cell r="R2449">
            <v>3</v>
          </cell>
          <cell r="S2449">
            <v>0</v>
          </cell>
        </row>
        <row r="2450">
          <cell r="R2450">
            <v>3</v>
          </cell>
          <cell r="S2450">
            <v>0</v>
          </cell>
        </row>
        <row r="2451">
          <cell r="R2451">
            <v>3</v>
          </cell>
          <cell r="S2451">
            <v>0</v>
          </cell>
        </row>
        <row r="2452">
          <cell r="R2452">
            <v>3</v>
          </cell>
          <cell r="S2452">
            <v>0</v>
          </cell>
        </row>
        <row r="2453">
          <cell r="R2453">
            <v>3</v>
          </cell>
          <cell r="S2453">
            <v>0</v>
          </cell>
        </row>
        <row r="2454">
          <cell r="R2454">
            <v>3</v>
          </cell>
          <cell r="S2454">
            <v>0</v>
          </cell>
        </row>
        <row r="2455">
          <cell r="R2455">
            <v>3</v>
          </cell>
          <cell r="S2455">
            <v>0</v>
          </cell>
        </row>
        <row r="2456">
          <cell r="R2456">
            <v>3</v>
          </cell>
          <cell r="S2456">
            <v>0</v>
          </cell>
        </row>
        <row r="2457">
          <cell r="R2457">
            <v>3</v>
          </cell>
          <cell r="S2457">
            <v>0</v>
          </cell>
        </row>
        <row r="2458">
          <cell r="R2458">
            <v>3</v>
          </cell>
          <cell r="S2458">
            <v>0</v>
          </cell>
        </row>
        <row r="2459">
          <cell r="R2459">
            <v>3</v>
          </cell>
          <cell r="S2459">
            <v>0</v>
          </cell>
        </row>
        <row r="2460">
          <cell r="R2460">
            <v>3</v>
          </cell>
          <cell r="S2460">
            <v>0</v>
          </cell>
        </row>
        <row r="2461">
          <cell r="R2461">
            <v>3</v>
          </cell>
          <cell r="S2461">
            <v>0</v>
          </cell>
        </row>
        <row r="2462">
          <cell r="R2462">
            <v>3</v>
          </cell>
          <cell r="S2462">
            <v>0</v>
          </cell>
        </row>
        <row r="2463">
          <cell r="R2463">
            <v>3</v>
          </cell>
          <cell r="S2463">
            <v>0</v>
          </cell>
        </row>
        <row r="2464">
          <cell r="R2464">
            <v>3</v>
          </cell>
          <cell r="S2464">
            <v>0</v>
          </cell>
        </row>
        <row r="2465">
          <cell r="R2465">
            <v>3</v>
          </cell>
          <cell r="S2465">
            <v>0</v>
          </cell>
        </row>
        <row r="2466">
          <cell r="R2466">
            <v>3</v>
          </cell>
          <cell r="S2466">
            <v>0</v>
          </cell>
        </row>
        <row r="2467">
          <cell r="R2467">
            <v>3</v>
          </cell>
          <cell r="S2467">
            <v>0</v>
          </cell>
        </row>
        <row r="2468">
          <cell r="R2468">
            <v>3</v>
          </cell>
          <cell r="S2468">
            <v>0</v>
          </cell>
        </row>
        <row r="2469">
          <cell r="R2469">
            <v>3</v>
          </cell>
          <cell r="S2469">
            <v>0</v>
          </cell>
        </row>
        <row r="2470">
          <cell r="R2470">
            <v>3</v>
          </cell>
          <cell r="S2470">
            <v>0</v>
          </cell>
        </row>
        <row r="2471">
          <cell r="R2471">
            <v>3</v>
          </cell>
          <cell r="S2471">
            <v>0</v>
          </cell>
        </row>
        <row r="2472">
          <cell r="R2472">
            <v>3</v>
          </cell>
          <cell r="S2472">
            <v>0</v>
          </cell>
        </row>
        <row r="2473">
          <cell r="R2473">
            <v>3</v>
          </cell>
          <cell r="S2473">
            <v>0</v>
          </cell>
        </row>
        <row r="2474">
          <cell r="R2474">
            <v>3</v>
          </cell>
          <cell r="S2474">
            <v>0</v>
          </cell>
        </row>
        <row r="2475">
          <cell r="R2475">
            <v>3</v>
          </cell>
          <cell r="S2475">
            <v>0</v>
          </cell>
        </row>
        <row r="2476">
          <cell r="R2476">
            <v>3</v>
          </cell>
          <cell r="S2476">
            <v>0</v>
          </cell>
        </row>
        <row r="2477">
          <cell r="R2477">
            <v>3</v>
          </cell>
          <cell r="S2477">
            <v>0</v>
          </cell>
        </row>
        <row r="2478">
          <cell r="R2478">
            <v>3</v>
          </cell>
          <cell r="S2478">
            <v>0</v>
          </cell>
        </row>
        <row r="2479">
          <cell r="R2479">
            <v>3</v>
          </cell>
          <cell r="S2479">
            <v>0</v>
          </cell>
        </row>
        <row r="2480">
          <cell r="R2480">
            <v>3</v>
          </cell>
          <cell r="S2480">
            <v>0</v>
          </cell>
        </row>
        <row r="2481">
          <cell r="R2481">
            <v>3</v>
          </cell>
          <cell r="S2481">
            <v>0</v>
          </cell>
        </row>
        <row r="2482">
          <cell r="R2482">
            <v>3</v>
          </cell>
          <cell r="S2482">
            <v>0</v>
          </cell>
        </row>
        <row r="2483">
          <cell r="R2483">
            <v>3</v>
          </cell>
          <cell r="S2483">
            <v>0</v>
          </cell>
        </row>
        <row r="2484">
          <cell r="R2484">
            <v>3</v>
          </cell>
          <cell r="S2484">
            <v>0</v>
          </cell>
        </row>
        <row r="2485">
          <cell r="R2485">
            <v>3</v>
          </cell>
          <cell r="S2485">
            <v>0</v>
          </cell>
        </row>
        <row r="2486">
          <cell r="R2486">
            <v>3</v>
          </cell>
          <cell r="S2486">
            <v>0</v>
          </cell>
        </row>
        <row r="2487">
          <cell r="R2487">
            <v>3</v>
          </cell>
          <cell r="S2487">
            <v>0</v>
          </cell>
        </row>
        <row r="2488">
          <cell r="R2488">
            <v>3</v>
          </cell>
          <cell r="S2488">
            <v>0</v>
          </cell>
        </row>
        <row r="2489">
          <cell r="R2489">
            <v>3</v>
          </cell>
          <cell r="S2489">
            <v>0</v>
          </cell>
        </row>
        <row r="2490">
          <cell r="R2490">
            <v>3</v>
          </cell>
          <cell r="S2490">
            <v>0</v>
          </cell>
        </row>
        <row r="2491">
          <cell r="R2491">
            <v>3</v>
          </cell>
          <cell r="S2491">
            <v>0</v>
          </cell>
        </row>
        <row r="2492">
          <cell r="R2492">
            <v>3</v>
          </cell>
          <cell r="S2492">
            <v>0</v>
          </cell>
        </row>
        <row r="2493">
          <cell r="R2493">
            <v>3</v>
          </cell>
          <cell r="S2493">
            <v>0</v>
          </cell>
        </row>
        <row r="2494">
          <cell r="R2494">
            <v>3</v>
          </cell>
          <cell r="S2494">
            <v>0</v>
          </cell>
        </row>
        <row r="2495">
          <cell r="R2495">
            <v>3</v>
          </cell>
          <cell r="S2495">
            <v>0</v>
          </cell>
        </row>
        <row r="2496">
          <cell r="R2496">
            <v>3</v>
          </cell>
          <cell r="S2496">
            <v>0</v>
          </cell>
        </row>
        <row r="2497">
          <cell r="R2497">
            <v>3</v>
          </cell>
          <cell r="S2497">
            <v>0</v>
          </cell>
        </row>
        <row r="2498">
          <cell r="R2498">
            <v>3</v>
          </cell>
          <cell r="S2498">
            <v>0</v>
          </cell>
        </row>
        <row r="2499">
          <cell r="R2499">
            <v>3</v>
          </cell>
          <cell r="S2499">
            <v>0</v>
          </cell>
        </row>
        <row r="2500">
          <cell r="R2500">
            <v>3</v>
          </cell>
          <cell r="S2500">
            <v>0</v>
          </cell>
        </row>
        <row r="2501">
          <cell r="R2501">
            <v>3</v>
          </cell>
          <cell r="S2501">
            <v>0</v>
          </cell>
        </row>
        <row r="2502">
          <cell r="R2502">
            <v>3</v>
          </cell>
          <cell r="S2502">
            <v>0</v>
          </cell>
        </row>
        <row r="2503">
          <cell r="R2503">
            <v>3</v>
          </cell>
          <cell r="S2503">
            <v>0</v>
          </cell>
        </row>
        <row r="2504">
          <cell r="R2504">
            <v>3</v>
          </cell>
          <cell r="S2504">
            <v>0</v>
          </cell>
        </row>
        <row r="2505">
          <cell r="R2505">
            <v>3</v>
          </cell>
          <cell r="S2505">
            <v>0</v>
          </cell>
        </row>
        <row r="2506">
          <cell r="R2506">
            <v>3</v>
          </cell>
          <cell r="S2506">
            <v>0</v>
          </cell>
        </row>
        <row r="2507">
          <cell r="R2507">
            <v>3</v>
          </cell>
          <cell r="S2507">
            <v>0</v>
          </cell>
        </row>
        <row r="2508">
          <cell r="R2508">
            <v>3</v>
          </cell>
          <cell r="S2508">
            <v>0</v>
          </cell>
        </row>
        <row r="2509">
          <cell r="R2509">
            <v>3</v>
          </cell>
          <cell r="S2509">
            <v>0</v>
          </cell>
        </row>
        <row r="2510">
          <cell r="R2510">
            <v>3</v>
          </cell>
          <cell r="S2510">
            <v>0</v>
          </cell>
        </row>
        <row r="2511">
          <cell r="R2511">
            <v>3</v>
          </cell>
          <cell r="S2511">
            <v>0</v>
          </cell>
        </row>
        <row r="2512">
          <cell r="R2512">
            <v>3</v>
          </cell>
          <cell r="S2512">
            <v>0</v>
          </cell>
        </row>
        <row r="2513">
          <cell r="R2513">
            <v>3</v>
          </cell>
          <cell r="S2513">
            <v>0</v>
          </cell>
        </row>
        <row r="2514">
          <cell r="R2514">
            <v>3</v>
          </cell>
          <cell r="S2514">
            <v>0</v>
          </cell>
        </row>
        <row r="2515">
          <cell r="R2515">
            <v>3</v>
          </cell>
          <cell r="S2515">
            <v>0</v>
          </cell>
        </row>
        <row r="2516">
          <cell r="R2516">
            <v>3</v>
          </cell>
          <cell r="S2516">
            <v>0</v>
          </cell>
        </row>
        <row r="2517">
          <cell r="R2517">
            <v>3</v>
          </cell>
          <cell r="S2517">
            <v>0</v>
          </cell>
        </row>
        <row r="2518">
          <cell r="R2518">
            <v>3</v>
          </cell>
          <cell r="S2518">
            <v>0</v>
          </cell>
        </row>
        <row r="2519">
          <cell r="R2519">
            <v>3</v>
          </cell>
          <cell r="S2519">
            <v>0</v>
          </cell>
        </row>
        <row r="2520">
          <cell r="R2520">
            <v>3</v>
          </cell>
          <cell r="S2520">
            <v>0</v>
          </cell>
        </row>
        <row r="2521">
          <cell r="R2521">
            <v>3</v>
          </cell>
          <cell r="S2521">
            <v>0</v>
          </cell>
        </row>
        <row r="2522">
          <cell r="R2522">
            <v>3</v>
          </cell>
          <cell r="S2522">
            <v>0</v>
          </cell>
        </row>
        <row r="2523">
          <cell r="R2523">
            <v>3</v>
          </cell>
          <cell r="S2523">
            <v>0</v>
          </cell>
        </row>
        <row r="2524">
          <cell r="R2524">
            <v>3</v>
          </cell>
          <cell r="S2524">
            <v>0</v>
          </cell>
        </row>
        <row r="2525">
          <cell r="R2525">
            <v>3</v>
          </cell>
          <cell r="S2525">
            <v>0</v>
          </cell>
        </row>
        <row r="2526">
          <cell r="R2526">
            <v>3</v>
          </cell>
          <cell r="S2526">
            <v>0</v>
          </cell>
        </row>
        <row r="2527">
          <cell r="R2527">
            <v>3</v>
          </cell>
          <cell r="S2527">
            <v>0</v>
          </cell>
        </row>
        <row r="2528">
          <cell r="R2528">
            <v>3</v>
          </cell>
          <cell r="S2528">
            <v>0</v>
          </cell>
        </row>
        <row r="2529">
          <cell r="R2529">
            <v>3</v>
          </cell>
          <cell r="S2529">
            <v>0</v>
          </cell>
        </row>
        <row r="2530">
          <cell r="R2530">
            <v>3</v>
          </cell>
          <cell r="S2530">
            <v>0</v>
          </cell>
        </row>
        <row r="2531">
          <cell r="R2531">
            <v>3</v>
          </cell>
          <cell r="S2531">
            <v>0</v>
          </cell>
        </row>
        <row r="2532">
          <cell r="R2532">
            <v>3</v>
          </cell>
          <cell r="S2532">
            <v>0</v>
          </cell>
        </row>
        <row r="2533">
          <cell r="R2533">
            <v>3</v>
          </cell>
          <cell r="S2533">
            <v>0</v>
          </cell>
        </row>
        <row r="2534">
          <cell r="R2534">
            <v>3</v>
          </cell>
          <cell r="S2534">
            <v>0</v>
          </cell>
        </row>
        <row r="2535">
          <cell r="R2535">
            <v>3</v>
          </cell>
          <cell r="S2535">
            <v>0</v>
          </cell>
        </row>
        <row r="2536">
          <cell r="R2536">
            <v>3</v>
          </cell>
          <cell r="S2536">
            <v>0</v>
          </cell>
        </row>
        <row r="2537">
          <cell r="R2537">
            <v>3</v>
          </cell>
          <cell r="S2537">
            <v>0</v>
          </cell>
        </row>
        <row r="2538">
          <cell r="R2538">
            <v>3</v>
          </cell>
          <cell r="S2538">
            <v>0</v>
          </cell>
        </row>
        <row r="2539">
          <cell r="R2539">
            <v>3</v>
          </cell>
          <cell r="S2539">
            <v>0</v>
          </cell>
        </row>
        <row r="2540">
          <cell r="R2540">
            <v>3</v>
          </cell>
          <cell r="S2540">
            <v>0</v>
          </cell>
        </row>
        <row r="2541">
          <cell r="R2541">
            <v>3</v>
          </cell>
          <cell r="S2541">
            <v>0</v>
          </cell>
        </row>
        <row r="2542">
          <cell r="R2542">
            <v>3</v>
          </cell>
          <cell r="S2542">
            <v>0</v>
          </cell>
        </row>
        <row r="2543">
          <cell r="R2543">
            <v>3</v>
          </cell>
          <cell r="S2543">
            <v>0</v>
          </cell>
        </row>
        <row r="2544">
          <cell r="R2544">
            <v>3</v>
          </cell>
          <cell r="S2544">
            <v>0</v>
          </cell>
        </row>
        <row r="2545">
          <cell r="R2545">
            <v>3</v>
          </cell>
          <cell r="S2545">
            <v>0</v>
          </cell>
        </row>
        <row r="2546">
          <cell r="R2546">
            <v>3</v>
          </cell>
          <cell r="S2546">
            <v>0</v>
          </cell>
        </row>
        <row r="2547">
          <cell r="R2547">
            <v>3</v>
          </cell>
          <cell r="S2547">
            <v>0</v>
          </cell>
        </row>
        <row r="2548">
          <cell r="R2548">
            <v>3</v>
          </cell>
          <cell r="S2548">
            <v>0</v>
          </cell>
        </row>
        <row r="2549">
          <cell r="R2549">
            <v>3</v>
          </cell>
          <cell r="S2549">
            <v>0</v>
          </cell>
        </row>
        <row r="2550">
          <cell r="R2550">
            <v>3</v>
          </cell>
          <cell r="S2550">
            <v>0</v>
          </cell>
        </row>
        <row r="2551">
          <cell r="R2551">
            <v>3</v>
          </cell>
          <cell r="S2551">
            <v>0</v>
          </cell>
        </row>
        <row r="2552">
          <cell r="R2552">
            <v>3</v>
          </cell>
          <cell r="S2552">
            <v>0</v>
          </cell>
        </row>
        <row r="2553">
          <cell r="R2553">
            <v>3</v>
          </cell>
          <cell r="S2553">
            <v>0</v>
          </cell>
        </row>
        <row r="2554">
          <cell r="R2554">
            <v>3</v>
          </cell>
          <cell r="S2554">
            <v>0</v>
          </cell>
        </row>
        <row r="2555">
          <cell r="R2555">
            <v>3</v>
          </cell>
          <cell r="S2555">
            <v>0</v>
          </cell>
        </row>
        <row r="2556">
          <cell r="R2556">
            <v>3</v>
          </cell>
          <cell r="S2556">
            <v>0</v>
          </cell>
        </row>
        <row r="2557">
          <cell r="R2557">
            <v>3</v>
          </cell>
          <cell r="S2557">
            <v>0</v>
          </cell>
        </row>
        <row r="2558">
          <cell r="R2558">
            <v>3</v>
          </cell>
          <cell r="S2558">
            <v>0</v>
          </cell>
        </row>
        <row r="2559">
          <cell r="R2559">
            <v>3</v>
          </cell>
          <cell r="S2559">
            <v>0</v>
          </cell>
        </row>
        <row r="2560">
          <cell r="R2560">
            <v>3</v>
          </cell>
          <cell r="S2560">
            <v>0</v>
          </cell>
        </row>
        <row r="2561">
          <cell r="R2561">
            <v>3</v>
          </cell>
          <cell r="S2561">
            <v>0</v>
          </cell>
        </row>
        <row r="2562">
          <cell r="R2562">
            <v>3</v>
          </cell>
          <cell r="S2562">
            <v>0</v>
          </cell>
        </row>
        <row r="2563">
          <cell r="R2563">
            <v>3</v>
          </cell>
          <cell r="S2563">
            <v>0</v>
          </cell>
        </row>
        <row r="2564">
          <cell r="R2564">
            <v>3</v>
          </cell>
          <cell r="S2564">
            <v>0</v>
          </cell>
        </row>
        <row r="2565">
          <cell r="R2565">
            <v>3</v>
          </cell>
          <cell r="S2565">
            <v>0</v>
          </cell>
        </row>
        <row r="2566">
          <cell r="R2566">
            <v>3</v>
          </cell>
          <cell r="S2566">
            <v>0</v>
          </cell>
        </row>
        <row r="2567">
          <cell r="R2567">
            <v>3</v>
          </cell>
          <cell r="S2567">
            <v>0</v>
          </cell>
        </row>
        <row r="2568">
          <cell r="R2568">
            <v>3</v>
          </cell>
          <cell r="S2568">
            <v>0</v>
          </cell>
        </row>
        <row r="2569">
          <cell r="R2569">
            <v>3</v>
          </cell>
          <cell r="S2569">
            <v>0</v>
          </cell>
        </row>
        <row r="2570">
          <cell r="R2570">
            <v>3</v>
          </cell>
          <cell r="S2570">
            <v>0</v>
          </cell>
        </row>
        <row r="2571">
          <cell r="R2571">
            <v>3</v>
          </cell>
          <cell r="S2571">
            <v>0</v>
          </cell>
        </row>
        <row r="2572">
          <cell r="R2572">
            <v>3</v>
          </cell>
          <cell r="S2572">
            <v>0</v>
          </cell>
        </row>
        <row r="2573">
          <cell r="R2573">
            <v>3</v>
          </cell>
          <cell r="S2573">
            <v>0</v>
          </cell>
        </row>
        <row r="2574">
          <cell r="R2574">
            <v>3</v>
          </cell>
          <cell r="S2574">
            <v>0</v>
          </cell>
        </row>
        <row r="2575">
          <cell r="R2575">
            <v>3</v>
          </cell>
          <cell r="S2575">
            <v>0</v>
          </cell>
        </row>
        <row r="2576">
          <cell r="R2576">
            <v>3</v>
          </cell>
          <cell r="S2576">
            <v>0</v>
          </cell>
        </row>
        <row r="2577">
          <cell r="R2577">
            <v>3</v>
          </cell>
          <cell r="S2577">
            <v>0</v>
          </cell>
        </row>
        <row r="2578">
          <cell r="R2578">
            <v>3</v>
          </cell>
          <cell r="S2578">
            <v>0</v>
          </cell>
        </row>
        <row r="2579">
          <cell r="R2579">
            <v>3</v>
          </cell>
          <cell r="S2579">
            <v>0</v>
          </cell>
        </row>
        <row r="2580">
          <cell r="R2580">
            <v>3</v>
          </cell>
          <cell r="S2580">
            <v>0</v>
          </cell>
        </row>
        <row r="2581">
          <cell r="R2581">
            <v>3</v>
          </cell>
          <cell r="S2581">
            <v>0</v>
          </cell>
        </row>
        <row r="2582">
          <cell r="R2582">
            <v>3</v>
          </cell>
          <cell r="S2582">
            <v>0</v>
          </cell>
        </row>
        <row r="2583">
          <cell r="R2583">
            <v>3</v>
          </cell>
          <cell r="S2583">
            <v>0</v>
          </cell>
        </row>
        <row r="2584">
          <cell r="R2584">
            <v>3</v>
          </cell>
          <cell r="S2584">
            <v>0</v>
          </cell>
        </row>
        <row r="2585">
          <cell r="R2585">
            <v>3</v>
          </cell>
          <cell r="S2585">
            <v>0</v>
          </cell>
        </row>
        <row r="2586">
          <cell r="R2586">
            <v>3</v>
          </cell>
          <cell r="S2586">
            <v>0</v>
          </cell>
        </row>
        <row r="2587">
          <cell r="R2587">
            <v>3</v>
          </cell>
          <cell r="S2587">
            <v>0</v>
          </cell>
        </row>
        <row r="2588">
          <cell r="R2588">
            <v>3</v>
          </cell>
          <cell r="S2588">
            <v>0</v>
          </cell>
        </row>
        <row r="2589">
          <cell r="R2589">
            <v>3</v>
          </cell>
          <cell r="S2589">
            <v>0</v>
          </cell>
        </row>
        <row r="2590">
          <cell r="R2590">
            <v>3</v>
          </cell>
          <cell r="S2590">
            <v>0</v>
          </cell>
        </row>
        <row r="2591">
          <cell r="R2591">
            <v>3</v>
          </cell>
          <cell r="S2591">
            <v>0</v>
          </cell>
        </row>
        <row r="2592">
          <cell r="R2592">
            <v>3</v>
          </cell>
          <cell r="S2592">
            <v>0</v>
          </cell>
        </row>
        <row r="2593">
          <cell r="R2593">
            <v>3</v>
          </cell>
          <cell r="S2593">
            <v>0</v>
          </cell>
        </row>
        <row r="2594">
          <cell r="R2594">
            <v>3</v>
          </cell>
          <cell r="S2594">
            <v>0</v>
          </cell>
        </row>
        <row r="2595">
          <cell r="R2595">
            <v>3</v>
          </cell>
          <cell r="S2595">
            <v>0</v>
          </cell>
        </row>
        <row r="2596">
          <cell r="R2596">
            <v>3</v>
          </cell>
          <cell r="S2596">
            <v>0</v>
          </cell>
        </row>
        <row r="2597">
          <cell r="R2597">
            <v>3</v>
          </cell>
          <cell r="S2597">
            <v>0</v>
          </cell>
        </row>
        <row r="2598">
          <cell r="R2598">
            <v>3</v>
          </cell>
          <cell r="S2598">
            <v>0</v>
          </cell>
        </row>
        <row r="2599">
          <cell r="R2599">
            <v>3</v>
          </cell>
          <cell r="S2599">
            <v>0</v>
          </cell>
        </row>
        <row r="2600">
          <cell r="R2600">
            <v>3</v>
          </cell>
          <cell r="S2600">
            <v>0</v>
          </cell>
        </row>
        <row r="2601">
          <cell r="R2601">
            <v>3</v>
          </cell>
          <cell r="S2601">
            <v>0</v>
          </cell>
        </row>
        <row r="2602">
          <cell r="R2602">
            <v>3</v>
          </cell>
          <cell r="S2602">
            <v>0</v>
          </cell>
        </row>
        <row r="2603">
          <cell r="R2603">
            <v>3</v>
          </cell>
          <cell r="S2603">
            <v>0</v>
          </cell>
        </row>
        <row r="2604">
          <cell r="R2604">
            <v>3</v>
          </cell>
          <cell r="S2604">
            <v>0</v>
          </cell>
        </row>
        <row r="2605">
          <cell r="R2605">
            <v>3</v>
          </cell>
          <cell r="S2605">
            <v>0</v>
          </cell>
        </row>
        <row r="2606">
          <cell r="R2606">
            <v>3</v>
          </cell>
          <cell r="S2606">
            <v>0</v>
          </cell>
        </row>
        <row r="2607">
          <cell r="R2607">
            <v>3</v>
          </cell>
          <cell r="S2607">
            <v>0</v>
          </cell>
        </row>
        <row r="2608">
          <cell r="R2608">
            <v>3</v>
          </cell>
          <cell r="S2608">
            <v>0</v>
          </cell>
        </row>
        <row r="2609">
          <cell r="R2609">
            <v>3</v>
          </cell>
          <cell r="S2609">
            <v>0</v>
          </cell>
        </row>
        <row r="2610">
          <cell r="R2610">
            <v>3</v>
          </cell>
          <cell r="S2610">
            <v>0</v>
          </cell>
        </row>
        <row r="2611">
          <cell r="R2611">
            <v>3</v>
          </cell>
          <cell r="S2611">
            <v>0</v>
          </cell>
        </row>
        <row r="2612">
          <cell r="R2612">
            <v>3</v>
          </cell>
          <cell r="S2612">
            <v>0</v>
          </cell>
        </row>
        <row r="2613">
          <cell r="R2613">
            <v>3</v>
          </cell>
          <cell r="S2613">
            <v>0</v>
          </cell>
        </row>
        <row r="2614">
          <cell r="R2614">
            <v>3</v>
          </cell>
          <cell r="S2614">
            <v>0</v>
          </cell>
        </row>
        <row r="2615">
          <cell r="R2615">
            <v>3</v>
          </cell>
          <cell r="S2615">
            <v>0</v>
          </cell>
        </row>
        <row r="2616">
          <cell r="R2616">
            <v>3</v>
          </cell>
          <cell r="S2616">
            <v>0</v>
          </cell>
        </row>
        <row r="2617">
          <cell r="R2617">
            <v>3</v>
          </cell>
          <cell r="S2617">
            <v>0</v>
          </cell>
        </row>
        <row r="2618">
          <cell r="R2618">
            <v>3</v>
          </cell>
          <cell r="S2618">
            <v>0</v>
          </cell>
        </row>
        <row r="2619">
          <cell r="R2619">
            <v>3</v>
          </cell>
          <cell r="S2619">
            <v>0</v>
          </cell>
        </row>
        <row r="2620">
          <cell r="R2620">
            <v>3</v>
          </cell>
          <cell r="S2620">
            <v>0</v>
          </cell>
        </row>
        <row r="2621">
          <cell r="R2621">
            <v>3</v>
          </cell>
          <cell r="S2621">
            <v>0</v>
          </cell>
        </row>
        <row r="2622">
          <cell r="R2622">
            <v>3</v>
          </cell>
          <cell r="S2622">
            <v>0</v>
          </cell>
        </row>
        <row r="2623">
          <cell r="R2623">
            <v>3</v>
          </cell>
          <cell r="S2623">
            <v>0</v>
          </cell>
        </row>
        <row r="2624">
          <cell r="R2624">
            <v>3</v>
          </cell>
          <cell r="S2624">
            <v>0</v>
          </cell>
        </row>
        <row r="2625">
          <cell r="R2625">
            <v>3</v>
          </cell>
          <cell r="S2625">
            <v>0</v>
          </cell>
        </row>
        <row r="2626">
          <cell r="R2626">
            <v>3</v>
          </cell>
          <cell r="S2626">
            <v>0</v>
          </cell>
        </row>
        <row r="2627">
          <cell r="R2627">
            <v>3</v>
          </cell>
          <cell r="S2627">
            <v>0</v>
          </cell>
        </row>
        <row r="2628">
          <cell r="R2628">
            <v>3</v>
          </cell>
          <cell r="S2628">
            <v>0</v>
          </cell>
        </row>
        <row r="2629">
          <cell r="R2629">
            <v>3</v>
          </cell>
          <cell r="S2629">
            <v>0</v>
          </cell>
        </row>
        <row r="2630">
          <cell r="R2630">
            <v>3</v>
          </cell>
          <cell r="S2630">
            <v>0</v>
          </cell>
        </row>
        <row r="2631">
          <cell r="R2631">
            <v>3</v>
          </cell>
          <cell r="S2631">
            <v>0</v>
          </cell>
        </row>
        <row r="2632">
          <cell r="R2632">
            <v>3</v>
          </cell>
          <cell r="S2632">
            <v>0</v>
          </cell>
        </row>
        <row r="2633">
          <cell r="R2633">
            <v>3</v>
          </cell>
          <cell r="S2633">
            <v>0</v>
          </cell>
        </row>
        <row r="2634">
          <cell r="R2634">
            <v>3</v>
          </cell>
          <cell r="S2634">
            <v>0</v>
          </cell>
        </row>
        <row r="2635">
          <cell r="R2635">
            <v>3</v>
          </cell>
          <cell r="S2635">
            <v>0</v>
          </cell>
        </row>
        <row r="2636">
          <cell r="R2636">
            <v>3</v>
          </cell>
          <cell r="S2636">
            <v>0</v>
          </cell>
        </row>
        <row r="2637">
          <cell r="R2637">
            <v>3</v>
          </cell>
          <cell r="S2637">
            <v>0</v>
          </cell>
        </row>
        <row r="2638">
          <cell r="R2638">
            <v>3</v>
          </cell>
          <cell r="S2638">
            <v>0</v>
          </cell>
        </row>
        <row r="2639">
          <cell r="R2639">
            <v>3</v>
          </cell>
          <cell r="S2639">
            <v>0</v>
          </cell>
        </row>
        <row r="2640">
          <cell r="R2640">
            <v>3</v>
          </cell>
          <cell r="S2640">
            <v>0</v>
          </cell>
        </row>
        <row r="2641">
          <cell r="R2641">
            <v>3</v>
          </cell>
          <cell r="S2641">
            <v>0</v>
          </cell>
        </row>
        <row r="2642">
          <cell r="R2642">
            <v>3</v>
          </cell>
          <cell r="S2642">
            <v>0</v>
          </cell>
        </row>
        <row r="2643">
          <cell r="R2643">
            <v>3</v>
          </cell>
          <cell r="S2643">
            <v>0</v>
          </cell>
        </row>
        <row r="2644">
          <cell r="R2644">
            <v>3</v>
          </cell>
          <cell r="S2644">
            <v>0</v>
          </cell>
        </row>
        <row r="2645">
          <cell r="R2645">
            <v>3</v>
          </cell>
          <cell r="S2645">
            <v>0</v>
          </cell>
        </row>
        <row r="2646">
          <cell r="R2646">
            <v>3</v>
          </cell>
          <cell r="S2646">
            <v>0</v>
          </cell>
        </row>
        <row r="2647">
          <cell r="R2647">
            <v>3</v>
          </cell>
          <cell r="S2647">
            <v>0</v>
          </cell>
        </row>
        <row r="2648">
          <cell r="R2648">
            <v>3</v>
          </cell>
          <cell r="S2648">
            <v>0</v>
          </cell>
        </row>
        <row r="2649">
          <cell r="R2649">
            <v>3</v>
          </cell>
          <cell r="S2649">
            <v>0</v>
          </cell>
        </row>
        <row r="2650">
          <cell r="R2650">
            <v>3</v>
          </cell>
          <cell r="S2650">
            <v>0</v>
          </cell>
        </row>
        <row r="2651">
          <cell r="R2651">
            <v>3</v>
          </cell>
          <cell r="S2651">
            <v>0</v>
          </cell>
        </row>
        <row r="2652">
          <cell r="R2652">
            <v>3</v>
          </cell>
          <cell r="S2652">
            <v>0</v>
          </cell>
        </row>
        <row r="2653">
          <cell r="R2653">
            <v>3</v>
          </cell>
          <cell r="S2653">
            <v>0</v>
          </cell>
        </row>
        <row r="2654">
          <cell r="R2654">
            <v>3</v>
          </cell>
          <cell r="S2654">
            <v>0</v>
          </cell>
        </row>
        <row r="2655">
          <cell r="R2655">
            <v>3</v>
          </cell>
          <cell r="S2655">
            <v>0</v>
          </cell>
        </row>
        <row r="2656">
          <cell r="R2656">
            <v>3</v>
          </cell>
          <cell r="S2656">
            <v>0</v>
          </cell>
        </row>
        <row r="2657">
          <cell r="R2657">
            <v>3</v>
          </cell>
          <cell r="S2657">
            <v>0</v>
          </cell>
        </row>
        <row r="2658">
          <cell r="R2658">
            <v>3</v>
          </cell>
          <cell r="S2658">
            <v>0</v>
          </cell>
        </row>
        <row r="2659">
          <cell r="R2659">
            <v>3</v>
          </cell>
          <cell r="S2659">
            <v>0</v>
          </cell>
        </row>
        <row r="2660">
          <cell r="R2660">
            <v>3</v>
          </cell>
          <cell r="S2660">
            <v>0</v>
          </cell>
        </row>
        <row r="2661">
          <cell r="R2661">
            <v>3</v>
          </cell>
          <cell r="S2661">
            <v>0</v>
          </cell>
        </row>
        <row r="2662">
          <cell r="R2662">
            <v>3</v>
          </cell>
          <cell r="S2662">
            <v>0</v>
          </cell>
        </row>
        <row r="2663">
          <cell r="R2663">
            <v>3</v>
          </cell>
          <cell r="S2663">
            <v>0</v>
          </cell>
        </row>
        <row r="2664">
          <cell r="R2664">
            <v>3</v>
          </cell>
          <cell r="S2664">
            <v>0</v>
          </cell>
        </row>
        <row r="2665">
          <cell r="R2665">
            <v>3</v>
          </cell>
          <cell r="S2665">
            <v>0</v>
          </cell>
        </row>
        <row r="2666">
          <cell r="R2666">
            <v>3</v>
          </cell>
          <cell r="S2666">
            <v>0</v>
          </cell>
        </row>
        <row r="2667">
          <cell r="R2667">
            <v>3</v>
          </cell>
          <cell r="S2667">
            <v>0</v>
          </cell>
        </row>
        <row r="2668">
          <cell r="R2668">
            <v>3</v>
          </cell>
          <cell r="S2668">
            <v>0</v>
          </cell>
        </row>
        <row r="2669">
          <cell r="R2669">
            <v>3</v>
          </cell>
          <cell r="S2669">
            <v>0</v>
          </cell>
        </row>
        <row r="2670">
          <cell r="R2670">
            <v>3</v>
          </cell>
          <cell r="S2670">
            <v>0</v>
          </cell>
        </row>
        <row r="2671">
          <cell r="R2671">
            <v>3</v>
          </cell>
          <cell r="S2671">
            <v>0</v>
          </cell>
        </row>
        <row r="2672">
          <cell r="R2672">
            <v>3</v>
          </cell>
          <cell r="S2672">
            <v>0</v>
          </cell>
        </row>
        <row r="2673">
          <cell r="R2673">
            <v>3</v>
          </cell>
          <cell r="S2673">
            <v>0</v>
          </cell>
        </row>
        <row r="2674">
          <cell r="R2674">
            <v>3</v>
          </cell>
          <cell r="S2674">
            <v>0</v>
          </cell>
        </row>
        <row r="2675">
          <cell r="R2675">
            <v>3</v>
          </cell>
          <cell r="S2675">
            <v>0</v>
          </cell>
        </row>
        <row r="2676">
          <cell r="R2676">
            <v>3</v>
          </cell>
          <cell r="S2676">
            <v>0</v>
          </cell>
        </row>
        <row r="2677">
          <cell r="R2677">
            <v>3</v>
          </cell>
          <cell r="S2677">
            <v>0</v>
          </cell>
        </row>
        <row r="2678">
          <cell r="R2678">
            <v>3</v>
          </cell>
          <cell r="S2678">
            <v>0</v>
          </cell>
        </row>
        <row r="2679">
          <cell r="R2679">
            <v>3</v>
          </cell>
          <cell r="S2679">
            <v>0</v>
          </cell>
        </row>
        <row r="2680">
          <cell r="R2680">
            <v>3</v>
          </cell>
          <cell r="S2680">
            <v>0</v>
          </cell>
        </row>
        <row r="2681">
          <cell r="R2681">
            <v>3</v>
          </cell>
          <cell r="S2681">
            <v>0</v>
          </cell>
        </row>
        <row r="2682">
          <cell r="R2682">
            <v>3</v>
          </cell>
          <cell r="S2682">
            <v>0</v>
          </cell>
        </row>
        <row r="2683">
          <cell r="R2683">
            <v>3</v>
          </cell>
          <cell r="S2683">
            <v>0</v>
          </cell>
        </row>
        <row r="2684">
          <cell r="R2684">
            <v>3</v>
          </cell>
          <cell r="S2684">
            <v>0</v>
          </cell>
        </row>
        <row r="2685">
          <cell r="R2685">
            <v>3</v>
          </cell>
          <cell r="S2685">
            <v>0</v>
          </cell>
        </row>
        <row r="2686">
          <cell r="R2686">
            <v>3</v>
          </cell>
          <cell r="S2686">
            <v>0</v>
          </cell>
        </row>
        <row r="2687">
          <cell r="R2687">
            <v>3</v>
          </cell>
          <cell r="S2687">
            <v>0</v>
          </cell>
        </row>
        <row r="2688">
          <cell r="R2688">
            <v>3</v>
          </cell>
          <cell r="S2688">
            <v>0</v>
          </cell>
        </row>
        <row r="2689">
          <cell r="R2689">
            <v>3</v>
          </cell>
          <cell r="S2689">
            <v>0</v>
          </cell>
        </row>
        <row r="2690">
          <cell r="R2690">
            <v>3</v>
          </cell>
          <cell r="S2690">
            <v>0</v>
          </cell>
        </row>
        <row r="2691">
          <cell r="R2691">
            <v>3</v>
          </cell>
          <cell r="S2691">
            <v>0</v>
          </cell>
        </row>
        <row r="2692">
          <cell r="R2692">
            <v>3</v>
          </cell>
          <cell r="S2692">
            <v>0</v>
          </cell>
        </row>
        <row r="2693">
          <cell r="R2693">
            <v>3</v>
          </cell>
          <cell r="S2693">
            <v>0</v>
          </cell>
        </row>
        <row r="2694">
          <cell r="R2694">
            <v>3</v>
          </cell>
          <cell r="S2694">
            <v>0</v>
          </cell>
        </row>
        <row r="2695">
          <cell r="R2695">
            <v>3</v>
          </cell>
          <cell r="S2695">
            <v>0</v>
          </cell>
        </row>
        <row r="2696">
          <cell r="R2696">
            <v>3</v>
          </cell>
          <cell r="S2696">
            <v>0</v>
          </cell>
        </row>
        <row r="2697">
          <cell r="R2697">
            <v>3</v>
          </cell>
          <cell r="S2697">
            <v>0</v>
          </cell>
        </row>
        <row r="2698">
          <cell r="R2698">
            <v>3</v>
          </cell>
          <cell r="S2698">
            <v>0</v>
          </cell>
        </row>
        <row r="2699">
          <cell r="R2699">
            <v>3</v>
          </cell>
          <cell r="S2699">
            <v>0</v>
          </cell>
        </row>
        <row r="2700">
          <cell r="R2700">
            <v>3</v>
          </cell>
          <cell r="S2700">
            <v>0</v>
          </cell>
        </row>
        <row r="2701">
          <cell r="R2701">
            <v>3</v>
          </cell>
          <cell r="S2701">
            <v>0</v>
          </cell>
        </row>
        <row r="2702">
          <cell r="R2702">
            <v>3</v>
          </cell>
          <cell r="S2702">
            <v>0</v>
          </cell>
        </row>
        <row r="2703">
          <cell r="R2703">
            <v>3</v>
          </cell>
          <cell r="S2703">
            <v>0</v>
          </cell>
        </row>
        <row r="2704">
          <cell r="R2704">
            <v>3</v>
          </cell>
          <cell r="S2704">
            <v>0</v>
          </cell>
        </row>
        <row r="2705">
          <cell r="R2705">
            <v>3</v>
          </cell>
          <cell r="S2705">
            <v>0</v>
          </cell>
        </row>
        <row r="2706">
          <cell r="R2706">
            <v>3</v>
          </cell>
          <cell r="S2706">
            <v>0</v>
          </cell>
        </row>
        <row r="2707">
          <cell r="R2707">
            <v>3</v>
          </cell>
          <cell r="S2707">
            <v>0</v>
          </cell>
        </row>
        <row r="2708">
          <cell r="R2708">
            <v>3</v>
          </cell>
          <cell r="S2708">
            <v>0</v>
          </cell>
        </row>
        <row r="2709">
          <cell r="R2709">
            <v>3</v>
          </cell>
          <cell r="S2709">
            <v>0</v>
          </cell>
        </row>
        <row r="2710">
          <cell r="R2710">
            <v>3</v>
          </cell>
          <cell r="S2710">
            <v>0</v>
          </cell>
        </row>
        <row r="2711">
          <cell r="R2711">
            <v>3</v>
          </cell>
          <cell r="S2711">
            <v>0</v>
          </cell>
        </row>
        <row r="2712">
          <cell r="R2712">
            <v>3</v>
          </cell>
          <cell r="S2712">
            <v>0</v>
          </cell>
        </row>
        <row r="2713">
          <cell r="R2713">
            <v>3</v>
          </cell>
          <cell r="S2713">
            <v>0</v>
          </cell>
        </row>
        <row r="2714">
          <cell r="R2714">
            <v>3</v>
          </cell>
          <cell r="S2714">
            <v>0</v>
          </cell>
        </row>
        <row r="2715">
          <cell r="R2715">
            <v>3</v>
          </cell>
          <cell r="S2715">
            <v>0</v>
          </cell>
        </row>
        <row r="2716">
          <cell r="R2716">
            <v>3</v>
          </cell>
          <cell r="S2716">
            <v>0</v>
          </cell>
        </row>
        <row r="2717">
          <cell r="R2717">
            <v>3</v>
          </cell>
          <cell r="S2717">
            <v>0</v>
          </cell>
        </row>
        <row r="2718">
          <cell r="R2718">
            <v>3</v>
          </cell>
          <cell r="S2718">
            <v>0</v>
          </cell>
        </row>
        <row r="2719">
          <cell r="R2719">
            <v>3</v>
          </cell>
          <cell r="S2719">
            <v>0</v>
          </cell>
        </row>
        <row r="2720">
          <cell r="R2720">
            <v>3</v>
          </cell>
          <cell r="S2720">
            <v>0</v>
          </cell>
        </row>
        <row r="2721">
          <cell r="R2721">
            <v>3</v>
          </cell>
          <cell r="S2721">
            <v>0</v>
          </cell>
        </row>
        <row r="2722">
          <cell r="R2722">
            <v>3</v>
          </cell>
          <cell r="S2722">
            <v>0</v>
          </cell>
        </row>
        <row r="2723">
          <cell r="R2723">
            <v>3</v>
          </cell>
          <cell r="S2723">
            <v>0</v>
          </cell>
        </row>
        <row r="2724">
          <cell r="R2724">
            <v>3</v>
          </cell>
          <cell r="S2724">
            <v>0</v>
          </cell>
        </row>
        <row r="2725">
          <cell r="R2725">
            <v>3</v>
          </cell>
          <cell r="S2725">
            <v>0</v>
          </cell>
        </row>
        <row r="2726">
          <cell r="R2726">
            <v>3</v>
          </cell>
          <cell r="S2726">
            <v>0</v>
          </cell>
        </row>
        <row r="2727">
          <cell r="R2727">
            <v>3</v>
          </cell>
          <cell r="S2727">
            <v>0</v>
          </cell>
        </row>
        <row r="2728">
          <cell r="R2728">
            <v>3</v>
          </cell>
          <cell r="S2728">
            <v>0</v>
          </cell>
        </row>
        <row r="2729">
          <cell r="R2729">
            <v>3</v>
          </cell>
          <cell r="S2729">
            <v>0</v>
          </cell>
        </row>
        <row r="2730">
          <cell r="R2730">
            <v>3</v>
          </cell>
          <cell r="S2730">
            <v>0</v>
          </cell>
        </row>
        <row r="2731">
          <cell r="R2731">
            <v>3</v>
          </cell>
          <cell r="S2731">
            <v>0</v>
          </cell>
        </row>
        <row r="2732">
          <cell r="R2732">
            <v>3</v>
          </cell>
          <cell r="S2732">
            <v>0</v>
          </cell>
        </row>
        <row r="2733">
          <cell r="R2733">
            <v>3</v>
          </cell>
          <cell r="S2733">
            <v>0</v>
          </cell>
        </row>
        <row r="2734">
          <cell r="R2734">
            <v>3</v>
          </cell>
          <cell r="S2734">
            <v>0</v>
          </cell>
        </row>
        <row r="2735">
          <cell r="R2735">
            <v>3</v>
          </cell>
          <cell r="S2735">
            <v>0</v>
          </cell>
        </row>
        <row r="2736">
          <cell r="R2736">
            <v>3</v>
          </cell>
          <cell r="S2736">
            <v>0</v>
          </cell>
        </row>
        <row r="2737">
          <cell r="R2737">
            <v>3</v>
          </cell>
          <cell r="S2737">
            <v>0</v>
          </cell>
        </row>
        <row r="2738">
          <cell r="R2738">
            <v>3</v>
          </cell>
          <cell r="S2738">
            <v>0</v>
          </cell>
        </row>
        <row r="2739">
          <cell r="R2739">
            <v>3</v>
          </cell>
          <cell r="S2739">
            <v>0</v>
          </cell>
        </row>
        <row r="2740">
          <cell r="R2740">
            <v>3</v>
          </cell>
          <cell r="S2740">
            <v>0</v>
          </cell>
        </row>
        <row r="2741">
          <cell r="R2741">
            <v>3</v>
          </cell>
          <cell r="S2741">
            <v>0</v>
          </cell>
        </row>
        <row r="2742">
          <cell r="R2742">
            <v>3</v>
          </cell>
          <cell r="S2742">
            <v>0</v>
          </cell>
        </row>
        <row r="2743">
          <cell r="R2743">
            <v>3</v>
          </cell>
          <cell r="S2743">
            <v>0</v>
          </cell>
        </row>
        <row r="2744">
          <cell r="R2744">
            <v>3</v>
          </cell>
          <cell r="S2744">
            <v>0</v>
          </cell>
        </row>
        <row r="2745">
          <cell r="R2745">
            <v>3</v>
          </cell>
          <cell r="S2745">
            <v>0</v>
          </cell>
        </row>
        <row r="2746">
          <cell r="R2746">
            <v>3</v>
          </cell>
          <cell r="S2746">
            <v>0</v>
          </cell>
        </row>
        <row r="2747">
          <cell r="R2747">
            <v>3</v>
          </cell>
          <cell r="S2747">
            <v>0</v>
          </cell>
        </row>
        <row r="2748">
          <cell r="R2748">
            <v>3</v>
          </cell>
          <cell r="S2748">
            <v>0</v>
          </cell>
        </row>
        <row r="2749">
          <cell r="R2749">
            <v>3</v>
          </cell>
          <cell r="S2749">
            <v>0</v>
          </cell>
        </row>
        <row r="2750">
          <cell r="R2750">
            <v>3</v>
          </cell>
          <cell r="S2750">
            <v>0</v>
          </cell>
        </row>
        <row r="2751">
          <cell r="R2751">
            <v>3</v>
          </cell>
          <cell r="S2751">
            <v>0</v>
          </cell>
        </row>
        <row r="2752">
          <cell r="R2752">
            <v>3</v>
          </cell>
          <cell r="S2752">
            <v>0</v>
          </cell>
        </row>
        <row r="2753">
          <cell r="R2753">
            <v>3</v>
          </cell>
          <cell r="S2753">
            <v>0</v>
          </cell>
        </row>
        <row r="2754">
          <cell r="R2754">
            <v>3</v>
          </cell>
          <cell r="S2754">
            <v>0</v>
          </cell>
        </row>
        <row r="2755">
          <cell r="R2755">
            <v>3</v>
          </cell>
          <cell r="S2755">
            <v>0</v>
          </cell>
        </row>
        <row r="2756">
          <cell r="R2756">
            <v>3</v>
          </cell>
          <cell r="S2756">
            <v>0</v>
          </cell>
        </row>
        <row r="2757">
          <cell r="R2757">
            <v>3</v>
          </cell>
          <cell r="S2757">
            <v>0</v>
          </cell>
        </row>
        <row r="2758">
          <cell r="R2758">
            <v>3</v>
          </cell>
          <cell r="S2758">
            <v>0</v>
          </cell>
        </row>
        <row r="2759">
          <cell r="R2759">
            <v>3</v>
          </cell>
          <cell r="S2759">
            <v>0</v>
          </cell>
        </row>
        <row r="2760">
          <cell r="R2760">
            <v>3</v>
          </cell>
          <cell r="S2760">
            <v>0</v>
          </cell>
        </row>
        <row r="2761">
          <cell r="R2761">
            <v>3</v>
          </cell>
          <cell r="S2761">
            <v>0</v>
          </cell>
        </row>
        <row r="2762">
          <cell r="R2762">
            <v>3</v>
          </cell>
          <cell r="S2762">
            <v>0</v>
          </cell>
        </row>
        <row r="2763">
          <cell r="R2763">
            <v>3</v>
          </cell>
          <cell r="S2763">
            <v>0</v>
          </cell>
        </row>
        <row r="2764">
          <cell r="R2764">
            <v>3</v>
          </cell>
          <cell r="S2764">
            <v>0</v>
          </cell>
        </row>
        <row r="2765">
          <cell r="R2765">
            <v>3</v>
          </cell>
          <cell r="S2765">
            <v>0</v>
          </cell>
        </row>
        <row r="2766">
          <cell r="R2766">
            <v>3</v>
          </cell>
          <cell r="S2766">
            <v>0</v>
          </cell>
        </row>
        <row r="2767">
          <cell r="R2767">
            <v>3</v>
          </cell>
          <cell r="S2767">
            <v>0</v>
          </cell>
        </row>
        <row r="2768">
          <cell r="R2768">
            <v>3</v>
          </cell>
          <cell r="S2768">
            <v>0</v>
          </cell>
        </row>
        <row r="2769">
          <cell r="R2769">
            <v>3</v>
          </cell>
          <cell r="S2769">
            <v>0</v>
          </cell>
        </row>
        <row r="2770">
          <cell r="R2770">
            <v>3</v>
          </cell>
          <cell r="S2770">
            <v>0</v>
          </cell>
        </row>
        <row r="2771">
          <cell r="R2771">
            <v>3</v>
          </cell>
          <cell r="S2771">
            <v>0</v>
          </cell>
        </row>
        <row r="2772">
          <cell r="R2772">
            <v>3</v>
          </cell>
          <cell r="S2772">
            <v>0</v>
          </cell>
        </row>
        <row r="2773">
          <cell r="R2773">
            <v>3</v>
          </cell>
          <cell r="S2773">
            <v>0</v>
          </cell>
        </row>
        <row r="2774">
          <cell r="R2774">
            <v>3</v>
          </cell>
          <cell r="S2774">
            <v>0</v>
          </cell>
        </row>
        <row r="2775">
          <cell r="R2775">
            <v>3</v>
          </cell>
          <cell r="S2775">
            <v>0</v>
          </cell>
        </row>
        <row r="2776">
          <cell r="R2776">
            <v>3</v>
          </cell>
          <cell r="S2776">
            <v>0</v>
          </cell>
        </row>
        <row r="2777">
          <cell r="R2777">
            <v>3</v>
          </cell>
          <cell r="S2777">
            <v>0</v>
          </cell>
        </row>
        <row r="2778">
          <cell r="R2778">
            <v>3</v>
          </cell>
          <cell r="S2778">
            <v>0</v>
          </cell>
        </row>
        <row r="2779">
          <cell r="R2779">
            <v>3</v>
          </cell>
          <cell r="S2779">
            <v>0</v>
          </cell>
        </row>
        <row r="2780">
          <cell r="R2780">
            <v>3</v>
          </cell>
          <cell r="S2780">
            <v>0</v>
          </cell>
        </row>
        <row r="2781">
          <cell r="R2781">
            <v>3</v>
          </cell>
          <cell r="S2781">
            <v>0</v>
          </cell>
        </row>
        <row r="2782">
          <cell r="R2782">
            <v>3</v>
          </cell>
          <cell r="S2782">
            <v>0</v>
          </cell>
        </row>
        <row r="2783">
          <cell r="R2783">
            <v>3</v>
          </cell>
          <cell r="S2783">
            <v>0</v>
          </cell>
        </row>
        <row r="2784">
          <cell r="R2784">
            <v>3</v>
          </cell>
          <cell r="S2784">
            <v>0</v>
          </cell>
        </row>
        <row r="2785">
          <cell r="R2785">
            <v>3</v>
          </cell>
          <cell r="S2785">
            <v>0</v>
          </cell>
        </row>
        <row r="2786">
          <cell r="R2786">
            <v>3</v>
          </cell>
          <cell r="S2786">
            <v>0</v>
          </cell>
        </row>
        <row r="2787">
          <cell r="R2787">
            <v>3</v>
          </cell>
          <cell r="S2787">
            <v>0</v>
          </cell>
        </row>
        <row r="2788">
          <cell r="R2788">
            <v>3</v>
          </cell>
          <cell r="S2788">
            <v>0</v>
          </cell>
        </row>
        <row r="2789">
          <cell r="R2789">
            <v>3</v>
          </cell>
          <cell r="S2789">
            <v>0</v>
          </cell>
        </row>
        <row r="2790">
          <cell r="R2790">
            <v>3</v>
          </cell>
          <cell r="S2790">
            <v>0</v>
          </cell>
        </row>
        <row r="2791">
          <cell r="R2791">
            <v>3</v>
          </cell>
          <cell r="S2791">
            <v>0</v>
          </cell>
        </row>
        <row r="2792">
          <cell r="R2792">
            <v>3</v>
          </cell>
          <cell r="S2792">
            <v>0</v>
          </cell>
        </row>
        <row r="2793">
          <cell r="R2793">
            <v>3</v>
          </cell>
          <cell r="S2793">
            <v>0</v>
          </cell>
        </row>
        <row r="2794">
          <cell r="R2794">
            <v>3</v>
          </cell>
          <cell r="S2794">
            <v>0</v>
          </cell>
        </row>
        <row r="2795">
          <cell r="R2795">
            <v>3</v>
          </cell>
          <cell r="S2795">
            <v>0</v>
          </cell>
        </row>
        <row r="2796">
          <cell r="R2796">
            <v>3</v>
          </cell>
          <cell r="S2796">
            <v>0</v>
          </cell>
        </row>
        <row r="2797">
          <cell r="R2797">
            <v>3</v>
          </cell>
          <cell r="S2797">
            <v>0</v>
          </cell>
        </row>
        <row r="2798">
          <cell r="R2798">
            <v>3</v>
          </cell>
          <cell r="S2798">
            <v>0</v>
          </cell>
        </row>
        <row r="2799">
          <cell r="R2799">
            <v>3</v>
          </cell>
          <cell r="S2799">
            <v>0</v>
          </cell>
        </row>
        <row r="2800">
          <cell r="R2800">
            <v>3</v>
          </cell>
          <cell r="S2800">
            <v>0</v>
          </cell>
        </row>
        <row r="2801">
          <cell r="R2801">
            <v>3</v>
          </cell>
          <cell r="S2801">
            <v>0</v>
          </cell>
        </row>
        <row r="2802">
          <cell r="R2802">
            <v>3</v>
          </cell>
          <cell r="S2802">
            <v>0</v>
          </cell>
        </row>
        <row r="2803">
          <cell r="R2803">
            <v>3</v>
          </cell>
          <cell r="S2803">
            <v>0</v>
          </cell>
        </row>
        <row r="2804">
          <cell r="R2804">
            <v>3</v>
          </cell>
          <cell r="S2804">
            <v>0</v>
          </cell>
        </row>
        <row r="2805">
          <cell r="R2805">
            <v>3</v>
          </cell>
          <cell r="S2805">
            <v>0</v>
          </cell>
        </row>
        <row r="2806">
          <cell r="R2806">
            <v>3</v>
          </cell>
          <cell r="S2806">
            <v>0</v>
          </cell>
        </row>
        <row r="2807">
          <cell r="R2807">
            <v>3</v>
          </cell>
          <cell r="S2807">
            <v>0</v>
          </cell>
        </row>
        <row r="2808">
          <cell r="R2808">
            <v>3</v>
          </cell>
          <cell r="S2808">
            <v>0</v>
          </cell>
        </row>
        <row r="2809">
          <cell r="R2809">
            <v>3</v>
          </cell>
          <cell r="S2809">
            <v>0</v>
          </cell>
        </row>
        <row r="2810">
          <cell r="R2810">
            <v>3</v>
          </cell>
          <cell r="S2810">
            <v>0</v>
          </cell>
        </row>
        <row r="2811">
          <cell r="R2811">
            <v>3</v>
          </cell>
          <cell r="S2811">
            <v>0</v>
          </cell>
        </row>
        <row r="2812">
          <cell r="R2812">
            <v>3</v>
          </cell>
          <cell r="S2812">
            <v>0</v>
          </cell>
        </row>
        <row r="2813">
          <cell r="R2813">
            <v>3</v>
          </cell>
          <cell r="S2813">
            <v>0</v>
          </cell>
        </row>
        <row r="2814">
          <cell r="R2814">
            <v>3</v>
          </cell>
          <cell r="S2814">
            <v>0</v>
          </cell>
        </row>
        <row r="2815">
          <cell r="R2815">
            <v>3</v>
          </cell>
          <cell r="S2815">
            <v>0</v>
          </cell>
        </row>
        <row r="2816">
          <cell r="R2816">
            <v>3</v>
          </cell>
          <cell r="S2816">
            <v>0</v>
          </cell>
        </row>
        <row r="2817">
          <cell r="R2817">
            <v>3</v>
          </cell>
          <cell r="S2817">
            <v>0</v>
          </cell>
        </row>
        <row r="2818">
          <cell r="R2818">
            <v>3</v>
          </cell>
          <cell r="S2818">
            <v>0</v>
          </cell>
        </row>
        <row r="2819">
          <cell r="R2819">
            <v>3</v>
          </cell>
          <cell r="S2819">
            <v>0</v>
          </cell>
        </row>
        <row r="2820">
          <cell r="R2820">
            <v>3</v>
          </cell>
          <cell r="S2820">
            <v>0</v>
          </cell>
        </row>
        <row r="2821">
          <cell r="R2821">
            <v>3</v>
          </cell>
          <cell r="S2821">
            <v>0</v>
          </cell>
        </row>
        <row r="2822">
          <cell r="R2822">
            <v>3</v>
          </cell>
          <cell r="S2822">
            <v>0</v>
          </cell>
        </row>
        <row r="2823">
          <cell r="R2823">
            <v>3</v>
          </cell>
          <cell r="S2823">
            <v>0</v>
          </cell>
        </row>
        <row r="2824">
          <cell r="R2824">
            <v>3</v>
          </cell>
          <cell r="S2824">
            <v>0</v>
          </cell>
        </row>
        <row r="2825">
          <cell r="R2825">
            <v>3</v>
          </cell>
          <cell r="S2825">
            <v>0</v>
          </cell>
        </row>
        <row r="2826">
          <cell r="R2826">
            <v>3</v>
          </cell>
          <cell r="S2826">
            <v>0</v>
          </cell>
        </row>
        <row r="2827">
          <cell r="R2827">
            <v>3</v>
          </cell>
          <cell r="S2827">
            <v>0</v>
          </cell>
        </row>
        <row r="2828">
          <cell r="R2828">
            <v>3</v>
          </cell>
          <cell r="S2828">
            <v>0</v>
          </cell>
        </row>
        <row r="2829">
          <cell r="R2829">
            <v>3</v>
          </cell>
          <cell r="S2829">
            <v>0</v>
          </cell>
        </row>
        <row r="2830">
          <cell r="R2830">
            <v>3</v>
          </cell>
          <cell r="S2830">
            <v>0</v>
          </cell>
        </row>
        <row r="2831">
          <cell r="R2831">
            <v>3</v>
          </cell>
          <cell r="S2831">
            <v>0</v>
          </cell>
        </row>
        <row r="2832">
          <cell r="R2832">
            <v>3</v>
          </cell>
          <cell r="S2832">
            <v>0</v>
          </cell>
        </row>
        <row r="2833">
          <cell r="R2833">
            <v>3</v>
          </cell>
          <cell r="S2833">
            <v>0</v>
          </cell>
        </row>
        <row r="2834">
          <cell r="R2834">
            <v>3</v>
          </cell>
          <cell r="S2834">
            <v>0</v>
          </cell>
        </row>
        <row r="2835">
          <cell r="R2835">
            <v>3</v>
          </cell>
          <cell r="S2835">
            <v>0</v>
          </cell>
        </row>
        <row r="2836">
          <cell r="R2836">
            <v>3</v>
          </cell>
          <cell r="S2836">
            <v>0</v>
          </cell>
        </row>
        <row r="2837">
          <cell r="R2837">
            <v>3</v>
          </cell>
          <cell r="S2837">
            <v>0</v>
          </cell>
        </row>
        <row r="2838">
          <cell r="R2838">
            <v>3</v>
          </cell>
          <cell r="S2838">
            <v>0</v>
          </cell>
        </row>
        <row r="2839">
          <cell r="R2839">
            <v>3</v>
          </cell>
          <cell r="S2839">
            <v>0</v>
          </cell>
        </row>
        <row r="2840">
          <cell r="R2840">
            <v>3</v>
          </cell>
          <cell r="S2840">
            <v>0</v>
          </cell>
        </row>
        <row r="2841">
          <cell r="R2841">
            <v>3</v>
          </cell>
          <cell r="S2841">
            <v>0</v>
          </cell>
        </row>
        <row r="2842">
          <cell r="R2842">
            <v>3</v>
          </cell>
          <cell r="S2842">
            <v>0</v>
          </cell>
        </row>
        <row r="2843">
          <cell r="R2843">
            <v>3</v>
          </cell>
          <cell r="S2843">
            <v>0</v>
          </cell>
        </row>
        <row r="2844">
          <cell r="R2844">
            <v>3</v>
          </cell>
          <cell r="S2844">
            <v>0</v>
          </cell>
        </row>
        <row r="2845">
          <cell r="R2845">
            <v>3</v>
          </cell>
          <cell r="S2845">
            <v>0</v>
          </cell>
        </row>
        <row r="2846">
          <cell r="R2846">
            <v>3</v>
          </cell>
          <cell r="S2846">
            <v>0</v>
          </cell>
        </row>
        <row r="2847">
          <cell r="R2847">
            <v>3</v>
          </cell>
          <cell r="S2847">
            <v>0</v>
          </cell>
        </row>
        <row r="2848">
          <cell r="R2848">
            <v>3</v>
          </cell>
          <cell r="S2848">
            <v>0</v>
          </cell>
        </row>
        <row r="2849">
          <cell r="R2849">
            <v>3</v>
          </cell>
          <cell r="S2849">
            <v>0</v>
          </cell>
        </row>
        <row r="2850">
          <cell r="R2850">
            <v>3</v>
          </cell>
          <cell r="S2850">
            <v>0</v>
          </cell>
        </row>
        <row r="2851">
          <cell r="R2851">
            <v>3</v>
          </cell>
          <cell r="S2851">
            <v>0</v>
          </cell>
        </row>
        <row r="2852">
          <cell r="R2852">
            <v>3</v>
          </cell>
          <cell r="S2852">
            <v>0</v>
          </cell>
        </row>
        <row r="2853">
          <cell r="R2853">
            <v>3</v>
          </cell>
          <cell r="S2853">
            <v>0</v>
          </cell>
        </row>
        <row r="2854">
          <cell r="R2854">
            <v>3</v>
          </cell>
          <cell r="S2854">
            <v>0</v>
          </cell>
        </row>
        <row r="2855">
          <cell r="R2855">
            <v>3</v>
          </cell>
          <cell r="S2855">
            <v>0</v>
          </cell>
        </row>
        <row r="2856">
          <cell r="R2856">
            <v>3</v>
          </cell>
          <cell r="S2856">
            <v>0</v>
          </cell>
        </row>
        <row r="2857">
          <cell r="R2857">
            <v>3</v>
          </cell>
          <cell r="S2857">
            <v>0</v>
          </cell>
        </row>
        <row r="2858">
          <cell r="R2858">
            <v>3</v>
          </cell>
          <cell r="S2858">
            <v>0</v>
          </cell>
        </row>
        <row r="2859">
          <cell r="R2859">
            <v>3</v>
          </cell>
          <cell r="S2859">
            <v>0</v>
          </cell>
        </row>
        <row r="2860">
          <cell r="R2860">
            <v>3</v>
          </cell>
          <cell r="S2860">
            <v>0</v>
          </cell>
        </row>
        <row r="2861">
          <cell r="R2861">
            <v>3</v>
          </cell>
          <cell r="S2861">
            <v>0</v>
          </cell>
        </row>
        <row r="2862">
          <cell r="R2862">
            <v>3</v>
          </cell>
          <cell r="S2862">
            <v>0</v>
          </cell>
        </row>
        <row r="2863">
          <cell r="R2863">
            <v>3</v>
          </cell>
          <cell r="S2863">
            <v>0</v>
          </cell>
        </row>
        <row r="2864">
          <cell r="R2864">
            <v>3</v>
          </cell>
          <cell r="S2864">
            <v>0</v>
          </cell>
        </row>
        <row r="2865">
          <cell r="R2865">
            <v>3</v>
          </cell>
          <cell r="S2865">
            <v>0</v>
          </cell>
        </row>
        <row r="2866">
          <cell r="R2866">
            <v>3</v>
          </cell>
          <cell r="S2866">
            <v>0</v>
          </cell>
        </row>
        <row r="2867">
          <cell r="R2867">
            <v>3</v>
          </cell>
          <cell r="S2867">
            <v>0</v>
          </cell>
        </row>
        <row r="2868">
          <cell r="R2868">
            <v>3</v>
          </cell>
          <cell r="S2868">
            <v>0</v>
          </cell>
        </row>
        <row r="2869">
          <cell r="R2869">
            <v>3</v>
          </cell>
          <cell r="S2869">
            <v>0</v>
          </cell>
        </row>
        <row r="2870">
          <cell r="R2870">
            <v>3</v>
          </cell>
          <cell r="S2870">
            <v>0</v>
          </cell>
        </row>
        <row r="2871">
          <cell r="R2871">
            <v>3</v>
          </cell>
          <cell r="S2871">
            <v>0</v>
          </cell>
        </row>
        <row r="2872">
          <cell r="R2872">
            <v>3</v>
          </cell>
          <cell r="S2872">
            <v>0</v>
          </cell>
        </row>
        <row r="2873">
          <cell r="R2873">
            <v>3</v>
          </cell>
          <cell r="S2873">
            <v>0</v>
          </cell>
        </row>
        <row r="2874">
          <cell r="R2874">
            <v>3</v>
          </cell>
          <cell r="S2874">
            <v>0</v>
          </cell>
        </row>
        <row r="2875">
          <cell r="R2875">
            <v>3</v>
          </cell>
          <cell r="S2875">
            <v>0</v>
          </cell>
        </row>
        <row r="2876">
          <cell r="R2876">
            <v>3</v>
          </cell>
          <cell r="S2876">
            <v>0</v>
          </cell>
        </row>
        <row r="2877">
          <cell r="R2877">
            <v>3</v>
          </cell>
          <cell r="S2877">
            <v>0</v>
          </cell>
        </row>
        <row r="2878">
          <cell r="R2878">
            <v>3</v>
          </cell>
          <cell r="S2878">
            <v>0</v>
          </cell>
        </row>
        <row r="2879">
          <cell r="R2879">
            <v>3</v>
          </cell>
          <cell r="S2879">
            <v>0</v>
          </cell>
        </row>
        <row r="2880">
          <cell r="R2880">
            <v>3</v>
          </cell>
          <cell r="S2880">
            <v>0</v>
          </cell>
        </row>
        <row r="2881">
          <cell r="R2881">
            <v>3</v>
          </cell>
          <cell r="S2881">
            <v>0</v>
          </cell>
        </row>
        <row r="2882">
          <cell r="R2882">
            <v>3</v>
          </cell>
          <cell r="S2882">
            <v>0</v>
          </cell>
        </row>
        <row r="2883">
          <cell r="R2883">
            <v>3</v>
          </cell>
          <cell r="S2883">
            <v>0</v>
          </cell>
        </row>
        <row r="2884">
          <cell r="R2884">
            <v>3</v>
          </cell>
          <cell r="S2884">
            <v>0</v>
          </cell>
        </row>
        <row r="2885">
          <cell r="R2885">
            <v>3</v>
          </cell>
          <cell r="S2885">
            <v>0</v>
          </cell>
        </row>
        <row r="2886">
          <cell r="R2886">
            <v>3</v>
          </cell>
          <cell r="S2886">
            <v>0</v>
          </cell>
        </row>
        <row r="2887">
          <cell r="R2887">
            <v>3</v>
          </cell>
          <cell r="S2887">
            <v>0</v>
          </cell>
        </row>
        <row r="2888">
          <cell r="R2888">
            <v>3</v>
          </cell>
          <cell r="S2888">
            <v>0</v>
          </cell>
        </row>
        <row r="2889">
          <cell r="R2889">
            <v>3</v>
          </cell>
          <cell r="S2889">
            <v>0</v>
          </cell>
        </row>
        <row r="2890">
          <cell r="R2890">
            <v>3</v>
          </cell>
          <cell r="S2890">
            <v>0</v>
          </cell>
        </row>
        <row r="2891">
          <cell r="R2891">
            <v>3</v>
          </cell>
          <cell r="S2891">
            <v>0</v>
          </cell>
        </row>
        <row r="2892">
          <cell r="R2892">
            <v>3</v>
          </cell>
          <cell r="S2892">
            <v>0</v>
          </cell>
        </row>
        <row r="2893">
          <cell r="R2893">
            <v>3</v>
          </cell>
          <cell r="S2893">
            <v>0</v>
          </cell>
        </row>
        <row r="2894">
          <cell r="R2894">
            <v>3</v>
          </cell>
          <cell r="S2894">
            <v>0</v>
          </cell>
        </row>
        <row r="2895">
          <cell r="R2895">
            <v>3</v>
          </cell>
          <cell r="S2895">
            <v>0</v>
          </cell>
        </row>
        <row r="2896">
          <cell r="R2896">
            <v>3</v>
          </cell>
          <cell r="S2896">
            <v>0</v>
          </cell>
        </row>
        <row r="2897">
          <cell r="R2897">
            <v>3</v>
          </cell>
          <cell r="S2897">
            <v>0</v>
          </cell>
        </row>
        <row r="2898">
          <cell r="R2898">
            <v>3</v>
          </cell>
          <cell r="S2898">
            <v>0</v>
          </cell>
        </row>
        <row r="2899">
          <cell r="R2899">
            <v>3</v>
          </cell>
          <cell r="S2899">
            <v>0</v>
          </cell>
        </row>
        <row r="2900">
          <cell r="R2900">
            <v>3</v>
          </cell>
          <cell r="S2900">
            <v>0</v>
          </cell>
        </row>
        <row r="2901">
          <cell r="R2901">
            <v>3</v>
          </cell>
          <cell r="S2901">
            <v>0</v>
          </cell>
        </row>
        <row r="2902">
          <cell r="R2902">
            <v>3</v>
          </cell>
          <cell r="S2902">
            <v>0</v>
          </cell>
        </row>
        <row r="2903">
          <cell r="R2903">
            <v>3</v>
          </cell>
          <cell r="S2903">
            <v>0</v>
          </cell>
        </row>
        <row r="2904">
          <cell r="R2904">
            <v>3</v>
          </cell>
          <cell r="S2904">
            <v>0</v>
          </cell>
        </row>
        <row r="2905">
          <cell r="R2905">
            <v>3</v>
          </cell>
          <cell r="S2905">
            <v>0</v>
          </cell>
        </row>
        <row r="2906">
          <cell r="R2906">
            <v>3</v>
          </cell>
          <cell r="S2906">
            <v>0</v>
          </cell>
        </row>
        <row r="2907">
          <cell r="R2907">
            <v>3</v>
          </cell>
          <cell r="S2907">
            <v>0</v>
          </cell>
        </row>
        <row r="2908">
          <cell r="R2908">
            <v>3</v>
          </cell>
          <cell r="S2908">
            <v>0</v>
          </cell>
        </row>
        <row r="2909">
          <cell r="R2909">
            <v>3</v>
          </cell>
          <cell r="S2909">
            <v>0</v>
          </cell>
        </row>
        <row r="2910">
          <cell r="R2910">
            <v>3</v>
          </cell>
          <cell r="S2910">
            <v>0</v>
          </cell>
        </row>
        <row r="2911">
          <cell r="R2911">
            <v>3</v>
          </cell>
          <cell r="S2911">
            <v>0</v>
          </cell>
        </row>
        <row r="2912">
          <cell r="R2912">
            <v>3</v>
          </cell>
          <cell r="S2912">
            <v>0</v>
          </cell>
        </row>
        <row r="2913">
          <cell r="R2913">
            <v>3</v>
          </cell>
          <cell r="S2913">
            <v>0</v>
          </cell>
        </row>
        <row r="2914">
          <cell r="R2914">
            <v>3</v>
          </cell>
          <cell r="S2914">
            <v>0</v>
          </cell>
        </row>
        <row r="2915">
          <cell r="R2915">
            <v>3</v>
          </cell>
          <cell r="S2915">
            <v>0</v>
          </cell>
        </row>
        <row r="2916">
          <cell r="R2916">
            <v>3</v>
          </cell>
          <cell r="S2916">
            <v>0</v>
          </cell>
        </row>
        <row r="2917">
          <cell r="R2917">
            <v>3</v>
          </cell>
          <cell r="S2917">
            <v>0</v>
          </cell>
        </row>
        <row r="2918">
          <cell r="R2918">
            <v>3</v>
          </cell>
          <cell r="S2918">
            <v>0</v>
          </cell>
        </row>
        <row r="2919">
          <cell r="R2919">
            <v>3</v>
          </cell>
          <cell r="S2919">
            <v>0</v>
          </cell>
        </row>
        <row r="2920">
          <cell r="R2920">
            <v>3</v>
          </cell>
          <cell r="S2920">
            <v>0</v>
          </cell>
        </row>
        <row r="2921">
          <cell r="R2921">
            <v>3</v>
          </cell>
          <cell r="S2921">
            <v>0</v>
          </cell>
        </row>
        <row r="2922">
          <cell r="R2922">
            <v>3</v>
          </cell>
          <cell r="S2922">
            <v>0</v>
          </cell>
        </row>
        <row r="2923">
          <cell r="R2923">
            <v>3</v>
          </cell>
          <cell r="S2923">
            <v>0</v>
          </cell>
        </row>
        <row r="2924">
          <cell r="R2924">
            <v>3</v>
          </cell>
          <cell r="S2924">
            <v>0</v>
          </cell>
        </row>
        <row r="2925">
          <cell r="R2925">
            <v>3</v>
          </cell>
          <cell r="S2925">
            <v>0</v>
          </cell>
        </row>
        <row r="2926">
          <cell r="R2926">
            <v>3</v>
          </cell>
          <cell r="S2926">
            <v>0</v>
          </cell>
        </row>
        <row r="2927">
          <cell r="R2927">
            <v>3</v>
          </cell>
          <cell r="S2927">
            <v>0</v>
          </cell>
        </row>
        <row r="2928">
          <cell r="R2928">
            <v>3</v>
          </cell>
          <cell r="S2928">
            <v>0</v>
          </cell>
        </row>
        <row r="2929">
          <cell r="R2929">
            <v>3</v>
          </cell>
          <cell r="S2929">
            <v>0</v>
          </cell>
        </row>
        <row r="2930">
          <cell r="R2930">
            <v>3</v>
          </cell>
          <cell r="S2930">
            <v>0</v>
          </cell>
        </row>
        <row r="2931">
          <cell r="R2931">
            <v>3</v>
          </cell>
          <cell r="S2931">
            <v>0</v>
          </cell>
        </row>
        <row r="2932">
          <cell r="R2932">
            <v>3</v>
          </cell>
          <cell r="S2932">
            <v>0</v>
          </cell>
        </row>
        <row r="2933">
          <cell r="R2933">
            <v>3</v>
          </cell>
          <cell r="S2933">
            <v>0</v>
          </cell>
        </row>
        <row r="2934">
          <cell r="R2934">
            <v>3</v>
          </cell>
          <cell r="S2934">
            <v>0</v>
          </cell>
        </row>
        <row r="2935">
          <cell r="R2935">
            <v>3</v>
          </cell>
          <cell r="S2935">
            <v>0</v>
          </cell>
        </row>
        <row r="2936">
          <cell r="R2936">
            <v>3</v>
          </cell>
          <cell r="S2936">
            <v>0</v>
          </cell>
        </row>
        <row r="2937">
          <cell r="R2937">
            <v>3</v>
          </cell>
          <cell r="S2937">
            <v>0</v>
          </cell>
        </row>
        <row r="2938">
          <cell r="R2938">
            <v>3</v>
          </cell>
          <cell r="S2938">
            <v>0</v>
          </cell>
        </row>
        <row r="2939">
          <cell r="R2939">
            <v>3</v>
          </cell>
          <cell r="S2939">
            <v>0</v>
          </cell>
        </row>
        <row r="2940">
          <cell r="R2940">
            <v>3</v>
          </cell>
          <cell r="S2940">
            <v>0</v>
          </cell>
        </row>
        <row r="2941">
          <cell r="R2941">
            <v>3</v>
          </cell>
          <cell r="S2941">
            <v>0</v>
          </cell>
        </row>
        <row r="2942">
          <cell r="R2942">
            <v>3</v>
          </cell>
          <cell r="S2942">
            <v>0</v>
          </cell>
        </row>
        <row r="2943">
          <cell r="R2943">
            <v>3</v>
          </cell>
          <cell r="S2943">
            <v>0</v>
          </cell>
        </row>
        <row r="2944">
          <cell r="R2944">
            <v>3</v>
          </cell>
          <cell r="S2944">
            <v>0</v>
          </cell>
        </row>
        <row r="2945">
          <cell r="R2945">
            <v>3</v>
          </cell>
          <cell r="S2945">
            <v>0</v>
          </cell>
        </row>
        <row r="2946">
          <cell r="R2946">
            <v>3</v>
          </cell>
          <cell r="S2946">
            <v>0</v>
          </cell>
        </row>
        <row r="2947">
          <cell r="R2947">
            <v>3</v>
          </cell>
          <cell r="S2947">
            <v>0</v>
          </cell>
        </row>
        <row r="2948">
          <cell r="R2948">
            <v>3</v>
          </cell>
          <cell r="S2948">
            <v>0</v>
          </cell>
        </row>
        <row r="2949">
          <cell r="R2949">
            <v>3</v>
          </cell>
          <cell r="S2949">
            <v>0</v>
          </cell>
        </row>
        <row r="2950">
          <cell r="R2950">
            <v>3</v>
          </cell>
          <cell r="S2950">
            <v>0</v>
          </cell>
        </row>
        <row r="2951">
          <cell r="R2951">
            <v>3</v>
          </cell>
          <cell r="S2951">
            <v>0</v>
          </cell>
        </row>
        <row r="2952">
          <cell r="R2952">
            <v>3</v>
          </cell>
          <cell r="S2952">
            <v>0</v>
          </cell>
        </row>
        <row r="2953">
          <cell r="R2953">
            <v>3</v>
          </cell>
          <cell r="S2953">
            <v>0</v>
          </cell>
        </row>
        <row r="2954">
          <cell r="R2954">
            <v>3</v>
          </cell>
          <cell r="S2954">
            <v>0</v>
          </cell>
        </row>
        <row r="2955">
          <cell r="R2955">
            <v>3</v>
          </cell>
          <cell r="S2955">
            <v>0</v>
          </cell>
        </row>
        <row r="2956">
          <cell r="R2956">
            <v>3</v>
          </cell>
          <cell r="S2956">
            <v>0</v>
          </cell>
        </row>
        <row r="2957">
          <cell r="R2957">
            <v>3</v>
          </cell>
          <cell r="S2957">
            <v>0</v>
          </cell>
        </row>
        <row r="2958">
          <cell r="R2958">
            <v>3</v>
          </cell>
          <cell r="S2958">
            <v>0</v>
          </cell>
        </row>
        <row r="2959">
          <cell r="R2959">
            <v>3</v>
          </cell>
          <cell r="S2959">
            <v>0</v>
          </cell>
        </row>
        <row r="2960">
          <cell r="R2960">
            <v>3</v>
          </cell>
          <cell r="S2960">
            <v>0</v>
          </cell>
        </row>
        <row r="2961">
          <cell r="R2961">
            <v>3</v>
          </cell>
          <cell r="S2961">
            <v>0</v>
          </cell>
        </row>
        <row r="2962">
          <cell r="R2962">
            <v>3</v>
          </cell>
          <cell r="S2962">
            <v>0</v>
          </cell>
        </row>
        <row r="2963">
          <cell r="R2963">
            <v>3</v>
          </cell>
          <cell r="S2963">
            <v>0</v>
          </cell>
        </row>
        <row r="2964">
          <cell r="R2964">
            <v>3</v>
          </cell>
          <cell r="S2964">
            <v>0</v>
          </cell>
        </row>
        <row r="2965">
          <cell r="R2965">
            <v>3</v>
          </cell>
          <cell r="S2965">
            <v>0</v>
          </cell>
        </row>
        <row r="2966">
          <cell r="R2966">
            <v>3</v>
          </cell>
          <cell r="S2966">
            <v>0</v>
          </cell>
        </row>
        <row r="2967">
          <cell r="R2967">
            <v>3</v>
          </cell>
          <cell r="S2967">
            <v>0</v>
          </cell>
        </row>
        <row r="2968">
          <cell r="R2968">
            <v>3</v>
          </cell>
          <cell r="S2968">
            <v>0</v>
          </cell>
        </row>
        <row r="2969">
          <cell r="R2969">
            <v>3</v>
          </cell>
          <cell r="S2969">
            <v>0</v>
          </cell>
        </row>
        <row r="2970">
          <cell r="R2970">
            <v>3</v>
          </cell>
          <cell r="S2970">
            <v>0</v>
          </cell>
        </row>
        <row r="2971">
          <cell r="R2971">
            <v>3</v>
          </cell>
          <cell r="S2971">
            <v>0</v>
          </cell>
        </row>
        <row r="2972">
          <cell r="R2972">
            <v>3</v>
          </cell>
          <cell r="S2972">
            <v>0</v>
          </cell>
        </row>
        <row r="2973">
          <cell r="R2973">
            <v>3</v>
          </cell>
          <cell r="S2973">
            <v>0</v>
          </cell>
        </row>
        <row r="2974">
          <cell r="R2974">
            <v>3</v>
          </cell>
          <cell r="S2974">
            <v>0</v>
          </cell>
        </row>
        <row r="2975">
          <cell r="R2975">
            <v>3</v>
          </cell>
          <cell r="S2975">
            <v>0</v>
          </cell>
        </row>
        <row r="2976">
          <cell r="R2976">
            <v>3</v>
          </cell>
          <cell r="S2976">
            <v>0</v>
          </cell>
        </row>
        <row r="2977">
          <cell r="R2977">
            <v>3</v>
          </cell>
          <cell r="S2977">
            <v>0</v>
          </cell>
        </row>
        <row r="2978">
          <cell r="R2978">
            <v>3</v>
          </cell>
          <cell r="S2978">
            <v>0</v>
          </cell>
        </row>
        <row r="2979">
          <cell r="R2979">
            <v>3</v>
          </cell>
          <cell r="S2979">
            <v>0</v>
          </cell>
        </row>
        <row r="2980">
          <cell r="R2980">
            <v>3</v>
          </cell>
          <cell r="S2980">
            <v>0</v>
          </cell>
        </row>
        <row r="2981">
          <cell r="R2981">
            <v>3</v>
          </cell>
          <cell r="S2981">
            <v>0</v>
          </cell>
        </row>
        <row r="2982">
          <cell r="R2982">
            <v>3</v>
          </cell>
          <cell r="S2982">
            <v>0</v>
          </cell>
        </row>
        <row r="2983">
          <cell r="R2983">
            <v>3</v>
          </cell>
          <cell r="S2983">
            <v>0</v>
          </cell>
        </row>
        <row r="2984">
          <cell r="R2984">
            <v>3</v>
          </cell>
          <cell r="S2984">
            <v>0</v>
          </cell>
        </row>
        <row r="2985">
          <cell r="R2985">
            <v>3</v>
          </cell>
          <cell r="S2985">
            <v>0</v>
          </cell>
        </row>
        <row r="2986">
          <cell r="R2986">
            <v>3</v>
          </cell>
          <cell r="S2986">
            <v>0</v>
          </cell>
        </row>
        <row r="2987">
          <cell r="R2987">
            <v>3</v>
          </cell>
          <cell r="S2987">
            <v>0</v>
          </cell>
        </row>
        <row r="2988">
          <cell r="R2988">
            <v>3</v>
          </cell>
          <cell r="S2988">
            <v>0</v>
          </cell>
        </row>
        <row r="2989">
          <cell r="R2989">
            <v>3</v>
          </cell>
          <cell r="S2989">
            <v>0</v>
          </cell>
        </row>
        <row r="2990">
          <cell r="R2990">
            <v>3</v>
          </cell>
          <cell r="S2990">
            <v>0</v>
          </cell>
        </row>
        <row r="2991">
          <cell r="R2991">
            <v>3</v>
          </cell>
          <cell r="S2991">
            <v>0</v>
          </cell>
        </row>
        <row r="2992">
          <cell r="R2992">
            <v>3</v>
          </cell>
          <cell r="S2992">
            <v>0</v>
          </cell>
        </row>
        <row r="2993">
          <cell r="R2993">
            <v>3</v>
          </cell>
          <cell r="S2993">
            <v>0</v>
          </cell>
        </row>
        <row r="2994">
          <cell r="R2994">
            <v>3</v>
          </cell>
          <cell r="S2994">
            <v>0</v>
          </cell>
        </row>
        <row r="2995">
          <cell r="R2995">
            <v>3</v>
          </cell>
          <cell r="S2995">
            <v>0</v>
          </cell>
        </row>
        <row r="2996">
          <cell r="R2996">
            <v>3</v>
          </cell>
          <cell r="S2996">
            <v>0</v>
          </cell>
        </row>
        <row r="2997">
          <cell r="R2997">
            <v>3</v>
          </cell>
          <cell r="S2997">
            <v>0</v>
          </cell>
        </row>
        <row r="2998">
          <cell r="R2998">
            <v>3</v>
          </cell>
          <cell r="S2998">
            <v>0</v>
          </cell>
        </row>
        <row r="2999">
          <cell r="R2999">
            <v>3</v>
          </cell>
          <cell r="S2999">
            <v>0</v>
          </cell>
        </row>
        <row r="3000">
          <cell r="R3000">
            <v>3</v>
          </cell>
          <cell r="S3000">
            <v>0</v>
          </cell>
        </row>
        <row r="3001">
          <cell r="R3001">
            <v>3</v>
          </cell>
          <cell r="S3001">
            <v>0</v>
          </cell>
        </row>
        <row r="3002">
          <cell r="R3002">
            <v>3</v>
          </cell>
          <cell r="S3002">
            <v>0</v>
          </cell>
        </row>
        <row r="3003">
          <cell r="R3003">
            <v>3</v>
          </cell>
          <cell r="S3003">
            <v>0</v>
          </cell>
        </row>
      </sheetData>
      <sheetData sheetId="6">
        <row r="4">
          <cell r="A4" t="str">
            <v>260812-189005904301363</v>
          </cell>
          <cell r="I4" t="str">
            <v>BO260915078057502</v>
          </cell>
          <cell r="K4" t="str">
            <v>2026-09-24 08:59:43</v>
          </cell>
          <cell r="M4">
            <v>114.79</v>
          </cell>
          <cell r="N4" t="str">
            <v>260812-189005904301363</v>
          </cell>
          <cell r="O4" t="str">
            <v>返还</v>
          </cell>
          <cell r="P4" t="str">
            <v>没有</v>
          </cell>
          <cell r="R4">
            <v>1</v>
          </cell>
          <cell r="S4">
            <v>0</v>
          </cell>
        </row>
        <row r="5">
          <cell r="A5" t="str">
            <v>260814-230854510143043</v>
          </cell>
          <cell r="I5" t="str">
            <v>BO260915078057502</v>
          </cell>
          <cell r="K5" t="str">
            <v>2026-09-24 08:59:43</v>
          </cell>
          <cell r="M5">
            <v>42.69</v>
          </cell>
          <cell r="N5" t="str">
            <v>260814-230854510143043</v>
          </cell>
          <cell r="O5" t="str">
            <v>返还</v>
          </cell>
          <cell r="P5" t="str">
            <v>没有</v>
          </cell>
          <cell r="R5">
            <v>1</v>
          </cell>
          <cell r="S5">
            <v>0</v>
          </cell>
        </row>
        <row r="6">
          <cell r="A6" t="str">
            <v>260819-405211789711727</v>
          </cell>
          <cell r="I6" t="str">
            <v>BO260915078057502</v>
          </cell>
          <cell r="K6" t="str">
            <v>2026-09-24 08:59:43</v>
          </cell>
          <cell r="M6">
            <v>114.79</v>
          </cell>
          <cell r="N6" t="str">
            <v>260819-405211789711727</v>
          </cell>
          <cell r="O6" t="str">
            <v>返还</v>
          </cell>
          <cell r="P6" t="str">
            <v>没有</v>
          </cell>
          <cell r="R6">
            <v>1</v>
          </cell>
          <cell r="S6">
            <v>0</v>
          </cell>
        </row>
        <row r="7">
          <cell r="A7" t="str">
            <v>260818-417668810331192</v>
          </cell>
          <cell r="I7" t="str">
            <v>BO260915078057502</v>
          </cell>
          <cell r="K7" t="str">
            <v>2026-09-24 08:59:43</v>
          </cell>
          <cell r="M7">
            <v>41.99</v>
          </cell>
          <cell r="N7" t="str">
            <v>260818-417668810331192</v>
          </cell>
          <cell r="O7" t="str">
            <v>返还</v>
          </cell>
          <cell r="P7" t="str">
            <v>没有</v>
          </cell>
          <cell r="R7">
            <v>1</v>
          </cell>
          <cell r="S7">
            <v>0</v>
          </cell>
        </row>
        <row r="8">
          <cell r="A8" t="str">
            <v>260818-317907321121691</v>
          </cell>
          <cell r="I8" t="str">
            <v>BO260915078057502</v>
          </cell>
          <cell r="K8" t="str">
            <v>2026-09-24 08:59:43</v>
          </cell>
          <cell r="M8">
            <v>50.39</v>
          </cell>
          <cell r="N8" t="str">
            <v>260818-317907321121691</v>
          </cell>
          <cell r="O8" t="str">
            <v>返还</v>
          </cell>
          <cell r="P8" t="str">
            <v>没有</v>
          </cell>
          <cell r="R8">
            <v>1</v>
          </cell>
          <cell r="S8">
            <v>0</v>
          </cell>
        </row>
        <row r="9">
          <cell r="A9" t="str">
            <v>260817-394600169882461</v>
          </cell>
          <cell r="I9" t="str">
            <v>BO260915078057502</v>
          </cell>
          <cell r="K9" t="str">
            <v>2026-09-24 08:59:43</v>
          </cell>
          <cell r="M9">
            <v>41.99</v>
          </cell>
          <cell r="N9" t="str">
            <v>260817-394600169882461</v>
          </cell>
          <cell r="O9" t="str">
            <v>返还</v>
          </cell>
          <cell r="P9" t="str">
            <v>没有</v>
          </cell>
          <cell r="R9">
            <v>1</v>
          </cell>
          <cell r="S9">
            <v>0</v>
          </cell>
        </row>
        <row r="10">
          <cell r="A10" t="str">
            <v>260805-629365839420089</v>
          </cell>
          <cell r="I10" t="str">
            <v>BO260915078057502</v>
          </cell>
          <cell r="K10" t="str">
            <v>2026-09-24 08:59:43</v>
          </cell>
          <cell r="M10">
            <v>50.39</v>
          </cell>
          <cell r="N10" t="str">
            <v>260805-629365839420089</v>
          </cell>
          <cell r="O10" t="str">
            <v>返还</v>
          </cell>
          <cell r="P10" t="str">
            <v>没有</v>
          </cell>
          <cell r="R10">
            <v>1</v>
          </cell>
          <cell r="S10">
            <v>0</v>
          </cell>
        </row>
        <row r="11">
          <cell r="A11" t="str">
            <v>260810-121781644871446</v>
          </cell>
          <cell r="I11" t="str">
            <v>BO260915078057502</v>
          </cell>
          <cell r="K11" t="str">
            <v>2026-09-24 08:59:43</v>
          </cell>
          <cell r="M11">
            <v>50.39</v>
          </cell>
          <cell r="N11" t="str">
            <v>260810-121781644871446</v>
          </cell>
          <cell r="O11" t="str">
            <v>返还</v>
          </cell>
          <cell r="P11" t="str">
            <v>没有</v>
          </cell>
          <cell r="R11">
            <v>1</v>
          </cell>
          <cell r="S11">
            <v>0</v>
          </cell>
        </row>
        <row r="12">
          <cell r="A12" t="str">
            <v>260817-460786245172850</v>
          </cell>
          <cell r="I12" t="str">
            <v>BO260915078057502</v>
          </cell>
          <cell r="K12" t="str">
            <v>2026-09-24 08:59:43</v>
          </cell>
          <cell r="M12">
            <v>118.99</v>
          </cell>
          <cell r="N12" t="str">
            <v>260817-460786245172850</v>
          </cell>
          <cell r="O12" t="str">
            <v>返还</v>
          </cell>
          <cell r="P12" t="str">
            <v>没有</v>
          </cell>
          <cell r="R12">
            <v>1</v>
          </cell>
          <cell r="S12">
            <v>0</v>
          </cell>
        </row>
        <row r="13">
          <cell r="A13" t="str">
            <v>260819-557811034521962</v>
          </cell>
          <cell r="I13" t="str">
            <v>BO260915078057502</v>
          </cell>
          <cell r="K13" t="str">
            <v>2026-09-24 08:59:43</v>
          </cell>
          <cell r="M13">
            <v>41.99</v>
          </cell>
          <cell r="N13" t="str">
            <v>260819-557811034521962</v>
          </cell>
          <cell r="O13" t="str">
            <v>返还</v>
          </cell>
          <cell r="P13" t="str">
            <v>没有</v>
          </cell>
          <cell r="R13">
            <v>1</v>
          </cell>
          <cell r="S13">
            <v>0</v>
          </cell>
        </row>
        <row r="14">
          <cell r="A14" t="str">
            <v>260805-345296084590157</v>
          </cell>
          <cell r="I14" t="str">
            <v>BO260915078057502</v>
          </cell>
          <cell r="K14" t="str">
            <v>2026-09-24 08:59:43</v>
          </cell>
          <cell r="M14">
            <v>116.19</v>
          </cell>
          <cell r="N14" t="str">
            <v>260805-345296084590157</v>
          </cell>
          <cell r="O14" t="str">
            <v>返还</v>
          </cell>
          <cell r="P14" t="str">
            <v>没有</v>
          </cell>
          <cell r="R14">
            <v>1</v>
          </cell>
          <cell r="S14">
            <v>0</v>
          </cell>
        </row>
        <row r="15">
          <cell r="A15" t="str">
            <v>260818-384795952782793</v>
          </cell>
          <cell r="I15" t="str">
            <v>BO260915078057502</v>
          </cell>
          <cell r="K15" t="str">
            <v>2026-09-24 08:59:43</v>
          </cell>
          <cell r="M15">
            <v>41.99</v>
          </cell>
          <cell r="N15" t="str">
            <v>260818-384795952782793</v>
          </cell>
          <cell r="O15" t="str">
            <v>返还</v>
          </cell>
          <cell r="P15" t="str">
            <v>没有</v>
          </cell>
          <cell r="R15">
            <v>1</v>
          </cell>
          <cell r="S15">
            <v>0</v>
          </cell>
        </row>
        <row r="16">
          <cell r="A16" t="str">
            <v>260812-161522654851418</v>
          </cell>
          <cell r="I16" t="str">
            <v>BO260915078057502</v>
          </cell>
          <cell r="K16" t="str">
            <v>2026-09-24 08:59:43</v>
          </cell>
          <cell r="M16">
            <v>114.79</v>
          </cell>
          <cell r="N16" t="str">
            <v>260812-161522654851418</v>
          </cell>
          <cell r="O16" t="str">
            <v>返还</v>
          </cell>
          <cell r="P16" t="str">
            <v>没有</v>
          </cell>
          <cell r="R16">
            <v>1</v>
          </cell>
          <cell r="S16">
            <v>0</v>
          </cell>
        </row>
        <row r="17">
          <cell r="A17" t="str">
            <v>260820-459873994262233</v>
          </cell>
          <cell r="I17" t="str">
            <v>BO260915078057502</v>
          </cell>
          <cell r="K17" t="str">
            <v>2026-09-24 08:59:43</v>
          </cell>
          <cell r="M17">
            <v>41.99</v>
          </cell>
          <cell r="N17" t="str">
            <v>260820-459873994262233</v>
          </cell>
          <cell r="O17" t="str">
            <v>返还</v>
          </cell>
          <cell r="P17" t="str">
            <v>没有</v>
          </cell>
          <cell r="R17">
            <v>1</v>
          </cell>
          <cell r="S17">
            <v>0</v>
          </cell>
        </row>
        <row r="18">
          <cell r="A18" t="str">
            <v>260819-560547765871185</v>
          </cell>
          <cell r="I18" t="str">
            <v>BO260915078057502</v>
          </cell>
          <cell r="K18" t="str">
            <v>2026-09-24 08:59:43</v>
          </cell>
          <cell r="M18">
            <v>41.99</v>
          </cell>
          <cell r="N18" t="str">
            <v>260819-560547765871185</v>
          </cell>
          <cell r="O18" t="str">
            <v>返还</v>
          </cell>
          <cell r="P18" t="str">
            <v>没有</v>
          </cell>
          <cell r="R18">
            <v>1</v>
          </cell>
          <cell r="S18">
            <v>0</v>
          </cell>
        </row>
        <row r="19">
          <cell r="A19" t="str">
            <v>260813-110394119693563</v>
          </cell>
          <cell r="I19" t="str">
            <v>BO260915078057502</v>
          </cell>
          <cell r="K19" t="str">
            <v>2026-09-24 08:59:43</v>
          </cell>
          <cell r="M19">
            <v>50.37</v>
          </cell>
          <cell r="N19" t="str">
            <v>260813-110394119693563</v>
          </cell>
          <cell r="O19" t="str">
            <v>返还</v>
          </cell>
          <cell r="P19" t="str">
            <v>没有</v>
          </cell>
          <cell r="R19">
            <v>1</v>
          </cell>
          <cell r="S19">
            <v>0</v>
          </cell>
        </row>
        <row r="20">
          <cell r="A20" t="str">
            <v>260817-464293731932359</v>
          </cell>
          <cell r="I20" t="str">
            <v>BO260915078057502</v>
          </cell>
          <cell r="K20" t="str">
            <v>2026-09-24 08:59:43</v>
          </cell>
          <cell r="M20">
            <v>41.99</v>
          </cell>
          <cell r="N20" t="str">
            <v>260817-464293731932359</v>
          </cell>
          <cell r="O20" t="str">
            <v>返还</v>
          </cell>
          <cell r="P20" t="str">
            <v>没有</v>
          </cell>
          <cell r="R20">
            <v>1</v>
          </cell>
          <cell r="S20">
            <v>0</v>
          </cell>
        </row>
        <row r="21">
          <cell r="A21" t="str">
            <v>260810-234860070410959</v>
          </cell>
          <cell r="I21" t="str">
            <v>BO260915078057502</v>
          </cell>
          <cell r="K21" t="str">
            <v>2026-09-24 08:59:43</v>
          </cell>
          <cell r="M21">
            <v>113.39</v>
          </cell>
          <cell r="N21" t="str">
            <v>260810-234860070410959</v>
          </cell>
          <cell r="O21" t="str">
            <v>返还</v>
          </cell>
          <cell r="P21" t="str">
            <v>没有</v>
          </cell>
          <cell r="R21">
            <v>1</v>
          </cell>
          <cell r="S21">
            <v>0</v>
          </cell>
        </row>
        <row r="22">
          <cell r="A22" t="str">
            <v>260818-419902297682055</v>
          </cell>
          <cell r="I22" t="str">
            <v>BO260915078057502</v>
          </cell>
          <cell r="K22" t="str">
            <v>2026-09-24 08:59:43</v>
          </cell>
          <cell r="M22">
            <v>41.99</v>
          </cell>
          <cell r="N22" t="str">
            <v>260818-419902297682055</v>
          </cell>
          <cell r="O22" t="str">
            <v>返还</v>
          </cell>
          <cell r="P22" t="str">
            <v>没有</v>
          </cell>
          <cell r="R22">
            <v>1</v>
          </cell>
          <cell r="S22">
            <v>0</v>
          </cell>
        </row>
        <row r="23">
          <cell r="A23" t="str">
            <v>260808-633476257303850</v>
          </cell>
          <cell r="I23" t="str">
            <v>BO260915078057502</v>
          </cell>
          <cell r="K23" t="str">
            <v>2026-09-24 08:59:43</v>
          </cell>
          <cell r="M23">
            <v>113.39</v>
          </cell>
          <cell r="N23" t="str">
            <v>260808-633476257303850</v>
          </cell>
          <cell r="O23" t="str">
            <v>返还</v>
          </cell>
          <cell r="P23" t="str">
            <v>没有</v>
          </cell>
          <cell r="R23">
            <v>1</v>
          </cell>
          <cell r="S23">
            <v>0</v>
          </cell>
        </row>
        <row r="24">
          <cell r="A24" t="str">
            <v>260810-488615462501419</v>
          </cell>
          <cell r="I24" t="str">
            <v>BO260915078057502</v>
          </cell>
          <cell r="K24" t="str">
            <v>2026-09-24 08:59:43</v>
          </cell>
          <cell r="M24">
            <v>113.39</v>
          </cell>
          <cell r="N24" t="str">
            <v>260810-488615462501419</v>
          </cell>
          <cell r="O24" t="str">
            <v>返还</v>
          </cell>
          <cell r="P24" t="str">
            <v>没有</v>
          </cell>
          <cell r="R24">
            <v>1</v>
          </cell>
          <cell r="S24">
            <v>0</v>
          </cell>
        </row>
        <row r="25">
          <cell r="A25" t="str">
            <v>260819-158733494712735</v>
          </cell>
          <cell r="I25" t="str">
            <v>BO260915078057502</v>
          </cell>
          <cell r="K25" t="str">
            <v>2026-09-24 08:59:43</v>
          </cell>
          <cell r="M25">
            <v>50.39</v>
          </cell>
          <cell r="N25" t="str">
            <v>260819-158733494712735</v>
          </cell>
          <cell r="O25" t="str">
            <v>返还</v>
          </cell>
          <cell r="P25" t="str">
            <v>没有</v>
          </cell>
          <cell r="R25">
            <v>1</v>
          </cell>
          <cell r="S25">
            <v>0</v>
          </cell>
        </row>
        <row r="26">
          <cell r="A26" t="str">
            <v>260818-019807639042648</v>
          </cell>
          <cell r="I26" t="str">
            <v>BO260915078057502</v>
          </cell>
          <cell r="K26" t="str">
            <v>2026-09-24 08:59:43</v>
          </cell>
          <cell r="M26">
            <v>114.79</v>
          </cell>
          <cell r="N26" t="str">
            <v>260818-019807639042648</v>
          </cell>
          <cell r="O26" t="str">
            <v>返还</v>
          </cell>
          <cell r="P26" t="str">
            <v>没有</v>
          </cell>
          <cell r="R26">
            <v>1</v>
          </cell>
          <cell r="S26">
            <v>0</v>
          </cell>
        </row>
        <row r="27">
          <cell r="A27" t="str">
            <v>260819-381576824361363</v>
          </cell>
          <cell r="I27" t="str">
            <v>BO260915078057502</v>
          </cell>
          <cell r="K27" t="str">
            <v>2026-09-24 08:59:43</v>
          </cell>
          <cell r="M27">
            <v>45.21</v>
          </cell>
          <cell r="N27" t="str">
            <v>260819-381576824361363</v>
          </cell>
          <cell r="O27" t="str">
            <v>返还</v>
          </cell>
          <cell r="P27" t="str">
            <v>没有</v>
          </cell>
          <cell r="R27">
            <v>1</v>
          </cell>
          <cell r="S27">
            <v>0</v>
          </cell>
        </row>
        <row r="28">
          <cell r="A28" t="str">
            <v>260806-534616553771213</v>
          </cell>
          <cell r="I28" t="str">
            <v>BO260915078057502</v>
          </cell>
          <cell r="K28" t="str">
            <v>2026-09-24 08:59:43</v>
          </cell>
          <cell r="M28">
            <v>116.19</v>
          </cell>
          <cell r="N28" t="str">
            <v>260806-534616553771213</v>
          </cell>
          <cell r="O28" t="str">
            <v>返还</v>
          </cell>
          <cell r="P28" t="str">
            <v>没有</v>
          </cell>
          <cell r="R28">
            <v>1</v>
          </cell>
          <cell r="S28">
            <v>0</v>
          </cell>
        </row>
        <row r="29">
          <cell r="A29" t="str">
            <v>260808-424169991752733</v>
          </cell>
          <cell r="I29" t="str">
            <v>BO260915078057502</v>
          </cell>
          <cell r="K29" t="str">
            <v>2026-09-24 08:59:43</v>
          </cell>
          <cell r="M29">
            <v>113.39</v>
          </cell>
          <cell r="N29" t="str">
            <v>260808-424169991752733</v>
          </cell>
          <cell r="O29" t="str">
            <v>返还</v>
          </cell>
          <cell r="P29" t="str">
            <v>没有</v>
          </cell>
          <cell r="R29">
            <v>1</v>
          </cell>
          <cell r="S29">
            <v>0</v>
          </cell>
        </row>
        <row r="30">
          <cell r="A30" t="str">
            <v>260816-102194245131341</v>
          </cell>
          <cell r="I30" t="str">
            <v>BO260915078057502</v>
          </cell>
          <cell r="K30" t="str">
            <v>2026-09-24 08:59:43</v>
          </cell>
          <cell r="M30">
            <v>49.69</v>
          </cell>
          <cell r="N30" t="str">
            <v>260816-102194245131341</v>
          </cell>
          <cell r="O30" t="str">
            <v>返还</v>
          </cell>
          <cell r="P30" t="str">
            <v>没有</v>
          </cell>
          <cell r="R30">
            <v>1</v>
          </cell>
          <cell r="S30">
            <v>0</v>
          </cell>
        </row>
        <row r="31">
          <cell r="A31" t="str">
            <v>260811-684132953691686</v>
          </cell>
          <cell r="I31" t="str">
            <v>BO260915078057502</v>
          </cell>
          <cell r="K31" t="str">
            <v>2026-09-24 08:59:43</v>
          </cell>
          <cell r="M31">
            <v>50.37</v>
          </cell>
          <cell r="N31" t="str">
            <v>260811-684132953691686</v>
          </cell>
          <cell r="O31" t="str">
            <v>返还</v>
          </cell>
          <cell r="P31" t="str">
            <v>没有</v>
          </cell>
          <cell r="R31">
            <v>1</v>
          </cell>
          <cell r="S31">
            <v>0</v>
          </cell>
        </row>
        <row r="32">
          <cell r="A32" t="str">
            <v>260819-457682512170674</v>
          </cell>
          <cell r="I32" t="str">
            <v>BO260915078057502</v>
          </cell>
          <cell r="K32" t="str">
            <v>2026-09-24 08:59:43</v>
          </cell>
          <cell r="M32">
            <v>134.39</v>
          </cell>
          <cell r="N32" t="str">
            <v>260819-457682512170674</v>
          </cell>
          <cell r="O32" t="str">
            <v>返还</v>
          </cell>
          <cell r="P32" t="str">
            <v>没有</v>
          </cell>
          <cell r="R32">
            <v>1</v>
          </cell>
          <cell r="S32">
            <v>0</v>
          </cell>
        </row>
        <row r="33">
          <cell r="A33" t="str">
            <v>260819-328560811561711</v>
          </cell>
          <cell r="I33" t="str">
            <v>BO260915078057502</v>
          </cell>
          <cell r="K33" t="str">
            <v>2026-09-24 08:59:43</v>
          </cell>
          <cell r="M33">
            <v>41.99</v>
          </cell>
          <cell r="N33" t="str">
            <v>260819-328560811561711</v>
          </cell>
          <cell r="O33" t="str">
            <v>返还</v>
          </cell>
          <cell r="P33" t="str">
            <v>没有</v>
          </cell>
          <cell r="R33">
            <v>1</v>
          </cell>
          <cell r="S33">
            <v>0</v>
          </cell>
        </row>
        <row r="34">
          <cell r="A34" t="str">
            <v>260819-268068514131999</v>
          </cell>
          <cell r="I34" t="str">
            <v>BO260915078057502</v>
          </cell>
          <cell r="K34" t="str">
            <v>2026-09-24 08:59:43</v>
          </cell>
          <cell r="M34">
            <v>114.79</v>
          </cell>
          <cell r="N34" t="str">
            <v>260819-268068514131999</v>
          </cell>
          <cell r="O34" t="str">
            <v>返还</v>
          </cell>
          <cell r="P34" t="str">
            <v>没有</v>
          </cell>
          <cell r="R34">
            <v>1</v>
          </cell>
          <cell r="S34">
            <v>0</v>
          </cell>
        </row>
        <row r="35">
          <cell r="A35" t="str">
            <v>260820-021160323412517</v>
          </cell>
          <cell r="I35" t="str">
            <v>BO260915078057502</v>
          </cell>
          <cell r="K35" t="str">
            <v>2026-09-24 08:59:43</v>
          </cell>
          <cell r="M35">
            <v>41.99</v>
          </cell>
          <cell r="N35" t="str">
            <v>260820-021160323412517</v>
          </cell>
          <cell r="O35" t="str">
            <v>返还</v>
          </cell>
          <cell r="P35" t="str">
            <v>没有</v>
          </cell>
          <cell r="R35">
            <v>1</v>
          </cell>
          <cell r="S35">
            <v>0</v>
          </cell>
        </row>
        <row r="36">
          <cell r="A36" t="str">
            <v>260809-379217538622105</v>
          </cell>
          <cell r="I36" t="str">
            <v>BO260915078057502</v>
          </cell>
          <cell r="K36" t="str">
            <v>2026-09-24 08:59:43</v>
          </cell>
          <cell r="M36">
            <v>113.39</v>
          </cell>
          <cell r="N36" t="str">
            <v>260809-379217538622105</v>
          </cell>
          <cell r="O36" t="str">
            <v>返还</v>
          </cell>
          <cell r="P36" t="str">
            <v>没有</v>
          </cell>
          <cell r="R36">
            <v>1</v>
          </cell>
          <cell r="S36">
            <v>0</v>
          </cell>
        </row>
        <row r="37">
          <cell r="A37" t="str">
            <v>260819-059013927302783</v>
          </cell>
          <cell r="I37" t="str">
            <v>BO260915078057502</v>
          </cell>
          <cell r="K37" t="str">
            <v>2026-09-24 08:59:43</v>
          </cell>
          <cell r="M37">
            <v>41.99</v>
          </cell>
          <cell r="N37" t="str">
            <v>260819-059013927302783</v>
          </cell>
          <cell r="O37" t="str">
            <v>返还</v>
          </cell>
          <cell r="P37" t="str">
            <v>没有</v>
          </cell>
          <cell r="R37">
            <v>1</v>
          </cell>
          <cell r="S37">
            <v>0</v>
          </cell>
        </row>
        <row r="38">
          <cell r="A38" t="str">
            <v>260819-158733494712735-t01</v>
          </cell>
          <cell r="I38" t="str">
            <v>BO260915078057502</v>
          </cell>
          <cell r="K38" t="str">
            <v>2026-09-24 08:59:43</v>
          </cell>
          <cell r="M38">
            <v>-50.39</v>
          </cell>
          <cell r="N38" t="str">
            <v>260819-158733494712735</v>
          </cell>
          <cell r="O38" t="str">
            <v>扣回</v>
          </cell>
          <cell r="P38" t="str">
            <v>没有</v>
          </cell>
          <cell r="R38">
            <v>1</v>
          </cell>
          <cell r="S38">
            <v>1</v>
          </cell>
        </row>
        <row r="39">
          <cell r="A39" t="str">
            <v>260821-480373686570430</v>
          </cell>
          <cell r="I39" t="str">
            <v>BO260915078057502</v>
          </cell>
          <cell r="K39" t="str">
            <v>2026-09-24 08:59:43</v>
          </cell>
          <cell r="M39">
            <v>41.99</v>
          </cell>
          <cell r="N39" t="str">
            <v>260821-480373686570430</v>
          </cell>
          <cell r="O39" t="str">
            <v>返还</v>
          </cell>
          <cell r="P39" t="str">
            <v>没有</v>
          </cell>
          <cell r="R39">
            <v>1</v>
          </cell>
          <cell r="S39">
            <v>1</v>
          </cell>
        </row>
        <row r="40">
          <cell r="A40" t="str">
            <v>260809-544284382770109</v>
          </cell>
          <cell r="I40" t="str">
            <v>BO260915078057502</v>
          </cell>
          <cell r="K40" t="str">
            <v>2026-09-24 08:59:43</v>
          </cell>
          <cell r="M40">
            <v>118.99</v>
          </cell>
          <cell r="N40" t="str">
            <v>260809-544284382770109</v>
          </cell>
          <cell r="O40" t="str">
            <v>返还</v>
          </cell>
          <cell r="P40" t="str">
            <v>没有</v>
          </cell>
          <cell r="R40">
            <v>1</v>
          </cell>
          <cell r="S40">
            <v>1</v>
          </cell>
        </row>
        <row r="41">
          <cell r="A41" t="str">
            <v>260820-571494961564003</v>
          </cell>
          <cell r="I41" t="str">
            <v>BO260915078057502</v>
          </cell>
          <cell r="K41" t="str">
            <v>2026-09-24 08:59:43</v>
          </cell>
          <cell r="M41">
            <v>41.99</v>
          </cell>
          <cell r="N41" t="str">
            <v>260820-571494961564003</v>
          </cell>
          <cell r="O41" t="str">
            <v>返还</v>
          </cell>
          <cell r="P41" t="str">
            <v>没有</v>
          </cell>
          <cell r="R41">
            <v>1</v>
          </cell>
          <cell r="S41">
            <v>1</v>
          </cell>
        </row>
        <row r="42">
          <cell r="A42" t="str">
            <v>260818-270186585663393</v>
          </cell>
          <cell r="I42" t="str">
            <v>BO260915078057502</v>
          </cell>
          <cell r="K42" t="str">
            <v>2026-09-24 08:59:43</v>
          </cell>
          <cell r="M42">
            <v>114.79</v>
          </cell>
          <cell r="N42" t="str">
            <v>260818-270186585663393</v>
          </cell>
          <cell r="O42" t="str">
            <v>返还</v>
          </cell>
          <cell r="P42" t="str">
            <v>没有</v>
          </cell>
          <cell r="R42">
            <v>1</v>
          </cell>
          <cell r="S42">
            <v>1</v>
          </cell>
        </row>
        <row r="43">
          <cell r="A43" t="str">
            <v>260819-161092800822264</v>
          </cell>
          <cell r="I43" t="str">
            <v>BO260915078057502</v>
          </cell>
          <cell r="K43" t="str">
            <v>2026-09-24 08:59:43</v>
          </cell>
          <cell r="M43">
            <v>41.99</v>
          </cell>
          <cell r="N43" t="str">
            <v>260819-161092800822264</v>
          </cell>
          <cell r="O43" t="str">
            <v>返还</v>
          </cell>
          <cell r="P43" t="str">
            <v>没有</v>
          </cell>
          <cell r="R43">
            <v>1</v>
          </cell>
          <cell r="S43">
            <v>1</v>
          </cell>
        </row>
        <row r="44">
          <cell r="A44" t="str">
            <v>260810-460136148512813</v>
          </cell>
          <cell r="I44" t="str">
            <v>BO260915078057502</v>
          </cell>
          <cell r="K44" t="str">
            <v>2026-09-24 08:59:43</v>
          </cell>
          <cell r="M44">
            <v>50.39</v>
          </cell>
          <cell r="N44" t="str">
            <v>260810-460136148512813</v>
          </cell>
          <cell r="O44" t="str">
            <v>返还</v>
          </cell>
          <cell r="P44" t="str">
            <v>没有</v>
          </cell>
          <cell r="R44">
            <v>1</v>
          </cell>
          <cell r="S44">
            <v>1</v>
          </cell>
        </row>
        <row r="45">
          <cell r="A45" t="str">
            <v>260819-347561008734040</v>
          </cell>
          <cell r="I45" t="str">
            <v>BO260915078057502</v>
          </cell>
          <cell r="K45" t="str">
            <v>2026-09-24 08:59:43</v>
          </cell>
          <cell r="M45">
            <v>41.99</v>
          </cell>
          <cell r="N45" t="str">
            <v>260819-347561008734040</v>
          </cell>
          <cell r="O45" t="str">
            <v>返还</v>
          </cell>
          <cell r="P45" t="str">
            <v>没有</v>
          </cell>
          <cell r="R45">
            <v>1</v>
          </cell>
          <cell r="S45">
            <v>1</v>
          </cell>
        </row>
        <row r="46">
          <cell r="A46" t="str">
            <v>260817-339717680672694</v>
          </cell>
          <cell r="I46" t="str">
            <v>BO260915078057502</v>
          </cell>
          <cell r="K46" t="str">
            <v>2026-09-24 08:59:43</v>
          </cell>
          <cell r="M46">
            <v>41.99</v>
          </cell>
          <cell r="N46" t="str">
            <v>260817-339717680672694</v>
          </cell>
          <cell r="O46" t="str">
            <v>返还</v>
          </cell>
          <cell r="P46" t="str">
            <v>没有</v>
          </cell>
          <cell r="R46">
            <v>1</v>
          </cell>
          <cell r="S46">
            <v>1</v>
          </cell>
        </row>
        <row r="47">
          <cell r="A47" t="str">
            <v>260819-462799552951687</v>
          </cell>
          <cell r="I47" t="str">
            <v>BO260915078057502</v>
          </cell>
          <cell r="K47" t="str">
            <v>2026-09-24 08:59:43</v>
          </cell>
          <cell r="M47">
            <v>114.79</v>
          </cell>
          <cell r="N47" t="str">
            <v>260819-462799552951687</v>
          </cell>
          <cell r="O47" t="str">
            <v>返还</v>
          </cell>
          <cell r="P47" t="str">
            <v>没有</v>
          </cell>
          <cell r="R47">
            <v>1</v>
          </cell>
          <cell r="S47">
            <v>1</v>
          </cell>
        </row>
        <row r="48">
          <cell r="A48" t="str">
            <v>260819-156929922593052</v>
          </cell>
          <cell r="I48" t="str">
            <v>BO260915078057502</v>
          </cell>
          <cell r="K48" t="str">
            <v>2026-09-24 08:59:43</v>
          </cell>
          <cell r="M48">
            <v>41.99</v>
          </cell>
          <cell r="N48" t="str">
            <v>260819-156929922593052</v>
          </cell>
          <cell r="O48" t="str">
            <v>返还</v>
          </cell>
          <cell r="P48" t="str">
            <v>没有</v>
          </cell>
          <cell r="R48">
            <v>1</v>
          </cell>
          <cell r="S48">
            <v>1</v>
          </cell>
        </row>
        <row r="49">
          <cell r="A49" t="str">
            <v>260818-107017736603756</v>
          </cell>
          <cell r="I49" t="str">
            <v>BO260915078057502</v>
          </cell>
          <cell r="K49" t="str">
            <v>2026-09-24 08:59:43</v>
          </cell>
          <cell r="M49">
            <v>41.99</v>
          </cell>
          <cell r="N49" t="str">
            <v>260818-107017736603756</v>
          </cell>
          <cell r="O49" t="str">
            <v>返还</v>
          </cell>
          <cell r="P49" t="str">
            <v>没有</v>
          </cell>
          <cell r="R49">
            <v>1</v>
          </cell>
          <cell r="S49">
            <v>1</v>
          </cell>
        </row>
        <row r="50">
          <cell r="A50" t="str">
            <v>260819-480751162991254</v>
          </cell>
          <cell r="I50" t="str">
            <v>BO260915078057502</v>
          </cell>
          <cell r="K50" t="str">
            <v>2026-09-24 08:59:43</v>
          </cell>
          <cell r="M50">
            <v>41.99</v>
          </cell>
          <cell r="N50" t="str">
            <v>260819-480751162991254</v>
          </cell>
          <cell r="O50" t="str">
            <v>返还</v>
          </cell>
          <cell r="P50" t="str">
            <v>没有</v>
          </cell>
          <cell r="R50">
            <v>1</v>
          </cell>
          <cell r="S50">
            <v>1</v>
          </cell>
        </row>
        <row r="51">
          <cell r="A51" t="str">
            <v>260808-124424035851574</v>
          </cell>
          <cell r="I51" t="str">
            <v>BO260915078057502</v>
          </cell>
          <cell r="K51" t="str">
            <v>2026-09-24 08:59:43</v>
          </cell>
          <cell r="M51">
            <v>113.39</v>
          </cell>
          <cell r="N51" t="str">
            <v>260808-124424035851574</v>
          </cell>
          <cell r="O51" t="str">
            <v>返还</v>
          </cell>
          <cell r="P51" t="str">
            <v>没有</v>
          </cell>
          <cell r="R51">
            <v>1</v>
          </cell>
          <cell r="S51">
            <v>1</v>
          </cell>
        </row>
        <row r="52">
          <cell r="A52" t="str">
            <v>260818-469657250160442</v>
          </cell>
          <cell r="I52" t="str">
            <v>BO260915078057502</v>
          </cell>
          <cell r="K52" t="str">
            <v>2026-09-24 08:59:43</v>
          </cell>
          <cell r="M52">
            <v>114.79</v>
          </cell>
          <cell r="N52" t="str">
            <v>260818-469657250160442</v>
          </cell>
          <cell r="O52" t="str">
            <v>返还</v>
          </cell>
          <cell r="P52" t="str">
            <v>没有</v>
          </cell>
          <cell r="R52">
            <v>1</v>
          </cell>
          <cell r="S52">
            <v>1</v>
          </cell>
        </row>
        <row r="53">
          <cell r="A53" t="str">
            <v>260818-610072072532120</v>
          </cell>
          <cell r="I53" t="str">
            <v>BO260915078057502</v>
          </cell>
          <cell r="K53" t="str">
            <v>2026-09-24 08:59:43</v>
          </cell>
          <cell r="M53">
            <v>44.79</v>
          </cell>
          <cell r="N53" t="str">
            <v>260818-610072072532120</v>
          </cell>
          <cell r="O53" t="str">
            <v>返还</v>
          </cell>
          <cell r="P53" t="str">
            <v>没有</v>
          </cell>
          <cell r="R53">
            <v>1</v>
          </cell>
          <cell r="S53">
            <v>1</v>
          </cell>
        </row>
        <row r="54">
          <cell r="A54" t="str">
            <v>260810-392849078660786</v>
          </cell>
          <cell r="I54" t="str">
            <v>BO260915078057502</v>
          </cell>
          <cell r="K54" t="str">
            <v>2026-09-24 08:59:43</v>
          </cell>
          <cell r="M54">
            <v>113.39</v>
          </cell>
          <cell r="N54" t="str">
            <v>260810-392849078660786</v>
          </cell>
          <cell r="O54" t="str">
            <v>返还</v>
          </cell>
          <cell r="P54" t="str">
            <v>没有</v>
          </cell>
          <cell r="R54">
            <v>1</v>
          </cell>
          <cell r="S54">
            <v>1</v>
          </cell>
        </row>
        <row r="55">
          <cell r="A55" t="str">
            <v>260809-083990987183076</v>
          </cell>
          <cell r="I55" t="str">
            <v>BO260915078057502</v>
          </cell>
          <cell r="K55" t="str">
            <v>2026-09-24 08:59:43</v>
          </cell>
          <cell r="M55">
            <v>121.79</v>
          </cell>
          <cell r="N55" t="str">
            <v>260809-083990987183076</v>
          </cell>
          <cell r="O55" t="str">
            <v>返还</v>
          </cell>
          <cell r="P55" t="str">
            <v>没有</v>
          </cell>
          <cell r="R55">
            <v>1</v>
          </cell>
          <cell r="S55">
            <v>1</v>
          </cell>
        </row>
        <row r="56">
          <cell r="A56" t="str">
            <v>260818-486969187903664</v>
          </cell>
          <cell r="I56" t="str">
            <v>BO260915078057502</v>
          </cell>
          <cell r="K56" t="str">
            <v>2026-09-24 08:59:43</v>
          </cell>
          <cell r="M56">
            <v>41.99</v>
          </cell>
          <cell r="N56" t="str">
            <v>260818-486969187903664</v>
          </cell>
          <cell r="O56" t="str">
            <v>返还</v>
          </cell>
          <cell r="P56" t="str">
            <v>没有</v>
          </cell>
          <cell r="R56">
            <v>1</v>
          </cell>
          <cell r="S56">
            <v>1</v>
          </cell>
        </row>
        <row r="57">
          <cell r="A57" t="str">
            <v>260805-109314066000069</v>
          </cell>
          <cell r="I57" t="str">
            <v>BO260915078057502</v>
          </cell>
          <cell r="K57" t="str">
            <v>2026-09-24 08:59:43</v>
          </cell>
          <cell r="M57">
            <v>50.37</v>
          </cell>
          <cell r="N57" t="str">
            <v>260805-109314066000069</v>
          </cell>
          <cell r="O57" t="str">
            <v>返还</v>
          </cell>
          <cell r="P57" t="str">
            <v>没有</v>
          </cell>
          <cell r="R57">
            <v>1</v>
          </cell>
          <cell r="S57">
            <v>1</v>
          </cell>
        </row>
        <row r="58">
          <cell r="A58" t="str">
            <v>260808-352279662941311</v>
          </cell>
          <cell r="I58" t="str">
            <v>BO260915078057502</v>
          </cell>
          <cell r="K58" t="str">
            <v>2026-09-24 08:59:43</v>
          </cell>
          <cell r="M58">
            <v>113.39</v>
          </cell>
          <cell r="N58" t="str">
            <v>260808-352279662941311</v>
          </cell>
          <cell r="O58" t="str">
            <v>返还</v>
          </cell>
          <cell r="P58" t="str">
            <v>没有</v>
          </cell>
          <cell r="R58">
            <v>1</v>
          </cell>
          <cell r="S58">
            <v>1</v>
          </cell>
        </row>
        <row r="59">
          <cell r="A59" t="str">
            <v>260815-290675812771720</v>
          </cell>
          <cell r="I59" t="str">
            <v>BO260915078057502</v>
          </cell>
          <cell r="K59" t="str">
            <v>2026-09-24 08:59:43</v>
          </cell>
          <cell r="M59">
            <v>51.77</v>
          </cell>
          <cell r="N59" t="str">
            <v>260815-290675812771720</v>
          </cell>
          <cell r="O59" t="str">
            <v>返还</v>
          </cell>
          <cell r="P59" t="str">
            <v>没有</v>
          </cell>
          <cell r="R59">
            <v>1</v>
          </cell>
          <cell r="S59">
            <v>1</v>
          </cell>
        </row>
        <row r="60">
          <cell r="A60" t="str">
            <v>260812-471324444290432</v>
          </cell>
          <cell r="I60" t="str">
            <v>BO260915078057502</v>
          </cell>
          <cell r="K60" t="str">
            <v>2026-09-24 08:59:43</v>
          </cell>
          <cell r="M60">
            <v>114.79</v>
          </cell>
          <cell r="N60" t="str">
            <v>260812-471324444290432</v>
          </cell>
          <cell r="O60" t="str">
            <v>返还</v>
          </cell>
          <cell r="P60" t="str">
            <v>没有</v>
          </cell>
          <cell r="R60">
            <v>1</v>
          </cell>
          <cell r="S60">
            <v>1</v>
          </cell>
        </row>
        <row r="61">
          <cell r="A61" t="str">
            <v>260821-487965335162374</v>
          </cell>
          <cell r="I61" t="str">
            <v>BO260915078057502</v>
          </cell>
          <cell r="K61" t="str">
            <v>2026-09-24 08:59:43</v>
          </cell>
          <cell r="M61">
            <v>41.99</v>
          </cell>
          <cell r="N61" t="str">
            <v>260821-487965335162374</v>
          </cell>
          <cell r="O61" t="str">
            <v>返还</v>
          </cell>
          <cell r="P61" t="str">
            <v>没有</v>
          </cell>
          <cell r="R61">
            <v>1</v>
          </cell>
          <cell r="S61">
            <v>1</v>
          </cell>
        </row>
        <row r="62">
          <cell r="A62" t="str">
            <v>260821-140656064930573</v>
          </cell>
          <cell r="I62" t="str">
            <v>BO260915078057502</v>
          </cell>
          <cell r="K62" t="str">
            <v>2026-09-24 08:59:43</v>
          </cell>
          <cell r="M62">
            <v>41.99</v>
          </cell>
          <cell r="N62" t="str">
            <v>260821-140656064930573</v>
          </cell>
          <cell r="O62" t="str">
            <v>返还</v>
          </cell>
          <cell r="P62" t="str">
            <v>没有</v>
          </cell>
          <cell r="R62">
            <v>1</v>
          </cell>
          <cell r="S62">
            <v>1</v>
          </cell>
        </row>
        <row r="63">
          <cell r="A63" t="str">
            <v>260816-176412496162349</v>
          </cell>
          <cell r="I63" t="str">
            <v>BO260915078057502</v>
          </cell>
          <cell r="K63" t="str">
            <v>2026-09-24 08:59:43</v>
          </cell>
          <cell r="M63">
            <v>48.29</v>
          </cell>
          <cell r="N63" t="str">
            <v>260816-176412496162349</v>
          </cell>
          <cell r="O63" t="str">
            <v>返还</v>
          </cell>
          <cell r="P63" t="str">
            <v>没有</v>
          </cell>
          <cell r="R63">
            <v>1</v>
          </cell>
          <cell r="S63">
            <v>1</v>
          </cell>
        </row>
        <row r="64">
          <cell r="A64" t="str">
            <v>260819-157810747680330</v>
          </cell>
          <cell r="I64" t="str">
            <v>BO260915078057502</v>
          </cell>
          <cell r="K64" t="str">
            <v>2026-09-24 08:59:43</v>
          </cell>
          <cell r="M64">
            <v>48.99</v>
          </cell>
          <cell r="N64" t="str">
            <v>260819-157810747680330</v>
          </cell>
          <cell r="O64" t="str">
            <v>返还</v>
          </cell>
          <cell r="P64" t="str">
            <v>没有</v>
          </cell>
          <cell r="R64">
            <v>1</v>
          </cell>
          <cell r="S64">
            <v>1</v>
          </cell>
        </row>
        <row r="65">
          <cell r="A65" t="str">
            <v>260814-481275451012208</v>
          </cell>
          <cell r="I65" t="str">
            <v>BO260915078057502</v>
          </cell>
          <cell r="K65" t="str">
            <v>2026-09-24 08:59:43</v>
          </cell>
          <cell r="M65">
            <v>114.79</v>
          </cell>
          <cell r="N65" t="str">
            <v>260814-481275451012208</v>
          </cell>
          <cell r="O65" t="str">
            <v>返还</v>
          </cell>
          <cell r="P65" t="str">
            <v>没有</v>
          </cell>
          <cell r="R65">
            <v>1</v>
          </cell>
          <cell r="S65">
            <v>1</v>
          </cell>
        </row>
        <row r="66">
          <cell r="A66" t="str">
            <v>260818-189928620442993</v>
          </cell>
          <cell r="I66" t="str">
            <v>BO260915078057502</v>
          </cell>
          <cell r="K66" t="str">
            <v>2026-09-24 08:59:43</v>
          </cell>
          <cell r="M66">
            <v>41.99</v>
          </cell>
          <cell r="N66" t="str">
            <v>260818-189928620442993</v>
          </cell>
          <cell r="O66" t="str">
            <v>返还</v>
          </cell>
          <cell r="P66" t="str">
            <v>没有</v>
          </cell>
          <cell r="R66">
            <v>1</v>
          </cell>
          <cell r="S66">
            <v>1</v>
          </cell>
        </row>
        <row r="67">
          <cell r="A67" t="str">
            <v>260810-462317207870500</v>
          </cell>
          <cell r="I67" t="str">
            <v>BO260915078057502</v>
          </cell>
          <cell r="K67" t="str">
            <v>2026-09-24 08:59:43</v>
          </cell>
          <cell r="M67">
            <v>113.39</v>
          </cell>
          <cell r="N67" t="str">
            <v>260810-462317207870500</v>
          </cell>
          <cell r="O67" t="str">
            <v>返还</v>
          </cell>
          <cell r="P67" t="str">
            <v>没有</v>
          </cell>
          <cell r="R67">
            <v>1</v>
          </cell>
          <cell r="S67">
            <v>1</v>
          </cell>
        </row>
        <row r="68">
          <cell r="A68" t="str">
            <v>260821-235719923213311</v>
          </cell>
          <cell r="I68" t="str">
            <v>BO260915078057502</v>
          </cell>
          <cell r="K68" t="str">
            <v>2026-09-24 08:59:43</v>
          </cell>
          <cell r="M68">
            <v>41.99</v>
          </cell>
          <cell r="N68" t="str">
            <v>260821-235719923213311</v>
          </cell>
          <cell r="O68" t="str">
            <v>返还</v>
          </cell>
          <cell r="P68" t="str">
            <v>没有</v>
          </cell>
          <cell r="R68">
            <v>1</v>
          </cell>
          <cell r="S68">
            <v>1</v>
          </cell>
        </row>
        <row r="69">
          <cell r="R69">
            <v>1</v>
          </cell>
          <cell r="S69">
            <v>1</v>
          </cell>
        </row>
        <row r="70">
          <cell r="R70">
            <v>1</v>
          </cell>
          <cell r="S70">
            <v>1</v>
          </cell>
        </row>
        <row r="71">
          <cell r="R71">
            <v>1</v>
          </cell>
          <cell r="S71">
            <v>1</v>
          </cell>
        </row>
        <row r="72">
          <cell r="R72">
            <v>1</v>
          </cell>
          <cell r="S72">
            <v>1</v>
          </cell>
        </row>
        <row r="73">
          <cell r="R73">
            <v>1</v>
          </cell>
          <cell r="S73">
            <v>1</v>
          </cell>
        </row>
        <row r="74">
          <cell r="R74">
            <v>1</v>
          </cell>
          <cell r="S74">
            <v>1</v>
          </cell>
        </row>
        <row r="75">
          <cell r="R75">
            <v>1</v>
          </cell>
          <cell r="S75">
            <v>1</v>
          </cell>
        </row>
        <row r="76">
          <cell r="R76">
            <v>1</v>
          </cell>
          <cell r="S76">
            <v>1</v>
          </cell>
        </row>
        <row r="77">
          <cell r="R77">
            <v>1</v>
          </cell>
          <cell r="S77">
            <v>1</v>
          </cell>
        </row>
        <row r="78">
          <cell r="R78">
            <v>1</v>
          </cell>
          <cell r="S78">
            <v>1</v>
          </cell>
        </row>
        <row r="79">
          <cell r="R79">
            <v>1</v>
          </cell>
          <cell r="S79">
            <v>1</v>
          </cell>
        </row>
        <row r="80">
          <cell r="R80">
            <v>1</v>
          </cell>
          <cell r="S80">
            <v>1</v>
          </cell>
        </row>
        <row r="81">
          <cell r="R81">
            <v>1</v>
          </cell>
          <cell r="S81">
            <v>1</v>
          </cell>
        </row>
        <row r="82">
          <cell r="R82">
            <v>1</v>
          </cell>
          <cell r="S82">
            <v>1</v>
          </cell>
        </row>
        <row r="83">
          <cell r="R83">
            <v>1</v>
          </cell>
          <cell r="S83">
            <v>1</v>
          </cell>
        </row>
        <row r="84">
          <cell r="R84">
            <v>1</v>
          </cell>
          <cell r="S84">
            <v>1</v>
          </cell>
        </row>
        <row r="85">
          <cell r="R85">
            <v>1</v>
          </cell>
          <cell r="S85">
            <v>1</v>
          </cell>
        </row>
        <row r="86">
          <cell r="R86">
            <v>1</v>
          </cell>
          <cell r="S86">
            <v>1</v>
          </cell>
        </row>
        <row r="87">
          <cell r="R87">
            <v>1</v>
          </cell>
          <cell r="S87">
            <v>1</v>
          </cell>
        </row>
        <row r="88">
          <cell r="R88">
            <v>1</v>
          </cell>
          <cell r="S88">
            <v>1</v>
          </cell>
        </row>
        <row r="89">
          <cell r="R89">
            <v>1</v>
          </cell>
          <cell r="S89">
            <v>1</v>
          </cell>
        </row>
        <row r="90">
          <cell r="R90">
            <v>1</v>
          </cell>
          <cell r="S90">
            <v>1</v>
          </cell>
        </row>
        <row r="91">
          <cell r="R91">
            <v>1</v>
          </cell>
          <cell r="S91">
            <v>1</v>
          </cell>
        </row>
        <row r="92">
          <cell r="R92">
            <v>1</v>
          </cell>
          <cell r="S92">
            <v>1</v>
          </cell>
        </row>
        <row r="93">
          <cell r="R93">
            <v>1</v>
          </cell>
          <cell r="S93">
            <v>1</v>
          </cell>
        </row>
        <row r="94">
          <cell r="R94">
            <v>1</v>
          </cell>
          <cell r="S94">
            <v>1</v>
          </cell>
        </row>
        <row r="95">
          <cell r="R95">
            <v>1</v>
          </cell>
          <cell r="S95">
            <v>1</v>
          </cell>
        </row>
        <row r="96">
          <cell r="R96">
            <v>1</v>
          </cell>
          <cell r="S96">
            <v>1</v>
          </cell>
        </row>
        <row r="97">
          <cell r="R97">
            <v>1</v>
          </cell>
          <cell r="S97">
            <v>1</v>
          </cell>
        </row>
        <row r="98">
          <cell r="R98">
            <v>1</v>
          </cell>
          <cell r="S98">
            <v>1</v>
          </cell>
        </row>
        <row r="99">
          <cell r="R99">
            <v>1</v>
          </cell>
          <cell r="S99">
            <v>1</v>
          </cell>
        </row>
        <row r="100">
          <cell r="R100">
            <v>1</v>
          </cell>
          <cell r="S100">
            <v>1</v>
          </cell>
        </row>
        <row r="101">
          <cell r="R101">
            <v>1</v>
          </cell>
          <cell r="S101">
            <v>1</v>
          </cell>
        </row>
        <row r="102">
          <cell r="R102">
            <v>1</v>
          </cell>
          <cell r="S102">
            <v>1</v>
          </cell>
        </row>
        <row r="103">
          <cell r="R103">
            <v>1</v>
          </cell>
          <cell r="S103">
            <v>1</v>
          </cell>
        </row>
        <row r="104">
          <cell r="R104">
            <v>1</v>
          </cell>
          <cell r="S104">
            <v>1</v>
          </cell>
        </row>
        <row r="105">
          <cell r="R105">
            <v>1</v>
          </cell>
          <cell r="S105">
            <v>1</v>
          </cell>
        </row>
        <row r="106">
          <cell r="R106">
            <v>1</v>
          </cell>
          <cell r="S106">
            <v>1</v>
          </cell>
        </row>
        <row r="107">
          <cell r="R107">
            <v>1</v>
          </cell>
          <cell r="S107">
            <v>1</v>
          </cell>
        </row>
        <row r="108">
          <cell r="R108">
            <v>1</v>
          </cell>
          <cell r="S108">
            <v>1</v>
          </cell>
        </row>
        <row r="109">
          <cell r="R109">
            <v>1</v>
          </cell>
          <cell r="S109">
            <v>1</v>
          </cell>
        </row>
        <row r="110">
          <cell r="R110">
            <v>1</v>
          </cell>
          <cell r="S110">
            <v>1</v>
          </cell>
        </row>
        <row r="111">
          <cell r="R111">
            <v>1</v>
          </cell>
          <cell r="S111">
            <v>1</v>
          </cell>
        </row>
        <row r="112">
          <cell r="R112">
            <v>1</v>
          </cell>
          <cell r="S112">
            <v>1</v>
          </cell>
        </row>
        <row r="113">
          <cell r="R113">
            <v>1</v>
          </cell>
          <cell r="S113">
            <v>1</v>
          </cell>
        </row>
        <row r="114">
          <cell r="R114">
            <v>1</v>
          </cell>
          <cell r="S114">
            <v>1</v>
          </cell>
        </row>
        <row r="115">
          <cell r="R115">
            <v>1</v>
          </cell>
          <cell r="S115">
            <v>1</v>
          </cell>
        </row>
        <row r="116">
          <cell r="R116">
            <v>1</v>
          </cell>
          <cell r="S116">
            <v>1</v>
          </cell>
        </row>
        <row r="117">
          <cell r="R117">
            <v>1</v>
          </cell>
          <cell r="S117">
            <v>1</v>
          </cell>
        </row>
        <row r="118">
          <cell r="R118">
            <v>1</v>
          </cell>
          <cell r="S118">
            <v>1</v>
          </cell>
        </row>
        <row r="119">
          <cell r="R119">
            <v>1</v>
          </cell>
          <cell r="S119">
            <v>1</v>
          </cell>
        </row>
        <row r="120">
          <cell r="R120">
            <v>1</v>
          </cell>
          <cell r="S120">
            <v>1</v>
          </cell>
        </row>
        <row r="121">
          <cell r="R121">
            <v>1</v>
          </cell>
          <cell r="S121">
            <v>1</v>
          </cell>
        </row>
        <row r="122">
          <cell r="R122">
            <v>1</v>
          </cell>
          <cell r="S122">
            <v>1</v>
          </cell>
        </row>
        <row r="123">
          <cell r="R123">
            <v>1</v>
          </cell>
          <cell r="S123">
            <v>1</v>
          </cell>
        </row>
        <row r="124">
          <cell r="R124">
            <v>1</v>
          </cell>
          <cell r="S124">
            <v>1</v>
          </cell>
        </row>
        <row r="125">
          <cell r="R125">
            <v>1</v>
          </cell>
          <cell r="S125">
            <v>1</v>
          </cell>
        </row>
        <row r="126">
          <cell r="R126">
            <v>1</v>
          </cell>
          <cell r="S126">
            <v>1</v>
          </cell>
        </row>
        <row r="127">
          <cell r="R127">
            <v>1</v>
          </cell>
          <cell r="S127">
            <v>1</v>
          </cell>
        </row>
        <row r="128">
          <cell r="R128">
            <v>1</v>
          </cell>
          <cell r="S128">
            <v>1</v>
          </cell>
        </row>
        <row r="129">
          <cell r="R129">
            <v>1</v>
          </cell>
          <cell r="S129">
            <v>1</v>
          </cell>
        </row>
        <row r="130">
          <cell r="R130">
            <v>1</v>
          </cell>
          <cell r="S130">
            <v>1</v>
          </cell>
        </row>
        <row r="131">
          <cell r="R131">
            <v>1</v>
          </cell>
          <cell r="S131">
            <v>1</v>
          </cell>
        </row>
        <row r="132">
          <cell r="R132">
            <v>1</v>
          </cell>
          <cell r="S132">
            <v>1</v>
          </cell>
        </row>
        <row r="133">
          <cell r="R133">
            <v>1</v>
          </cell>
          <cell r="S133">
            <v>1</v>
          </cell>
        </row>
        <row r="134">
          <cell r="R134">
            <v>1</v>
          </cell>
          <cell r="S134">
            <v>1</v>
          </cell>
        </row>
        <row r="135">
          <cell r="R135">
            <v>1</v>
          </cell>
          <cell r="S135">
            <v>1</v>
          </cell>
        </row>
        <row r="136">
          <cell r="R136">
            <v>1</v>
          </cell>
          <cell r="S136">
            <v>1</v>
          </cell>
        </row>
        <row r="137">
          <cell r="R137">
            <v>1</v>
          </cell>
          <cell r="S137">
            <v>1</v>
          </cell>
        </row>
        <row r="138">
          <cell r="R138">
            <v>1</v>
          </cell>
          <cell r="S138">
            <v>1</v>
          </cell>
        </row>
        <row r="139">
          <cell r="R139">
            <v>1</v>
          </cell>
          <cell r="S139">
            <v>1</v>
          </cell>
        </row>
        <row r="140">
          <cell r="R140">
            <v>1</v>
          </cell>
          <cell r="S140">
            <v>1</v>
          </cell>
        </row>
        <row r="141">
          <cell r="R141">
            <v>1</v>
          </cell>
          <cell r="S141">
            <v>1</v>
          </cell>
        </row>
        <row r="142">
          <cell r="R142">
            <v>1</v>
          </cell>
          <cell r="S142">
            <v>1</v>
          </cell>
        </row>
        <row r="143">
          <cell r="R143">
            <v>1</v>
          </cell>
          <cell r="S143">
            <v>1</v>
          </cell>
        </row>
        <row r="144">
          <cell r="R144">
            <v>1</v>
          </cell>
          <cell r="S144">
            <v>1</v>
          </cell>
        </row>
        <row r="145">
          <cell r="R145">
            <v>1</v>
          </cell>
          <cell r="S145">
            <v>1</v>
          </cell>
        </row>
        <row r="146">
          <cell r="R146">
            <v>1</v>
          </cell>
          <cell r="S146">
            <v>1</v>
          </cell>
        </row>
        <row r="147">
          <cell r="R147">
            <v>1</v>
          </cell>
          <cell r="S147">
            <v>1</v>
          </cell>
        </row>
        <row r="148">
          <cell r="R148">
            <v>1</v>
          </cell>
          <cell r="S148">
            <v>1</v>
          </cell>
        </row>
        <row r="149">
          <cell r="R149">
            <v>1</v>
          </cell>
          <cell r="S149">
            <v>1</v>
          </cell>
        </row>
        <row r="150">
          <cell r="R150">
            <v>1</v>
          </cell>
          <cell r="S150">
            <v>1</v>
          </cell>
        </row>
        <row r="151">
          <cell r="R151">
            <v>1</v>
          </cell>
          <cell r="S151">
            <v>1</v>
          </cell>
        </row>
        <row r="152">
          <cell r="R152">
            <v>1</v>
          </cell>
          <cell r="S152">
            <v>1</v>
          </cell>
        </row>
        <row r="153">
          <cell r="R153">
            <v>1</v>
          </cell>
          <cell r="S153">
            <v>1</v>
          </cell>
        </row>
        <row r="154">
          <cell r="R154">
            <v>1</v>
          </cell>
          <cell r="S154">
            <v>1</v>
          </cell>
        </row>
        <row r="155">
          <cell r="R155">
            <v>1</v>
          </cell>
          <cell r="S155">
            <v>1</v>
          </cell>
        </row>
        <row r="156">
          <cell r="R156">
            <v>1</v>
          </cell>
          <cell r="S156">
            <v>1</v>
          </cell>
        </row>
        <row r="157">
          <cell r="R157">
            <v>1</v>
          </cell>
          <cell r="S157">
            <v>1</v>
          </cell>
        </row>
        <row r="158">
          <cell r="R158">
            <v>1</v>
          </cell>
          <cell r="S158">
            <v>1</v>
          </cell>
        </row>
        <row r="159">
          <cell r="R159">
            <v>1</v>
          </cell>
          <cell r="S159">
            <v>1</v>
          </cell>
        </row>
        <row r="160">
          <cell r="R160">
            <v>1</v>
          </cell>
          <cell r="S160">
            <v>1</v>
          </cell>
        </row>
        <row r="161">
          <cell r="R161">
            <v>1</v>
          </cell>
          <cell r="S161">
            <v>1</v>
          </cell>
        </row>
        <row r="162">
          <cell r="R162">
            <v>1</v>
          </cell>
          <cell r="S162">
            <v>1</v>
          </cell>
        </row>
        <row r="163">
          <cell r="R163">
            <v>1</v>
          </cell>
          <cell r="S163">
            <v>1</v>
          </cell>
        </row>
        <row r="164">
          <cell r="R164">
            <v>1</v>
          </cell>
          <cell r="S164">
            <v>1</v>
          </cell>
        </row>
        <row r="165">
          <cell r="R165">
            <v>1</v>
          </cell>
          <cell r="S165">
            <v>1</v>
          </cell>
        </row>
        <row r="166">
          <cell r="R166">
            <v>1</v>
          </cell>
          <cell r="S166">
            <v>1</v>
          </cell>
        </row>
        <row r="167">
          <cell r="R167">
            <v>1</v>
          </cell>
          <cell r="S167">
            <v>1</v>
          </cell>
        </row>
        <row r="168">
          <cell r="R168">
            <v>1</v>
          </cell>
          <cell r="S168">
            <v>1</v>
          </cell>
        </row>
        <row r="169">
          <cell r="R169">
            <v>1</v>
          </cell>
          <cell r="S169">
            <v>1</v>
          </cell>
        </row>
        <row r="170">
          <cell r="R170">
            <v>1</v>
          </cell>
          <cell r="S170">
            <v>1</v>
          </cell>
        </row>
        <row r="171">
          <cell r="R171">
            <v>1</v>
          </cell>
          <cell r="S171">
            <v>1</v>
          </cell>
        </row>
        <row r="172">
          <cell r="R172">
            <v>1</v>
          </cell>
          <cell r="S172">
            <v>1</v>
          </cell>
        </row>
        <row r="173">
          <cell r="R173">
            <v>1</v>
          </cell>
          <cell r="S173">
            <v>1</v>
          </cell>
        </row>
        <row r="174">
          <cell r="R174">
            <v>1</v>
          </cell>
          <cell r="S174">
            <v>1</v>
          </cell>
        </row>
        <row r="175">
          <cell r="R175">
            <v>1</v>
          </cell>
          <cell r="S175">
            <v>1</v>
          </cell>
        </row>
        <row r="176">
          <cell r="R176">
            <v>1</v>
          </cell>
          <cell r="S176">
            <v>1</v>
          </cell>
        </row>
        <row r="177">
          <cell r="R177">
            <v>1</v>
          </cell>
          <cell r="S177">
            <v>1</v>
          </cell>
        </row>
        <row r="178">
          <cell r="R178">
            <v>1</v>
          </cell>
          <cell r="S178">
            <v>1</v>
          </cell>
        </row>
        <row r="179">
          <cell r="R179">
            <v>1</v>
          </cell>
          <cell r="S179">
            <v>1</v>
          </cell>
        </row>
        <row r="180">
          <cell r="R180">
            <v>1</v>
          </cell>
          <cell r="S180">
            <v>1</v>
          </cell>
        </row>
        <row r="181">
          <cell r="R181">
            <v>1</v>
          </cell>
          <cell r="S181">
            <v>1</v>
          </cell>
        </row>
        <row r="182">
          <cell r="R182">
            <v>1</v>
          </cell>
          <cell r="S182">
            <v>1</v>
          </cell>
        </row>
        <row r="183">
          <cell r="R183">
            <v>1</v>
          </cell>
          <cell r="S183">
            <v>1</v>
          </cell>
        </row>
        <row r="184">
          <cell r="R184">
            <v>1</v>
          </cell>
          <cell r="S184">
            <v>1</v>
          </cell>
        </row>
        <row r="185">
          <cell r="R185">
            <v>1</v>
          </cell>
          <cell r="S185">
            <v>1</v>
          </cell>
        </row>
        <row r="186">
          <cell r="R186">
            <v>1</v>
          </cell>
          <cell r="S186">
            <v>1</v>
          </cell>
        </row>
        <row r="187">
          <cell r="R187">
            <v>1</v>
          </cell>
          <cell r="S187">
            <v>1</v>
          </cell>
        </row>
        <row r="188">
          <cell r="R188">
            <v>1</v>
          </cell>
          <cell r="S188">
            <v>1</v>
          </cell>
        </row>
        <row r="189">
          <cell r="R189">
            <v>1</v>
          </cell>
          <cell r="S189">
            <v>1</v>
          </cell>
        </row>
        <row r="190">
          <cell r="R190">
            <v>1</v>
          </cell>
          <cell r="S190">
            <v>1</v>
          </cell>
        </row>
        <row r="191">
          <cell r="R191">
            <v>1</v>
          </cell>
          <cell r="S191">
            <v>1</v>
          </cell>
        </row>
        <row r="192">
          <cell r="R192">
            <v>1</v>
          </cell>
          <cell r="S192">
            <v>1</v>
          </cell>
        </row>
        <row r="193">
          <cell r="R193">
            <v>1</v>
          </cell>
          <cell r="S193">
            <v>1</v>
          </cell>
        </row>
        <row r="194">
          <cell r="R194">
            <v>1</v>
          </cell>
          <cell r="S194">
            <v>1</v>
          </cell>
        </row>
        <row r="195">
          <cell r="R195">
            <v>1</v>
          </cell>
          <cell r="S195">
            <v>1</v>
          </cell>
        </row>
        <row r="196">
          <cell r="R196">
            <v>1</v>
          </cell>
          <cell r="S196">
            <v>1</v>
          </cell>
        </row>
        <row r="197">
          <cell r="R197">
            <v>1</v>
          </cell>
          <cell r="S197">
            <v>1</v>
          </cell>
        </row>
        <row r="198">
          <cell r="R198">
            <v>1</v>
          </cell>
          <cell r="S198">
            <v>1</v>
          </cell>
        </row>
        <row r="199">
          <cell r="R199">
            <v>1</v>
          </cell>
          <cell r="S199">
            <v>1</v>
          </cell>
        </row>
        <row r="200">
          <cell r="R200">
            <v>1</v>
          </cell>
          <cell r="S200">
            <v>1</v>
          </cell>
        </row>
        <row r="201">
          <cell r="R201">
            <v>1</v>
          </cell>
          <cell r="S201">
            <v>1</v>
          </cell>
        </row>
        <row r="202">
          <cell r="R202">
            <v>1</v>
          </cell>
          <cell r="S202">
            <v>1</v>
          </cell>
        </row>
        <row r="203">
          <cell r="R203">
            <v>1</v>
          </cell>
          <cell r="S203">
            <v>1</v>
          </cell>
        </row>
        <row r="204">
          <cell r="R204">
            <v>1</v>
          </cell>
          <cell r="S204">
            <v>1</v>
          </cell>
        </row>
        <row r="205">
          <cell r="R205">
            <v>1</v>
          </cell>
          <cell r="S205">
            <v>1</v>
          </cell>
        </row>
        <row r="206">
          <cell r="R206">
            <v>1</v>
          </cell>
          <cell r="S206">
            <v>1</v>
          </cell>
        </row>
        <row r="207">
          <cell r="R207">
            <v>1</v>
          </cell>
          <cell r="S207">
            <v>1</v>
          </cell>
        </row>
        <row r="208">
          <cell r="R208">
            <v>1</v>
          </cell>
          <cell r="S208">
            <v>1</v>
          </cell>
        </row>
        <row r="209">
          <cell r="R209">
            <v>1</v>
          </cell>
          <cell r="S209">
            <v>1</v>
          </cell>
        </row>
        <row r="210">
          <cell r="R210">
            <v>1</v>
          </cell>
          <cell r="S210">
            <v>1</v>
          </cell>
        </row>
        <row r="211">
          <cell r="R211">
            <v>1</v>
          </cell>
          <cell r="S211">
            <v>1</v>
          </cell>
        </row>
        <row r="212">
          <cell r="R212">
            <v>1</v>
          </cell>
          <cell r="S212">
            <v>1</v>
          </cell>
        </row>
        <row r="213">
          <cell r="R213">
            <v>1</v>
          </cell>
          <cell r="S213">
            <v>1</v>
          </cell>
        </row>
        <row r="214">
          <cell r="R214">
            <v>1</v>
          </cell>
          <cell r="S214">
            <v>1</v>
          </cell>
        </row>
        <row r="215">
          <cell r="R215">
            <v>1</v>
          </cell>
          <cell r="S215">
            <v>1</v>
          </cell>
        </row>
        <row r="216">
          <cell r="R216">
            <v>1</v>
          </cell>
          <cell r="S216">
            <v>1</v>
          </cell>
        </row>
        <row r="217">
          <cell r="R217">
            <v>1</v>
          </cell>
          <cell r="S217">
            <v>1</v>
          </cell>
        </row>
        <row r="218">
          <cell r="R218">
            <v>1</v>
          </cell>
          <cell r="S218">
            <v>1</v>
          </cell>
        </row>
        <row r="219">
          <cell r="R219">
            <v>1</v>
          </cell>
          <cell r="S219">
            <v>1</v>
          </cell>
        </row>
        <row r="220">
          <cell r="R220">
            <v>1</v>
          </cell>
          <cell r="S220">
            <v>1</v>
          </cell>
        </row>
        <row r="221">
          <cell r="R221">
            <v>1</v>
          </cell>
          <cell r="S221">
            <v>1</v>
          </cell>
        </row>
        <row r="222">
          <cell r="R222">
            <v>1</v>
          </cell>
          <cell r="S222">
            <v>1</v>
          </cell>
        </row>
        <row r="223">
          <cell r="R223">
            <v>1</v>
          </cell>
          <cell r="S223">
            <v>1</v>
          </cell>
        </row>
        <row r="224">
          <cell r="R224">
            <v>1</v>
          </cell>
          <cell r="S224">
            <v>1</v>
          </cell>
        </row>
        <row r="225">
          <cell r="R225">
            <v>1</v>
          </cell>
          <cell r="S225">
            <v>1</v>
          </cell>
        </row>
        <row r="226">
          <cell r="R226">
            <v>1</v>
          </cell>
          <cell r="S226">
            <v>1</v>
          </cell>
        </row>
        <row r="227">
          <cell r="R227">
            <v>1</v>
          </cell>
          <cell r="S227">
            <v>1</v>
          </cell>
        </row>
        <row r="228">
          <cell r="R228">
            <v>1</v>
          </cell>
          <cell r="S228">
            <v>1</v>
          </cell>
        </row>
        <row r="229">
          <cell r="R229">
            <v>1</v>
          </cell>
          <cell r="S229">
            <v>1</v>
          </cell>
        </row>
        <row r="230">
          <cell r="R230">
            <v>1</v>
          </cell>
          <cell r="S230">
            <v>1</v>
          </cell>
        </row>
        <row r="231">
          <cell r="R231">
            <v>1</v>
          </cell>
          <cell r="S231">
            <v>1</v>
          </cell>
        </row>
        <row r="232">
          <cell r="R232">
            <v>1</v>
          </cell>
          <cell r="S232">
            <v>1</v>
          </cell>
        </row>
        <row r="233">
          <cell r="R233">
            <v>1</v>
          </cell>
          <cell r="S233">
            <v>1</v>
          </cell>
        </row>
        <row r="234">
          <cell r="R234">
            <v>1</v>
          </cell>
          <cell r="S234">
            <v>1</v>
          </cell>
        </row>
        <row r="235">
          <cell r="R235">
            <v>1</v>
          </cell>
          <cell r="S235">
            <v>1</v>
          </cell>
        </row>
        <row r="236">
          <cell r="R236">
            <v>1</v>
          </cell>
          <cell r="S236">
            <v>1</v>
          </cell>
        </row>
        <row r="237">
          <cell r="R237">
            <v>1</v>
          </cell>
          <cell r="S237">
            <v>1</v>
          </cell>
        </row>
        <row r="238">
          <cell r="R238">
            <v>1</v>
          </cell>
          <cell r="S238">
            <v>1</v>
          </cell>
        </row>
        <row r="239">
          <cell r="R239">
            <v>1</v>
          </cell>
          <cell r="S239">
            <v>1</v>
          </cell>
        </row>
        <row r="240">
          <cell r="R240">
            <v>1</v>
          </cell>
          <cell r="S240">
            <v>1</v>
          </cell>
        </row>
        <row r="241">
          <cell r="R241">
            <v>1</v>
          </cell>
          <cell r="S241">
            <v>1</v>
          </cell>
        </row>
        <row r="242">
          <cell r="R242">
            <v>1</v>
          </cell>
          <cell r="S242">
            <v>1</v>
          </cell>
        </row>
        <row r="243">
          <cell r="R243">
            <v>1</v>
          </cell>
          <cell r="S243">
            <v>1</v>
          </cell>
        </row>
        <row r="244">
          <cell r="R244">
            <v>1</v>
          </cell>
          <cell r="S244">
            <v>1</v>
          </cell>
        </row>
        <row r="245">
          <cell r="R245">
            <v>1</v>
          </cell>
          <cell r="S245">
            <v>1</v>
          </cell>
        </row>
        <row r="246">
          <cell r="R246">
            <v>1</v>
          </cell>
          <cell r="S246">
            <v>1</v>
          </cell>
        </row>
        <row r="247">
          <cell r="R247">
            <v>1</v>
          </cell>
          <cell r="S247">
            <v>1</v>
          </cell>
        </row>
        <row r="248">
          <cell r="R248">
            <v>1</v>
          </cell>
          <cell r="S248">
            <v>1</v>
          </cell>
        </row>
        <row r="249">
          <cell r="R249">
            <v>1</v>
          </cell>
          <cell r="S249">
            <v>1</v>
          </cell>
        </row>
        <row r="250">
          <cell r="R250">
            <v>1</v>
          </cell>
          <cell r="S250">
            <v>1</v>
          </cell>
        </row>
        <row r="251">
          <cell r="R251">
            <v>1</v>
          </cell>
          <cell r="S251">
            <v>1</v>
          </cell>
        </row>
        <row r="252">
          <cell r="R252">
            <v>1</v>
          </cell>
          <cell r="S252">
            <v>1</v>
          </cell>
        </row>
        <row r="253">
          <cell r="R253">
            <v>1</v>
          </cell>
          <cell r="S253">
            <v>1</v>
          </cell>
        </row>
        <row r="254">
          <cell r="R254">
            <v>1</v>
          </cell>
          <cell r="S254">
            <v>1</v>
          </cell>
        </row>
        <row r="255">
          <cell r="R255">
            <v>1</v>
          </cell>
          <cell r="S255">
            <v>1</v>
          </cell>
        </row>
        <row r="256">
          <cell r="R256">
            <v>1</v>
          </cell>
          <cell r="S256">
            <v>1</v>
          </cell>
        </row>
        <row r="257">
          <cell r="R257">
            <v>1</v>
          </cell>
          <cell r="S257">
            <v>1</v>
          </cell>
        </row>
        <row r="258">
          <cell r="R258">
            <v>1</v>
          </cell>
          <cell r="S258">
            <v>1</v>
          </cell>
        </row>
        <row r="259">
          <cell r="R259">
            <v>1</v>
          </cell>
          <cell r="S259">
            <v>1</v>
          </cell>
        </row>
        <row r="260">
          <cell r="R260">
            <v>1</v>
          </cell>
          <cell r="S260">
            <v>1</v>
          </cell>
        </row>
        <row r="261">
          <cell r="R261">
            <v>1</v>
          </cell>
          <cell r="S261">
            <v>1</v>
          </cell>
        </row>
        <row r="262">
          <cell r="R262">
            <v>1</v>
          </cell>
          <cell r="S262">
            <v>1</v>
          </cell>
        </row>
        <row r="263">
          <cell r="R263">
            <v>1</v>
          </cell>
          <cell r="S263">
            <v>1</v>
          </cell>
        </row>
        <row r="264">
          <cell r="R264">
            <v>1</v>
          </cell>
          <cell r="S264">
            <v>1</v>
          </cell>
        </row>
        <row r="265">
          <cell r="R265">
            <v>1</v>
          </cell>
          <cell r="S265">
            <v>1</v>
          </cell>
        </row>
        <row r="266">
          <cell r="R266">
            <v>1</v>
          </cell>
          <cell r="S266">
            <v>1</v>
          </cell>
        </row>
        <row r="267">
          <cell r="R267">
            <v>1</v>
          </cell>
          <cell r="S267">
            <v>1</v>
          </cell>
        </row>
        <row r="268">
          <cell r="R268">
            <v>1</v>
          </cell>
          <cell r="S268">
            <v>1</v>
          </cell>
        </row>
        <row r="269">
          <cell r="R269">
            <v>1</v>
          </cell>
          <cell r="S269">
            <v>1</v>
          </cell>
        </row>
        <row r="270">
          <cell r="R270">
            <v>1</v>
          </cell>
          <cell r="S270">
            <v>1</v>
          </cell>
        </row>
        <row r="271">
          <cell r="R271">
            <v>1</v>
          </cell>
          <cell r="S271">
            <v>1</v>
          </cell>
        </row>
        <row r="272">
          <cell r="R272">
            <v>1</v>
          </cell>
          <cell r="S272">
            <v>1</v>
          </cell>
        </row>
        <row r="273">
          <cell r="R273">
            <v>1</v>
          </cell>
          <cell r="S273">
            <v>1</v>
          </cell>
        </row>
        <row r="274">
          <cell r="R274">
            <v>1</v>
          </cell>
          <cell r="S274">
            <v>1</v>
          </cell>
        </row>
        <row r="275">
          <cell r="R275">
            <v>1</v>
          </cell>
          <cell r="S275">
            <v>1</v>
          </cell>
        </row>
        <row r="276">
          <cell r="R276">
            <v>1</v>
          </cell>
          <cell r="S276">
            <v>1</v>
          </cell>
        </row>
        <row r="277">
          <cell r="R277">
            <v>1</v>
          </cell>
          <cell r="S277">
            <v>1</v>
          </cell>
        </row>
        <row r="278">
          <cell r="R278">
            <v>1</v>
          </cell>
          <cell r="S278">
            <v>1</v>
          </cell>
        </row>
        <row r="279">
          <cell r="R279">
            <v>1</v>
          </cell>
          <cell r="S279">
            <v>1</v>
          </cell>
        </row>
        <row r="280">
          <cell r="R280">
            <v>1</v>
          </cell>
          <cell r="S280">
            <v>1</v>
          </cell>
        </row>
        <row r="281">
          <cell r="R281">
            <v>1</v>
          </cell>
          <cell r="S281">
            <v>1</v>
          </cell>
        </row>
        <row r="282">
          <cell r="R282">
            <v>1</v>
          </cell>
          <cell r="S282">
            <v>1</v>
          </cell>
        </row>
        <row r="283">
          <cell r="R283">
            <v>1</v>
          </cell>
          <cell r="S283">
            <v>1</v>
          </cell>
        </row>
        <row r="284">
          <cell r="R284">
            <v>1</v>
          </cell>
          <cell r="S284">
            <v>1</v>
          </cell>
        </row>
        <row r="285">
          <cell r="R285">
            <v>1</v>
          </cell>
          <cell r="S285">
            <v>1</v>
          </cell>
        </row>
        <row r="286">
          <cell r="R286">
            <v>1</v>
          </cell>
          <cell r="S286">
            <v>1</v>
          </cell>
        </row>
        <row r="287">
          <cell r="R287">
            <v>1</v>
          </cell>
          <cell r="S287">
            <v>1</v>
          </cell>
        </row>
        <row r="288">
          <cell r="R288">
            <v>1</v>
          </cell>
          <cell r="S288">
            <v>1</v>
          </cell>
        </row>
        <row r="289">
          <cell r="R289">
            <v>1</v>
          </cell>
          <cell r="S289">
            <v>1</v>
          </cell>
        </row>
        <row r="290">
          <cell r="R290">
            <v>1</v>
          </cell>
          <cell r="S290">
            <v>1</v>
          </cell>
        </row>
        <row r="291">
          <cell r="R291">
            <v>1</v>
          </cell>
          <cell r="S291">
            <v>1</v>
          </cell>
        </row>
        <row r="292">
          <cell r="R292">
            <v>1</v>
          </cell>
          <cell r="S292">
            <v>1</v>
          </cell>
        </row>
        <row r="293">
          <cell r="R293">
            <v>1</v>
          </cell>
          <cell r="S293">
            <v>1</v>
          </cell>
        </row>
        <row r="294">
          <cell r="R294">
            <v>1</v>
          </cell>
          <cell r="S294">
            <v>1</v>
          </cell>
        </row>
        <row r="295">
          <cell r="R295">
            <v>1</v>
          </cell>
          <cell r="S295">
            <v>1</v>
          </cell>
        </row>
        <row r="296">
          <cell r="R296">
            <v>1</v>
          </cell>
          <cell r="S296">
            <v>1</v>
          </cell>
        </row>
        <row r="297">
          <cell r="R297">
            <v>1</v>
          </cell>
          <cell r="S297">
            <v>1</v>
          </cell>
        </row>
        <row r="298">
          <cell r="R298">
            <v>1</v>
          </cell>
          <cell r="S298">
            <v>1</v>
          </cell>
        </row>
        <row r="299">
          <cell r="R299">
            <v>1</v>
          </cell>
          <cell r="S299">
            <v>1</v>
          </cell>
        </row>
        <row r="300">
          <cell r="R300">
            <v>1</v>
          </cell>
          <cell r="S300">
            <v>1</v>
          </cell>
        </row>
        <row r="301">
          <cell r="R301">
            <v>1</v>
          </cell>
          <cell r="S301">
            <v>1</v>
          </cell>
        </row>
        <row r="302">
          <cell r="R302">
            <v>1</v>
          </cell>
          <cell r="S302">
            <v>1</v>
          </cell>
        </row>
        <row r="303">
          <cell r="R303">
            <v>1</v>
          </cell>
          <cell r="S303">
            <v>1</v>
          </cell>
        </row>
        <row r="304">
          <cell r="R304">
            <v>1</v>
          </cell>
          <cell r="S304">
            <v>1</v>
          </cell>
        </row>
        <row r="305">
          <cell r="R305">
            <v>1</v>
          </cell>
          <cell r="S305">
            <v>1</v>
          </cell>
        </row>
        <row r="306">
          <cell r="R306">
            <v>1</v>
          </cell>
          <cell r="S306">
            <v>1</v>
          </cell>
        </row>
        <row r="307">
          <cell r="R307">
            <v>1</v>
          </cell>
          <cell r="S307">
            <v>1</v>
          </cell>
        </row>
        <row r="308">
          <cell r="R308">
            <v>1</v>
          </cell>
          <cell r="S308">
            <v>1</v>
          </cell>
        </row>
        <row r="309">
          <cell r="R309">
            <v>1</v>
          </cell>
          <cell r="S309">
            <v>1</v>
          </cell>
        </row>
        <row r="310">
          <cell r="R310">
            <v>1</v>
          </cell>
          <cell r="S310">
            <v>1</v>
          </cell>
        </row>
        <row r="311">
          <cell r="R311">
            <v>1</v>
          </cell>
          <cell r="S311">
            <v>1</v>
          </cell>
        </row>
        <row r="312">
          <cell r="R312">
            <v>1</v>
          </cell>
          <cell r="S312">
            <v>1</v>
          </cell>
        </row>
        <row r="313">
          <cell r="R313">
            <v>1</v>
          </cell>
          <cell r="S313">
            <v>1</v>
          </cell>
        </row>
        <row r="314">
          <cell r="R314">
            <v>1</v>
          </cell>
          <cell r="S314">
            <v>1</v>
          </cell>
        </row>
        <row r="315">
          <cell r="R315">
            <v>1</v>
          </cell>
          <cell r="S315">
            <v>1</v>
          </cell>
        </row>
        <row r="316">
          <cell r="R316">
            <v>1</v>
          </cell>
          <cell r="S316">
            <v>1</v>
          </cell>
        </row>
        <row r="317">
          <cell r="R317">
            <v>1</v>
          </cell>
          <cell r="S317">
            <v>1</v>
          </cell>
        </row>
        <row r="318">
          <cell r="R318">
            <v>1</v>
          </cell>
          <cell r="S318">
            <v>1</v>
          </cell>
        </row>
        <row r="319">
          <cell r="R319">
            <v>1</v>
          </cell>
          <cell r="S319">
            <v>1</v>
          </cell>
        </row>
        <row r="320">
          <cell r="R320">
            <v>1</v>
          </cell>
          <cell r="S320">
            <v>1</v>
          </cell>
        </row>
        <row r="321">
          <cell r="R321">
            <v>1</v>
          </cell>
          <cell r="S321">
            <v>1</v>
          </cell>
        </row>
        <row r="322">
          <cell r="R322">
            <v>1</v>
          </cell>
          <cell r="S322">
            <v>1</v>
          </cell>
        </row>
        <row r="323">
          <cell r="R323">
            <v>1</v>
          </cell>
          <cell r="S323">
            <v>1</v>
          </cell>
        </row>
        <row r="324">
          <cell r="R324">
            <v>1</v>
          </cell>
          <cell r="S324">
            <v>1</v>
          </cell>
        </row>
        <row r="325">
          <cell r="R325">
            <v>1</v>
          </cell>
          <cell r="S325">
            <v>1</v>
          </cell>
        </row>
        <row r="326">
          <cell r="R326">
            <v>1</v>
          </cell>
          <cell r="S326">
            <v>1</v>
          </cell>
        </row>
        <row r="327">
          <cell r="R327">
            <v>1</v>
          </cell>
          <cell r="S327">
            <v>1</v>
          </cell>
        </row>
        <row r="328">
          <cell r="R328">
            <v>1</v>
          </cell>
          <cell r="S328">
            <v>1</v>
          </cell>
        </row>
        <row r="329">
          <cell r="R329">
            <v>1</v>
          </cell>
          <cell r="S329">
            <v>1</v>
          </cell>
        </row>
        <row r="330">
          <cell r="R330">
            <v>1</v>
          </cell>
          <cell r="S330">
            <v>1</v>
          </cell>
        </row>
        <row r="331">
          <cell r="R331">
            <v>1</v>
          </cell>
          <cell r="S331">
            <v>1</v>
          </cell>
        </row>
        <row r="332">
          <cell r="R332">
            <v>1</v>
          </cell>
          <cell r="S332">
            <v>1</v>
          </cell>
        </row>
        <row r="333">
          <cell r="R333">
            <v>1</v>
          </cell>
          <cell r="S333">
            <v>1</v>
          </cell>
        </row>
        <row r="334">
          <cell r="R334">
            <v>1</v>
          </cell>
          <cell r="S334">
            <v>1</v>
          </cell>
        </row>
        <row r="335">
          <cell r="R335">
            <v>1</v>
          </cell>
          <cell r="S335">
            <v>1</v>
          </cell>
        </row>
        <row r="336">
          <cell r="R336">
            <v>1</v>
          </cell>
          <cell r="S336">
            <v>1</v>
          </cell>
        </row>
        <row r="337">
          <cell r="R337">
            <v>1</v>
          </cell>
          <cell r="S337">
            <v>1</v>
          </cell>
        </row>
        <row r="338">
          <cell r="R338">
            <v>1</v>
          </cell>
          <cell r="S338">
            <v>1</v>
          </cell>
        </row>
        <row r="339">
          <cell r="R339">
            <v>1</v>
          </cell>
          <cell r="S339">
            <v>1</v>
          </cell>
        </row>
        <row r="340">
          <cell r="R340">
            <v>1</v>
          </cell>
          <cell r="S340">
            <v>1</v>
          </cell>
        </row>
        <row r="341">
          <cell r="R341">
            <v>1</v>
          </cell>
          <cell r="S341">
            <v>1</v>
          </cell>
        </row>
        <row r="342">
          <cell r="R342">
            <v>1</v>
          </cell>
          <cell r="S342">
            <v>1</v>
          </cell>
        </row>
        <row r="343">
          <cell r="R343">
            <v>1</v>
          </cell>
          <cell r="S343">
            <v>1</v>
          </cell>
        </row>
        <row r="344">
          <cell r="R344">
            <v>1</v>
          </cell>
          <cell r="S344">
            <v>1</v>
          </cell>
        </row>
        <row r="345">
          <cell r="R345">
            <v>1</v>
          </cell>
          <cell r="S345">
            <v>1</v>
          </cell>
        </row>
        <row r="346">
          <cell r="R346">
            <v>1</v>
          </cell>
          <cell r="S346">
            <v>1</v>
          </cell>
        </row>
        <row r="347">
          <cell r="R347">
            <v>1</v>
          </cell>
          <cell r="S347">
            <v>1</v>
          </cell>
        </row>
        <row r="348">
          <cell r="R348">
            <v>1</v>
          </cell>
          <cell r="S348">
            <v>1</v>
          </cell>
        </row>
        <row r="349">
          <cell r="R349">
            <v>1</v>
          </cell>
          <cell r="S349">
            <v>1</v>
          </cell>
        </row>
        <row r="350">
          <cell r="R350">
            <v>1</v>
          </cell>
          <cell r="S350">
            <v>1</v>
          </cell>
        </row>
        <row r="351">
          <cell r="R351">
            <v>1</v>
          </cell>
          <cell r="S351">
            <v>1</v>
          </cell>
        </row>
        <row r="352">
          <cell r="R352">
            <v>1</v>
          </cell>
          <cell r="S352">
            <v>1</v>
          </cell>
        </row>
        <row r="353">
          <cell r="R353">
            <v>1</v>
          </cell>
          <cell r="S353">
            <v>1</v>
          </cell>
        </row>
        <row r="354">
          <cell r="R354">
            <v>1</v>
          </cell>
          <cell r="S354">
            <v>1</v>
          </cell>
        </row>
        <row r="355">
          <cell r="R355">
            <v>1</v>
          </cell>
          <cell r="S355">
            <v>1</v>
          </cell>
        </row>
        <row r="356">
          <cell r="R356">
            <v>1</v>
          </cell>
          <cell r="S356">
            <v>1</v>
          </cell>
        </row>
        <row r="357">
          <cell r="R357">
            <v>1</v>
          </cell>
          <cell r="S357">
            <v>1</v>
          </cell>
        </row>
        <row r="358">
          <cell r="R358">
            <v>1</v>
          </cell>
          <cell r="S358">
            <v>1</v>
          </cell>
        </row>
        <row r="359">
          <cell r="R359">
            <v>1</v>
          </cell>
          <cell r="S359">
            <v>1</v>
          </cell>
        </row>
        <row r="360">
          <cell r="R360">
            <v>1</v>
          </cell>
          <cell r="S360">
            <v>1</v>
          </cell>
        </row>
        <row r="361">
          <cell r="R361">
            <v>1</v>
          </cell>
          <cell r="S361">
            <v>1</v>
          </cell>
        </row>
        <row r="362">
          <cell r="R362">
            <v>1</v>
          </cell>
          <cell r="S362">
            <v>1</v>
          </cell>
        </row>
        <row r="363">
          <cell r="R363">
            <v>1</v>
          </cell>
          <cell r="S363">
            <v>1</v>
          </cell>
        </row>
        <row r="364">
          <cell r="R364">
            <v>1</v>
          </cell>
          <cell r="S364">
            <v>1</v>
          </cell>
        </row>
        <row r="365">
          <cell r="R365">
            <v>1</v>
          </cell>
          <cell r="S365">
            <v>1</v>
          </cell>
        </row>
        <row r="366">
          <cell r="R366">
            <v>1</v>
          </cell>
          <cell r="S366">
            <v>1</v>
          </cell>
        </row>
        <row r="367">
          <cell r="R367">
            <v>1</v>
          </cell>
          <cell r="S367">
            <v>1</v>
          </cell>
        </row>
        <row r="368">
          <cell r="R368">
            <v>1</v>
          </cell>
          <cell r="S368">
            <v>1</v>
          </cell>
        </row>
        <row r="369">
          <cell r="R369">
            <v>1</v>
          </cell>
          <cell r="S369">
            <v>1</v>
          </cell>
        </row>
        <row r="370">
          <cell r="R370">
            <v>1</v>
          </cell>
          <cell r="S370">
            <v>1</v>
          </cell>
        </row>
        <row r="371">
          <cell r="R371">
            <v>1</v>
          </cell>
          <cell r="S371">
            <v>1</v>
          </cell>
        </row>
        <row r="372">
          <cell r="R372">
            <v>1</v>
          </cell>
          <cell r="S372">
            <v>1</v>
          </cell>
        </row>
        <row r="373">
          <cell r="R373">
            <v>1</v>
          </cell>
          <cell r="S373">
            <v>1</v>
          </cell>
        </row>
        <row r="374">
          <cell r="R374">
            <v>1</v>
          </cell>
          <cell r="S374">
            <v>1</v>
          </cell>
        </row>
        <row r="375">
          <cell r="R375">
            <v>1</v>
          </cell>
          <cell r="S375">
            <v>1</v>
          </cell>
        </row>
        <row r="376">
          <cell r="R376">
            <v>1</v>
          </cell>
          <cell r="S376">
            <v>1</v>
          </cell>
        </row>
        <row r="377">
          <cell r="R377">
            <v>1</v>
          </cell>
          <cell r="S377">
            <v>1</v>
          </cell>
        </row>
        <row r="378">
          <cell r="R378">
            <v>1</v>
          </cell>
          <cell r="S378">
            <v>1</v>
          </cell>
        </row>
        <row r="379">
          <cell r="R379">
            <v>1</v>
          </cell>
          <cell r="S379">
            <v>1</v>
          </cell>
        </row>
        <row r="380">
          <cell r="R380">
            <v>1</v>
          </cell>
          <cell r="S380">
            <v>1</v>
          </cell>
        </row>
        <row r="381">
          <cell r="R381">
            <v>1</v>
          </cell>
          <cell r="S381">
            <v>1</v>
          </cell>
        </row>
        <row r="382">
          <cell r="R382">
            <v>1</v>
          </cell>
          <cell r="S382">
            <v>1</v>
          </cell>
        </row>
        <row r="383">
          <cell r="R383">
            <v>1</v>
          </cell>
          <cell r="S383">
            <v>1</v>
          </cell>
        </row>
        <row r="384">
          <cell r="R384">
            <v>1</v>
          </cell>
          <cell r="S384">
            <v>1</v>
          </cell>
        </row>
        <row r="385">
          <cell r="R385">
            <v>1</v>
          </cell>
          <cell r="S385">
            <v>1</v>
          </cell>
        </row>
        <row r="386">
          <cell r="R386">
            <v>1</v>
          </cell>
          <cell r="S386">
            <v>1</v>
          </cell>
        </row>
        <row r="387">
          <cell r="R387">
            <v>1</v>
          </cell>
          <cell r="S387">
            <v>1</v>
          </cell>
        </row>
        <row r="388">
          <cell r="R388">
            <v>1</v>
          </cell>
          <cell r="S388">
            <v>1</v>
          </cell>
        </row>
        <row r="389">
          <cell r="R389">
            <v>1</v>
          </cell>
          <cell r="S389">
            <v>1</v>
          </cell>
        </row>
        <row r="390">
          <cell r="R390">
            <v>1</v>
          </cell>
          <cell r="S390">
            <v>1</v>
          </cell>
        </row>
        <row r="391">
          <cell r="R391">
            <v>1</v>
          </cell>
          <cell r="S391">
            <v>1</v>
          </cell>
        </row>
        <row r="392">
          <cell r="R392">
            <v>1</v>
          </cell>
          <cell r="S392">
            <v>1</v>
          </cell>
        </row>
        <row r="393">
          <cell r="R393">
            <v>1</v>
          </cell>
          <cell r="S393">
            <v>1</v>
          </cell>
        </row>
        <row r="394">
          <cell r="R394">
            <v>1</v>
          </cell>
          <cell r="S394">
            <v>1</v>
          </cell>
        </row>
        <row r="395">
          <cell r="R395">
            <v>1</v>
          </cell>
          <cell r="S395">
            <v>1</v>
          </cell>
        </row>
        <row r="396">
          <cell r="R396">
            <v>1</v>
          </cell>
          <cell r="S396">
            <v>1</v>
          </cell>
        </row>
        <row r="397">
          <cell r="R397">
            <v>1</v>
          </cell>
          <cell r="S397">
            <v>1</v>
          </cell>
        </row>
        <row r="398">
          <cell r="R398">
            <v>1</v>
          </cell>
          <cell r="S398">
            <v>1</v>
          </cell>
        </row>
        <row r="399">
          <cell r="R399">
            <v>1</v>
          </cell>
          <cell r="S399">
            <v>1</v>
          </cell>
        </row>
        <row r="400">
          <cell r="R400">
            <v>1</v>
          </cell>
          <cell r="S400">
            <v>1</v>
          </cell>
        </row>
        <row r="401">
          <cell r="R401">
            <v>1</v>
          </cell>
          <cell r="S401">
            <v>1</v>
          </cell>
        </row>
        <row r="402">
          <cell r="R402">
            <v>1</v>
          </cell>
          <cell r="S402">
            <v>1</v>
          </cell>
        </row>
        <row r="403">
          <cell r="R403">
            <v>1</v>
          </cell>
          <cell r="S403">
            <v>1</v>
          </cell>
        </row>
        <row r="404">
          <cell r="R404">
            <v>1</v>
          </cell>
          <cell r="S404">
            <v>1</v>
          </cell>
        </row>
        <row r="405">
          <cell r="R405">
            <v>1</v>
          </cell>
          <cell r="S405">
            <v>1</v>
          </cell>
        </row>
        <row r="406">
          <cell r="R406">
            <v>1</v>
          </cell>
          <cell r="S406">
            <v>1</v>
          </cell>
        </row>
        <row r="407">
          <cell r="R407">
            <v>1</v>
          </cell>
          <cell r="S407">
            <v>1</v>
          </cell>
        </row>
        <row r="408">
          <cell r="R408">
            <v>1</v>
          </cell>
          <cell r="S408">
            <v>1</v>
          </cell>
        </row>
        <row r="409">
          <cell r="R409">
            <v>1</v>
          </cell>
          <cell r="S409">
            <v>1</v>
          </cell>
        </row>
        <row r="410">
          <cell r="R410">
            <v>1</v>
          </cell>
          <cell r="S410">
            <v>1</v>
          </cell>
        </row>
        <row r="411">
          <cell r="R411">
            <v>1</v>
          </cell>
          <cell r="S411">
            <v>1</v>
          </cell>
        </row>
        <row r="412">
          <cell r="R412">
            <v>1</v>
          </cell>
          <cell r="S412">
            <v>1</v>
          </cell>
        </row>
        <row r="413">
          <cell r="R413">
            <v>1</v>
          </cell>
          <cell r="S413">
            <v>1</v>
          </cell>
        </row>
        <row r="414">
          <cell r="R414">
            <v>1</v>
          </cell>
          <cell r="S414">
            <v>1</v>
          </cell>
        </row>
        <row r="415">
          <cell r="R415">
            <v>1</v>
          </cell>
          <cell r="S415">
            <v>1</v>
          </cell>
        </row>
        <row r="416">
          <cell r="R416">
            <v>1</v>
          </cell>
          <cell r="S416">
            <v>1</v>
          </cell>
        </row>
        <row r="417">
          <cell r="R417">
            <v>1</v>
          </cell>
          <cell r="S417">
            <v>1</v>
          </cell>
        </row>
        <row r="418">
          <cell r="R418">
            <v>1</v>
          </cell>
          <cell r="S418">
            <v>1</v>
          </cell>
        </row>
        <row r="419">
          <cell r="R419">
            <v>1</v>
          </cell>
          <cell r="S419">
            <v>1</v>
          </cell>
        </row>
        <row r="420">
          <cell r="R420">
            <v>1</v>
          </cell>
          <cell r="S420">
            <v>1</v>
          </cell>
        </row>
        <row r="421">
          <cell r="R421">
            <v>1</v>
          </cell>
          <cell r="S421">
            <v>1</v>
          </cell>
        </row>
        <row r="422">
          <cell r="R422">
            <v>1</v>
          </cell>
          <cell r="S422">
            <v>1</v>
          </cell>
        </row>
        <row r="423">
          <cell r="R423">
            <v>1</v>
          </cell>
          <cell r="S423">
            <v>1</v>
          </cell>
        </row>
        <row r="424">
          <cell r="R424">
            <v>1</v>
          </cell>
          <cell r="S424">
            <v>1</v>
          </cell>
        </row>
        <row r="425">
          <cell r="R425">
            <v>1</v>
          </cell>
          <cell r="S425">
            <v>1</v>
          </cell>
        </row>
        <row r="426">
          <cell r="R426">
            <v>1</v>
          </cell>
          <cell r="S426">
            <v>1</v>
          </cell>
        </row>
        <row r="427">
          <cell r="R427">
            <v>1</v>
          </cell>
          <cell r="S427">
            <v>1</v>
          </cell>
        </row>
        <row r="428">
          <cell r="R428">
            <v>1</v>
          </cell>
          <cell r="S428">
            <v>1</v>
          </cell>
        </row>
        <row r="429">
          <cell r="R429">
            <v>1</v>
          </cell>
          <cell r="S429">
            <v>1</v>
          </cell>
        </row>
        <row r="430">
          <cell r="R430">
            <v>1</v>
          </cell>
          <cell r="S430">
            <v>1</v>
          </cell>
        </row>
        <row r="431">
          <cell r="R431">
            <v>1</v>
          </cell>
          <cell r="S431">
            <v>1</v>
          </cell>
        </row>
        <row r="432">
          <cell r="R432">
            <v>1</v>
          </cell>
          <cell r="S432">
            <v>1</v>
          </cell>
        </row>
        <row r="433">
          <cell r="R433">
            <v>1</v>
          </cell>
          <cell r="S433">
            <v>1</v>
          </cell>
        </row>
        <row r="434">
          <cell r="R434">
            <v>1</v>
          </cell>
          <cell r="S434">
            <v>1</v>
          </cell>
        </row>
        <row r="435">
          <cell r="R435">
            <v>1</v>
          </cell>
          <cell r="S435">
            <v>1</v>
          </cell>
        </row>
        <row r="436">
          <cell r="R436">
            <v>1</v>
          </cell>
          <cell r="S436">
            <v>1</v>
          </cell>
        </row>
        <row r="437">
          <cell r="R437">
            <v>1</v>
          </cell>
          <cell r="S437">
            <v>1</v>
          </cell>
        </row>
        <row r="438">
          <cell r="R438">
            <v>1</v>
          </cell>
          <cell r="S438">
            <v>1</v>
          </cell>
        </row>
        <row r="439">
          <cell r="R439">
            <v>1</v>
          </cell>
          <cell r="S439">
            <v>1</v>
          </cell>
        </row>
        <row r="440">
          <cell r="R440">
            <v>1</v>
          </cell>
          <cell r="S440">
            <v>1</v>
          </cell>
        </row>
        <row r="441">
          <cell r="R441">
            <v>1</v>
          </cell>
          <cell r="S441">
            <v>1</v>
          </cell>
        </row>
        <row r="442">
          <cell r="R442">
            <v>1</v>
          </cell>
          <cell r="S442">
            <v>1</v>
          </cell>
        </row>
        <row r="443">
          <cell r="R443">
            <v>1</v>
          </cell>
          <cell r="S443">
            <v>1</v>
          </cell>
        </row>
        <row r="444">
          <cell r="R444">
            <v>1</v>
          </cell>
          <cell r="S444">
            <v>1</v>
          </cell>
        </row>
        <row r="445">
          <cell r="R445">
            <v>1</v>
          </cell>
          <cell r="S445">
            <v>1</v>
          </cell>
        </row>
        <row r="446">
          <cell r="R446">
            <v>1</v>
          </cell>
          <cell r="S446">
            <v>1</v>
          </cell>
        </row>
        <row r="447">
          <cell r="R447">
            <v>1</v>
          </cell>
          <cell r="S447">
            <v>1</v>
          </cell>
        </row>
        <row r="448">
          <cell r="R448">
            <v>1</v>
          </cell>
          <cell r="S448">
            <v>1</v>
          </cell>
        </row>
        <row r="449">
          <cell r="R449">
            <v>1</v>
          </cell>
          <cell r="S449">
            <v>1</v>
          </cell>
        </row>
        <row r="450">
          <cell r="R450">
            <v>1</v>
          </cell>
          <cell r="S450">
            <v>1</v>
          </cell>
        </row>
        <row r="451">
          <cell r="R451">
            <v>1</v>
          </cell>
          <cell r="S451">
            <v>1</v>
          </cell>
        </row>
        <row r="452">
          <cell r="R452">
            <v>1</v>
          </cell>
          <cell r="S452">
            <v>1</v>
          </cell>
        </row>
        <row r="453">
          <cell r="R453">
            <v>1</v>
          </cell>
          <cell r="S453">
            <v>1</v>
          </cell>
        </row>
        <row r="454">
          <cell r="R454">
            <v>1</v>
          </cell>
          <cell r="S454">
            <v>1</v>
          </cell>
        </row>
        <row r="455">
          <cell r="R455">
            <v>1</v>
          </cell>
          <cell r="S455">
            <v>1</v>
          </cell>
        </row>
        <row r="456">
          <cell r="R456">
            <v>1</v>
          </cell>
          <cell r="S456">
            <v>1</v>
          </cell>
        </row>
        <row r="457">
          <cell r="R457">
            <v>1</v>
          </cell>
          <cell r="S457">
            <v>1</v>
          </cell>
        </row>
        <row r="458">
          <cell r="R458">
            <v>1</v>
          </cell>
          <cell r="S458">
            <v>1</v>
          </cell>
        </row>
        <row r="459">
          <cell r="R459">
            <v>1</v>
          </cell>
          <cell r="S459">
            <v>1</v>
          </cell>
        </row>
        <row r="460">
          <cell r="R460">
            <v>1</v>
          </cell>
          <cell r="S460">
            <v>1</v>
          </cell>
        </row>
        <row r="461">
          <cell r="R461">
            <v>1</v>
          </cell>
          <cell r="S461">
            <v>1</v>
          </cell>
        </row>
        <row r="462">
          <cell r="R462">
            <v>1</v>
          </cell>
          <cell r="S462">
            <v>1</v>
          </cell>
        </row>
        <row r="463">
          <cell r="R463">
            <v>1</v>
          </cell>
          <cell r="S463">
            <v>1</v>
          </cell>
        </row>
        <row r="464">
          <cell r="R464">
            <v>1</v>
          </cell>
          <cell r="S464">
            <v>1</v>
          </cell>
        </row>
        <row r="465">
          <cell r="R465">
            <v>1</v>
          </cell>
          <cell r="S465">
            <v>1</v>
          </cell>
        </row>
        <row r="466">
          <cell r="R466">
            <v>1</v>
          </cell>
          <cell r="S466">
            <v>1</v>
          </cell>
        </row>
        <row r="467">
          <cell r="R467">
            <v>1</v>
          </cell>
          <cell r="S467">
            <v>1</v>
          </cell>
        </row>
        <row r="468">
          <cell r="R468">
            <v>1</v>
          </cell>
          <cell r="S468">
            <v>1</v>
          </cell>
        </row>
        <row r="469">
          <cell r="R469">
            <v>1</v>
          </cell>
          <cell r="S469">
            <v>1</v>
          </cell>
        </row>
        <row r="470">
          <cell r="R470">
            <v>1</v>
          </cell>
          <cell r="S470">
            <v>1</v>
          </cell>
        </row>
        <row r="471">
          <cell r="R471">
            <v>1</v>
          </cell>
          <cell r="S471">
            <v>1</v>
          </cell>
        </row>
        <row r="472">
          <cell r="R472">
            <v>1</v>
          </cell>
          <cell r="S472">
            <v>1</v>
          </cell>
        </row>
        <row r="473">
          <cell r="R473">
            <v>1</v>
          </cell>
          <cell r="S473">
            <v>1</v>
          </cell>
        </row>
        <row r="474">
          <cell r="R474">
            <v>1</v>
          </cell>
          <cell r="S474">
            <v>1</v>
          </cell>
        </row>
        <row r="475">
          <cell r="R475">
            <v>1</v>
          </cell>
          <cell r="S475">
            <v>1</v>
          </cell>
        </row>
        <row r="476">
          <cell r="R476">
            <v>1</v>
          </cell>
          <cell r="S476">
            <v>1</v>
          </cell>
        </row>
        <row r="477">
          <cell r="R477">
            <v>1</v>
          </cell>
          <cell r="S477">
            <v>1</v>
          </cell>
        </row>
        <row r="478">
          <cell r="R478">
            <v>1</v>
          </cell>
          <cell r="S478">
            <v>1</v>
          </cell>
        </row>
        <row r="479">
          <cell r="R479">
            <v>1</v>
          </cell>
          <cell r="S479">
            <v>1</v>
          </cell>
        </row>
        <row r="480">
          <cell r="R480">
            <v>1</v>
          </cell>
          <cell r="S480">
            <v>1</v>
          </cell>
        </row>
        <row r="481">
          <cell r="R481">
            <v>1</v>
          </cell>
          <cell r="S481">
            <v>1</v>
          </cell>
        </row>
        <row r="482">
          <cell r="R482">
            <v>1</v>
          </cell>
          <cell r="S482">
            <v>1</v>
          </cell>
        </row>
        <row r="483">
          <cell r="R483">
            <v>1</v>
          </cell>
          <cell r="S483">
            <v>1</v>
          </cell>
        </row>
        <row r="484">
          <cell r="R484">
            <v>1</v>
          </cell>
          <cell r="S484">
            <v>1</v>
          </cell>
        </row>
        <row r="485">
          <cell r="R485">
            <v>1</v>
          </cell>
          <cell r="S485">
            <v>1</v>
          </cell>
        </row>
        <row r="486">
          <cell r="R486">
            <v>1</v>
          </cell>
          <cell r="S486">
            <v>1</v>
          </cell>
        </row>
        <row r="487">
          <cell r="R487">
            <v>1</v>
          </cell>
          <cell r="S487">
            <v>1</v>
          </cell>
        </row>
        <row r="488">
          <cell r="R488">
            <v>1</v>
          </cell>
          <cell r="S488">
            <v>1</v>
          </cell>
        </row>
        <row r="489">
          <cell r="R489">
            <v>1</v>
          </cell>
          <cell r="S489">
            <v>1</v>
          </cell>
        </row>
        <row r="490">
          <cell r="R490">
            <v>1</v>
          </cell>
          <cell r="S490">
            <v>1</v>
          </cell>
        </row>
        <row r="491">
          <cell r="R491">
            <v>1</v>
          </cell>
          <cell r="S491">
            <v>1</v>
          </cell>
        </row>
        <row r="492">
          <cell r="R492">
            <v>1</v>
          </cell>
          <cell r="S492">
            <v>1</v>
          </cell>
        </row>
        <row r="493">
          <cell r="R493">
            <v>1</v>
          </cell>
          <cell r="S493">
            <v>1</v>
          </cell>
        </row>
        <row r="494">
          <cell r="R494">
            <v>1</v>
          </cell>
          <cell r="S494">
            <v>1</v>
          </cell>
        </row>
        <row r="495">
          <cell r="R495">
            <v>1</v>
          </cell>
          <cell r="S495">
            <v>1</v>
          </cell>
        </row>
        <row r="496">
          <cell r="R496">
            <v>1</v>
          </cell>
          <cell r="S496">
            <v>1</v>
          </cell>
        </row>
        <row r="497">
          <cell r="R497">
            <v>1</v>
          </cell>
          <cell r="S497">
            <v>1</v>
          </cell>
        </row>
        <row r="498">
          <cell r="R498">
            <v>1</v>
          </cell>
          <cell r="S498">
            <v>1</v>
          </cell>
        </row>
        <row r="499">
          <cell r="R499">
            <v>1</v>
          </cell>
          <cell r="S499">
            <v>1</v>
          </cell>
        </row>
        <row r="500">
          <cell r="R500">
            <v>1</v>
          </cell>
          <cell r="S500">
            <v>1</v>
          </cell>
        </row>
        <row r="501">
          <cell r="R501">
            <v>1</v>
          </cell>
          <cell r="S501">
            <v>1</v>
          </cell>
        </row>
        <row r="502">
          <cell r="R502">
            <v>1</v>
          </cell>
          <cell r="S502">
            <v>1</v>
          </cell>
        </row>
        <row r="503">
          <cell r="R503">
            <v>1</v>
          </cell>
          <cell r="S503">
            <v>1</v>
          </cell>
        </row>
        <row r="504">
          <cell r="R504">
            <v>1</v>
          </cell>
          <cell r="S504">
            <v>1</v>
          </cell>
        </row>
        <row r="505">
          <cell r="R505">
            <v>1</v>
          </cell>
          <cell r="S505">
            <v>1</v>
          </cell>
        </row>
        <row r="506">
          <cell r="R506">
            <v>1</v>
          </cell>
          <cell r="S506">
            <v>1</v>
          </cell>
        </row>
        <row r="507">
          <cell r="R507">
            <v>1</v>
          </cell>
          <cell r="S507">
            <v>1</v>
          </cell>
        </row>
        <row r="508">
          <cell r="R508">
            <v>1</v>
          </cell>
          <cell r="S508">
            <v>1</v>
          </cell>
        </row>
        <row r="509">
          <cell r="R509">
            <v>1</v>
          </cell>
          <cell r="S509">
            <v>1</v>
          </cell>
        </row>
        <row r="510">
          <cell r="R510">
            <v>1</v>
          </cell>
          <cell r="S510">
            <v>1</v>
          </cell>
        </row>
        <row r="511">
          <cell r="R511">
            <v>1</v>
          </cell>
          <cell r="S511">
            <v>1</v>
          </cell>
        </row>
        <row r="512">
          <cell r="R512">
            <v>1</v>
          </cell>
          <cell r="S512">
            <v>1</v>
          </cell>
        </row>
        <row r="513">
          <cell r="R513">
            <v>1</v>
          </cell>
          <cell r="S513">
            <v>1</v>
          </cell>
        </row>
        <row r="514">
          <cell r="R514">
            <v>1</v>
          </cell>
          <cell r="S514">
            <v>1</v>
          </cell>
        </row>
        <row r="515">
          <cell r="R515">
            <v>1</v>
          </cell>
          <cell r="S515">
            <v>1</v>
          </cell>
        </row>
        <row r="516">
          <cell r="R516">
            <v>1</v>
          </cell>
          <cell r="S516">
            <v>1</v>
          </cell>
        </row>
        <row r="517">
          <cell r="R517">
            <v>1</v>
          </cell>
          <cell r="S517">
            <v>1</v>
          </cell>
        </row>
        <row r="518">
          <cell r="R518">
            <v>1</v>
          </cell>
          <cell r="S518">
            <v>1</v>
          </cell>
        </row>
        <row r="519">
          <cell r="R519">
            <v>1</v>
          </cell>
          <cell r="S519">
            <v>1</v>
          </cell>
        </row>
        <row r="520">
          <cell r="R520">
            <v>1</v>
          </cell>
          <cell r="S520">
            <v>1</v>
          </cell>
        </row>
        <row r="521">
          <cell r="R521">
            <v>1</v>
          </cell>
          <cell r="S521">
            <v>1</v>
          </cell>
        </row>
        <row r="522">
          <cell r="R522">
            <v>1</v>
          </cell>
          <cell r="S522">
            <v>1</v>
          </cell>
        </row>
        <row r="523">
          <cell r="R523">
            <v>1</v>
          </cell>
          <cell r="S523">
            <v>1</v>
          </cell>
        </row>
        <row r="524">
          <cell r="R524">
            <v>1</v>
          </cell>
          <cell r="S524">
            <v>1</v>
          </cell>
        </row>
        <row r="525">
          <cell r="R525">
            <v>1</v>
          </cell>
          <cell r="S525">
            <v>1</v>
          </cell>
        </row>
        <row r="526">
          <cell r="R526">
            <v>1</v>
          </cell>
          <cell r="S526">
            <v>1</v>
          </cell>
        </row>
        <row r="527">
          <cell r="R527">
            <v>1</v>
          </cell>
          <cell r="S527">
            <v>1</v>
          </cell>
        </row>
        <row r="528">
          <cell r="R528">
            <v>1</v>
          </cell>
          <cell r="S528">
            <v>1</v>
          </cell>
        </row>
        <row r="529">
          <cell r="R529">
            <v>1</v>
          </cell>
          <cell r="S529">
            <v>1</v>
          </cell>
        </row>
        <row r="530">
          <cell r="R530">
            <v>1</v>
          </cell>
          <cell r="S530">
            <v>1</v>
          </cell>
        </row>
        <row r="531">
          <cell r="R531">
            <v>1</v>
          </cell>
          <cell r="S531">
            <v>1</v>
          </cell>
        </row>
        <row r="532">
          <cell r="R532">
            <v>1</v>
          </cell>
          <cell r="S532">
            <v>1</v>
          </cell>
        </row>
        <row r="533">
          <cell r="R533">
            <v>1</v>
          </cell>
          <cell r="S533">
            <v>1</v>
          </cell>
        </row>
        <row r="534">
          <cell r="R534">
            <v>1</v>
          </cell>
          <cell r="S534">
            <v>1</v>
          </cell>
        </row>
        <row r="535">
          <cell r="R535">
            <v>1</v>
          </cell>
          <cell r="S535">
            <v>1</v>
          </cell>
        </row>
        <row r="536">
          <cell r="R536">
            <v>1</v>
          </cell>
          <cell r="S536">
            <v>1</v>
          </cell>
        </row>
        <row r="537">
          <cell r="R537">
            <v>1</v>
          </cell>
          <cell r="S537">
            <v>1</v>
          </cell>
        </row>
        <row r="538">
          <cell r="R538">
            <v>1</v>
          </cell>
          <cell r="S538">
            <v>1</v>
          </cell>
        </row>
        <row r="539">
          <cell r="R539">
            <v>1</v>
          </cell>
          <cell r="S539">
            <v>1</v>
          </cell>
        </row>
        <row r="540">
          <cell r="R540">
            <v>1</v>
          </cell>
          <cell r="S540">
            <v>1</v>
          </cell>
        </row>
        <row r="541">
          <cell r="R541">
            <v>1</v>
          </cell>
          <cell r="S541">
            <v>1</v>
          </cell>
        </row>
        <row r="542">
          <cell r="R542">
            <v>1</v>
          </cell>
          <cell r="S542">
            <v>1</v>
          </cell>
        </row>
        <row r="543">
          <cell r="R543">
            <v>1</v>
          </cell>
          <cell r="S543">
            <v>1</v>
          </cell>
        </row>
        <row r="544">
          <cell r="R544">
            <v>1</v>
          </cell>
          <cell r="S544">
            <v>1</v>
          </cell>
        </row>
        <row r="545">
          <cell r="R545">
            <v>1</v>
          </cell>
          <cell r="S545">
            <v>1</v>
          </cell>
        </row>
        <row r="546">
          <cell r="R546">
            <v>1</v>
          </cell>
          <cell r="S546">
            <v>1</v>
          </cell>
        </row>
        <row r="547">
          <cell r="R547">
            <v>1</v>
          </cell>
          <cell r="S547">
            <v>1</v>
          </cell>
        </row>
        <row r="548">
          <cell r="R548">
            <v>1</v>
          </cell>
          <cell r="S548">
            <v>1</v>
          </cell>
        </row>
        <row r="549">
          <cell r="R549">
            <v>1</v>
          </cell>
          <cell r="S549">
            <v>1</v>
          </cell>
        </row>
        <row r="550">
          <cell r="R550">
            <v>1</v>
          </cell>
          <cell r="S550">
            <v>1</v>
          </cell>
        </row>
        <row r="551">
          <cell r="R551">
            <v>1</v>
          </cell>
          <cell r="S551">
            <v>1</v>
          </cell>
        </row>
        <row r="552">
          <cell r="R552">
            <v>1</v>
          </cell>
          <cell r="S552">
            <v>1</v>
          </cell>
        </row>
        <row r="553">
          <cell r="R553">
            <v>1</v>
          </cell>
          <cell r="S553">
            <v>1</v>
          </cell>
        </row>
        <row r="554">
          <cell r="R554">
            <v>1</v>
          </cell>
          <cell r="S554">
            <v>1</v>
          </cell>
        </row>
        <row r="555">
          <cell r="R555">
            <v>1</v>
          </cell>
          <cell r="S555">
            <v>1</v>
          </cell>
        </row>
        <row r="556">
          <cell r="R556">
            <v>1</v>
          </cell>
          <cell r="S556">
            <v>1</v>
          </cell>
        </row>
        <row r="557">
          <cell r="R557">
            <v>1</v>
          </cell>
          <cell r="S557">
            <v>1</v>
          </cell>
        </row>
        <row r="558">
          <cell r="R558">
            <v>1</v>
          </cell>
          <cell r="S558">
            <v>1</v>
          </cell>
        </row>
        <row r="559">
          <cell r="R559">
            <v>1</v>
          </cell>
          <cell r="S559">
            <v>1</v>
          </cell>
        </row>
        <row r="560">
          <cell r="R560">
            <v>1</v>
          </cell>
          <cell r="S560">
            <v>1</v>
          </cell>
        </row>
        <row r="561">
          <cell r="R561">
            <v>1</v>
          </cell>
          <cell r="S561">
            <v>1</v>
          </cell>
        </row>
        <row r="562">
          <cell r="R562">
            <v>1</v>
          </cell>
          <cell r="S562">
            <v>1</v>
          </cell>
        </row>
        <row r="563">
          <cell r="R563">
            <v>1</v>
          </cell>
          <cell r="S563">
            <v>1</v>
          </cell>
        </row>
        <row r="564">
          <cell r="R564">
            <v>1</v>
          </cell>
          <cell r="S564">
            <v>1</v>
          </cell>
        </row>
        <row r="565">
          <cell r="R565">
            <v>1</v>
          </cell>
          <cell r="S565">
            <v>1</v>
          </cell>
        </row>
        <row r="566">
          <cell r="R566">
            <v>1</v>
          </cell>
          <cell r="S566">
            <v>1</v>
          </cell>
        </row>
        <row r="567">
          <cell r="R567">
            <v>1</v>
          </cell>
          <cell r="S567">
            <v>1</v>
          </cell>
        </row>
        <row r="568">
          <cell r="R568">
            <v>1</v>
          </cell>
          <cell r="S568">
            <v>1</v>
          </cell>
        </row>
        <row r="569">
          <cell r="R569">
            <v>1</v>
          </cell>
          <cell r="S569">
            <v>1</v>
          </cell>
        </row>
        <row r="570">
          <cell r="R570">
            <v>1</v>
          </cell>
          <cell r="S570">
            <v>1</v>
          </cell>
        </row>
        <row r="571">
          <cell r="R571">
            <v>1</v>
          </cell>
          <cell r="S571">
            <v>1</v>
          </cell>
        </row>
        <row r="572">
          <cell r="R572">
            <v>1</v>
          </cell>
          <cell r="S572">
            <v>1</v>
          </cell>
        </row>
        <row r="573">
          <cell r="R573">
            <v>1</v>
          </cell>
          <cell r="S573">
            <v>1</v>
          </cell>
        </row>
        <row r="574">
          <cell r="R574">
            <v>1</v>
          </cell>
          <cell r="S574">
            <v>1</v>
          </cell>
        </row>
        <row r="575">
          <cell r="R575">
            <v>1</v>
          </cell>
          <cell r="S575">
            <v>1</v>
          </cell>
        </row>
        <row r="576">
          <cell r="R576">
            <v>1</v>
          </cell>
          <cell r="S576">
            <v>1</v>
          </cell>
        </row>
        <row r="577">
          <cell r="R577">
            <v>1</v>
          </cell>
          <cell r="S577">
            <v>1</v>
          </cell>
        </row>
        <row r="578">
          <cell r="R578">
            <v>1</v>
          </cell>
          <cell r="S578">
            <v>1</v>
          </cell>
        </row>
        <row r="579">
          <cell r="R579">
            <v>1</v>
          </cell>
          <cell r="S579">
            <v>1</v>
          </cell>
        </row>
        <row r="580">
          <cell r="R580">
            <v>1</v>
          </cell>
          <cell r="S580">
            <v>1</v>
          </cell>
        </row>
        <row r="581">
          <cell r="R581">
            <v>1</v>
          </cell>
          <cell r="S581">
            <v>1</v>
          </cell>
        </row>
        <row r="582">
          <cell r="R582">
            <v>1</v>
          </cell>
          <cell r="S582">
            <v>1</v>
          </cell>
        </row>
        <row r="583">
          <cell r="R583">
            <v>1</v>
          </cell>
          <cell r="S583">
            <v>1</v>
          </cell>
        </row>
        <row r="584">
          <cell r="R584">
            <v>1</v>
          </cell>
          <cell r="S584">
            <v>1</v>
          </cell>
        </row>
        <row r="585">
          <cell r="R585">
            <v>1</v>
          </cell>
          <cell r="S585">
            <v>1</v>
          </cell>
        </row>
        <row r="586">
          <cell r="R586">
            <v>1</v>
          </cell>
          <cell r="S586">
            <v>1</v>
          </cell>
        </row>
        <row r="587">
          <cell r="R587">
            <v>1</v>
          </cell>
          <cell r="S587">
            <v>1</v>
          </cell>
        </row>
        <row r="588">
          <cell r="R588">
            <v>1</v>
          </cell>
          <cell r="S588">
            <v>1</v>
          </cell>
        </row>
        <row r="589">
          <cell r="R589">
            <v>1</v>
          </cell>
          <cell r="S589">
            <v>1</v>
          </cell>
        </row>
        <row r="590">
          <cell r="R590">
            <v>1</v>
          </cell>
          <cell r="S590">
            <v>1</v>
          </cell>
        </row>
        <row r="591">
          <cell r="R591">
            <v>1</v>
          </cell>
          <cell r="S591">
            <v>1</v>
          </cell>
        </row>
        <row r="592">
          <cell r="R592">
            <v>1</v>
          </cell>
          <cell r="S592">
            <v>1</v>
          </cell>
        </row>
        <row r="593">
          <cell r="R593">
            <v>1</v>
          </cell>
          <cell r="S593">
            <v>1</v>
          </cell>
        </row>
        <row r="594">
          <cell r="R594">
            <v>1</v>
          </cell>
          <cell r="S594">
            <v>1</v>
          </cell>
        </row>
        <row r="595">
          <cell r="R595">
            <v>1</v>
          </cell>
          <cell r="S595">
            <v>1</v>
          </cell>
        </row>
        <row r="596">
          <cell r="R596">
            <v>1</v>
          </cell>
          <cell r="S596">
            <v>1</v>
          </cell>
        </row>
        <row r="597">
          <cell r="R597">
            <v>1</v>
          </cell>
          <cell r="S597">
            <v>1</v>
          </cell>
        </row>
        <row r="598">
          <cell r="R598">
            <v>1</v>
          </cell>
          <cell r="S598">
            <v>1</v>
          </cell>
        </row>
        <row r="599">
          <cell r="R599">
            <v>1</v>
          </cell>
          <cell r="S599">
            <v>1</v>
          </cell>
        </row>
        <row r="600">
          <cell r="R600">
            <v>1</v>
          </cell>
          <cell r="S600">
            <v>1</v>
          </cell>
        </row>
        <row r="601">
          <cell r="R601">
            <v>1</v>
          </cell>
          <cell r="S601">
            <v>1</v>
          </cell>
        </row>
        <row r="602">
          <cell r="R602">
            <v>1</v>
          </cell>
          <cell r="S602">
            <v>1</v>
          </cell>
        </row>
        <row r="603">
          <cell r="R603">
            <v>1</v>
          </cell>
          <cell r="S603">
            <v>1</v>
          </cell>
        </row>
        <row r="604">
          <cell r="R604">
            <v>1</v>
          </cell>
          <cell r="S604">
            <v>1</v>
          </cell>
        </row>
        <row r="605">
          <cell r="R605">
            <v>1</v>
          </cell>
          <cell r="S605">
            <v>1</v>
          </cell>
        </row>
        <row r="606">
          <cell r="R606">
            <v>1</v>
          </cell>
          <cell r="S606">
            <v>1</v>
          </cell>
        </row>
        <row r="607">
          <cell r="R607">
            <v>1</v>
          </cell>
          <cell r="S607">
            <v>1</v>
          </cell>
        </row>
        <row r="608">
          <cell r="R608">
            <v>1</v>
          </cell>
          <cell r="S608">
            <v>1</v>
          </cell>
        </row>
        <row r="609">
          <cell r="R609">
            <v>1</v>
          </cell>
          <cell r="S609">
            <v>1</v>
          </cell>
        </row>
        <row r="610">
          <cell r="R610">
            <v>1</v>
          </cell>
          <cell r="S610">
            <v>1</v>
          </cell>
        </row>
        <row r="611">
          <cell r="R611">
            <v>1</v>
          </cell>
          <cell r="S611">
            <v>1</v>
          </cell>
        </row>
        <row r="612">
          <cell r="R612">
            <v>1</v>
          </cell>
          <cell r="S612">
            <v>1</v>
          </cell>
        </row>
        <row r="613">
          <cell r="R613">
            <v>1</v>
          </cell>
          <cell r="S613">
            <v>1</v>
          </cell>
        </row>
        <row r="614">
          <cell r="R614">
            <v>1</v>
          </cell>
          <cell r="S614">
            <v>1</v>
          </cell>
        </row>
        <row r="615">
          <cell r="R615">
            <v>1</v>
          </cell>
          <cell r="S615">
            <v>1</v>
          </cell>
        </row>
        <row r="616">
          <cell r="R616">
            <v>1</v>
          </cell>
          <cell r="S616">
            <v>1</v>
          </cell>
        </row>
        <row r="617">
          <cell r="R617">
            <v>1</v>
          </cell>
          <cell r="S617">
            <v>1</v>
          </cell>
        </row>
        <row r="618">
          <cell r="R618">
            <v>1</v>
          </cell>
          <cell r="S618">
            <v>1</v>
          </cell>
        </row>
        <row r="619">
          <cell r="R619">
            <v>1</v>
          </cell>
          <cell r="S619">
            <v>1</v>
          </cell>
        </row>
        <row r="620">
          <cell r="R620">
            <v>1</v>
          </cell>
          <cell r="S620">
            <v>1</v>
          </cell>
        </row>
        <row r="621">
          <cell r="R621">
            <v>1</v>
          </cell>
          <cell r="S621">
            <v>1</v>
          </cell>
        </row>
        <row r="622">
          <cell r="R622">
            <v>1</v>
          </cell>
          <cell r="S622">
            <v>1</v>
          </cell>
        </row>
        <row r="623">
          <cell r="R623">
            <v>1</v>
          </cell>
          <cell r="S623">
            <v>1</v>
          </cell>
        </row>
        <row r="624">
          <cell r="R624">
            <v>1</v>
          </cell>
          <cell r="S624">
            <v>1</v>
          </cell>
        </row>
        <row r="625">
          <cell r="R625">
            <v>1</v>
          </cell>
          <cell r="S625">
            <v>1</v>
          </cell>
        </row>
        <row r="626">
          <cell r="R626">
            <v>1</v>
          </cell>
          <cell r="S626">
            <v>1</v>
          </cell>
        </row>
        <row r="627">
          <cell r="R627">
            <v>1</v>
          </cell>
          <cell r="S627">
            <v>1</v>
          </cell>
        </row>
        <row r="628">
          <cell r="R628">
            <v>1</v>
          </cell>
          <cell r="S628">
            <v>1</v>
          </cell>
        </row>
        <row r="629">
          <cell r="R629">
            <v>1</v>
          </cell>
          <cell r="S629">
            <v>1</v>
          </cell>
        </row>
        <row r="630">
          <cell r="R630">
            <v>1</v>
          </cell>
          <cell r="S630">
            <v>1</v>
          </cell>
        </row>
        <row r="631">
          <cell r="R631">
            <v>1</v>
          </cell>
          <cell r="S631">
            <v>1</v>
          </cell>
        </row>
        <row r="632">
          <cell r="R632">
            <v>1</v>
          </cell>
          <cell r="S632">
            <v>1</v>
          </cell>
        </row>
        <row r="633">
          <cell r="R633">
            <v>1</v>
          </cell>
          <cell r="S633">
            <v>1</v>
          </cell>
        </row>
        <row r="634">
          <cell r="R634">
            <v>1</v>
          </cell>
          <cell r="S634">
            <v>1</v>
          </cell>
        </row>
        <row r="635">
          <cell r="R635">
            <v>1</v>
          </cell>
          <cell r="S635">
            <v>1</v>
          </cell>
        </row>
        <row r="636">
          <cell r="R636">
            <v>1</v>
          </cell>
          <cell r="S636">
            <v>1</v>
          </cell>
        </row>
        <row r="637">
          <cell r="R637">
            <v>1</v>
          </cell>
          <cell r="S637">
            <v>1</v>
          </cell>
        </row>
        <row r="638">
          <cell r="R638">
            <v>1</v>
          </cell>
          <cell r="S638">
            <v>1</v>
          </cell>
        </row>
        <row r="639">
          <cell r="R639">
            <v>1</v>
          </cell>
          <cell r="S639">
            <v>1</v>
          </cell>
        </row>
        <row r="640">
          <cell r="R640">
            <v>1</v>
          </cell>
          <cell r="S640">
            <v>1</v>
          </cell>
        </row>
        <row r="641">
          <cell r="R641">
            <v>1</v>
          </cell>
          <cell r="S641">
            <v>1</v>
          </cell>
        </row>
        <row r="642">
          <cell r="R642">
            <v>1</v>
          </cell>
          <cell r="S642">
            <v>1</v>
          </cell>
        </row>
        <row r="643">
          <cell r="R643">
            <v>1</v>
          </cell>
          <cell r="S643">
            <v>1</v>
          </cell>
        </row>
        <row r="644">
          <cell r="R644">
            <v>1</v>
          </cell>
          <cell r="S644">
            <v>1</v>
          </cell>
        </row>
        <row r="645">
          <cell r="R645">
            <v>1</v>
          </cell>
          <cell r="S645">
            <v>1</v>
          </cell>
        </row>
        <row r="646">
          <cell r="R646">
            <v>1</v>
          </cell>
          <cell r="S646">
            <v>1</v>
          </cell>
        </row>
        <row r="647">
          <cell r="R647">
            <v>1</v>
          </cell>
          <cell r="S647">
            <v>1</v>
          </cell>
        </row>
        <row r="648">
          <cell r="R648">
            <v>1</v>
          </cell>
          <cell r="S648">
            <v>1</v>
          </cell>
        </row>
        <row r="649">
          <cell r="R649">
            <v>1</v>
          </cell>
          <cell r="S649">
            <v>1</v>
          </cell>
        </row>
        <row r="650">
          <cell r="R650">
            <v>1</v>
          </cell>
          <cell r="S650">
            <v>1</v>
          </cell>
        </row>
        <row r="651">
          <cell r="R651">
            <v>1</v>
          </cell>
          <cell r="S651">
            <v>1</v>
          </cell>
        </row>
        <row r="652">
          <cell r="R652">
            <v>1</v>
          </cell>
          <cell r="S652">
            <v>1</v>
          </cell>
        </row>
        <row r="653">
          <cell r="R653">
            <v>1</v>
          </cell>
          <cell r="S653">
            <v>1</v>
          </cell>
        </row>
        <row r="654">
          <cell r="R654">
            <v>1</v>
          </cell>
          <cell r="S654">
            <v>1</v>
          </cell>
        </row>
        <row r="655">
          <cell r="R655">
            <v>1</v>
          </cell>
          <cell r="S655">
            <v>1</v>
          </cell>
        </row>
        <row r="656">
          <cell r="R656">
            <v>1</v>
          </cell>
          <cell r="S656">
            <v>1</v>
          </cell>
        </row>
        <row r="657">
          <cell r="R657">
            <v>1</v>
          </cell>
          <cell r="S657">
            <v>1</v>
          </cell>
        </row>
        <row r="658">
          <cell r="R658">
            <v>1</v>
          </cell>
          <cell r="S658">
            <v>1</v>
          </cell>
        </row>
        <row r="659">
          <cell r="R659">
            <v>1</v>
          </cell>
          <cell r="S659">
            <v>1</v>
          </cell>
        </row>
        <row r="660">
          <cell r="R660">
            <v>1</v>
          </cell>
          <cell r="S660">
            <v>1</v>
          </cell>
        </row>
        <row r="661">
          <cell r="R661">
            <v>1</v>
          </cell>
          <cell r="S661">
            <v>1</v>
          </cell>
        </row>
        <row r="662">
          <cell r="R662">
            <v>1</v>
          </cell>
          <cell r="S662">
            <v>1</v>
          </cell>
        </row>
        <row r="663">
          <cell r="R663">
            <v>1</v>
          </cell>
          <cell r="S663">
            <v>1</v>
          </cell>
        </row>
        <row r="664">
          <cell r="R664">
            <v>1</v>
          </cell>
          <cell r="S664">
            <v>1</v>
          </cell>
        </row>
        <row r="665">
          <cell r="R665">
            <v>1</v>
          </cell>
          <cell r="S665">
            <v>1</v>
          </cell>
        </row>
        <row r="666">
          <cell r="R666">
            <v>1</v>
          </cell>
          <cell r="S666">
            <v>1</v>
          </cell>
        </row>
        <row r="667">
          <cell r="R667">
            <v>1</v>
          </cell>
          <cell r="S667">
            <v>1</v>
          </cell>
        </row>
        <row r="668">
          <cell r="R668">
            <v>1</v>
          </cell>
          <cell r="S668">
            <v>1</v>
          </cell>
        </row>
        <row r="669">
          <cell r="R669">
            <v>1</v>
          </cell>
          <cell r="S669">
            <v>1</v>
          </cell>
        </row>
        <row r="670">
          <cell r="R670">
            <v>1</v>
          </cell>
          <cell r="S670">
            <v>1</v>
          </cell>
        </row>
        <row r="671">
          <cell r="R671">
            <v>1</v>
          </cell>
          <cell r="S671">
            <v>1</v>
          </cell>
        </row>
        <row r="672">
          <cell r="R672">
            <v>1</v>
          </cell>
          <cell r="S672">
            <v>1</v>
          </cell>
        </row>
        <row r="673">
          <cell r="R673">
            <v>1</v>
          </cell>
          <cell r="S673">
            <v>1</v>
          </cell>
        </row>
        <row r="674">
          <cell r="R674">
            <v>1</v>
          </cell>
          <cell r="S674">
            <v>1</v>
          </cell>
        </row>
        <row r="675">
          <cell r="R675">
            <v>1</v>
          </cell>
          <cell r="S675">
            <v>1</v>
          </cell>
        </row>
        <row r="676">
          <cell r="R676">
            <v>1</v>
          </cell>
          <cell r="S676">
            <v>1</v>
          </cell>
        </row>
        <row r="677">
          <cell r="R677">
            <v>1</v>
          </cell>
          <cell r="S677">
            <v>1</v>
          </cell>
        </row>
        <row r="678">
          <cell r="R678">
            <v>1</v>
          </cell>
          <cell r="S678">
            <v>1</v>
          </cell>
        </row>
        <row r="679">
          <cell r="R679">
            <v>1</v>
          </cell>
          <cell r="S679">
            <v>1</v>
          </cell>
        </row>
        <row r="680">
          <cell r="R680">
            <v>1</v>
          </cell>
          <cell r="S680">
            <v>1</v>
          </cell>
        </row>
        <row r="681">
          <cell r="R681">
            <v>1</v>
          </cell>
          <cell r="S681">
            <v>1</v>
          </cell>
        </row>
        <row r="682">
          <cell r="R682">
            <v>1</v>
          </cell>
          <cell r="S682">
            <v>1</v>
          </cell>
        </row>
        <row r="683">
          <cell r="R683">
            <v>1</v>
          </cell>
          <cell r="S683">
            <v>1</v>
          </cell>
        </row>
        <row r="684">
          <cell r="R684">
            <v>1</v>
          </cell>
          <cell r="S684">
            <v>1</v>
          </cell>
        </row>
        <row r="685">
          <cell r="R685">
            <v>1</v>
          </cell>
          <cell r="S685">
            <v>1</v>
          </cell>
        </row>
        <row r="686">
          <cell r="R686">
            <v>1</v>
          </cell>
          <cell r="S686">
            <v>1</v>
          </cell>
        </row>
        <row r="687">
          <cell r="R687">
            <v>1</v>
          </cell>
          <cell r="S687">
            <v>1</v>
          </cell>
        </row>
        <row r="688">
          <cell r="R688">
            <v>1</v>
          </cell>
          <cell r="S688">
            <v>1</v>
          </cell>
        </row>
        <row r="689">
          <cell r="R689">
            <v>1</v>
          </cell>
          <cell r="S689">
            <v>1</v>
          </cell>
        </row>
        <row r="690">
          <cell r="R690">
            <v>1</v>
          </cell>
          <cell r="S690">
            <v>1</v>
          </cell>
        </row>
        <row r="691">
          <cell r="R691">
            <v>1</v>
          </cell>
          <cell r="S691">
            <v>1</v>
          </cell>
        </row>
        <row r="692">
          <cell r="R692">
            <v>1</v>
          </cell>
          <cell r="S692">
            <v>1</v>
          </cell>
        </row>
        <row r="693">
          <cell r="R693">
            <v>1</v>
          </cell>
          <cell r="S693">
            <v>1</v>
          </cell>
        </row>
        <row r="694">
          <cell r="R694">
            <v>1</v>
          </cell>
          <cell r="S694">
            <v>1</v>
          </cell>
        </row>
        <row r="695">
          <cell r="R695">
            <v>1</v>
          </cell>
          <cell r="S695">
            <v>1</v>
          </cell>
        </row>
        <row r="696">
          <cell r="R696">
            <v>1</v>
          </cell>
          <cell r="S696">
            <v>1</v>
          </cell>
        </row>
        <row r="697">
          <cell r="R697">
            <v>1</v>
          </cell>
          <cell r="S697">
            <v>1</v>
          </cell>
        </row>
        <row r="698">
          <cell r="R698">
            <v>1</v>
          </cell>
          <cell r="S698">
            <v>1</v>
          </cell>
        </row>
        <row r="699">
          <cell r="R699">
            <v>1</v>
          </cell>
          <cell r="S699">
            <v>1</v>
          </cell>
        </row>
        <row r="700">
          <cell r="R700">
            <v>1</v>
          </cell>
          <cell r="S700">
            <v>1</v>
          </cell>
        </row>
        <row r="701">
          <cell r="R701">
            <v>1</v>
          </cell>
          <cell r="S701">
            <v>1</v>
          </cell>
        </row>
        <row r="702">
          <cell r="R702">
            <v>1</v>
          </cell>
          <cell r="S702">
            <v>1</v>
          </cell>
        </row>
        <row r="703">
          <cell r="R703">
            <v>1</v>
          </cell>
          <cell r="S703">
            <v>1</v>
          </cell>
        </row>
        <row r="704">
          <cell r="R704">
            <v>1</v>
          </cell>
          <cell r="S704">
            <v>1</v>
          </cell>
        </row>
        <row r="705">
          <cell r="R705">
            <v>1</v>
          </cell>
          <cell r="S705">
            <v>1</v>
          </cell>
        </row>
        <row r="706">
          <cell r="R706">
            <v>1</v>
          </cell>
          <cell r="S706">
            <v>1</v>
          </cell>
        </row>
        <row r="707">
          <cell r="R707">
            <v>1</v>
          </cell>
          <cell r="S707">
            <v>1</v>
          </cell>
        </row>
        <row r="708">
          <cell r="R708">
            <v>1</v>
          </cell>
          <cell r="S708">
            <v>1</v>
          </cell>
        </row>
        <row r="709">
          <cell r="R709">
            <v>1</v>
          </cell>
          <cell r="S709">
            <v>1</v>
          </cell>
        </row>
        <row r="710">
          <cell r="R710">
            <v>1</v>
          </cell>
          <cell r="S710">
            <v>1</v>
          </cell>
        </row>
        <row r="711">
          <cell r="R711">
            <v>1</v>
          </cell>
          <cell r="S711">
            <v>1</v>
          </cell>
        </row>
        <row r="712">
          <cell r="R712">
            <v>1</v>
          </cell>
          <cell r="S712">
            <v>1</v>
          </cell>
        </row>
        <row r="713">
          <cell r="R713">
            <v>1</v>
          </cell>
          <cell r="S713">
            <v>1</v>
          </cell>
        </row>
        <row r="714">
          <cell r="R714">
            <v>1</v>
          </cell>
          <cell r="S714">
            <v>1</v>
          </cell>
        </row>
        <row r="715">
          <cell r="R715">
            <v>1</v>
          </cell>
          <cell r="S715">
            <v>1</v>
          </cell>
        </row>
        <row r="716">
          <cell r="R716">
            <v>1</v>
          </cell>
          <cell r="S716">
            <v>1</v>
          </cell>
        </row>
        <row r="717">
          <cell r="R717">
            <v>1</v>
          </cell>
          <cell r="S717">
            <v>1</v>
          </cell>
        </row>
        <row r="718">
          <cell r="R718">
            <v>1</v>
          </cell>
          <cell r="S718">
            <v>1</v>
          </cell>
        </row>
        <row r="719">
          <cell r="R719">
            <v>1</v>
          </cell>
          <cell r="S719">
            <v>1</v>
          </cell>
        </row>
        <row r="720">
          <cell r="R720">
            <v>1</v>
          </cell>
          <cell r="S720">
            <v>1</v>
          </cell>
        </row>
        <row r="721">
          <cell r="R721">
            <v>1</v>
          </cell>
          <cell r="S721">
            <v>1</v>
          </cell>
        </row>
        <row r="722">
          <cell r="R722">
            <v>1</v>
          </cell>
          <cell r="S722">
            <v>1</v>
          </cell>
        </row>
        <row r="723">
          <cell r="R723">
            <v>1</v>
          </cell>
          <cell r="S723">
            <v>1</v>
          </cell>
        </row>
        <row r="724">
          <cell r="R724">
            <v>1</v>
          </cell>
          <cell r="S724">
            <v>1</v>
          </cell>
        </row>
        <row r="725">
          <cell r="R725">
            <v>1</v>
          </cell>
          <cell r="S725">
            <v>1</v>
          </cell>
        </row>
        <row r="726">
          <cell r="R726">
            <v>1</v>
          </cell>
          <cell r="S726">
            <v>1</v>
          </cell>
        </row>
        <row r="727">
          <cell r="R727">
            <v>1</v>
          </cell>
          <cell r="S727">
            <v>1</v>
          </cell>
        </row>
        <row r="728">
          <cell r="R728">
            <v>1</v>
          </cell>
          <cell r="S728">
            <v>1</v>
          </cell>
        </row>
        <row r="729">
          <cell r="R729">
            <v>1</v>
          </cell>
          <cell r="S729">
            <v>1</v>
          </cell>
        </row>
        <row r="730">
          <cell r="R730">
            <v>1</v>
          </cell>
          <cell r="S730">
            <v>1</v>
          </cell>
        </row>
        <row r="731">
          <cell r="R731">
            <v>1</v>
          </cell>
          <cell r="S731">
            <v>1</v>
          </cell>
        </row>
        <row r="732">
          <cell r="R732">
            <v>1</v>
          </cell>
          <cell r="S732">
            <v>1</v>
          </cell>
        </row>
        <row r="733">
          <cell r="R733">
            <v>1</v>
          </cell>
          <cell r="S733">
            <v>1</v>
          </cell>
        </row>
        <row r="734">
          <cell r="R734">
            <v>1</v>
          </cell>
          <cell r="S734">
            <v>1</v>
          </cell>
        </row>
        <row r="735">
          <cell r="R735">
            <v>1</v>
          </cell>
          <cell r="S735">
            <v>1</v>
          </cell>
        </row>
        <row r="736">
          <cell r="R736">
            <v>1</v>
          </cell>
          <cell r="S736">
            <v>1</v>
          </cell>
        </row>
        <row r="737">
          <cell r="R737">
            <v>1</v>
          </cell>
          <cell r="S737">
            <v>1</v>
          </cell>
        </row>
        <row r="738">
          <cell r="R738">
            <v>1</v>
          </cell>
          <cell r="S738">
            <v>1</v>
          </cell>
        </row>
        <row r="739">
          <cell r="R739">
            <v>1</v>
          </cell>
          <cell r="S739">
            <v>1</v>
          </cell>
        </row>
        <row r="740">
          <cell r="R740">
            <v>1</v>
          </cell>
          <cell r="S740">
            <v>1</v>
          </cell>
        </row>
        <row r="741">
          <cell r="R741">
            <v>1</v>
          </cell>
          <cell r="S741">
            <v>1</v>
          </cell>
        </row>
        <row r="742">
          <cell r="R742">
            <v>1</v>
          </cell>
          <cell r="S742">
            <v>1</v>
          </cell>
        </row>
        <row r="743">
          <cell r="R743">
            <v>1</v>
          </cell>
          <cell r="S743">
            <v>1</v>
          </cell>
        </row>
        <row r="744">
          <cell r="R744">
            <v>1</v>
          </cell>
          <cell r="S744">
            <v>1</v>
          </cell>
        </row>
        <row r="745">
          <cell r="R745">
            <v>1</v>
          </cell>
          <cell r="S745">
            <v>1</v>
          </cell>
        </row>
        <row r="746">
          <cell r="R746">
            <v>1</v>
          </cell>
          <cell r="S746">
            <v>1</v>
          </cell>
        </row>
        <row r="747">
          <cell r="R747">
            <v>1</v>
          </cell>
          <cell r="S747">
            <v>1</v>
          </cell>
        </row>
        <row r="748">
          <cell r="R748">
            <v>1</v>
          </cell>
          <cell r="S748">
            <v>1</v>
          </cell>
        </row>
        <row r="749">
          <cell r="R749">
            <v>1</v>
          </cell>
          <cell r="S749">
            <v>1</v>
          </cell>
        </row>
        <row r="750">
          <cell r="R750">
            <v>1</v>
          </cell>
          <cell r="S750">
            <v>1</v>
          </cell>
        </row>
        <row r="751">
          <cell r="R751">
            <v>1</v>
          </cell>
          <cell r="S751">
            <v>1</v>
          </cell>
        </row>
        <row r="752">
          <cell r="R752">
            <v>1</v>
          </cell>
          <cell r="S752">
            <v>1</v>
          </cell>
        </row>
        <row r="753">
          <cell r="R753">
            <v>1</v>
          </cell>
          <cell r="S753">
            <v>1</v>
          </cell>
        </row>
        <row r="754">
          <cell r="R754">
            <v>1</v>
          </cell>
          <cell r="S754">
            <v>1</v>
          </cell>
        </row>
        <row r="755">
          <cell r="R755">
            <v>1</v>
          </cell>
          <cell r="S755">
            <v>1</v>
          </cell>
        </row>
        <row r="756">
          <cell r="R756">
            <v>1</v>
          </cell>
          <cell r="S756">
            <v>1</v>
          </cell>
        </row>
        <row r="757">
          <cell r="R757">
            <v>1</v>
          </cell>
          <cell r="S757">
            <v>1</v>
          </cell>
        </row>
        <row r="758">
          <cell r="R758">
            <v>1</v>
          </cell>
          <cell r="S758">
            <v>1</v>
          </cell>
        </row>
        <row r="759">
          <cell r="R759">
            <v>1</v>
          </cell>
          <cell r="S759">
            <v>1</v>
          </cell>
        </row>
        <row r="760">
          <cell r="R760">
            <v>1</v>
          </cell>
          <cell r="S760">
            <v>1</v>
          </cell>
        </row>
        <row r="761">
          <cell r="R761">
            <v>1</v>
          </cell>
          <cell r="S761">
            <v>1</v>
          </cell>
        </row>
        <row r="762">
          <cell r="R762">
            <v>1</v>
          </cell>
          <cell r="S762">
            <v>1</v>
          </cell>
        </row>
        <row r="763">
          <cell r="R763">
            <v>1</v>
          </cell>
          <cell r="S763">
            <v>1</v>
          </cell>
        </row>
        <row r="764">
          <cell r="R764">
            <v>1</v>
          </cell>
          <cell r="S764">
            <v>1</v>
          </cell>
        </row>
        <row r="765">
          <cell r="R765">
            <v>1</v>
          </cell>
          <cell r="S765">
            <v>1</v>
          </cell>
        </row>
        <row r="766">
          <cell r="R766">
            <v>1</v>
          </cell>
          <cell r="S766">
            <v>1</v>
          </cell>
        </row>
        <row r="767">
          <cell r="R767">
            <v>1</v>
          </cell>
          <cell r="S767">
            <v>1</v>
          </cell>
        </row>
        <row r="768">
          <cell r="R768">
            <v>1</v>
          </cell>
          <cell r="S768">
            <v>1</v>
          </cell>
        </row>
        <row r="769">
          <cell r="R769">
            <v>1</v>
          </cell>
          <cell r="S769">
            <v>1</v>
          </cell>
        </row>
        <row r="770">
          <cell r="R770">
            <v>1</v>
          </cell>
          <cell r="S770">
            <v>1</v>
          </cell>
        </row>
        <row r="771">
          <cell r="R771">
            <v>1</v>
          </cell>
          <cell r="S771">
            <v>1</v>
          </cell>
        </row>
        <row r="772">
          <cell r="R772">
            <v>1</v>
          </cell>
          <cell r="S772">
            <v>1</v>
          </cell>
        </row>
        <row r="773">
          <cell r="R773">
            <v>1</v>
          </cell>
          <cell r="S773">
            <v>1</v>
          </cell>
        </row>
        <row r="774">
          <cell r="R774">
            <v>1</v>
          </cell>
          <cell r="S774">
            <v>1</v>
          </cell>
        </row>
        <row r="775">
          <cell r="R775">
            <v>1</v>
          </cell>
          <cell r="S775">
            <v>1</v>
          </cell>
        </row>
        <row r="776">
          <cell r="R776">
            <v>1</v>
          </cell>
          <cell r="S776">
            <v>1</v>
          </cell>
        </row>
        <row r="777">
          <cell r="R777">
            <v>1</v>
          </cell>
          <cell r="S777">
            <v>1</v>
          </cell>
        </row>
        <row r="778">
          <cell r="R778">
            <v>1</v>
          </cell>
          <cell r="S778">
            <v>1</v>
          </cell>
        </row>
        <row r="779">
          <cell r="R779">
            <v>1</v>
          </cell>
          <cell r="S779">
            <v>1</v>
          </cell>
        </row>
        <row r="780">
          <cell r="R780">
            <v>1</v>
          </cell>
          <cell r="S780">
            <v>1</v>
          </cell>
        </row>
        <row r="781">
          <cell r="R781">
            <v>1</v>
          </cell>
          <cell r="S781">
            <v>1</v>
          </cell>
        </row>
        <row r="782">
          <cell r="R782">
            <v>1</v>
          </cell>
          <cell r="S782">
            <v>1</v>
          </cell>
        </row>
        <row r="783">
          <cell r="R783">
            <v>1</v>
          </cell>
          <cell r="S783">
            <v>1</v>
          </cell>
        </row>
        <row r="784">
          <cell r="R784">
            <v>1</v>
          </cell>
          <cell r="S784">
            <v>1</v>
          </cell>
        </row>
        <row r="785">
          <cell r="R785">
            <v>1</v>
          </cell>
          <cell r="S785">
            <v>1</v>
          </cell>
        </row>
        <row r="786">
          <cell r="R786">
            <v>1</v>
          </cell>
          <cell r="S786">
            <v>1</v>
          </cell>
        </row>
        <row r="787">
          <cell r="R787">
            <v>1</v>
          </cell>
          <cell r="S787">
            <v>1</v>
          </cell>
        </row>
        <row r="788">
          <cell r="R788">
            <v>1</v>
          </cell>
          <cell r="S788">
            <v>1</v>
          </cell>
        </row>
        <row r="789">
          <cell r="R789">
            <v>1</v>
          </cell>
          <cell r="S789">
            <v>1</v>
          </cell>
        </row>
        <row r="790">
          <cell r="R790">
            <v>1</v>
          </cell>
          <cell r="S790">
            <v>1</v>
          </cell>
        </row>
        <row r="791">
          <cell r="R791">
            <v>1</v>
          </cell>
          <cell r="S791">
            <v>1</v>
          </cell>
        </row>
        <row r="792">
          <cell r="R792">
            <v>1</v>
          </cell>
          <cell r="S792">
            <v>1</v>
          </cell>
        </row>
        <row r="793">
          <cell r="R793">
            <v>1</v>
          </cell>
          <cell r="S793">
            <v>1</v>
          </cell>
        </row>
        <row r="794">
          <cell r="R794">
            <v>1</v>
          </cell>
          <cell r="S794">
            <v>1</v>
          </cell>
        </row>
        <row r="795">
          <cell r="R795">
            <v>1</v>
          </cell>
          <cell r="S795">
            <v>1</v>
          </cell>
        </row>
        <row r="796">
          <cell r="R796">
            <v>1</v>
          </cell>
          <cell r="S796">
            <v>1</v>
          </cell>
        </row>
        <row r="797">
          <cell r="R797">
            <v>1</v>
          </cell>
          <cell r="S797">
            <v>1</v>
          </cell>
        </row>
        <row r="798">
          <cell r="R798">
            <v>1</v>
          </cell>
          <cell r="S798">
            <v>1</v>
          </cell>
        </row>
        <row r="799">
          <cell r="R799">
            <v>1</v>
          </cell>
          <cell r="S799">
            <v>1</v>
          </cell>
        </row>
        <row r="800">
          <cell r="R800">
            <v>1</v>
          </cell>
          <cell r="S800">
            <v>1</v>
          </cell>
        </row>
        <row r="801">
          <cell r="R801">
            <v>1</v>
          </cell>
          <cell r="S801">
            <v>1</v>
          </cell>
        </row>
        <row r="802">
          <cell r="R802">
            <v>1</v>
          </cell>
          <cell r="S802">
            <v>1</v>
          </cell>
        </row>
        <row r="803">
          <cell r="R803">
            <v>1</v>
          </cell>
          <cell r="S803">
            <v>1</v>
          </cell>
        </row>
        <row r="804">
          <cell r="R804">
            <v>1</v>
          </cell>
          <cell r="S804">
            <v>1</v>
          </cell>
        </row>
        <row r="805">
          <cell r="R805">
            <v>1</v>
          </cell>
          <cell r="S805">
            <v>1</v>
          </cell>
        </row>
        <row r="806">
          <cell r="R806">
            <v>1</v>
          </cell>
          <cell r="S806">
            <v>1</v>
          </cell>
        </row>
        <row r="807">
          <cell r="R807">
            <v>1</v>
          </cell>
          <cell r="S807">
            <v>1</v>
          </cell>
        </row>
        <row r="808">
          <cell r="R808">
            <v>1</v>
          </cell>
          <cell r="S808">
            <v>1</v>
          </cell>
        </row>
        <row r="809">
          <cell r="R809">
            <v>1</v>
          </cell>
          <cell r="S809">
            <v>1</v>
          </cell>
        </row>
        <row r="810">
          <cell r="R810">
            <v>1</v>
          </cell>
          <cell r="S810">
            <v>1</v>
          </cell>
        </row>
        <row r="811">
          <cell r="R811">
            <v>1</v>
          </cell>
          <cell r="S811">
            <v>1</v>
          </cell>
        </row>
        <row r="812">
          <cell r="R812">
            <v>1</v>
          </cell>
          <cell r="S812">
            <v>1</v>
          </cell>
        </row>
        <row r="813">
          <cell r="R813">
            <v>1</v>
          </cell>
          <cell r="S813">
            <v>1</v>
          </cell>
        </row>
        <row r="814">
          <cell r="R814">
            <v>1</v>
          </cell>
          <cell r="S814">
            <v>1</v>
          </cell>
        </row>
        <row r="815">
          <cell r="R815">
            <v>1</v>
          </cell>
          <cell r="S815">
            <v>1</v>
          </cell>
        </row>
        <row r="816">
          <cell r="R816">
            <v>1</v>
          </cell>
          <cell r="S816">
            <v>1</v>
          </cell>
        </row>
        <row r="817">
          <cell r="R817">
            <v>1</v>
          </cell>
          <cell r="S817">
            <v>1</v>
          </cell>
        </row>
        <row r="818">
          <cell r="R818">
            <v>1</v>
          </cell>
          <cell r="S818">
            <v>1</v>
          </cell>
        </row>
        <row r="819">
          <cell r="R819">
            <v>1</v>
          </cell>
          <cell r="S819">
            <v>1</v>
          </cell>
        </row>
        <row r="820">
          <cell r="R820">
            <v>1</v>
          </cell>
          <cell r="S820">
            <v>1</v>
          </cell>
        </row>
        <row r="821">
          <cell r="R821">
            <v>1</v>
          </cell>
          <cell r="S821">
            <v>1</v>
          </cell>
        </row>
        <row r="822">
          <cell r="R822">
            <v>1</v>
          </cell>
          <cell r="S822">
            <v>1</v>
          </cell>
        </row>
        <row r="823">
          <cell r="R823">
            <v>1</v>
          </cell>
          <cell r="S823">
            <v>1</v>
          </cell>
        </row>
        <row r="824">
          <cell r="R824">
            <v>1</v>
          </cell>
          <cell r="S824">
            <v>1</v>
          </cell>
        </row>
        <row r="825">
          <cell r="R825">
            <v>1</v>
          </cell>
          <cell r="S825">
            <v>1</v>
          </cell>
        </row>
        <row r="826">
          <cell r="R826">
            <v>1</v>
          </cell>
          <cell r="S826">
            <v>1</v>
          </cell>
        </row>
        <row r="827">
          <cell r="R827">
            <v>1</v>
          </cell>
          <cell r="S827">
            <v>1</v>
          </cell>
        </row>
        <row r="828">
          <cell r="R828">
            <v>1</v>
          </cell>
          <cell r="S828">
            <v>1</v>
          </cell>
        </row>
        <row r="829">
          <cell r="R829">
            <v>1</v>
          </cell>
          <cell r="S829">
            <v>1</v>
          </cell>
        </row>
        <row r="830">
          <cell r="R830">
            <v>1</v>
          </cell>
          <cell r="S830">
            <v>1</v>
          </cell>
        </row>
        <row r="831">
          <cell r="R831">
            <v>1</v>
          </cell>
          <cell r="S831">
            <v>1</v>
          </cell>
        </row>
        <row r="832">
          <cell r="R832">
            <v>1</v>
          </cell>
          <cell r="S832">
            <v>1</v>
          </cell>
        </row>
        <row r="833">
          <cell r="R833">
            <v>1</v>
          </cell>
          <cell r="S833">
            <v>1</v>
          </cell>
        </row>
        <row r="834">
          <cell r="R834">
            <v>1</v>
          </cell>
          <cell r="S834">
            <v>1</v>
          </cell>
        </row>
        <row r="835">
          <cell r="R835">
            <v>1</v>
          </cell>
          <cell r="S835">
            <v>1</v>
          </cell>
        </row>
        <row r="836">
          <cell r="R836">
            <v>1</v>
          </cell>
          <cell r="S836">
            <v>1</v>
          </cell>
        </row>
        <row r="837">
          <cell r="R837">
            <v>1</v>
          </cell>
          <cell r="S837">
            <v>1</v>
          </cell>
        </row>
        <row r="838">
          <cell r="R838">
            <v>1</v>
          </cell>
          <cell r="S838">
            <v>1</v>
          </cell>
        </row>
        <row r="839">
          <cell r="R839">
            <v>1</v>
          </cell>
          <cell r="S839">
            <v>1</v>
          </cell>
        </row>
        <row r="840">
          <cell r="R840">
            <v>1</v>
          </cell>
          <cell r="S840">
            <v>1</v>
          </cell>
        </row>
        <row r="841">
          <cell r="R841">
            <v>1</v>
          </cell>
          <cell r="S841">
            <v>1</v>
          </cell>
        </row>
        <row r="842">
          <cell r="R842">
            <v>1</v>
          </cell>
          <cell r="S842">
            <v>1</v>
          </cell>
        </row>
        <row r="843">
          <cell r="R843">
            <v>1</v>
          </cell>
          <cell r="S843">
            <v>1</v>
          </cell>
        </row>
        <row r="844">
          <cell r="R844">
            <v>1</v>
          </cell>
          <cell r="S844">
            <v>1</v>
          </cell>
        </row>
        <row r="845">
          <cell r="R845">
            <v>1</v>
          </cell>
          <cell r="S845">
            <v>1</v>
          </cell>
        </row>
        <row r="846">
          <cell r="R846">
            <v>1</v>
          </cell>
          <cell r="S846">
            <v>1</v>
          </cell>
        </row>
        <row r="847">
          <cell r="R847">
            <v>1</v>
          </cell>
          <cell r="S847">
            <v>1</v>
          </cell>
        </row>
        <row r="848">
          <cell r="R848">
            <v>1</v>
          </cell>
          <cell r="S848">
            <v>1</v>
          </cell>
        </row>
        <row r="849">
          <cell r="R849">
            <v>1</v>
          </cell>
          <cell r="S849">
            <v>1</v>
          </cell>
        </row>
        <row r="850">
          <cell r="R850">
            <v>1</v>
          </cell>
          <cell r="S850">
            <v>1</v>
          </cell>
        </row>
        <row r="851">
          <cell r="R851">
            <v>1</v>
          </cell>
          <cell r="S851">
            <v>1</v>
          </cell>
        </row>
        <row r="852">
          <cell r="R852">
            <v>1</v>
          </cell>
          <cell r="S852">
            <v>1</v>
          </cell>
        </row>
        <row r="853">
          <cell r="R853">
            <v>1</v>
          </cell>
          <cell r="S853">
            <v>1</v>
          </cell>
        </row>
        <row r="854">
          <cell r="R854">
            <v>1</v>
          </cell>
          <cell r="S854">
            <v>1</v>
          </cell>
        </row>
        <row r="855">
          <cell r="R855">
            <v>1</v>
          </cell>
          <cell r="S855">
            <v>1</v>
          </cell>
        </row>
        <row r="856">
          <cell r="R856">
            <v>1</v>
          </cell>
          <cell r="S856">
            <v>1</v>
          </cell>
        </row>
        <row r="857">
          <cell r="R857">
            <v>1</v>
          </cell>
          <cell r="S857">
            <v>1</v>
          </cell>
        </row>
        <row r="858">
          <cell r="R858">
            <v>1</v>
          </cell>
          <cell r="S858">
            <v>1</v>
          </cell>
        </row>
        <row r="859">
          <cell r="R859">
            <v>1</v>
          </cell>
          <cell r="S859">
            <v>1</v>
          </cell>
        </row>
        <row r="860">
          <cell r="R860">
            <v>1</v>
          </cell>
          <cell r="S860">
            <v>1</v>
          </cell>
        </row>
        <row r="861">
          <cell r="R861">
            <v>1</v>
          </cell>
          <cell r="S861">
            <v>1</v>
          </cell>
        </row>
        <row r="862">
          <cell r="R862">
            <v>1</v>
          </cell>
          <cell r="S862">
            <v>1</v>
          </cell>
        </row>
        <row r="863">
          <cell r="R863">
            <v>1</v>
          </cell>
          <cell r="S863">
            <v>1</v>
          </cell>
        </row>
        <row r="864">
          <cell r="R864">
            <v>1</v>
          </cell>
          <cell r="S864">
            <v>1</v>
          </cell>
        </row>
        <row r="865">
          <cell r="R865">
            <v>1</v>
          </cell>
          <cell r="S865">
            <v>1</v>
          </cell>
        </row>
        <row r="866">
          <cell r="R866">
            <v>1</v>
          </cell>
          <cell r="S866">
            <v>1</v>
          </cell>
        </row>
        <row r="867">
          <cell r="R867">
            <v>1</v>
          </cell>
          <cell r="S867">
            <v>1</v>
          </cell>
        </row>
        <row r="868">
          <cell r="R868">
            <v>1</v>
          </cell>
          <cell r="S868">
            <v>1</v>
          </cell>
        </row>
        <row r="869">
          <cell r="R869">
            <v>1</v>
          </cell>
          <cell r="S869">
            <v>1</v>
          </cell>
        </row>
        <row r="870">
          <cell r="R870">
            <v>1</v>
          </cell>
          <cell r="S870">
            <v>1</v>
          </cell>
        </row>
        <row r="871">
          <cell r="R871">
            <v>1</v>
          </cell>
          <cell r="S871">
            <v>1</v>
          </cell>
        </row>
        <row r="872">
          <cell r="R872">
            <v>1</v>
          </cell>
          <cell r="S872">
            <v>1</v>
          </cell>
        </row>
        <row r="873">
          <cell r="R873">
            <v>1</v>
          </cell>
          <cell r="S873">
            <v>1</v>
          </cell>
        </row>
        <row r="874">
          <cell r="R874">
            <v>1</v>
          </cell>
          <cell r="S874">
            <v>1</v>
          </cell>
        </row>
        <row r="875">
          <cell r="R875">
            <v>1</v>
          </cell>
          <cell r="S875">
            <v>1</v>
          </cell>
        </row>
        <row r="876">
          <cell r="R876">
            <v>1</v>
          </cell>
          <cell r="S876">
            <v>1</v>
          </cell>
        </row>
        <row r="877">
          <cell r="R877">
            <v>1</v>
          </cell>
          <cell r="S877">
            <v>1</v>
          </cell>
        </row>
        <row r="878">
          <cell r="R878">
            <v>1</v>
          </cell>
          <cell r="S878">
            <v>1</v>
          </cell>
        </row>
        <row r="879">
          <cell r="R879">
            <v>1</v>
          </cell>
          <cell r="S879">
            <v>1</v>
          </cell>
        </row>
        <row r="880">
          <cell r="R880">
            <v>1</v>
          </cell>
          <cell r="S880">
            <v>1</v>
          </cell>
        </row>
        <row r="881">
          <cell r="R881">
            <v>1</v>
          </cell>
          <cell r="S881">
            <v>1</v>
          </cell>
        </row>
        <row r="882">
          <cell r="R882">
            <v>1</v>
          </cell>
          <cell r="S882">
            <v>1</v>
          </cell>
        </row>
        <row r="883">
          <cell r="R883">
            <v>1</v>
          </cell>
          <cell r="S883">
            <v>1</v>
          </cell>
        </row>
        <row r="884">
          <cell r="R884">
            <v>1</v>
          </cell>
          <cell r="S884">
            <v>1</v>
          </cell>
        </row>
        <row r="885">
          <cell r="R885">
            <v>1</v>
          </cell>
          <cell r="S885">
            <v>1</v>
          </cell>
        </row>
        <row r="886">
          <cell r="R886">
            <v>1</v>
          </cell>
          <cell r="S886">
            <v>1</v>
          </cell>
        </row>
        <row r="887">
          <cell r="R887">
            <v>1</v>
          </cell>
          <cell r="S887">
            <v>1</v>
          </cell>
        </row>
        <row r="888">
          <cell r="R888">
            <v>1</v>
          </cell>
          <cell r="S888">
            <v>1</v>
          </cell>
        </row>
        <row r="889">
          <cell r="R889">
            <v>1</v>
          </cell>
          <cell r="S889">
            <v>1</v>
          </cell>
        </row>
        <row r="890">
          <cell r="R890">
            <v>1</v>
          </cell>
          <cell r="S890">
            <v>1</v>
          </cell>
        </row>
        <row r="891">
          <cell r="R891">
            <v>1</v>
          </cell>
          <cell r="S891">
            <v>1</v>
          </cell>
        </row>
        <row r="892">
          <cell r="R892">
            <v>1</v>
          </cell>
          <cell r="S892">
            <v>1</v>
          </cell>
        </row>
        <row r="893">
          <cell r="R893">
            <v>1</v>
          </cell>
          <cell r="S893">
            <v>1</v>
          </cell>
        </row>
        <row r="894">
          <cell r="R894">
            <v>1</v>
          </cell>
          <cell r="S894">
            <v>1</v>
          </cell>
        </row>
        <row r="895">
          <cell r="R895">
            <v>1</v>
          </cell>
          <cell r="S895">
            <v>1</v>
          </cell>
        </row>
        <row r="896">
          <cell r="R896">
            <v>1</v>
          </cell>
          <cell r="S896">
            <v>1</v>
          </cell>
        </row>
        <row r="897">
          <cell r="R897">
            <v>1</v>
          </cell>
          <cell r="S897">
            <v>1</v>
          </cell>
        </row>
        <row r="898">
          <cell r="R898">
            <v>1</v>
          </cell>
          <cell r="S898">
            <v>1</v>
          </cell>
        </row>
        <row r="899">
          <cell r="R899">
            <v>1</v>
          </cell>
          <cell r="S899">
            <v>1</v>
          </cell>
        </row>
        <row r="900">
          <cell r="R900">
            <v>1</v>
          </cell>
          <cell r="S900">
            <v>1</v>
          </cell>
        </row>
        <row r="901">
          <cell r="R901">
            <v>1</v>
          </cell>
          <cell r="S901">
            <v>1</v>
          </cell>
        </row>
        <row r="902">
          <cell r="R902">
            <v>1</v>
          </cell>
          <cell r="S902">
            <v>1</v>
          </cell>
        </row>
        <row r="903">
          <cell r="R903">
            <v>1</v>
          </cell>
          <cell r="S903">
            <v>1</v>
          </cell>
        </row>
        <row r="904">
          <cell r="R904">
            <v>1</v>
          </cell>
          <cell r="S904">
            <v>1</v>
          </cell>
        </row>
        <row r="905">
          <cell r="R905">
            <v>1</v>
          </cell>
          <cell r="S905">
            <v>1</v>
          </cell>
        </row>
        <row r="906">
          <cell r="R906">
            <v>1</v>
          </cell>
          <cell r="S906">
            <v>1</v>
          </cell>
        </row>
        <row r="907">
          <cell r="R907">
            <v>1</v>
          </cell>
          <cell r="S907">
            <v>1</v>
          </cell>
        </row>
        <row r="908">
          <cell r="R908">
            <v>1</v>
          </cell>
          <cell r="S908">
            <v>1</v>
          </cell>
        </row>
        <row r="909">
          <cell r="R909">
            <v>1</v>
          </cell>
          <cell r="S909">
            <v>1</v>
          </cell>
        </row>
        <row r="910">
          <cell r="R910">
            <v>1</v>
          </cell>
          <cell r="S910">
            <v>1</v>
          </cell>
        </row>
        <row r="911">
          <cell r="R911">
            <v>1</v>
          </cell>
          <cell r="S911">
            <v>1</v>
          </cell>
        </row>
        <row r="912">
          <cell r="R912">
            <v>1</v>
          </cell>
          <cell r="S912">
            <v>1</v>
          </cell>
        </row>
        <row r="913">
          <cell r="R913">
            <v>1</v>
          </cell>
          <cell r="S913">
            <v>1</v>
          </cell>
        </row>
        <row r="914">
          <cell r="R914">
            <v>1</v>
          </cell>
          <cell r="S914">
            <v>1</v>
          </cell>
        </row>
        <row r="915">
          <cell r="R915">
            <v>1</v>
          </cell>
          <cell r="S915">
            <v>1</v>
          </cell>
        </row>
        <row r="916">
          <cell r="R916">
            <v>1</v>
          </cell>
          <cell r="S916">
            <v>1</v>
          </cell>
        </row>
        <row r="917">
          <cell r="R917">
            <v>1</v>
          </cell>
          <cell r="S917">
            <v>1</v>
          </cell>
        </row>
        <row r="918">
          <cell r="R918">
            <v>1</v>
          </cell>
          <cell r="S918">
            <v>1</v>
          </cell>
        </row>
        <row r="919">
          <cell r="R919">
            <v>1</v>
          </cell>
          <cell r="S919">
            <v>1</v>
          </cell>
        </row>
        <row r="920">
          <cell r="R920">
            <v>1</v>
          </cell>
          <cell r="S920">
            <v>1</v>
          </cell>
        </row>
        <row r="921">
          <cell r="R921">
            <v>1</v>
          </cell>
          <cell r="S921">
            <v>1</v>
          </cell>
        </row>
        <row r="922">
          <cell r="R922">
            <v>1</v>
          </cell>
          <cell r="S922">
            <v>1</v>
          </cell>
        </row>
        <row r="923">
          <cell r="R923">
            <v>1</v>
          </cell>
          <cell r="S923">
            <v>1</v>
          </cell>
        </row>
        <row r="924">
          <cell r="R924">
            <v>1</v>
          </cell>
          <cell r="S924">
            <v>1</v>
          </cell>
        </row>
        <row r="925">
          <cell r="R925">
            <v>1</v>
          </cell>
          <cell r="S925">
            <v>1</v>
          </cell>
        </row>
        <row r="926">
          <cell r="R926">
            <v>1</v>
          </cell>
          <cell r="S926">
            <v>1</v>
          </cell>
        </row>
        <row r="927">
          <cell r="R927">
            <v>1</v>
          </cell>
          <cell r="S927">
            <v>1</v>
          </cell>
        </row>
        <row r="928">
          <cell r="R928">
            <v>1</v>
          </cell>
          <cell r="S928">
            <v>1</v>
          </cell>
        </row>
        <row r="929">
          <cell r="R929">
            <v>1</v>
          </cell>
          <cell r="S929">
            <v>1</v>
          </cell>
        </row>
        <row r="930">
          <cell r="R930">
            <v>1</v>
          </cell>
          <cell r="S930">
            <v>1</v>
          </cell>
        </row>
        <row r="931">
          <cell r="R931">
            <v>1</v>
          </cell>
          <cell r="S931">
            <v>1</v>
          </cell>
        </row>
        <row r="932">
          <cell r="R932">
            <v>1</v>
          </cell>
          <cell r="S932">
            <v>1</v>
          </cell>
        </row>
        <row r="933">
          <cell r="R933">
            <v>1</v>
          </cell>
          <cell r="S933">
            <v>1</v>
          </cell>
        </row>
        <row r="934">
          <cell r="R934">
            <v>1</v>
          </cell>
          <cell r="S934">
            <v>1</v>
          </cell>
        </row>
        <row r="935">
          <cell r="R935">
            <v>1</v>
          </cell>
          <cell r="S935">
            <v>1</v>
          </cell>
        </row>
        <row r="936">
          <cell r="R936">
            <v>1</v>
          </cell>
          <cell r="S936">
            <v>1</v>
          </cell>
        </row>
        <row r="937">
          <cell r="R937">
            <v>1</v>
          </cell>
          <cell r="S937">
            <v>1</v>
          </cell>
        </row>
        <row r="938">
          <cell r="R938">
            <v>1</v>
          </cell>
          <cell r="S938">
            <v>1</v>
          </cell>
        </row>
        <row r="939">
          <cell r="R939">
            <v>1</v>
          </cell>
          <cell r="S939">
            <v>1</v>
          </cell>
        </row>
        <row r="940">
          <cell r="R940">
            <v>1</v>
          </cell>
          <cell r="S940">
            <v>1</v>
          </cell>
        </row>
        <row r="941">
          <cell r="R941">
            <v>1</v>
          </cell>
          <cell r="S941">
            <v>1</v>
          </cell>
        </row>
        <row r="942">
          <cell r="R942">
            <v>1</v>
          </cell>
          <cell r="S942">
            <v>1</v>
          </cell>
        </row>
        <row r="943">
          <cell r="R943">
            <v>1</v>
          </cell>
          <cell r="S943">
            <v>1</v>
          </cell>
        </row>
        <row r="944">
          <cell r="R944">
            <v>1</v>
          </cell>
          <cell r="S944">
            <v>1</v>
          </cell>
        </row>
        <row r="945">
          <cell r="R945">
            <v>1</v>
          </cell>
          <cell r="S945">
            <v>1</v>
          </cell>
        </row>
        <row r="946">
          <cell r="R946">
            <v>1</v>
          </cell>
          <cell r="S946">
            <v>1</v>
          </cell>
        </row>
        <row r="947">
          <cell r="R947">
            <v>1</v>
          </cell>
          <cell r="S947">
            <v>1</v>
          </cell>
        </row>
        <row r="948">
          <cell r="R948">
            <v>1</v>
          </cell>
          <cell r="S948">
            <v>1</v>
          </cell>
        </row>
        <row r="949">
          <cell r="R949">
            <v>1</v>
          </cell>
          <cell r="S949">
            <v>1</v>
          </cell>
        </row>
        <row r="950">
          <cell r="R950">
            <v>1</v>
          </cell>
          <cell r="S950">
            <v>1</v>
          </cell>
        </row>
        <row r="951">
          <cell r="R951">
            <v>1</v>
          </cell>
          <cell r="S951">
            <v>1</v>
          </cell>
        </row>
        <row r="952">
          <cell r="R952">
            <v>1</v>
          </cell>
          <cell r="S952">
            <v>1</v>
          </cell>
        </row>
        <row r="953">
          <cell r="R953">
            <v>1</v>
          </cell>
          <cell r="S953">
            <v>1</v>
          </cell>
        </row>
        <row r="954">
          <cell r="R954">
            <v>1</v>
          </cell>
          <cell r="S954">
            <v>1</v>
          </cell>
        </row>
        <row r="955">
          <cell r="R955">
            <v>1</v>
          </cell>
          <cell r="S955">
            <v>1</v>
          </cell>
        </row>
        <row r="956">
          <cell r="R956">
            <v>1</v>
          </cell>
          <cell r="S956">
            <v>1</v>
          </cell>
        </row>
        <row r="957">
          <cell r="R957">
            <v>1</v>
          </cell>
          <cell r="S957">
            <v>1</v>
          </cell>
        </row>
        <row r="958">
          <cell r="R958">
            <v>1</v>
          </cell>
          <cell r="S958">
            <v>1</v>
          </cell>
        </row>
        <row r="959">
          <cell r="R959">
            <v>1</v>
          </cell>
          <cell r="S959">
            <v>1</v>
          </cell>
        </row>
        <row r="960">
          <cell r="R960">
            <v>1</v>
          </cell>
          <cell r="S960">
            <v>1</v>
          </cell>
        </row>
        <row r="961">
          <cell r="R961">
            <v>1</v>
          </cell>
          <cell r="S961">
            <v>1</v>
          </cell>
        </row>
        <row r="962">
          <cell r="R962">
            <v>1</v>
          </cell>
          <cell r="S962">
            <v>1</v>
          </cell>
        </row>
        <row r="963">
          <cell r="R963">
            <v>1</v>
          </cell>
          <cell r="S963">
            <v>1</v>
          </cell>
        </row>
        <row r="964">
          <cell r="R964">
            <v>1</v>
          </cell>
          <cell r="S964">
            <v>1</v>
          </cell>
        </row>
        <row r="965">
          <cell r="R965">
            <v>1</v>
          </cell>
          <cell r="S965">
            <v>1</v>
          </cell>
        </row>
        <row r="966">
          <cell r="R966">
            <v>1</v>
          </cell>
          <cell r="S966">
            <v>1</v>
          </cell>
        </row>
        <row r="967">
          <cell r="R967">
            <v>1</v>
          </cell>
          <cell r="S967">
            <v>1</v>
          </cell>
        </row>
        <row r="968">
          <cell r="R968">
            <v>1</v>
          </cell>
          <cell r="S968">
            <v>1</v>
          </cell>
        </row>
        <row r="969">
          <cell r="R969">
            <v>1</v>
          </cell>
          <cell r="S969">
            <v>1</v>
          </cell>
        </row>
        <row r="970">
          <cell r="R970">
            <v>1</v>
          </cell>
          <cell r="S970">
            <v>1</v>
          </cell>
        </row>
        <row r="971">
          <cell r="R971">
            <v>1</v>
          </cell>
          <cell r="S971">
            <v>1</v>
          </cell>
        </row>
        <row r="972">
          <cell r="R972">
            <v>1</v>
          </cell>
          <cell r="S972">
            <v>1</v>
          </cell>
        </row>
        <row r="973">
          <cell r="R973">
            <v>1</v>
          </cell>
          <cell r="S973">
            <v>1</v>
          </cell>
        </row>
        <row r="974">
          <cell r="R974">
            <v>1</v>
          </cell>
          <cell r="S974">
            <v>1</v>
          </cell>
        </row>
        <row r="975">
          <cell r="R975">
            <v>1</v>
          </cell>
          <cell r="S975">
            <v>1</v>
          </cell>
        </row>
        <row r="976">
          <cell r="R976">
            <v>1</v>
          </cell>
          <cell r="S976">
            <v>1</v>
          </cell>
        </row>
        <row r="977">
          <cell r="R977">
            <v>1</v>
          </cell>
          <cell r="S977">
            <v>1</v>
          </cell>
        </row>
        <row r="978">
          <cell r="R978">
            <v>1</v>
          </cell>
          <cell r="S978">
            <v>1</v>
          </cell>
        </row>
        <row r="979">
          <cell r="R979">
            <v>1</v>
          </cell>
          <cell r="S979">
            <v>1</v>
          </cell>
        </row>
        <row r="980">
          <cell r="R980">
            <v>1</v>
          </cell>
          <cell r="S980">
            <v>1</v>
          </cell>
        </row>
        <row r="981">
          <cell r="R981">
            <v>1</v>
          </cell>
          <cell r="S981">
            <v>1</v>
          </cell>
        </row>
        <row r="982">
          <cell r="R982">
            <v>1</v>
          </cell>
          <cell r="S982">
            <v>1</v>
          </cell>
        </row>
        <row r="983">
          <cell r="R983">
            <v>1</v>
          </cell>
          <cell r="S983">
            <v>1</v>
          </cell>
        </row>
        <row r="984">
          <cell r="R984">
            <v>1</v>
          </cell>
          <cell r="S984">
            <v>1</v>
          </cell>
        </row>
        <row r="985">
          <cell r="R985">
            <v>1</v>
          </cell>
          <cell r="S985">
            <v>1</v>
          </cell>
        </row>
        <row r="986">
          <cell r="R986">
            <v>1</v>
          </cell>
          <cell r="S986">
            <v>1</v>
          </cell>
        </row>
        <row r="987">
          <cell r="R987">
            <v>1</v>
          </cell>
          <cell r="S987">
            <v>1</v>
          </cell>
        </row>
        <row r="988">
          <cell r="R988">
            <v>1</v>
          </cell>
          <cell r="S988">
            <v>1</v>
          </cell>
        </row>
        <row r="989">
          <cell r="R989">
            <v>1</v>
          </cell>
          <cell r="S989">
            <v>1</v>
          </cell>
        </row>
        <row r="990">
          <cell r="R990">
            <v>1</v>
          </cell>
          <cell r="S990">
            <v>1</v>
          </cell>
        </row>
        <row r="991">
          <cell r="R991">
            <v>1</v>
          </cell>
          <cell r="S991">
            <v>1</v>
          </cell>
        </row>
        <row r="992">
          <cell r="R992">
            <v>1</v>
          </cell>
          <cell r="S992">
            <v>1</v>
          </cell>
        </row>
        <row r="993">
          <cell r="R993">
            <v>1</v>
          </cell>
          <cell r="S993">
            <v>1</v>
          </cell>
        </row>
        <row r="994">
          <cell r="R994">
            <v>1</v>
          </cell>
          <cell r="S994">
            <v>1</v>
          </cell>
        </row>
        <row r="995">
          <cell r="R995">
            <v>1</v>
          </cell>
          <cell r="S995">
            <v>1</v>
          </cell>
        </row>
        <row r="996">
          <cell r="R996">
            <v>1</v>
          </cell>
          <cell r="S996">
            <v>1</v>
          </cell>
        </row>
        <row r="997">
          <cell r="R997">
            <v>1</v>
          </cell>
          <cell r="S997">
            <v>1</v>
          </cell>
        </row>
        <row r="998">
          <cell r="R998">
            <v>1</v>
          </cell>
          <cell r="S998">
            <v>1</v>
          </cell>
        </row>
        <row r="999">
          <cell r="R999">
            <v>1</v>
          </cell>
          <cell r="S999">
            <v>1</v>
          </cell>
        </row>
        <row r="1000">
          <cell r="R1000">
            <v>1</v>
          </cell>
          <cell r="S1000">
            <v>1</v>
          </cell>
        </row>
        <row r="1001">
          <cell r="R1001">
            <v>1</v>
          </cell>
          <cell r="S1001">
            <v>1</v>
          </cell>
        </row>
        <row r="1002">
          <cell r="R1002">
            <v>1</v>
          </cell>
          <cell r="S1002">
            <v>1</v>
          </cell>
        </row>
        <row r="1003">
          <cell r="R1003">
            <v>1</v>
          </cell>
          <cell r="S1003">
            <v>1</v>
          </cell>
        </row>
        <row r="1004">
          <cell r="R1004">
            <v>1</v>
          </cell>
          <cell r="S1004">
            <v>1</v>
          </cell>
        </row>
        <row r="1005">
          <cell r="R1005">
            <v>1</v>
          </cell>
          <cell r="S1005">
            <v>1</v>
          </cell>
        </row>
        <row r="1006">
          <cell r="R1006">
            <v>1</v>
          </cell>
          <cell r="S1006">
            <v>1</v>
          </cell>
        </row>
        <row r="1007">
          <cell r="R1007">
            <v>1</v>
          </cell>
          <cell r="S1007">
            <v>1</v>
          </cell>
        </row>
        <row r="1008">
          <cell r="R1008">
            <v>1</v>
          </cell>
          <cell r="S1008">
            <v>1</v>
          </cell>
        </row>
        <row r="1009">
          <cell r="R1009">
            <v>1</v>
          </cell>
          <cell r="S1009">
            <v>1</v>
          </cell>
        </row>
        <row r="1010">
          <cell r="R1010">
            <v>1</v>
          </cell>
          <cell r="S1010">
            <v>1</v>
          </cell>
        </row>
        <row r="1011">
          <cell r="R1011">
            <v>1</v>
          </cell>
          <cell r="S1011">
            <v>1</v>
          </cell>
        </row>
        <row r="1012">
          <cell r="R1012">
            <v>1</v>
          </cell>
          <cell r="S1012">
            <v>1</v>
          </cell>
        </row>
        <row r="1013">
          <cell r="R1013">
            <v>1</v>
          </cell>
          <cell r="S1013">
            <v>1</v>
          </cell>
        </row>
        <row r="1014">
          <cell r="R1014">
            <v>1</v>
          </cell>
          <cell r="S1014">
            <v>1</v>
          </cell>
        </row>
        <row r="1015">
          <cell r="R1015">
            <v>1</v>
          </cell>
          <cell r="S1015">
            <v>1</v>
          </cell>
        </row>
        <row r="1016">
          <cell r="R1016">
            <v>1</v>
          </cell>
          <cell r="S1016">
            <v>1</v>
          </cell>
        </row>
        <row r="1017">
          <cell r="R1017">
            <v>1</v>
          </cell>
          <cell r="S1017">
            <v>1</v>
          </cell>
        </row>
        <row r="1018">
          <cell r="R1018">
            <v>1</v>
          </cell>
          <cell r="S1018">
            <v>1</v>
          </cell>
        </row>
        <row r="1019">
          <cell r="R1019">
            <v>1</v>
          </cell>
          <cell r="S1019">
            <v>1</v>
          </cell>
        </row>
        <row r="1020">
          <cell r="R1020">
            <v>1</v>
          </cell>
          <cell r="S1020">
            <v>1</v>
          </cell>
        </row>
        <row r="1021">
          <cell r="R1021">
            <v>1</v>
          </cell>
          <cell r="S1021">
            <v>1</v>
          </cell>
        </row>
        <row r="1022">
          <cell r="R1022">
            <v>1</v>
          </cell>
          <cell r="S1022">
            <v>1</v>
          </cell>
        </row>
        <row r="1023">
          <cell r="R1023">
            <v>1</v>
          </cell>
          <cell r="S1023">
            <v>1</v>
          </cell>
        </row>
        <row r="1024">
          <cell r="R1024">
            <v>1</v>
          </cell>
          <cell r="S1024">
            <v>1</v>
          </cell>
        </row>
        <row r="1025">
          <cell r="R1025">
            <v>1</v>
          </cell>
          <cell r="S1025">
            <v>1</v>
          </cell>
        </row>
        <row r="1026">
          <cell r="R1026">
            <v>1</v>
          </cell>
          <cell r="S1026">
            <v>1</v>
          </cell>
        </row>
        <row r="1027">
          <cell r="R1027">
            <v>1</v>
          </cell>
          <cell r="S1027">
            <v>1</v>
          </cell>
        </row>
        <row r="1028">
          <cell r="R1028">
            <v>1</v>
          </cell>
          <cell r="S1028">
            <v>1</v>
          </cell>
        </row>
        <row r="1029">
          <cell r="R1029">
            <v>1</v>
          </cell>
          <cell r="S1029">
            <v>1</v>
          </cell>
        </row>
        <row r="1030">
          <cell r="R1030">
            <v>1</v>
          </cell>
          <cell r="S1030">
            <v>1</v>
          </cell>
        </row>
        <row r="1031">
          <cell r="R1031">
            <v>1</v>
          </cell>
          <cell r="S1031">
            <v>1</v>
          </cell>
        </row>
        <row r="1032">
          <cell r="R1032">
            <v>1</v>
          </cell>
          <cell r="S1032">
            <v>1</v>
          </cell>
        </row>
        <row r="1033">
          <cell r="R1033">
            <v>1</v>
          </cell>
          <cell r="S1033">
            <v>1</v>
          </cell>
        </row>
        <row r="1034">
          <cell r="R1034">
            <v>1</v>
          </cell>
          <cell r="S1034">
            <v>1</v>
          </cell>
        </row>
        <row r="1035">
          <cell r="R1035">
            <v>1</v>
          </cell>
          <cell r="S1035">
            <v>1</v>
          </cell>
        </row>
        <row r="1036">
          <cell r="R1036">
            <v>1</v>
          </cell>
          <cell r="S1036">
            <v>1</v>
          </cell>
        </row>
        <row r="1037">
          <cell r="R1037">
            <v>1</v>
          </cell>
          <cell r="S1037">
            <v>1</v>
          </cell>
        </row>
        <row r="1038">
          <cell r="R1038">
            <v>1</v>
          </cell>
          <cell r="S1038">
            <v>1</v>
          </cell>
        </row>
        <row r="1039">
          <cell r="R1039">
            <v>1</v>
          </cell>
          <cell r="S1039">
            <v>1</v>
          </cell>
        </row>
        <row r="1040">
          <cell r="R1040">
            <v>1</v>
          </cell>
          <cell r="S1040">
            <v>1</v>
          </cell>
        </row>
        <row r="1041">
          <cell r="R1041">
            <v>1</v>
          </cell>
          <cell r="S1041">
            <v>1</v>
          </cell>
        </row>
        <row r="1042">
          <cell r="R1042">
            <v>1</v>
          </cell>
          <cell r="S1042">
            <v>1</v>
          </cell>
        </row>
        <row r="1043">
          <cell r="R1043">
            <v>1</v>
          </cell>
          <cell r="S1043">
            <v>1</v>
          </cell>
        </row>
        <row r="1044">
          <cell r="R1044">
            <v>1</v>
          </cell>
          <cell r="S1044">
            <v>1</v>
          </cell>
        </row>
        <row r="1045">
          <cell r="R1045">
            <v>1</v>
          </cell>
          <cell r="S1045">
            <v>1</v>
          </cell>
        </row>
        <row r="1046">
          <cell r="R1046">
            <v>1</v>
          </cell>
          <cell r="S1046">
            <v>1</v>
          </cell>
        </row>
        <row r="1047">
          <cell r="R1047">
            <v>1</v>
          </cell>
          <cell r="S1047">
            <v>1</v>
          </cell>
        </row>
        <row r="1048">
          <cell r="R1048">
            <v>1</v>
          </cell>
          <cell r="S1048">
            <v>1</v>
          </cell>
        </row>
        <row r="1049">
          <cell r="R1049">
            <v>1</v>
          </cell>
          <cell r="S1049">
            <v>1</v>
          </cell>
        </row>
        <row r="1050">
          <cell r="R1050">
            <v>1</v>
          </cell>
          <cell r="S1050">
            <v>1</v>
          </cell>
        </row>
        <row r="1051">
          <cell r="R1051">
            <v>1</v>
          </cell>
          <cell r="S1051">
            <v>1</v>
          </cell>
        </row>
        <row r="1052">
          <cell r="R1052">
            <v>1</v>
          </cell>
          <cell r="S1052">
            <v>1</v>
          </cell>
        </row>
        <row r="1053">
          <cell r="R1053">
            <v>1</v>
          </cell>
          <cell r="S1053">
            <v>1</v>
          </cell>
        </row>
        <row r="1054">
          <cell r="R1054">
            <v>1</v>
          </cell>
          <cell r="S1054">
            <v>1</v>
          </cell>
        </row>
        <row r="1055">
          <cell r="R1055">
            <v>1</v>
          </cell>
          <cell r="S1055">
            <v>1</v>
          </cell>
        </row>
        <row r="1056">
          <cell r="R1056">
            <v>1</v>
          </cell>
          <cell r="S1056">
            <v>1</v>
          </cell>
        </row>
        <row r="1057">
          <cell r="R1057">
            <v>1</v>
          </cell>
          <cell r="S1057">
            <v>1</v>
          </cell>
        </row>
        <row r="1058">
          <cell r="R1058">
            <v>1</v>
          </cell>
          <cell r="S1058">
            <v>1</v>
          </cell>
        </row>
        <row r="1059">
          <cell r="R1059">
            <v>1</v>
          </cell>
          <cell r="S1059">
            <v>1</v>
          </cell>
        </row>
        <row r="1060">
          <cell r="R1060">
            <v>1</v>
          </cell>
          <cell r="S1060">
            <v>1</v>
          </cell>
        </row>
        <row r="1061">
          <cell r="R1061">
            <v>1</v>
          </cell>
          <cell r="S1061">
            <v>1</v>
          </cell>
        </row>
        <row r="1062">
          <cell r="R1062">
            <v>1</v>
          </cell>
          <cell r="S1062">
            <v>1</v>
          </cell>
        </row>
        <row r="1063">
          <cell r="R1063">
            <v>1</v>
          </cell>
          <cell r="S1063">
            <v>1</v>
          </cell>
        </row>
        <row r="1064">
          <cell r="R1064">
            <v>1</v>
          </cell>
          <cell r="S1064">
            <v>1</v>
          </cell>
        </row>
        <row r="1065">
          <cell r="R1065">
            <v>1</v>
          </cell>
          <cell r="S1065">
            <v>1</v>
          </cell>
        </row>
        <row r="1066">
          <cell r="R1066">
            <v>1</v>
          </cell>
          <cell r="S1066">
            <v>1</v>
          </cell>
        </row>
        <row r="1067">
          <cell r="R1067">
            <v>1</v>
          </cell>
          <cell r="S1067">
            <v>1</v>
          </cell>
        </row>
        <row r="1068">
          <cell r="R1068">
            <v>1</v>
          </cell>
          <cell r="S1068">
            <v>1</v>
          </cell>
        </row>
        <row r="1069">
          <cell r="R1069">
            <v>1</v>
          </cell>
          <cell r="S1069">
            <v>1</v>
          </cell>
        </row>
        <row r="1070">
          <cell r="R1070">
            <v>1</v>
          </cell>
          <cell r="S1070">
            <v>1</v>
          </cell>
        </row>
        <row r="1071">
          <cell r="R1071">
            <v>1</v>
          </cell>
          <cell r="S1071">
            <v>1</v>
          </cell>
        </row>
        <row r="1072">
          <cell r="R1072">
            <v>1</v>
          </cell>
          <cell r="S1072">
            <v>1</v>
          </cell>
        </row>
        <row r="1073">
          <cell r="R1073">
            <v>1</v>
          </cell>
          <cell r="S1073">
            <v>1</v>
          </cell>
        </row>
        <row r="1074">
          <cell r="R1074">
            <v>1</v>
          </cell>
          <cell r="S1074">
            <v>1</v>
          </cell>
        </row>
        <row r="1075">
          <cell r="R1075">
            <v>1</v>
          </cell>
          <cell r="S1075">
            <v>1</v>
          </cell>
        </row>
        <row r="1076">
          <cell r="R1076">
            <v>1</v>
          </cell>
          <cell r="S1076">
            <v>1</v>
          </cell>
        </row>
        <row r="1077">
          <cell r="R1077">
            <v>1</v>
          </cell>
          <cell r="S1077">
            <v>1</v>
          </cell>
        </row>
        <row r="1078">
          <cell r="R1078">
            <v>1</v>
          </cell>
          <cell r="S1078">
            <v>1</v>
          </cell>
        </row>
        <row r="1079">
          <cell r="R1079">
            <v>1</v>
          </cell>
          <cell r="S1079">
            <v>1</v>
          </cell>
        </row>
        <row r="1080">
          <cell r="R1080">
            <v>1</v>
          </cell>
          <cell r="S1080">
            <v>1</v>
          </cell>
        </row>
        <row r="1081">
          <cell r="R1081">
            <v>1</v>
          </cell>
          <cell r="S1081">
            <v>1</v>
          </cell>
        </row>
        <row r="1082">
          <cell r="R1082">
            <v>1</v>
          </cell>
          <cell r="S1082">
            <v>1</v>
          </cell>
        </row>
        <row r="1083">
          <cell r="R1083">
            <v>1</v>
          </cell>
          <cell r="S1083">
            <v>1</v>
          </cell>
        </row>
        <row r="1084">
          <cell r="R1084">
            <v>1</v>
          </cell>
          <cell r="S1084">
            <v>1</v>
          </cell>
        </row>
        <row r="1085">
          <cell r="R1085">
            <v>1</v>
          </cell>
          <cell r="S1085">
            <v>1</v>
          </cell>
        </row>
        <row r="1086">
          <cell r="R1086">
            <v>1</v>
          </cell>
          <cell r="S1086">
            <v>1</v>
          </cell>
        </row>
        <row r="1087">
          <cell r="R1087">
            <v>1</v>
          </cell>
          <cell r="S1087">
            <v>1</v>
          </cell>
        </row>
        <row r="1088">
          <cell r="R1088">
            <v>1</v>
          </cell>
          <cell r="S1088">
            <v>1</v>
          </cell>
        </row>
        <row r="1089">
          <cell r="R1089">
            <v>1</v>
          </cell>
          <cell r="S1089">
            <v>1</v>
          </cell>
        </row>
        <row r="1090">
          <cell r="R1090">
            <v>1</v>
          </cell>
          <cell r="S1090">
            <v>1</v>
          </cell>
        </row>
        <row r="1091">
          <cell r="R1091">
            <v>1</v>
          </cell>
          <cell r="S1091">
            <v>1</v>
          </cell>
        </row>
        <row r="1092">
          <cell r="R1092">
            <v>1</v>
          </cell>
          <cell r="S1092">
            <v>1</v>
          </cell>
        </row>
        <row r="1093">
          <cell r="R1093">
            <v>1</v>
          </cell>
          <cell r="S1093">
            <v>1</v>
          </cell>
        </row>
        <row r="1094">
          <cell r="R1094">
            <v>1</v>
          </cell>
          <cell r="S1094">
            <v>1</v>
          </cell>
        </row>
        <row r="1095">
          <cell r="R1095">
            <v>1</v>
          </cell>
          <cell r="S1095">
            <v>1</v>
          </cell>
        </row>
        <row r="1096">
          <cell r="R1096">
            <v>1</v>
          </cell>
          <cell r="S1096">
            <v>1</v>
          </cell>
        </row>
        <row r="1097">
          <cell r="R1097">
            <v>1</v>
          </cell>
          <cell r="S1097">
            <v>1</v>
          </cell>
        </row>
        <row r="1098">
          <cell r="R1098">
            <v>1</v>
          </cell>
          <cell r="S1098">
            <v>1</v>
          </cell>
        </row>
        <row r="1099">
          <cell r="R1099">
            <v>1</v>
          </cell>
          <cell r="S1099">
            <v>1</v>
          </cell>
        </row>
        <row r="1100">
          <cell r="R1100">
            <v>1</v>
          </cell>
          <cell r="S1100">
            <v>1</v>
          </cell>
        </row>
        <row r="1101">
          <cell r="R1101">
            <v>1</v>
          </cell>
          <cell r="S1101">
            <v>1</v>
          </cell>
        </row>
        <row r="1102">
          <cell r="R1102">
            <v>1</v>
          </cell>
          <cell r="S1102">
            <v>1</v>
          </cell>
        </row>
        <row r="1103">
          <cell r="R1103">
            <v>1</v>
          </cell>
          <cell r="S1103">
            <v>1</v>
          </cell>
        </row>
        <row r="1104">
          <cell r="R1104">
            <v>1</v>
          </cell>
          <cell r="S1104">
            <v>1</v>
          </cell>
        </row>
        <row r="1105">
          <cell r="R1105">
            <v>1</v>
          </cell>
          <cell r="S1105">
            <v>1</v>
          </cell>
        </row>
        <row r="1106">
          <cell r="R1106">
            <v>1</v>
          </cell>
          <cell r="S1106">
            <v>1</v>
          </cell>
        </row>
        <row r="1107">
          <cell r="R1107">
            <v>1</v>
          </cell>
          <cell r="S1107">
            <v>1</v>
          </cell>
        </row>
        <row r="1108">
          <cell r="R1108">
            <v>1</v>
          </cell>
          <cell r="S1108">
            <v>1</v>
          </cell>
        </row>
        <row r="1109">
          <cell r="R1109">
            <v>1</v>
          </cell>
          <cell r="S1109">
            <v>1</v>
          </cell>
        </row>
        <row r="1110">
          <cell r="R1110">
            <v>1</v>
          </cell>
          <cell r="S1110">
            <v>1</v>
          </cell>
        </row>
        <row r="1111">
          <cell r="R1111">
            <v>1</v>
          </cell>
          <cell r="S1111">
            <v>1</v>
          </cell>
        </row>
        <row r="1112">
          <cell r="R1112">
            <v>1</v>
          </cell>
          <cell r="S1112">
            <v>1</v>
          </cell>
        </row>
        <row r="1113">
          <cell r="R1113">
            <v>1</v>
          </cell>
          <cell r="S1113">
            <v>1</v>
          </cell>
        </row>
        <row r="1114">
          <cell r="R1114">
            <v>1</v>
          </cell>
          <cell r="S1114">
            <v>1</v>
          </cell>
        </row>
        <row r="1115">
          <cell r="R1115">
            <v>1</v>
          </cell>
          <cell r="S1115">
            <v>1</v>
          </cell>
        </row>
        <row r="1116">
          <cell r="R1116">
            <v>1</v>
          </cell>
          <cell r="S1116">
            <v>1</v>
          </cell>
        </row>
        <row r="1117">
          <cell r="R1117">
            <v>1</v>
          </cell>
          <cell r="S1117">
            <v>1</v>
          </cell>
        </row>
        <row r="1118">
          <cell r="R1118">
            <v>1</v>
          </cell>
          <cell r="S1118">
            <v>1</v>
          </cell>
        </row>
        <row r="1119">
          <cell r="R1119">
            <v>1</v>
          </cell>
          <cell r="S1119">
            <v>1</v>
          </cell>
        </row>
        <row r="1120">
          <cell r="R1120">
            <v>1</v>
          </cell>
          <cell r="S1120">
            <v>1</v>
          </cell>
        </row>
        <row r="1121">
          <cell r="R1121">
            <v>1</v>
          </cell>
          <cell r="S1121">
            <v>1</v>
          </cell>
        </row>
        <row r="1122">
          <cell r="R1122">
            <v>1</v>
          </cell>
          <cell r="S1122">
            <v>1</v>
          </cell>
        </row>
        <row r="1123">
          <cell r="R1123">
            <v>1</v>
          </cell>
          <cell r="S1123">
            <v>1</v>
          </cell>
        </row>
        <row r="1124">
          <cell r="R1124">
            <v>1</v>
          </cell>
          <cell r="S1124">
            <v>1</v>
          </cell>
        </row>
        <row r="1125">
          <cell r="R1125">
            <v>1</v>
          </cell>
          <cell r="S1125">
            <v>1</v>
          </cell>
        </row>
        <row r="1126">
          <cell r="R1126">
            <v>1</v>
          </cell>
          <cell r="S1126">
            <v>1</v>
          </cell>
        </row>
        <row r="1127">
          <cell r="R1127">
            <v>1</v>
          </cell>
          <cell r="S1127">
            <v>1</v>
          </cell>
        </row>
        <row r="1128">
          <cell r="R1128">
            <v>1</v>
          </cell>
          <cell r="S1128">
            <v>1</v>
          </cell>
        </row>
        <row r="1129">
          <cell r="R1129">
            <v>1</v>
          </cell>
          <cell r="S1129">
            <v>1</v>
          </cell>
        </row>
        <row r="1130">
          <cell r="R1130">
            <v>1</v>
          </cell>
          <cell r="S1130">
            <v>1</v>
          </cell>
        </row>
        <row r="1131">
          <cell r="R1131">
            <v>1</v>
          </cell>
          <cell r="S1131">
            <v>1</v>
          </cell>
        </row>
        <row r="1132">
          <cell r="R1132">
            <v>1</v>
          </cell>
          <cell r="S1132">
            <v>1</v>
          </cell>
        </row>
        <row r="1133">
          <cell r="R1133">
            <v>1</v>
          </cell>
          <cell r="S1133">
            <v>1</v>
          </cell>
        </row>
        <row r="1134">
          <cell r="R1134">
            <v>1</v>
          </cell>
          <cell r="S1134">
            <v>1</v>
          </cell>
        </row>
        <row r="1135">
          <cell r="R1135">
            <v>1</v>
          </cell>
          <cell r="S1135">
            <v>1</v>
          </cell>
        </row>
        <row r="1136">
          <cell r="R1136">
            <v>1</v>
          </cell>
          <cell r="S1136">
            <v>1</v>
          </cell>
        </row>
        <row r="1137">
          <cell r="R1137">
            <v>1</v>
          </cell>
          <cell r="S1137">
            <v>1</v>
          </cell>
        </row>
        <row r="1138">
          <cell r="R1138">
            <v>1</v>
          </cell>
          <cell r="S1138">
            <v>1</v>
          </cell>
        </row>
        <row r="1139">
          <cell r="R1139">
            <v>1</v>
          </cell>
          <cell r="S1139">
            <v>1</v>
          </cell>
        </row>
        <row r="1140">
          <cell r="R1140">
            <v>1</v>
          </cell>
          <cell r="S1140">
            <v>1</v>
          </cell>
        </row>
        <row r="1141">
          <cell r="R1141">
            <v>1</v>
          </cell>
          <cell r="S1141">
            <v>1</v>
          </cell>
        </row>
        <row r="1142">
          <cell r="R1142">
            <v>1</v>
          </cell>
          <cell r="S1142">
            <v>1</v>
          </cell>
        </row>
        <row r="1143">
          <cell r="R1143">
            <v>1</v>
          </cell>
          <cell r="S1143">
            <v>1</v>
          </cell>
        </row>
        <row r="1144">
          <cell r="R1144">
            <v>1</v>
          </cell>
          <cell r="S1144">
            <v>1</v>
          </cell>
        </row>
        <row r="1145">
          <cell r="R1145">
            <v>1</v>
          </cell>
          <cell r="S1145">
            <v>1</v>
          </cell>
        </row>
        <row r="1146">
          <cell r="R1146">
            <v>1</v>
          </cell>
          <cell r="S1146">
            <v>1</v>
          </cell>
        </row>
        <row r="1147">
          <cell r="R1147">
            <v>1</v>
          </cell>
          <cell r="S1147">
            <v>1</v>
          </cell>
        </row>
        <row r="1148">
          <cell r="R1148">
            <v>1</v>
          </cell>
          <cell r="S1148">
            <v>1</v>
          </cell>
        </row>
        <row r="1149">
          <cell r="R1149">
            <v>1</v>
          </cell>
          <cell r="S1149">
            <v>1</v>
          </cell>
        </row>
        <row r="1150">
          <cell r="R1150">
            <v>1</v>
          </cell>
          <cell r="S1150">
            <v>1</v>
          </cell>
        </row>
        <row r="1151">
          <cell r="R1151">
            <v>1</v>
          </cell>
          <cell r="S1151">
            <v>1</v>
          </cell>
        </row>
        <row r="1152">
          <cell r="R1152">
            <v>1</v>
          </cell>
          <cell r="S1152">
            <v>1</v>
          </cell>
        </row>
        <row r="1153">
          <cell r="R1153">
            <v>1</v>
          </cell>
          <cell r="S1153">
            <v>1</v>
          </cell>
        </row>
        <row r="1154">
          <cell r="R1154">
            <v>1</v>
          </cell>
          <cell r="S1154">
            <v>1</v>
          </cell>
        </row>
        <row r="1155">
          <cell r="R1155">
            <v>1</v>
          </cell>
          <cell r="S1155">
            <v>1</v>
          </cell>
        </row>
        <row r="1156">
          <cell r="R1156">
            <v>1</v>
          </cell>
          <cell r="S1156">
            <v>1</v>
          </cell>
        </row>
        <row r="1157">
          <cell r="R1157">
            <v>1</v>
          </cell>
          <cell r="S1157">
            <v>1</v>
          </cell>
        </row>
        <row r="1158">
          <cell r="R1158">
            <v>1</v>
          </cell>
          <cell r="S1158">
            <v>1</v>
          </cell>
        </row>
        <row r="1159">
          <cell r="R1159">
            <v>1</v>
          </cell>
          <cell r="S1159">
            <v>1</v>
          </cell>
        </row>
        <row r="1160">
          <cell r="R1160">
            <v>1</v>
          </cell>
          <cell r="S1160">
            <v>1</v>
          </cell>
        </row>
        <row r="1161">
          <cell r="R1161">
            <v>1</v>
          </cell>
          <cell r="S1161">
            <v>1</v>
          </cell>
        </row>
        <row r="1162">
          <cell r="R1162">
            <v>1</v>
          </cell>
          <cell r="S1162">
            <v>1</v>
          </cell>
        </row>
        <row r="1163">
          <cell r="R1163">
            <v>1</v>
          </cell>
          <cell r="S1163">
            <v>1</v>
          </cell>
        </row>
        <row r="1164">
          <cell r="R1164">
            <v>1</v>
          </cell>
          <cell r="S1164">
            <v>1</v>
          </cell>
        </row>
        <row r="1165">
          <cell r="R1165">
            <v>1</v>
          </cell>
          <cell r="S1165">
            <v>1</v>
          </cell>
        </row>
        <row r="1166">
          <cell r="R1166">
            <v>1</v>
          </cell>
          <cell r="S1166">
            <v>1</v>
          </cell>
        </row>
        <row r="1167">
          <cell r="R1167">
            <v>1</v>
          </cell>
          <cell r="S1167">
            <v>1</v>
          </cell>
        </row>
        <row r="1168">
          <cell r="R1168">
            <v>1</v>
          </cell>
          <cell r="S1168">
            <v>1</v>
          </cell>
        </row>
        <row r="1169">
          <cell r="R1169">
            <v>1</v>
          </cell>
          <cell r="S1169">
            <v>1</v>
          </cell>
        </row>
        <row r="1170">
          <cell r="R1170">
            <v>1</v>
          </cell>
          <cell r="S1170">
            <v>1</v>
          </cell>
        </row>
        <row r="1171">
          <cell r="R1171">
            <v>1</v>
          </cell>
          <cell r="S1171">
            <v>1</v>
          </cell>
        </row>
        <row r="1172">
          <cell r="R1172">
            <v>1</v>
          </cell>
          <cell r="S1172">
            <v>1</v>
          </cell>
        </row>
        <row r="1173">
          <cell r="R1173">
            <v>1</v>
          </cell>
          <cell r="S1173">
            <v>1</v>
          </cell>
        </row>
        <row r="1174">
          <cell r="R1174">
            <v>1</v>
          </cell>
          <cell r="S1174">
            <v>1</v>
          </cell>
        </row>
        <row r="1175">
          <cell r="R1175">
            <v>1</v>
          </cell>
          <cell r="S1175">
            <v>1</v>
          </cell>
        </row>
        <row r="1176">
          <cell r="R1176">
            <v>1</v>
          </cell>
          <cell r="S1176">
            <v>1</v>
          </cell>
        </row>
        <row r="1177">
          <cell r="R1177">
            <v>1</v>
          </cell>
          <cell r="S1177">
            <v>1</v>
          </cell>
        </row>
        <row r="1178">
          <cell r="R1178">
            <v>1</v>
          </cell>
          <cell r="S1178">
            <v>1</v>
          </cell>
        </row>
        <row r="1179">
          <cell r="R1179">
            <v>1</v>
          </cell>
          <cell r="S1179">
            <v>1</v>
          </cell>
        </row>
        <row r="1180">
          <cell r="R1180">
            <v>1</v>
          </cell>
          <cell r="S1180">
            <v>1</v>
          </cell>
        </row>
        <row r="1181">
          <cell r="R1181">
            <v>1</v>
          </cell>
          <cell r="S1181">
            <v>1</v>
          </cell>
        </row>
        <row r="1182">
          <cell r="R1182">
            <v>1</v>
          </cell>
          <cell r="S1182">
            <v>1</v>
          </cell>
        </row>
        <row r="1183">
          <cell r="R1183">
            <v>1</v>
          </cell>
          <cell r="S1183">
            <v>1</v>
          </cell>
        </row>
        <row r="1184">
          <cell r="R1184">
            <v>1</v>
          </cell>
          <cell r="S1184">
            <v>1</v>
          </cell>
        </row>
        <row r="1185">
          <cell r="R1185">
            <v>1</v>
          </cell>
          <cell r="S1185">
            <v>1</v>
          </cell>
        </row>
        <row r="1186">
          <cell r="R1186">
            <v>1</v>
          </cell>
          <cell r="S1186">
            <v>1</v>
          </cell>
        </row>
        <row r="1187">
          <cell r="R1187">
            <v>1</v>
          </cell>
          <cell r="S1187">
            <v>1</v>
          </cell>
        </row>
        <row r="1188">
          <cell r="R1188">
            <v>1</v>
          </cell>
          <cell r="S1188">
            <v>1</v>
          </cell>
        </row>
        <row r="1189">
          <cell r="R1189">
            <v>1</v>
          </cell>
          <cell r="S1189">
            <v>1</v>
          </cell>
        </row>
        <row r="1190">
          <cell r="R1190">
            <v>1</v>
          </cell>
          <cell r="S1190">
            <v>1</v>
          </cell>
        </row>
        <row r="1191">
          <cell r="R1191">
            <v>1</v>
          </cell>
          <cell r="S1191">
            <v>1</v>
          </cell>
        </row>
        <row r="1192">
          <cell r="R1192">
            <v>1</v>
          </cell>
          <cell r="S1192">
            <v>1</v>
          </cell>
        </row>
        <row r="1193">
          <cell r="R1193">
            <v>1</v>
          </cell>
          <cell r="S1193">
            <v>1</v>
          </cell>
        </row>
        <row r="1194">
          <cell r="R1194">
            <v>1</v>
          </cell>
          <cell r="S1194">
            <v>1</v>
          </cell>
        </row>
        <row r="1195">
          <cell r="R1195">
            <v>1</v>
          </cell>
          <cell r="S1195">
            <v>1</v>
          </cell>
        </row>
        <row r="1196">
          <cell r="R1196">
            <v>1</v>
          </cell>
          <cell r="S1196">
            <v>1</v>
          </cell>
        </row>
        <row r="1197">
          <cell r="R1197">
            <v>1</v>
          </cell>
          <cell r="S1197">
            <v>1</v>
          </cell>
        </row>
        <row r="1198">
          <cell r="R1198">
            <v>1</v>
          </cell>
          <cell r="S1198">
            <v>1</v>
          </cell>
        </row>
        <row r="1199">
          <cell r="R1199">
            <v>1</v>
          </cell>
          <cell r="S1199">
            <v>1</v>
          </cell>
        </row>
        <row r="1200">
          <cell r="R1200">
            <v>1</v>
          </cell>
          <cell r="S1200">
            <v>1</v>
          </cell>
        </row>
        <row r="1201">
          <cell r="R1201">
            <v>1</v>
          </cell>
          <cell r="S1201">
            <v>1</v>
          </cell>
        </row>
        <row r="1202">
          <cell r="R1202">
            <v>1</v>
          </cell>
          <cell r="S1202">
            <v>1</v>
          </cell>
        </row>
        <row r="1203">
          <cell r="R1203">
            <v>1</v>
          </cell>
          <cell r="S1203">
            <v>1</v>
          </cell>
        </row>
        <row r="1204">
          <cell r="R1204">
            <v>1</v>
          </cell>
          <cell r="S1204">
            <v>1</v>
          </cell>
        </row>
        <row r="1205">
          <cell r="R1205">
            <v>1</v>
          </cell>
          <cell r="S1205">
            <v>1</v>
          </cell>
        </row>
        <row r="1206">
          <cell r="R1206">
            <v>1</v>
          </cell>
          <cell r="S1206">
            <v>1</v>
          </cell>
        </row>
        <row r="1207">
          <cell r="R1207">
            <v>1</v>
          </cell>
          <cell r="S1207">
            <v>1</v>
          </cell>
        </row>
        <row r="1208">
          <cell r="R1208">
            <v>1</v>
          </cell>
          <cell r="S1208">
            <v>1</v>
          </cell>
        </row>
        <row r="1209">
          <cell r="R1209">
            <v>1</v>
          </cell>
          <cell r="S1209">
            <v>1</v>
          </cell>
        </row>
        <row r="1210">
          <cell r="R1210">
            <v>1</v>
          </cell>
          <cell r="S1210">
            <v>1</v>
          </cell>
        </row>
        <row r="1211">
          <cell r="R1211">
            <v>1</v>
          </cell>
          <cell r="S1211">
            <v>1</v>
          </cell>
        </row>
        <row r="1212">
          <cell r="R1212">
            <v>1</v>
          </cell>
          <cell r="S1212">
            <v>1</v>
          </cell>
        </row>
        <row r="1213">
          <cell r="R1213">
            <v>1</v>
          </cell>
          <cell r="S1213">
            <v>1</v>
          </cell>
        </row>
        <row r="1214">
          <cell r="R1214">
            <v>1</v>
          </cell>
          <cell r="S1214">
            <v>1</v>
          </cell>
        </row>
        <row r="1215">
          <cell r="R1215">
            <v>1</v>
          </cell>
          <cell r="S1215">
            <v>1</v>
          </cell>
        </row>
        <row r="1216">
          <cell r="R1216">
            <v>1</v>
          </cell>
          <cell r="S1216">
            <v>1</v>
          </cell>
        </row>
        <row r="1217">
          <cell r="R1217">
            <v>1</v>
          </cell>
          <cell r="S1217">
            <v>1</v>
          </cell>
        </row>
        <row r="1218">
          <cell r="R1218">
            <v>1</v>
          </cell>
          <cell r="S1218">
            <v>1</v>
          </cell>
        </row>
        <row r="1219">
          <cell r="R1219">
            <v>1</v>
          </cell>
          <cell r="S1219">
            <v>1</v>
          </cell>
        </row>
        <row r="1220">
          <cell r="R1220">
            <v>1</v>
          </cell>
          <cell r="S1220">
            <v>1</v>
          </cell>
        </row>
        <row r="1221">
          <cell r="R1221">
            <v>1</v>
          </cell>
          <cell r="S1221">
            <v>1</v>
          </cell>
        </row>
        <row r="1222">
          <cell r="R1222">
            <v>1</v>
          </cell>
          <cell r="S1222">
            <v>1</v>
          </cell>
        </row>
        <row r="1223">
          <cell r="R1223">
            <v>1</v>
          </cell>
          <cell r="S1223">
            <v>1</v>
          </cell>
        </row>
        <row r="1224">
          <cell r="R1224">
            <v>1</v>
          </cell>
          <cell r="S1224">
            <v>1</v>
          </cell>
        </row>
        <row r="1225">
          <cell r="R1225">
            <v>1</v>
          </cell>
          <cell r="S1225">
            <v>1</v>
          </cell>
        </row>
        <row r="1226">
          <cell r="R1226">
            <v>1</v>
          </cell>
          <cell r="S1226">
            <v>1</v>
          </cell>
        </row>
        <row r="1227">
          <cell r="R1227">
            <v>1</v>
          </cell>
          <cell r="S1227">
            <v>1</v>
          </cell>
        </row>
        <row r="1228">
          <cell r="R1228">
            <v>1</v>
          </cell>
          <cell r="S1228">
            <v>1</v>
          </cell>
        </row>
        <row r="1229">
          <cell r="R1229">
            <v>1</v>
          </cell>
          <cell r="S1229">
            <v>1</v>
          </cell>
        </row>
        <row r="1230">
          <cell r="R1230">
            <v>1</v>
          </cell>
          <cell r="S1230">
            <v>1</v>
          </cell>
        </row>
        <row r="1231">
          <cell r="R1231">
            <v>1</v>
          </cell>
          <cell r="S1231">
            <v>1</v>
          </cell>
        </row>
        <row r="1232">
          <cell r="R1232">
            <v>1</v>
          </cell>
          <cell r="S1232">
            <v>1</v>
          </cell>
        </row>
        <row r="1233">
          <cell r="R1233">
            <v>1</v>
          </cell>
          <cell r="S1233">
            <v>1</v>
          </cell>
        </row>
        <row r="1234">
          <cell r="R1234">
            <v>1</v>
          </cell>
          <cell r="S1234">
            <v>1</v>
          </cell>
        </row>
        <row r="1235">
          <cell r="R1235">
            <v>1</v>
          </cell>
          <cell r="S1235">
            <v>1</v>
          </cell>
        </row>
        <row r="1236">
          <cell r="R1236">
            <v>1</v>
          </cell>
          <cell r="S1236">
            <v>1</v>
          </cell>
        </row>
        <row r="1237">
          <cell r="R1237">
            <v>1</v>
          </cell>
          <cell r="S1237">
            <v>1</v>
          </cell>
        </row>
        <row r="1238">
          <cell r="R1238">
            <v>1</v>
          </cell>
          <cell r="S1238">
            <v>1</v>
          </cell>
        </row>
        <row r="1239">
          <cell r="R1239">
            <v>1</v>
          </cell>
          <cell r="S1239">
            <v>1</v>
          </cell>
        </row>
        <row r="1240">
          <cell r="R1240">
            <v>1</v>
          </cell>
          <cell r="S1240">
            <v>1</v>
          </cell>
        </row>
        <row r="1241">
          <cell r="R1241">
            <v>1</v>
          </cell>
          <cell r="S1241">
            <v>1</v>
          </cell>
        </row>
        <row r="1242">
          <cell r="R1242">
            <v>1</v>
          </cell>
          <cell r="S1242">
            <v>1</v>
          </cell>
        </row>
        <row r="1243">
          <cell r="R1243">
            <v>1</v>
          </cell>
          <cell r="S1243">
            <v>1</v>
          </cell>
        </row>
        <row r="1244">
          <cell r="R1244">
            <v>1</v>
          </cell>
          <cell r="S1244">
            <v>1</v>
          </cell>
        </row>
        <row r="1245">
          <cell r="R1245">
            <v>1</v>
          </cell>
          <cell r="S1245">
            <v>1</v>
          </cell>
        </row>
        <row r="1246">
          <cell r="R1246">
            <v>1</v>
          </cell>
          <cell r="S1246">
            <v>1</v>
          </cell>
        </row>
        <row r="1247">
          <cell r="R1247">
            <v>1</v>
          </cell>
          <cell r="S1247">
            <v>1</v>
          </cell>
        </row>
        <row r="1248">
          <cell r="R1248">
            <v>1</v>
          </cell>
          <cell r="S1248">
            <v>1</v>
          </cell>
        </row>
        <row r="1249">
          <cell r="R1249">
            <v>1</v>
          </cell>
          <cell r="S1249">
            <v>1</v>
          </cell>
        </row>
        <row r="1250">
          <cell r="R1250">
            <v>1</v>
          </cell>
          <cell r="S1250">
            <v>1</v>
          </cell>
        </row>
        <row r="1251">
          <cell r="R1251">
            <v>1</v>
          </cell>
          <cell r="S1251">
            <v>1</v>
          </cell>
        </row>
        <row r="1252">
          <cell r="R1252">
            <v>1</v>
          </cell>
          <cell r="S1252">
            <v>1</v>
          </cell>
        </row>
        <row r="1253">
          <cell r="R1253">
            <v>1</v>
          </cell>
          <cell r="S1253">
            <v>1</v>
          </cell>
        </row>
        <row r="1254">
          <cell r="R1254">
            <v>1</v>
          </cell>
          <cell r="S1254">
            <v>1</v>
          </cell>
        </row>
        <row r="1255">
          <cell r="R1255">
            <v>1</v>
          </cell>
          <cell r="S1255">
            <v>1</v>
          </cell>
        </row>
        <row r="1256">
          <cell r="R1256">
            <v>1</v>
          </cell>
          <cell r="S1256">
            <v>1</v>
          </cell>
        </row>
        <row r="1257">
          <cell r="R1257">
            <v>1</v>
          </cell>
          <cell r="S1257">
            <v>1</v>
          </cell>
        </row>
        <row r="1258">
          <cell r="R1258">
            <v>1</v>
          </cell>
          <cell r="S1258">
            <v>1</v>
          </cell>
        </row>
        <row r="1259">
          <cell r="R1259">
            <v>1</v>
          </cell>
          <cell r="S1259">
            <v>1</v>
          </cell>
        </row>
        <row r="1260">
          <cell r="R1260">
            <v>1</v>
          </cell>
          <cell r="S1260">
            <v>1</v>
          </cell>
        </row>
        <row r="1261">
          <cell r="R1261">
            <v>1</v>
          </cell>
          <cell r="S1261">
            <v>1</v>
          </cell>
        </row>
        <row r="1262">
          <cell r="R1262">
            <v>1</v>
          </cell>
          <cell r="S1262">
            <v>1</v>
          </cell>
        </row>
        <row r="1263">
          <cell r="R1263">
            <v>1</v>
          </cell>
          <cell r="S1263">
            <v>1</v>
          </cell>
        </row>
        <row r="1264">
          <cell r="R1264">
            <v>1</v>
          </cell>
          <cell r="S1264">
            <v>1</v>
          </cell>
        </row>
        <row r="1265">
          <cell r="R1265">
            <v>1</v>
          </cell>
          <cell r="S1265">
            <v>1</v>
          </cell>
        </row>
        <row r="1266">
          <cell r="R1266">
            <v>1</v>
          </cell>
          <cell r="S1266">
            <v>1</v>
          </cell>
        </row>
        <row r="1267">
          <cell r="R1267">
            <v>1</v>
          </cell>
          <cell r="S1267">
            <v>1</v>
          </cell>
        </row>
        <row r="1268">
          <cell r="R1268">
            <v>1</v>
          </cell>
          <cell r="S1268">
            <v>1</v>
          </cell>
        </row>
        <row r="1269">
          <cell r="R1269">
            <v>1</v>
          </cell>
          <cell r="S1269">
            <v>1</v>
          </cell>
        </row>
        <row r="1270">
          <cell r="R1270">
            <v>1</v>
          </cell>
          <cell r="S1270">
            <v>1</v>
          </cell>
        </row>
        <row r="1271">
          <cell r="R1271">
            <v>1</v>
          </cell>
          <cell r="S1271">
            <v>1</v>
          </cell>
        </row>
        <row r="1272">
          <cell r="R1272">
            <v>1</v>
          </cell>
          <cell r="S1272">
            <v>1</v>
          </cell>
        </row>
        <row r="1273">
          <cell r="R1273">
            <v>1</v>
          </cell>
          <cell r="S1273">
            <v>1</v>
          </cell>
        </row>
        <row r="1274">
          <cell r="R1274">
            <v>1</v>
          </cell>
          <cell r="S1274">
            <v>1</v>
          </cell>
        </row>
        <row r="1275">
          <cell r="R1275">
            <v>1</v>
          </cell>
          <cell r="S1275">
            <v>1</v>
          </cell>
        </row>
        <row r="1276">
          <cell r="R1276">
            <v>1</v>
          </cell>
          <cell r="S1276">
            <v>1</v>
          </cell>
        </row>
        <row r="1277">
          <cell r="R1277">
            <v>1</v>
          </cell>
          <cell r="S1277">
            <v>1</v>
          </cell>
        </row>
        <row r="1278">
          <cell r="R1278">
            <v>1</v>
          </cell>
          <cell r="S1278">
            <v>1</v>
          </cell>
        </row>
        <row r="1279">
          <cell r="R1279">
            <v>1</v>
          </cell>
          <cell r="S1279">
            <v>1</v>
          </cell>
        </row>
        <row r="1280">
          <cell r="R1280">
            <v>1</v>
          </cell>
          <cell r="S1280">
            <v>1</v>
          </cell>
        </row>
        <row r="1281">
          <cell r="R1281">
            <v>1</v>
          </cell>
          <cell r="S1281">
            <v>1</v>
          </cell>
        </row>
        <row r="1282">
          <cell r="R1282">
            <v>1</v>
          </cell>
          <cell r="S1282">
            <v>1</v>
          </cell>
        </row>
        <row r="1283">
          <cell r="R1283">
            <v>1</v>
          </cell>
          <cell r="S1283">
            <v>1</v>
          </cell>
        </row>
        <row r="1284">
          <cell r="R1284">
            <v>1</v>
          </cell>
          <cell r="S1284">
            <v>1</v>
          </cell>
        </row>
        <row r="1285">
          <cell r="R1285">
            <v>1</v>
          </cell>
          <cell r="S1285">
            <v>1</v>
          </cell>
        </row>
        <row r="1286">
          <cell r="R1286">
            <v>1</v>
          </cell>
          <cell r="S1286">
            <v>1</v>
          </cell>
        </row>
        <row r="1287">
          <cell r="R1287">
            <v>1</v>
          </cell>
          <cell r="S1287">
            <v>1</v>
          </cell>
        </row>
        <row r="1288">
          <cell r="R1288">
            <v>1</v>
          </cell>
          <cell r="S1288">
            <v>1</v>
          </cell>
        </row>
        <row r="1289">
          <cell r="R1289">
            <v>1</v>
          </cell>
          <cell r="S1289">
            <v>1</v>
          </cell>
        </row>
        <row r="1290">
          <cell r="R1290">
            <v>1</v>
          </cell>
          <cell r="S1290">
            <v>1</v>
          </cell>
        </row>
        <row r="1291">
          <cell r="R1291">
            <v>1</v>
          </cell>
          <cell r="S1291">
            <v>1</v>
          </cell>
        </row>
        <row r="1292">
          <cell r="R1292">
            <v>1</v>
          </cell>
          <cell r="S1292">
            <v>1</v>
          </cell>
        </row>
        <row r="1293">
          <cell r="R1293">
            <v>1</v>
          </cell>
          <cell r="S1293">
            <v>1</v>
          </cell>
        </row>
        <row r="1294">
          <cell r="R1294">
            <v>1</v>
          </cell>
          <cell r="S1294">
            <v>1</v>
          </cell>
        </row>
        <row r="1295">
          <cell r="R1295">
            <v>1</v>
          </cell>
          <cell r="S1295">
            <v>1</v>
          </cell>
        </row>
        <row r="1296">
          <cell r="R1296">
            <v>1</v>
          </cell>
          <cell r="S1296">
            <v>1</v>
          </cell>
        </row>
        <row r="1297">
          <cell r="R1297">
            <v>1</v>
          </cell>
          <cell r="S1297">
            <v>1</v>
          </cell>
        </row>
        <row r="1298">
          <cell r="R1298">
            <v>1</v>
          </cell>
          <cell r="S1298">
            <v>1</v>
          </cell>
        </row>
        <row r="1299">
          <cell r="R1299">
            <v>1</v>
          </cell>
          <cell r="S1299">
            <v>1</v>
          </cell>
        </row>
        <row r="1300">
          <cell r="R1300">
            <v>1</v>
          </cell>
          <cell r="S1300">
            <v>1</v>
          </cell>
        </row>
        <row r="1301">
          <cell r="R1301">
            <v>1</v>
          </cell>
          <cell r="S1301">
            <v>1</v>
          </cell>
        </row>
        <row r="1302">
          <cell r="R1302">
            <v>1</v>
          </cell>
          <cell r="S1302">
            <v>1</v>
          </cell>
        </row>
        <row r="1303">
          <cell r="R1303">
            <v>1</v>
          </cell>
          <cell r="S1303">
            <v>1</v>
          </cell>
        </row>
        <row r="1304">
          <cell r="R1304">
            <v>1</v>
          </cell>
          <cell r="S1304">
            <v>1</v>
          </cell>
        </row>
        <row r="1305">
          <cell r="R1305">
            <v>1</v>
          </cell>
          <cell r="S1305">
            <v>1</v>
          </cell>
        </row>
        <row r="1306">
          <cell r="R1306">
            <v>1</v>
          </cell>
          <cell r="S1306">
            <v>1</v>
          </cell>
        </row>
        <row r="1307">
          <cell r="R1307">
            <v>1</v>
          </cell>
          <cell r="S1307">
            <v>1</v>
          </cell>
        </row>
        <row r="1308">
          <cell r="R1308">
            <v>1</v>
          </cell>
          <cell r="S1308">
            <v>1</v>
          </cell>
        </row>
        <row r="1309">
          <cell r="R1309">
            <v>1</v>
          </cell>
          <cell r="S1309">
            <v>1</v>
          </cell>
        </row>
        <row r="1310">
          <cell r="R1310">
            <v>1</v>
          </cell>
          <cell r="S1310">
            <v>1</v>
          </cell>
        </row>
        <row r="1311">
          <cell r="R1311">
            <v>1</v>
          </cell>
          <cell r="S1311">
            <v>1</v>
          </cell>
        </row>
        <row r="1312">
          <cell r="R1312">
            <v>1</v>
          </cell>
          <cell r="S1312">
            <v>1</v>
          </cell>
        </row>
        <row r="1313">
          <cell r="R1313">
            <v>1</v>
          </cell>
          <cell r="S1313">
            <v>1</v>
          </cell>
        </row>
        <row r="1314">
          <cell r="R1314">
            <v>1</v>
          </cell>
          <cell r="S1314">
            <v>1</v>
          </cell>
        </row>
        <row r="1315">
          <cell r="R1315">
            <v>1</v>
          </cell>
          <cell r="S1315">
            <v>1</v>
          </cell>
        </row>
        <row r="1316">
          <cell r="R1316">
            <v>1</v>
          </cell>
          <cell r="S1316">
            <v>1</v>
          </cell>
        </row>
        <row r="1317">
          <cell r="R1317">
            <v>1</v>
          </cell>
          <cell r="S1317">
            <v>1</v>
          </cell>
        </row>
        <row r="1318">
          <cell r="R1318">
            <v>1</v>
          </cell>
          <cell r="S1318">
            <v>1</v>
          </cell>
        </row>
        <row r="1319">
          <cell r="R1319">
            <v>1</v>
          </cell>
          <cell r="S1319">
            <v>1</v>
          </cell>
        </row>
        <row r="1320">
          <cell r="R1320">
            <v>1</v>
          </cell>
          <cell r="S1320">
            <v>1</v>
          </cell>
        </row>
        <row r="1321">
          <cell r="R1321">
            <v>1</v>
          </cell>
          <cell r="S1321">
            <v>1</v>
          </cell>
        </row>
        <row r="1322">
          <cell r="R1322">
            <v>1</v>
          </cell>
          <cell r="S1322">
            <v>1</v>
          </cell>
        </row>
        <row r="1323">
          <cell r="R1323">
            <v>1</v>
          </cell>
          <cell r="S1323">
            <v>1</v>
          </cell>
        </row>
        <row r="1324">
          <cell r="R1324">
            <v>1</v>
          </cell>
          <cell r="S1324">
            <v>1</v>
          </cell>
        </row>
        <row r="1325">
          <cell r="R1325">
            <v>1</v>
          </cell>
          <cell r="S1325">
            <v>1</v>
          </cell>
        </row>
        <row r="1326">
          <cell r="R1326">
            <v>1</v>
          </cell>
          <cell r="S1326">
            <v>1</v>
          </cell>
        </row>
        <row r="1327">
          <cell r="R1327">
            <v>1</v>
          </cell>
          <cell r="S1327">
            <v>1</v>
          </cell>
        </row>
        <row r="1328">
          <cell r="R1328">
            <v>1</v>
          </cell>
          <cell r="S1328">
            <v>1</v>
          </cell>
        </row>
        <row r="1329">
          <cell r="R1329">
            <v>1</v>
          </cell>
          <cell r="S1329">
            <v>1</v>
          </cell>
        </row>
        <row r="1330">
          <cell r="R1330">
            <v>1</v>
          </cell>
          <cell r="S1330">
            <v>1</v>
          </cell>
        </row>
        <row r="1331">
          <cell r="R1331">
            <v>1</v>
          </cell>
          <cell r="S1331">
            <v>1</v>
          </cell>
        </row>
        <row r="1332">
          <cell r="R1332">
            <v>1</v>
          </cell>
          <cell r="S1332">
            <v>1</v>
          </cell>
        </row>
        <row r="1333">
          <cell r="R1333">
            <v>1</v>
          </cell>
          <cell r="S1333">
            <v>1</v>
          </cell>
        </row>
        <row r="1334">
          <cell r="R1334">
            <v>1</v>
          </cell>
          <cell r="S1334">
            <v>1</v>
          </cell>
        </row>
        <row r="1335">
          <cell r="R1335">
            <v>1</v>
          </cell>
          <cell r="S1335">
            <v>1</v>
          </cell>
        </row>
        <row r="1336">
          <cell r="R1336">
            <v>1</v>
          </cell>
          <cell r="S1336">
            <v>1</v>
          </cell>
        </row>
        <row r="1337">
          <cell r="R1337">
            <v>1</v>
          </cell>
          <cell r="S1337">
            <v>1</v>
          </cell>
        </row>
        <row r="1338">
          <cell r="R1338">
            <v>1</v>
          </cell>
          <cell r="S1338">
            <v>1</v>
          </cell>
        </row>
        <row r="1339">
          <cell r="R1339">
            <v>1</v>
          </cell>
          <cell r="S1339">
            <v>1</v>
          </cell>
        </row>
        <row r="1340">
          <cell r="R1340">
            <v>1</v>
          </cell>
          <cell r="S1340">
            <v>1</v>
          </cell>
        </row>
        <row r="1341">
          <cell r="R1341">
            <v>1</v>
          </cell>
          <cell r="S1341">
            <v>1</v>
          </cell>
        </row>
        <row r="1342">
          <cell r="R1342">
            <v>1</v>
          </cell>
          <cell r="S1342">
            <v>1</v>
          </cell>
        </row>
        <row r="1343">
          <cell r="R1343">
            <v>1</v>
          </cell>
          <cell r="S1343">
            <v>1</v>
          </cell>
        </row>
        <row r="1344">
          <cell r="R1344">
            <v>1</v>
          </cell>
          <cell r="S1344">
            <v>1</v>
          </cell>
        </row>
        <row r="1345">
          <cell r="R1345">
            <v>1</v>
          </cell>
          <cell r="S1345">
            <v>1</v>
          </cell>
        </row>
        <row r="1346">
          <cell r="R1346">
            <v>1</v>
          </cell>
          <cell r="S1346">
            <v>1</v>
          </cell>
        </row>
        <row r="1347">
          <cell r="R1347">
            <v>1</v>
          </cell>
          <cell r="S1347">
            <v>1</v>
          </cell>
        </row>
        <row r="1348">
          <cell r="R1348">
            <v>1</v>
          </cell>
          <cell r="S1348">
            <v>1</v>
          </cell>
        </row>
        <row r="1349">
          <cell r="R1349">
            <v>1</v>
          </cell>
          <cell r="S1349">
            <v>1</v>
          </cell>
        </row>
        <row r="1350">
          <cell r="R1350">
            <v>1</v>
          </cell>
          <cell r="S1350">
            <v>1</v>
          </cell>
        </row>
        <row r="1351">
          <cell r="R1351">
            <v>1</v>
          </cell>
          <cell r="S1351">
            <v>1</v>
          </cell>
        </row>
        <row r="1352">
          <cell r="R1352">
            <v>1</v>
          </cell>
          <cell r="S1352">
            <v>1</v>
          </cell>
        </row>
        <row r="1353">
          <cell r="R1353">
            <v>1</v>
          </cell>
          <cell r="S1353">
            <v>1</v>
          </cell>
        </row>
        <row r="1354">
          <cell r="R1354">
            <v>1</v>
          </cell>
          <cell r="S1354">
            <v>1</v>
          </cell>
        </row>
        <row r="1355">
          <cell r="R1355">
            <v>1</v>
          </cell>
          <cell r="S1355">
            <v>1</v>
          </cell>
        </row>
        <row r="1356">
          <cell r="R1356">
            <v>1</v>
          </cell>
          <cell r="S1356">
            <v>1</v>
          </cell>
        </row>
        <row r="1357">
          <cell r="R1357">
            <v>1</v>
          </cell>
          <cell r="S1357">
            <v>1</v>
          </cell>
        </row>
        <row r="1358">
          <cell r="R1358">
            <v>1</v>
          </cell>
          <cell r="S1358">
            <v>1</v>
          </cell>
        </row>
        <row r="1359">
          <cell r="R1359">
            <v>1</v>
          </cell>
          <cell r="S1359">
            <v>1</v>
          </cell>
        </row>
        <row r="1360">
          <cell r="R1360">
            <v>1</v>
          </cell>
          <cell r="S1360">
            <v>1</v>
          </cell>
        </row>
        <row r="1361">
          <cell r="R1361">
            <v>1</v>
          </cell>
          <cell r="S1361">
            <v>1</v>
          </cell>
        </row>
        <row r="1362">
          <cell r="R1362">
            <v>1</v>
          </cell>
          <cell r="S1362">
            <v>1</v>
          </cell>
        </row>
        <row r="1363">
          <cell r="R1363">
            <v>1</v>
          </cell>
          <cell r="S1363">
            <v>1</v>
          </cell>
        </row>
        <row r="1364">
          <cell r="R1364">
            <v>1</v>
          </cell>
          <cell r="S1364">
            <v>1</v>
          </cell>
        </row>
        <row r="1365">
          <cell r="R1365">
            <v>1</v>
          </cell>
          <cell r="S1365">
            <v>1</v>
          </cell>
        </row>
        <row r="1366">
          <cell r="R1366">
            <v>1</v>
          </cell>
          <cell r="S1366">
            <v>1</v>
          </cell>
        </row>
        <row r="1367">
          <cell r="R1367">
            <v>1</v>
          </cell>
          <cell r="S1367">
            <v>1</v>
          </cell>
        </row>
        <row r="1368">
          <cell r="R1368">
            <v>1</v>
          </cell>
          <cell r="S1368">
            <v>1</v>
          </cell>
        </row>
        <row r="1369">
          <cell r="R1369">
            <v>1</v>
          </cell>
          <cell r="S1369">
            <v>1</v>
          </cell>
        </row>
        <row r="1370">
          <cell r="R1370">
            <v>1</v>
          </cell>
          <cell r="S1370">
            <v>1</v>
          </cell>
        </row>
        <row r="1371">
          <cell r="R1371">
            <v>1</v>
          </cell>
          <cell r="S1371">
            <v>1</v>
          </cell>
        </row>
        <row r="1372">
          <cell r="R1372">
            <v>1</v>
          </cell>
          <cell r="S1372">
            <v>1</v>
          </cell>
        </row>
        <row r="1373">
          <cell r="R1373">
            <v>1</v>
          </cell>
          <cell r="S1373">
            <v>1</v>
          </cell>
        </row>
        <row r="1374">
          <cell r="R1374">
            <v>1</v>
          </cell>
          <cell r="S1374">
            <v>1</v>
          </cell>
        </row>
        <row r="1375">
          <cell r="R1375">
            <v>1</v>
          </cell>
          <cell r="S1375">
            <v>1</v>
          </cell>
        </row>
        <row r="1376">
          <cell r="R1376">
            <v>1</v>
          </cell>
          <cell r="S1376">
            <v>1</v>
          </cell>
        </row>
        <row r="1377">
          <cell r="R1377">
            <v>1</v>
          </cell>
          <cell r="S1377">
            <v>1</v>
          </cell>
        </row>
        <row r="1378">
          <cell r="R1378">
            <v>1</v>
          </cell>
          <cell r="S1378">
            <v>1</v>
          </cell>
        </row>
        <row r="1379">
          <cell r="R1379">
            <v>1</v>
          </cell>
          <cell r="S1379">
            <v>1</v>
          </cell>
        </row>
        <row r="1380">
          <cell r="R1380">
            <v>1</v>
          </cell>
          <cell r="S1380">
            <v>1</v>
          </cell>
        </row>
        <row r="1381">
          <cell r="R1381">
            <v>1</v>
          </cell>
          <cell r="S1381">
            <v>1</v>
          </cell>
        </row>
        <row r="1382">
          <cell r="R1382">
            <v>1</v>
          </cell>
          <cell r="S1382">
            <v>1</v>
          </cell>
        </row>
        <row r="1383">
          <cell r="R1383">
            <v>1</v>
          </cell>
          <cell r="S1383">
            <v>1</v>
          </cell>
        </row>
        <row r="1384">
          <cell r="R1384">
            <v>1</v>
          </cell>
          <cell r="S1384">
            <v>1</v>
          </cell>
        </row>
        <row r="1385">
          <cell r="R1385">
            <v>1</v>
          </cell>
          <cell r="S1385">
            <v>1</v>
          </cell>
        </row>
        <row r="1386">
          <cell r="R1386">
            <v>1</v>
          </cell>
          <cell r="S1386">
            <v>1</v>
          </cell>
        </row>
        <row r="1387">
          <cell r="R1387">
            <v>1</v>
          </cell>
          <cell r="S1387">
            <v>1</v>
          </cell>
        </row>
        <row r="1388">
          <cell r="R1388">
            <v>1</v>
          </cell>
          <cell r="S1388">
            <v>1</v>
          </cell>
        </row>
        <row r="1389">
          <cell r="R1389">
            <v>1</v>
          </cell>
          <cell r="S1389">
            <v>1</v>
          </cell>
        </row>
        <row r="1390">
          <cell r="R1390">
            <v>1</v>
          </cell>
          <cell r="S1390">
            <v>1</v>
          </cell>
        </row>
        <row r="1391">
          <cell r="R1391">
            <v>1</v>
          </cell>
          <cell r="S1391">
            <v>1</v>
          </cell>
        </row>
        <row r="1392">
          <cell r="R1392">
            <v>1</v>
          </cell>
          <cell r="S1392">
            <v>1</v>
          </cell>
        </row>
        <row r="1393">
          <cell r="R1393">
            <v>1</v>
          </cell>
          <cell r="S1393">
            <v>1</v>
          </cell>
        </row>
        <row r="1394">
          <cell r="R1394">
            <v>1</v>
          </cell>
          <cell r="S1394">
            <v>1</v>
          </cell>
        </row>
        <row r="1395">
          <cell r="R1395">
            <v>1</v>
          </cell>
          <cell r="S1395">
            <v>1</v>
          </cell>
        </row>
        <row r="1396">
          <cell r="R1396">
            <v>1</v>
          </cell>
          <cell r="S1396">
            <v>1</v>
          </cell>
        </row>
        <row r="1397">
          <cell r="R1397">
            <v>1</v>
          </cell>
          <cell r="S1397">
            <v>1</v>
          </cell>
        </row>
        <row r="1398">
          <cell r="R1398">
            <v>1</v>
          </cell>
          <cell r="S1398">
            <v>1</v>
          </cell>
        </row>
        <row r="1399">
          <cell r="R1399">
            <v>1</v>
          </cell>
          <cell r="S1399">
            <v>1</v>
          </cell>
        </row>
        <row r="1400">
          <cell r="R1400">
            <v>1</v>
          </cell>
          <cell r="S1400">
            <v>1</v>
          </cell>
        </row>
        <row r="1401">
          <cell r="R1401">
            <v>1</v>
          </cell>
          <cell r="S1401">
            <v>1</v>
          </cell>
        </row>
        <row r="1402">
          <cell r="R1402">
            <v>1</v>
          </cell>
          <cell r="S1402">
            <v>1</v>
          </cell>
        </row>
        <row r="1403">
          <cell r="R1403">
            <v>1</v>
          </cell>
          <cell r="S1403">
            <v>1</v>
          </cell>
        </row>
        <row r="1404">
          <cell r="R1404">
            <v>1</v>
          </cell>
          <cell r="S1404">
            <v>1</v>
          </cell>
        </row>
        <row r="1405">
          <cell r="R1405">
            <v>1</v>
          </cell>
          <cell r="S1405">
            <v>1</v>
          </cell>
        </row>
        <row r="1406">
          <cell r="R1406">
            <v>1</v>
          </cell>
          <cell r="S1406">
            <v>1</v>
          </cell>
        </row>
        <row r="1407">
          <cell r="R1407">
            <v>1</v>
          </cell>
          <cell r="S1407">
            <v>1</v>
          </cell>
        </row>
        <row r="1408">
          <cell r="R1408">
            <v>1</v>
          </cell>
          <cell r="S1408">
            <v>1</v>
          </cell>
        </row>
        <row r="1409">
          <cell r="R1409">
            <v>1</v>
          </cell>
          <cell r="S1409">
            <v>1</v>
          </cell>
        </row>
        <row r="1410">
          <cell r="R1410">
            <v>1</v>
          </cell>
          <cell r="S1410">
            <v>1</v>
          </cell>
        </row>
        <row r="1411">
          <cell r="R1411">
            <v>1</v>
          </cell>
          <cell r="S1411">
            <v>1</v>
          </cell>
        </row>
        <row r="1412">
          <cell r="R1412">
            <v>1</v>
          </cell>
          <cell r="S1412">
            <v>1</v>
          </cell>
        </row>
        <row r="1413">
          <cell r="R1413">
            <v>1</v>
          </cell>
          <cell r="S1413">
            <v>1</v>
          </cell>
        </row>
        <row r="1414">
          <cell r="R1414">
            <v>1</v>
          </cell>
          <cell r="S1414">
            <v>1</v>
          </cell>
        </row>
        <row r="1415">
          <cell r="R1415">
            <v>1</v>
          </cell>
          <cell r="S1415">
            <v>1</v>
          </cell>
        </row>
        <row r="1416">
          <cell r="R1416">
            <v>1</v>
          </cell>
          <cell r="S1416">
            <v>1</v>
          </cell>
        </row>
        <row r="1417">
          <cell r="R1417">
            <v>1</v>
          </cell>
          <cell r="S1417">
            <v>1</v>
          </cell>
        </row>
        <row r="1418">
          <cell r="R1418">
            <v>1</v>
          </cell>
          <cell r="S1418">
            <v>1</v>
          </cell>
        </row>
        <row r="1419">
          <cell r="R1419">
            <v>1</v>
          </cell>
          <cell r="S1419">
            <v>1</v>
          </cell>
        </row>
        <row r="1420">
          <cell r="R1420">
            <v>1</v>
          </cell>
          <cell r="S1420">
            <v>1</v>
          </cell>
        </row>
        <row r="1421">
          <cell r="R1421">
            <v>1</v>
          </cell>
          <cell r="S1421">
            <v>1</v>
          </cell>
        </row>
        <row r="1422">
          <cell r="R1422">
            <v>1</v>
          </cell>
          <cell r="S1422">
            <v>1</v>
          </cell>
        </row>
        <row r="1423">
          <cell r="R1423">
            <v>1</v>
          </cell>
          <cell r="S1423">
            <v>1</v>
          </cell>
        </row>
        <row r="1424">
          <cell r="R1424">
            <v>1</v>
          </cell>
          <cell r="S1424">
            <v>1</v>
          </cell>
        </row>
        <row r="1425">
          <cell r="R1425">
            <v>1</v>
          </cell>
          <cell r="S1425">
            <v>1</v>
          </cell>
        </row>
        <row r="1426">
          <cell r="R1426">
            <v>1</v>
          </cell>
          <cell r="S1426">
            <v>1</v>
          </cell>
        </row>
        <row r="1427">
          <cell r="R1427">
            <v>1</v>
          </cell>
          <cell r="S1427">
            <v>1</v>
          </cell>
        </row>
        <row r="1428">
          <cell r="R1428">
            <v>1</v>
          </cell>
          <cell r="S1428">
            <v>1</v>
          </cell>
        </row>
        <row r="1429">
          <cell r="R1429">
            <v>1</v>
          </cell>
          <cell r="S1429">
            <v>1</v>
          </cell>
        </row>
        <row r="1430">
          <cell r="R1430">
            <v>1</v>
          </cell>
          <cell r="S1430">
            <v>1</v>
          </cell>
        </row>
        <row r="1431">
          <cell r="R1431">
            <v>1</v>
          </cell>
          <cell r="S1431">
            <v>1</v>
          </cell>
        </row>
        <row r="1432">
          <cell r="R1432">
            <v>1</v>
          </cell>
          <cell r="S1432">
            <v>1</v>
          </cell>
        </row>
        <row r="1433">
          <cell r="R1433">
            <v>1</v>
          </cell>
          <cell r="S1433">
            <v>1</v>
          </cell>
        </row>
        <row r="1434">
          <cell r="R1434">
            <v>1</v>
          </cell>
          <cell r="S1434">
            <v>1</v>
          </cell>
        </row>
        <row r="1435">
          <cell r="R1435">
            <v>1</v>
          </cell>
          <cell r="S1435">
            <v>1</v>
          </cell>
        </row>
        <row r="1436">
          <cell r="R1436">
            <v>1</v>
          </cell>
          <cell r="S1436">
            <v>1</v>
          </cell>
        </row>
        <row r="1437">
          <cell r="R1437">
            <v>1</v>
          </cell>
          <cell r="S1437">
            <v>1</v>
          </cell>
        </row>
        <row r="1438">
          <cell r="R1438">
            <v>1</v>
          </cell>
          <cell r="S1438">
            <v>1</v>
          </cell>
        </row>
        <row r="1439">
          <cell r="R1439">
            <v>1</v>
          </cell>
          <cell r="S1439">
            <v>1</v>
          </cell>
        </row>
        <row r="1440">
          <cell r="R1440">
            <v>1</v>
          </cell>
          <cell r="S1440">
            <v>1</v>
          </cell>
        </row>
        <row r="1441">
          <cell r="R1441">
            <v>1</v>
          </cell>
          <cell r="S1441">
            <v>1</v>
          </cell>
        </row>
        <row r="1442">
          <cell r="R1442">
            <v>1</v>
          </cell>
          <cell r="S1442">
            <v>1</v>
          </cell>
        </row>
        <row r="1443">
          <cell r="R1443">
            <v>1</v>
          </cell>
          <cell r="S1443">
            <v>1</v>
          </cell>
        </row>
        <row r="1444">
          <cell r="R1444">
            <v>1</v>
          </cell>
          <cell r="S1444">
            <v>1</v>
          </cell>
        </row>
        <row r="1445">
          <cell r="R1445">
            <v>1</v>
          </cell>
          <cell r="S1445">
            <v>1</v>
          </cell>
        </row>
        <row r="1446">
          <cell r="R1446">
            <v>1</v>
          </cell>
          <cell r="S1446">
            <v>1</v>
          </cell>
        </row>
        <row r="1447">
          <cell r="R1447">
            <v>1</v>
          </cell>
          <cell r="S1447">
            <v>1</v>
          </cell>
        </row>
        <row r="1448">
          <cell r="R1448">
            <v>1</v>
          </cell>
          <cell r="S1448">
            <v>1</v>
          </cell>
        </row>
        <row r="1449">
          <cell r="R1449">
            <v>1</v>
          </cell>
          <cell r="S1449">
            <v>1</v>
          </cell>
        </row>
        <row r="1450">
          <cell r="R1450">
            <v>1</v>
          </cell>
          <cell r="S1450">
            <v>1</v>
          </cell>
        </row>
        <row r="1451">
          <cell r="R1451">
            <v>1</v>
          </cell>
          <cell r="S1451">
            <v>1</v>
          </cell>
        </row>
        <row r="1452">
          <cell r="R1452">
            <v>1</v>
          </cell>
          <cell r="S1452">
            <v>1</v>
          </cell>
        </row>
        <row r="1453">
          <cell r="R1453">
            <v>1</v>
          </cell>
          <cell r="S1453">
            <v>1</v>
          </cell>
        </row>
        <row r="1454">
          <cell r="R1454">
            <v>1</v>
          </cell>
          <cell r="S1454">
            <v>1</v>
          </cell>
        </row>
        <row r="1455">
          <cell r="R1455">
            <v>1</v>
          </cell>
          <cell r="S1455">
            <v>1</v>
          </cell>
        </row>
        <row r="1456">
          <cell r="R1456">
            <v>1</v>
          </cell>
          <cell r="S1456">
            <v>1</v>
          </cell>
        </row>
        <row r="1457">
          <cell r="R1457">
            <v>1</v>
          </cell>
          <cell r="S1457">
            <v>1</v>
          </cell>
        </row>
        <row r="1458">
          <cell r="R1458">
            <v>1</v>
          </cell>
          <cell r="S1458">
            <v>1</v>
          </cell>
        </row>
        <row r="1459">
          <cell r="R1459">
            <v>1</v>
          </cell>
          <cell r="S1459">
            <v>1</v>
          </cell>
        </row>
        <row r="1460">
          <cell r="R1460">
            <v>1</v>
          </cell>
          <cell r="S1460">
            <v>1</v>
          </cell>
        </row>
        <row r="1461">
          <cell r="R1461">
            <v>1</v>
          </cell>
          <cell r="S1461">
            <v>1</v>
          </cell>
        </row>
        <row r="1462">
          <cell r="R1462">
            <v>1</v>
          </cell>
          <cell r="S1462">
            <v>1</v>
          </cell>
        </row>
        <row r="1463">
          <cell r="R1463">
            <v>1</v>
          </cell>
          <cell r="S1463">
            <v>1</v>
          </cell>
        </row>
        <row r="1464">
          <cell r="R1464">
            <v>1</v>
          </cell>
          <cell r="S1464">
            <v>1</v>
          </cell>
        </row>
        <row r="1465">
          <cell r="R1465">
            <v>1</v>
          </cell>
          <cell r="S1465">
            <v>1</v>
          </cell>
        </row>
        <row r="1466">
          <cell r="R1466">
            <v>1</v>
          </cell>
          <cell r="S1466">
            <v>1</v>
          </cell>
        </row>
        <row r="1467">
          <cell r="R1467">
            <v>1</v>
          </cell>
          <cell r="S1467">
            <v>1</v>
          </cell>
        </row>
        <row r="1468">
          <cell r="R1468">
            <v>1</v>
          </cell>
          <cell r="S1468">
            <v>1</v>
          </cell>
        </row>
        <row r="1469">
          <cell r="R1469">
            <v>1</v>
          </cell>
          <cell r="S1469">
            <v>1</v>
          </cell>
        </row>
        <row r="1470">
          <cell r="R1470">
            <v>1</v>
          </cell>
          <cell r="S1470">
            <v>1</v>
          </cell>
        </row>
        <row r="1471">
          <cell r="R1471">
            <v>1</v>
          </cell>
          <cell r="S1471">
            <v>1</v>
          </cell>
        </row>
        <row r="1472">
          <cell r="R1472">
            <v>1</v>
          </cell>
          <cell r="S1472">
            <v>1</v>
          </cell>
        </row>
        <row r="1473">
          <cell r="R1473">
            <v>1</v>
          </cell>
          <cell r="S1473">
            <v>1</v>
          </cell>
        </row>
        <row r="1474">
          <cell r="R1474">
            <v>1</v>
          </cell>
          <cell r="S1474">
            <v>1</v>
          </cell>
        </row>
        <row r="1475">
          <cell r="R1475">
            <v>1</v>
          </cell>
          <cell r="S1475">
            <v>1</v>
          </cell>
        </row>
        <row r="1476">
          <cell r="R1476">
            <v>1</v>
          </cell>
          <cell r="S1476">
            <v>1</v>
          </cell>
        </row>
        <row r="1477">
          <cell r="R1477">
            <v>1</v>
          </cell>
          <cell r="S1477">
            <v>1</v>
          </cell>
        </row>
        <row r="1478">
          <cell r="R1478">
            <v>1</v>
          </cell>
          <cell r="S1478">
            <v>1</v>
          </cell>
        </row>
        <row r="1479">
          <cell r="R1479">
            <v>1</v>
          </cell>
          <cell r="S1479">
            <v>1</v>
          </cell>
        </row>
        <row r="1480">
          <cell r="R1480">
            <v>1</v>
          </cell>
          <cell r="S1480">
            <v>1</v>
          </cell>
        </row>
        <row r="1481">
          <cell r="R1481">
            <v>1</v>
          </cell>
          <cell r="S1481">
            <v>1</v>
          </cell>
        </row>
        <row r="1482">
          <cell r="R1482">
            <v>1</v>
          </cell>
          <cell r="S1482">
            <v>1</v>
          </cell>
        </row>
        <row r="1483">
          <cell r="R1483">
            <v>1</v>
          </cell>
          <cell r="S1483">
            <v>1</v>
          </cell>
        </row>
        <row r="1484">
          <cell r="R1484">
            <v>1</v>
          </cell>
          <cell r="S1484">
            <v>1</v>
          </cell>
        </row>
        <row r="1485">
          <cell r="R1485">
            <v>1</v>
          </cell>
          <cell r="S1485">
            <v>1</v>
          </cell>
        </row>
        <row r="1486">
          <cell r="R1486">
            <v>1</v>
          </cell>
          <cell r="S1486">
            <v>1</v>
          </cell>
        </row>
        <row r="1487">
          <cell r="R1487">
            <v>1</v>
          </cell>
          <cell r="S1487">
            <v>1</v>
          </cell>
        </row>
        <row r="1488">
          <cell r="R1488">
            <v>1</v>
          </cell>
          <cell r="S1488">
            <v>1</v>
          </cell>
        </row>
        <row r="1489">
          <cell r="R1489">
            <v>1</v>
          </cell>
          <cell r="S1489">
            <v>1</v>
          </cell>
        </row>
        <row r="1490">
          <cell r="R1490">
            <v>1</v>
          </cell>
          <cell r="S1490">
            <v>1</v>
          </cell>
        </row>
        <row r="1491">
          <cell r="R1491">
            <v>1</v>
          </cell>
          <cell r="S1491">
            <v>1</v>
          </cell>
        </row>
        <row r="1492">
          <cell r="R1492">
            <v>1</v>
          </cell>
          <cell r="S1492">
            <v>1</v>
          </cell>
        </row>
        <row r="1493">
          <cell r="R1493">
            <v>1</v>
          </cell>
          <cell r="S1493">
            <v>1</v>
          </cell>
        </row>
        <row r="1494">
          <cell r="R1494">
            <v>1</v>
          </cell>
          <cell r="S1494">
            <v>1</v>
          </cell>
        </row>
        <row r="1495">
          <cell r="R1495">
            <v>1</v>
          </cell>
          <cell r="S1495">
            <v>1</v>
          </cell>
        </row>
        <row r="1496">
          <cell r="R1496">
            <v>1</v>
          </cell>
          <cell r="S1496">
            <v>1</v>
          </cell>
        </row>
        <row r="1497">
          <cell r="R1497">
            <v>1</v>
          </cell>
          <cell r="S1497">
            <v>1</v>
          </cell>
        </row>
        <row r="1498">
          <cell r="R1498">
            <v>1</v>
          </cell>
          <cell r="S1498">
            <v>1</v>
          </cell>
        </row>
        <row r="1499">
          <cell r="R1499">
            <v>1</v>
          </cell>
          <cell r="S1499">
            <v>1</v>
          </cell>
        </row>
        <row r="1500">
          <cell r="R1500">
            <v>1</v>
          </cell>
          <cell r="S1500">
            <v>1</v>
          </cell>
        </row>
        <row r="1501">
          <cell r="R1501">
            <v>1</v>
          </cell>
          <cell r="S1501">
            <v>1</v>
          </cell>
        </row>
        <row r="1502">
          <cell r="R1502">
            <v>1</v>
          </cell>
          <cell r="S1502">
            <v>1</v>
          </cell>
        </row>
        <row r="1503">
          <cell r="R1503">
            <v>1</v>
          </cell>
          <cell r="S1503">
            <v>1</v>
          </cell>
        </row>
        <row r="1504">
          <cell r="R1504">
            <v>1</v>
          </cell>
          <cell r="S1504">
            <v>1</v>
          </cell>
        </row>
        <row r="1505">
          <cell r="R1505">
            <v>1</v>
          </cell>
          <cell r="S1505">
            <v>1</v>
          </cell>
        </row>
        <row r="1506">
          <cell r="R1506">
            <v>1</v>
          </cell>
          <cell r="S1506">
            <v>1</v>
          </cell>
        </row>
        <row r="1507">
          <cell r="R1507">
            <v>1</v>
          </cell>
          <cell r="S1507">
            <v>1</v>
          </cell>
        </row>
        <row r="1508">
          <cell r="R1508">
            <v>1</v>
          </cell>
          <cell r="S1508">
            <v>1</v>
          </cell>
        </row>
        <row r="1509">
          <cell r="R1509">
            <v>1</v>
          </cell>
          <cell r="S1509">
            <v>1</v>
          </cell>
        </row>
        <row r="1510">
          <cell r="R1510">
            <v>1</v>
          </cell>
          <cell r="S1510">
            <v>1</v>
          </cell>
        </row>
        <row r="1511">
          <cell r="R1511">
            <v>1</v>
          </cell>
          <cell r="S1511">
            <v>1</v>
          </cell>
        </row>
        <row r="1512">
          <cell r="R1512">
            <v>1</v>
          </cell>
          <cell r="S1512">
            <v>1</v>
          </cell>
        </row>
        <row r="1513">
          <cell r="R1513">
            <v>1</v>
          </cell>
          <cell r="S1513">
            <v>1</v>
          </cell>
        </row>
        <row r="1514">
          <cell r="R1514">
            <v>1</v>
          </cell>
          <cell r="S1514">
            <v>1</v>
          </cell>
        </row>
        <row r="1515">
          <cell r="R1515">
            <v>1</v>
          </cell>
          <cell r="S1515">
            <v>1</v>
          </cell>
        </row>
        <row r="1516">
          <cell r="R1516">
            <v>1</v>
          </cell>
          <cell r="S1516">
            <v>1</v>
          </cell>
        </row>
        <row r="1517">
          <cell r="R1517">
            <v>1</v>
          </cell>
          <cell r="S1517">
            <v>1</v>
          </cell>
        </row>
        <row r="1518">
          <cell r="R1518">
            <v>1</v>
          </cell>
          <cell r="S1518">
            <v>1</v>
          </cell>
        </row>
        <row r="1519">
          <cell r="R1519">
            <v>1</v>
          </cell>
          <cell r="S1519">
            <v>1</v>
          </cell>
        </row>
        <row r="1520">
          <cell r="R1520">
            <v>1</v>
          </cell>
          <cell r="S1520">
            <v>1</v>
          </cell>
        </row>
        <row r="1521">
          <cell r="R1521">
            <v>1</v>
          </cell>
          <cell r="S1521">
            <v>1</v>
          </cell>
        </row>
        <row r="1522">
          <cell r="R1522">
            <v>1</v>
          </cell>
          <cell r="S1522">
            <v>1</v>
          </cell>
        </row>
        <row r="1523">
          <cell r="R1523">
            <v>1</v>
          </cell>
          <cell r="S1523">
            <v>1</v>
          </cell>
        </row>
        <row r="1524">
          <cell r="R1524">
            <v>1</v>
          </cell>
          <cell r="S1524">
            <v>1</v>
          </cell>
        </row>
        <row r="1525">
          <cell r="R1525">
            <v>1</v>
          </cell>
          <cell r="S1525">
            <v>1</v>
          </cell>
        </row>
        <row r="1526">
          <cell r="R1526">
            <v>1</v>
          </cell>
          <cell r="S1526">
            <v>1</v>
          </cell>
        </row>
        <row r="1527">
          <cell r="R1527">
            <v>1</v>
          </cell>
          <cell r="S1527">
            <v>1</v>
          </cell>
        </row>
        <row r="1528">
          <cell r="R1528">
            <v>1</v>
          </cell>
          <cell r="S1528">
            <v>1</v>
          </cell>
        </row>
        <row r="1529">
          <cell r="R1529">
            <v>1</v>
          </cell>
          <cell r="S1529">
            <v>1</v>
          </cell>
        </row>
        <row r="1530">
          <cell r="R1530">
            <v>1</v>
          </cell>
          <cell r="S1530">
            <v>1</v>
          </cell>
        </row>
        <row r="1531">
          <cell r="R1531">
            <v>1</v>
          </cell>
          <cell r="S1531">
            <v>1</v>
          </cell>
        </row>
        <row r="1532">
          <cell r="R1532">
            <v>1</v>
          </cell>
          <cell r="S1532">
            <v>1</v>
          </cell>
        </row>
        <row r="1533">
          <cell r="R1533">
            <v>1</v>
          </cell>
          <cell r="S1533">
            <v>1</v>
          </cell>
        </row>
        <row r="1534">
          <cell r="R1534">
            <v>1</v>
          </cell>
          <cell r="S1534">
            <v>1</v>
          </cell>
        </row>
        <row r="1535">
          <cell r="R1535">
            <v>1</v>
          </cell>
          <cell r="S1535">
            <v>1</v>
          </cell>
        </row>
        <row r="1536">
          <cell r="R1536">
            <v>1</v>
          </cell>
          <cell r="S1536">
            <v>1</v>
          </cell>
        </row>
        <row r="1537">
          <cell r="R1537">
            <v>1</v>
          </cell>
          <cell r="S1537">
            <v>1</v>
          </cell>
        </row>
        <row r="1538">
          <cell r="R1538">
            <v>1</v>
          </cell>
          <cell r="S1538">
            <v>1</v>
          </cell>
        </row>
        <row r="1539">
          <cell r="R1539">
            <v>1</v>
          </cell>
          <cell r="S1539">
            <v>1</v>
          </cell>
        </row>
        <row r="1540">
          <cell r="R1540">
            <v>1</v>
          </cell>
          <cell r="S1540">
            <v>1</v>
          </cell>
        </row>
        <row r="1541">
          <cell r="R1541">
            <v>1</v>
          </cell>
          <cell r="S1541">
            <v>1</v>
          </cell>
        </row>
        <row r="1542">
          <cell r="R1542">
            <v>1</v>
          </cell>
          <cell r="S1542">
            <v>1</v>
          </cell>
        </row>
        <row r="1543">
          <cell r="R1543">
            <v>1</v>
          </cell>
          <cell r="S1543">
            <v>1</v>
          </cell>
        </row>
        <row r="1544">
          <cell r="R1544">
            <v>1</v>
          </cell>
          <cell r="S1544">
            <v>1</v>
          </cell>
        </row>
        <row r="1545">
          <cell r="R1545">
            <v>1</v>
          </cell>
          <cell r="S1545">
            <v>1</v>
          </cell>
        </row>
        <row r="1546">
          <cell r="R1546">
            <v>1</v>
          </cell>
          <cell r="S1546">
            <v>1</v>
          </cell>
        </row>
        <row r="1547">
          <cell r="R1547">
            <v>1</v>
          </cell>
          <cell r="S1547">
            <v>1</v>
          </cell>
        </row>
        <row r="1548">
          <cell r="R1548">
            <v>1</v>
          </cell>
          <cell r="S1548">
            <v>1</v>
          </cell>
        </row>
        <row r="1549">
          <cell r="R1549">
            <v>1</v>
          </cell>
          <cell r="S1549">
            <v>1</v>
          </cell>
        </row>
        <row r="1550">
          <cell r="R1550">
            <v>1</v>
          </cell>
          <cell r="S1550">
            <v>1</v>
          </cell>
        </row>
        <row r="1551">
          <cell r="R1551">
            <v>1</v>
          </cell>
          <cell r="S1551">
            <v>1</v>
          </cell>
        </row>
        <row r="1552">
          <cell r="R1552">
            <v>1</v>
          </cell>
          <cell r="S1552">
            <v>1</v>
          </cell>
        </row>
        <row r="1553">
          <cell r="R1553">
            <v>1</v>
          </cell>
          <cell r="S1553">
            <v>1</v>
          </cell>
        </row>
        <row r="1554">
          <cell r="R1554">
            <v>1</v>
          </cell>
          <cell r="S1554">
            <v>1</v>
          </cell>
        </row>
        <row r="1555">
          <cell r="R1555">
            <v>1</v>
          </cell>
          <cell r="S1555">
            <v>1</v>
          </cell>
        </row>
        <row r="1556">
          <cell r="R1556">
            <v>1</v>
          </cell>
          <cell r="S1556">
            <v>1</v>
          </cell>
        </row>
        <row r="1557">
          <cell r="R1557">
            <v>1</v>
          </cell>
          <cell r="S1557">
            <v>1</v>
          </cell>
        </row>
        <row r="1558">
          <cell r="R1558">
            <v>1</v>
          </cell>
          <cell r="S1558">
            <v>1</v>
          </cell>
        </row>
        <row r="1559">
          <cell r="R1559">
            <v>1</v>
          </cell>
          <cell r="S1559">
            <v>1</v>
          </cell>
        </row>
        <row r="1560">
          <cell r="R1560">
            <v>1</v>
          </cell>
          <cell r="S1560">
            <v>1</v>
          </cell>
        </row>
        <row r="1561">
          <cell r="R1561">
            <v>1</v>
          </cell>
          <cell r="S1561">
            <v>1</v>
          </cell>
        </row>
        <row r="1562">
          <cell r="R1562">
            <v>1</v>
          </cell>
          <cell r="S1562">
            <v>1</v>
          </cell>
        </row>
        <row r="1563">
          <cell r="R1563">
            <v>1</v>
          </cell>
          <cell r="S1563">
            <v>1</v>
          </cell>
        </row>
        <row r="1564">
          <cell r="R1564">
            <v>1</v>
          </cell>
          <cell r="S1564">
            <v>1</v>
          </cell>
        </row>
        <row r="1565">
          <cell r="R1565">
            <v>1</v>
          </cell>
          <cell r="S1565">
            <v>1</v>
          </cell>
        </row>
        <row r="1566">
          <cell r="R1566">
            <v>1</v>
          </cell>
          <cell r="S1566">
            <v>1</v>
          </cell>
        </row>
        <row r="1567">
          <cell r="R1567">
            <v>1</v>
          </cell>
          <cell r="S1567">
            <v>1</v>
          </cell>
        </row>
        <row r="1568">
          <cell r="R1568">
            <v>1</v>
          </cell>
          <cell r="S1568">
            <v>1</v>
          </cell>
        </row>
        <row r="1569">
          <cell r="R1569">
            <v>1</v>
          </cell>
          <cell r="S1569">
            <v>1</v>
          </cell>
        </row>
        <row r="1570">
          <cell r="R1570">
            <v>1</v>
          </cell>
          <cell r="S1570">
            <v>1</v>
          </cell>
        </row>
        <row r="1571">
          <cell r="R1571">
            <v>1</v>
          </cell>
          <cell r="S1571">
            <v>1</v>
          </cell>
        </row>
        <row r="1572">
          <cell r="R1572">
            <v>1</v>
          </cell>
          <cell r="S1572">
            <v>1</v>
          </cell>
        </row>
        <row r="1573">
          <cell r="R1573">
            <v>1</v>
          </cell>
          <cell r="S1573">
            <v>1</v>
          </cell>
        </row>
        <row r="1574">
          <cell r="R1574">
            <v>1</v>
          </cell>
          <cell r="S1574">
            <v>1</v>
          </cell>
        </row>
        <row r="1575">
          <cell r="R1575">
            <v>1</v>
          </cell>
          <cell r="S1575">
            <v>1</v>
          </cell>
        </row>
        <row r="1576">
          <cell r="R1576">
            <v>1</v>
          </cell>
          <cell r="S1576">
            <v>1</v>
          </cell>
        </row>
        <row r="1577">
          <cell r="R1577">
            <v>1</v>
          </cell>
          <cell r="S1577">
            <v>1</v>
          </cell>
        </row>
        <row r="1578">
          <cell r="R1578">
            <v>1</v>
          </cell>
          <cell r="S1578">
            <v>1</v>
          </cell>
        </row>
        <row r="1579">
          <cell r="R1579">
            <v>1</v>
          </cell>
          <cell r="S1579">
            <v>1</v>
          </cell>
        </row>
        <row r="1580">
          <cell r="R1580">
            <v>1</v>
          </cell>
          <cell r="S1580">
            <v>1</v>
          </cell>
        </row>
        <row r="1581">
          <cell r="R1581">
            <v>1</v>
          </cell>
          <cell r="S1581">
            <v>1</v>
          </cell>
        </row>
        <row r="1582">
          <cell r="R1582">
            <v>1</v>
          </cell>
          <cell r="S1582">
            <v>1</v>
          </cell>
        </row>
        <row r="1583">
          <cell r="R1583">
            <v>1</v>
          </cell>
          <cell r="S1583">
            <v>1</v>
          </cell>
        </row>
        <row r="1584">
          <cell r="R1584">
            <v>1</v>
          </cell>
          <cell r="S1584">
            <v>1</v>
          </cell>
        </row>
        <row r="1585">
          <cell r="R1585">
            <v>1</v>
          </cell>
          <cell r="S1585">
            <v>1</v>
          </cell>
        </row>
        <row r="1586">
          <cell r="R1586">
            <v>1</v>
          </cell>
          <cell r="S1586">
            <v>1</v>
          </cell>
        </row>
        <row r="1587">
          <cell r="R1587">
            <v>1</v>
          </cell>
          <cell r="S1587">
            <v>1</v>
          </cell>
        </row>
        <row r="1588">
          <cell r="R1588">
            <v>1</v>
          </cell>
          <cell r="S1588">
            <v>1</v>
          </cell>
        </row>
        <row r="1589">
          <cell r="R1589">
            <v>1</v>
          </cell>
          <cell r="S1589">
            <v>1</v>
          </cell>
        </row>
        <row r="1590">
          <cell r="R1590">
            <v>1</v>
          </cell>
          <cell r="S1590">
            <v>1</v>
          </cell>
        </row>
        <row r="1591">
          <cell r="R1591">
            <v>1</v>
          </cell>
          <cell r="S1591">
            <v>1</v>
          </cell>
        </row>
        <row r="1592">
          <cell r="R1592">
            <v>1</v>
          </cell>
          <cell r="S1592">
            <v>1</v>
          </cell>
        </row>
        <row r="1593">
          <cell r="R1593">
            <v>1</v>
          </cell>
          <cell r="S1593">
            <v>1</v>
          </cell>
        </row>
        <row r="1594">
          <cell r="R1594">
            <v>1</v>
          </cell>
          <cell r="S1594">
            <v>1</v>
          </cell>
        </row>
        <row r="1595">
          <cell r="R1595">
            <v>1</v>
          </cell>
          <cell r="S1595">
            <v>1</v>
          </cell>
        </row>
        <row r="1596">
          <cell r="R1596">
            <v>1</v>
          </cell>
          <cell r="S1596">
            <v>1</v>
          </cell>
        </row>
        <row r="1597">
          <cell r="R1597">
            <v>1</v>
          </cell>
          <cell r="S1597">
            <v>1</v>
          </cell>
        </row>
        <row r="1598">
          <cell r="R1598">
            <v>1</v>
          </cell>
          <cell r="S1598">
            <v>1</v>
          </cell>
        </row>
        <row r="1599">
          <cell r="R1599">
            <v>1</v>
          </cell>
          <cell r="S1599">
            <v>1</v>
          </cell>
        </row>
        <row r="1600">
          <cell r="R1600">
            <v>1</v>
          </cell>
          <cell r="S1600">
            <v>1</v>
          </cell>
        </row>
        <row r="1601">
          <cell r="R1601">
            <v>1</v>
          </cell>
          <cell r="S1601">
            <v>1</v>
          </cell>
        </row>
        <row r="1602">
          <cell r="R1602">
            <v>1</v>
          </cell>
          <cell r="S1602">
            <v>1</v>
          </cell>
        </row>
        <row r="1603">
          <cell r="R1603">
            <v>1</v>
          </cell>
          <cell r="S1603">
            <v>1</v>
          </cell>
        </row>
        <row r="1604">
          <cell r="R1604">
            <v>1</v>
          </cell>
          <cell r="S1604">
            <v>1</v>
          </cell>
        </row>
        <row r="1605">
          <cell r="R1605">
            <v>1</v>
          </cell>
          <cell r="S1605">
            <v>1</v>
          </cell>
        </row>
        <row r="1606">
          <cell r="R1606">
            <v>1</v>
          </cell>
          <cell r="S1606">
            <v>1</v>
          </cell>
        </row>
        <row r="1607">
          <cell r="R1607">
            <v>1</v>
          </cell>
          <cell r="S1607">
            <v>1</v>
          </cell>
        </row>
        <row r="1608">
          <cell r="R1608">
            <v>1</v>
          </cell>
          <cell r="S1608">
            <v>1</v>
          </cell>
        </row>
        <row r="1609">
          <cell r="R1609">
            <v>1</v>
          </cell>
          <cell r="S1609">
            <v>1</v>
          </cell>
        </row>
        <row r="1610">
          <cell r="R1610">
            <v>1</v>
          </cell>
          <cell r="S1610">
            <v>1</v>
          </cell>
        </row>
        <row r="1611">
          <cell r="R1611">
            <v>1</v>
          </cell>
          <cell r="S1611">
            <v>1</v>
          </cell>
        </row>
        <row r="1612">
          <cell r="R1612">
            <v>1</v>
          </cell>
          <cell r="S1612">
            <v>1</v>
          </cell>
        </row>
        <row r="1613">
          <cell r="R1613">
            <v>1</v>
          </cell>
          <cell r="S1613">
            <v>1</v>
          </cell>
        </row>
        <row r="1614">
          <cell r="R1614">
            <v>1</v>
          </cell>
          <cell r="S1614">
            <v>1</v>
          </cell>
        </row>
        <row r="1615">
          <cell r="R1615">
            <v>1</v>
          </cell>
          <cell r="S1615">
            <v>1</v>
          </cell>
        </row>
        <row r="1616">
          <cell r="R1616">
            <v>1</v>
          </cell>
          <cell r="S1616">
            <v>1</v>
          </cell>
        </row>
        <row r="1617">
          <cell r="R1617">
            <v>1</v>
          </cell>
          <cell r="S1617">
            <v>1</v>
          </cell>
        </row>
        <row r="1618">
          <cell r="R1618">
            <v>1</v>
          </cell>
          <cell r="S1618">
            <v>1</v>
          </cell>
        </row>
        <row r="1619">
          <cell r="R1619">
            <v>1</v>
          </cell>
          <cell r="S1619">
            <v>1</v>
          </cell>
        </row>
        <row r="1620">
          <cell r="R1620">
            <v>1</v>
          </cell>
          <cell r="S1620">
            <v>1</v>
          </cell>
        </row>
        <row r="1621">
          <cell r="R1621">
            <v>1</v>
          </cell>
          <cell r="S1621">
            <v>1</v>
          </cell>
        </row>
        <row r="1622">
          <cell r="R1622">
            <v>1</v>
          </cell>
          <cell r="S1622">
            <v>1</v>
          </cell>
        </row>
        <row r="1623">
          <cell r="R1623">
            <v>1</v>
          </cell>
          <cell r="S1623">
            <v>1</v>
          </cell>
        </row>
        <row r="1624">
          <cell r="R1624">
            <v>1</v>
          </cell>
          <cell r="S1624">
            <v>1</v>
          </cell>
        </row>
        <row r="1625">
          <cell r="R1625">
            <v>1</v>
          </cell>
          <cell r="S1625">
            <v>1</v>
          </cell>
        </row>
        <row r="1626">
          <cell r="R1626">
            <v>1</v>
          </cell>
          <cell r="S1626">
            <v>1</v>
          </cell>
        </row>
        <row r="1627">
          <cell r="R1627">
            <v>1</v>
          </cell>
          <cell r="S1627">
            <v>1</v>
          </cell>
        </row>
        <row r="1628">
          <cell r="R1628">
            <v>1</v>
          </cell>
          <cell r="S1628">
            <v>1</v>
          </cell>
        </row>
        <row r="1629">
          <cell r="R1629">
            <v>1</v>
          </cell>
          <cell r="S1629">
            <v>1</v>
          </cell>
        </row>
        <row r="1630">
          <cell r="R1630">
            <v>1</v>
          </cell>
          <cell r="S1630">
            <v>1</v>
          </cell>
        </row>
        <row r="1631">
          <cell r="R1631">
            <v>1</v>
          </cell>
          <cell r="S1631">
            <v>1</v>
          </cell>
        </row>
        <row r="1632">
          <cell r="R1632">
            <v>1</v>
          </cell>
          <cell r="S1632">
            <v>1</v>
          </cell>
        </row>
        <row r="1633">
          <cell r="R1633">
            <v>1</v>
          </cell>
          <cell r="S1633">
            <v>1</v>
          </cell>
        </row>
        <row r="1634">
          <cell r="R1634">
            <v>1</v>
          </cell>
          <cell r="S1634">
            <v>1</v>
          </cell>
        </row>
        <row r="1635">
          <cell r="R1635">
            <v>1</v>
          </cell>
          <cell r="S1635">
            <v>1</v>
          </cell>
        </row>
        <row r="1636">
          <cell r="R1636">
            <v>1</v>
          </cell>
          <cell r="S1636">
            <v>1</v>
          </cell>
        </row>
        <row r="1637">
          <cell r="R1637">
            <v>1</v>
          </cell>
          <cell r="S1637">
            <v>1</v>
          </cell>
        </row>
        <row r="1638">
          <cell r="R1638">
            <v>1</v>
          </cell>
          <cell r="S1638">
            <v>1</v>
          </cell>
        </row>
        <row r="1639">
          <cell r="R1639">
            <v>1</v>
          </cell>
          <cell r="S1639">
            <v>1</v>
          </cell>
        </row>
        <row r="1640">
          <cell r="R1640">
            <v>1</v>
          </cell>
          <cell r="S1640">
            <v>1</v>
          </cell>
        </row>
        <row r="1641">
          <cell r="R1641">
            <v>1</v>
          </cell>
          <cell r="S1641">
            <v>1</v>
          </cell>
        </row>
        <row r="1642">
          <cell r="R1642">
            <v>1</v>
          </cell>
          <cell r="S1642">
            <v>1</v>
          </cell>
        </row>
        <row r="1643">
          <cell r="R1643">
            <v>1</v>
          </cell>
          <cell r="S1643">
            <v>1</v>
          </cell>
        </row>
        <row r="1644">
          <cell r="R1644">
            <v>1</v>
          </cell>
          <cell r="S1644">
            <v>1</v>
          </cell>
        </row>
        <row r="1645">
          <cell r="R1645">
            <v>1</v>
          </cell>
          <cell r="S1645">
            <v>1</v>
          </cell>
        </row>
        <row r="1646">
          <cell r="R1646">
            <v>1</v>
          </cell>
          <cell r="S1646">
            <v>1</v>
          </cell>
        </row>
        <row r="1647">
          <cell r="R1647">
            <v>1</v>
          </cell>
          <cell r="S1647">
            <v>1</v>
          </cell>
        </row>
        <row r="1648">
          <cell r="R1648">
            <v>1</v>
          </cell>
          <cell r="S1648">
            <v>1</v>
          </cell>
        </row>
        <row r="1649">
          <cell r="R1649">
            <v>1</v>
          </cell>
          <cell r="S1649">
            <v>1</v>
          </cell>
        </row>
        <row r="1650">
          <cell r="R1650">
            <v>1</v>
          </cell>
          <cell r="S1650">
            <v>1</v>
          </cell>
        </row>
        <row r="1651">
          <cell r="R1651">
            <v>1</v>
          </cell>
          <cell r="S1651">
            <v>1</v>
          </cell>
        </row>
        <row r="1652">
          <cell r="R1652">
            <v>1</v>
          </cell>
          <cell r="S1652">
            <v>1</v>
          </cell>
        </row>
        <row r="1653">
          <cell r="R1653">
            <v>1</v>
          </cell>
          <cell r="S1653">
            <v>1</v>
          </cell>
        </row>
        <row r="1654">
          <cell r="R1654">
            <v>1</v>
          </cell>
          <cell r="S1654">
            <v>1</v>
          </cell>
        </row>
        <row r="1655">
          <cell r="R1655">
            <v>1</v>
          </cell>
          <cell r="S1655">
            <v>1</v>
          </cell>
        </row>
        <row r="1656">
          <cell r="R1656">
            <v>1</v>
          </cell>
          <cell r="S1656">
            <v>1</v>
          </cell>
        </row>
        <row r="1657">
          <cell r="R1657">
            <v>1</v>
          </cell>
          <cell r="S1657">
            <v>1</v>
          </cell>
        </row>
        <row r="1658">
          <cell r="R1658">
            <v>1</v>
          </cell>
          <cell r="S1658">
            <v>1</v>
          </cell>
        </row>
        <row r="1659">
          <cell r="R1659">
            <v>1</v>
          </cell>
          <cell r="S1659">
            <v>1</v>
          </cell>
        </row>
        <row r="1660">
          <cell r="R1660">
            <v>1</v>
          </cell>
          <cell r="S1660">
            <v>1</v>
          </cell>
        </row>
        <row r="1661">
          <cell r="R1661">
            <v>1</v>
          </cell>
          <cell r="S1661">
            <v>1</v>
          </cell>
        </row>
        <row r="1662">
          <cell r="R1662">
            <v>1</v>
          </cell>
          <cell r="S1662">
            <v>1</v>
          </cell>
        </row>
        <row r="1663">
          <cell r="R1663">
            <v>1</v>
          </cell>
          <cell r="S1663">
            <v>1</v>
          </cell>
        </row>
        <row r="1664">
          <cell r="R1664">
            <v>1</v>
          </cell>
          <cell r="S1664">
            <v>1</v>
          </cell>
        </row>
        <row r="1665">
          <cell r="R1665">
            <v>1</v>
          </cell>
          <cell r="S1665">
            <v>1</v>
          </cell>
        </row>
        <row r="1666">
          <cell r="R1666">
            <v>1</v>
          </cell>
          <cell r="S1666">
            <v>1</v>
          </cell>
        </row>
        <row r="1667">
          <cell r="R1667">
            <v>1</v>
          </cell>
          <cell r="S1667">
            <v>1</v>
          </cell>
        </row>
        <row r="1668">
          <cell r="R1668">
            <v>1</v>
          </cell>
          <cell r="S1668">
            <v>1</v>
          </cell>
        </row>
        <row r="1669">
          <cell r="R1669">
            <v>1</v>
          </cell>
          <cell r="S1669">
            <v>1</v>
          </cell>
        </row>
        <row r="1670">
          <cell r="R1670">
            <v>1</v>
          </cell>
          <cell r="S1670">
            <v>1</v>
          </cell>
        </row>
        <row r="1671">
          <cell r="R1671">
            <v>1</v>
          </cell>
          <cell r="S1671">
            <v>1</v>
          </cell>
        </row>
        <row r="1672">
          <cell r="R1672">
            <v>1</v>
          </cell>
          <cell r="S1672">
            <v>1</v>
          </cell>
        </row>
        <row r="1673">
          <cell r="R1673">
            <v>1</v>
          </cell>
          <cell r="S1673">
            <v>1</v>
          </cell>
        </row>
        <row r="1674">
          <cell r="R1674">
            <v>1</v>
          </cell>
          <cell r="S1674">
            <v>1</v>
          </cell>
        </row>
        <row r="1675">
          <cell r="R1675">
            <v>1</v>
          </cell>
          <cell r="S1675">
            <v>1</v>
          </cell>
        </row>
        <row r="1676">
          <cell r="R1676">
            <v>1</v>
          </cell>
          <cell r="S1676">
            <v>1</v>
          </cell>
        </row>
        <row r="1677">
          <cell r="R1677">
            <v>1</v>
          </cell>
          <cell r="S1677">
            <v>1</v>
          </cell>
        </row>
        <row r="1678">
          <cell r="R1678">
            <v>1</v>
          </cell>
          <cell r="S1678">
            <v>1</v>
          </cell>
        </row>
        <row r="1679">
          <cell r="R1679">
            <v>1</v>
          </cell>
          <cell r="S1679">
            <v>1</v>
          </cell>
        </row>
        <row r="1680">
          <cell r="R1680">
            <v>1</v>
          </cell>
          <cell r="S1680">
            <v>1</v>
          </cell>
        </row>
        <row r="1681">
          <cell r="R1681">
            <v>1</v>
          </cell>
          <cell r="S1681">
            <v>1</v>
          </cell>
        </row>
        <row r="1682">
          <cell r="R1682">
            <v>1</v>
          </cell>
          <cell r="S1682">
            <v>1</v>
          </cell>
        </row>
        <row r="1683">
          <cell r="R1683">
            <v>1</v>
          </cell>
          <cell r="S1683">
            <v>1</v>
          </cell>
        </row>
        <row r="1684">
          <cell r="R1684">
            <v>1</v>
          </cell>
          <cell r="S1684">
            <v>1</v>
          </cell>
        </row>
        <row r="1685">
          <cell r="R1685">
            <v>1</v>
          </cell>
          <cell r="S1685">
            <v>1</v>
          </cell>
        </row>
        <row r="1686">
          <cell r="R1686">
            <v>1</v>
          </cell>
          <cell r="S1686">
            <v>1</v>
          </cell>
        </row>
        <row r="1687">
          <cell r="R1687">
            <v>1</v>
          </cell>
          <cell r="S1687">
            <v>1</v>
          </cell>
        </row>
        <row r="1688">
          <cell r="R1688">
            <v>1</v>
          </cell>
          <cell r="S1688">
            <v>1</v>
          </cell>
        </row>
        <row r="1689">
          <cell r="R1689">
            <v>1</v>
          </cell>
          <cell r="S1689">
            <v>1</v>
          </cell>
        </row>
        <row r="1690">
          <cell r="R1690">
            <v>1</v>
          </cell>
          <cell r="S1690">
            <v>1</v>
          </cell>
        </row>
        <row r="1691">
          <cell r="R1691">
            <v>1</v>
          </cell>
          <cell r="S1691">
            <v>1</v>
          </cell>
        </row>
        <row r="1692">
          <cell r="R1692">
            <v>1</v>
          </cell>
          <cell r="S1692">
            <v>1</v>
          </cell>
        </row>
        <row r="1693">
          <cell r="R1693">
            <v>1</v>
          </cell>
          <cell r="S1693">
            <v>1</v>
          </cell>
        </row>
        <row r="1694">
          <cell r="R1694">
            <v>1</v>
          </cell>
          <cell r="S1694">
            <v>1</v>
          </cell>
        </row>
        <row r="1695">
          <cell r="R1695">
            <v>1</v>
          </cell>
          <cell r="S1695">
            <v>1</v>
          </cell>
        </row>
        <row r="1696">
          <cell r="R1696">
            <v>1</v>
          </cell>
          <cell r="S1696">
            <v>1</v>
          </cell>
        </row>
        <row r="1697">
          <cell r="R1697">
            <v>1</v>
          </cell>
          <cell r="S1697">
            <v>1</v>
          </cell>
        </row>
        <row r="1698">
          <cell r="R1698">
            <v>1</v>
          </cell>
          <cell r="S1698">
            <v>1</v>
          </cell>
        </row>
        <row r="1699">
          <cell r="R1699">
            <v>1</v>
          </cell>
          <cell r="S1699">
            <v>1</v>
          </cell>
        </row>
        <row r="1700">
          <cell r="R1700">
            <v>1</v>
          </cell>
          <cell r="S1700">
            <v>1</v>
          </cell>
        </row>
        <row r="1701">
          <cell r="R1701">
            <v>1</v>
          </cell>
          <cell r="S1701">
            <v>1</v>
          </cell>
        </row>
        <row r="1702">
          <cell r="R1702">
            <v>1</v>
          </cell>
          <cell r="S1702">
            <v>1</v>
          </cell>
        </row>
        <row r="1703">
          <cell r="R1703">
            <v>1</v>
          </cell>
          <cell r="S1703">
            <v>1</v>
          </cell>
        </row>
        <row r="1704">
          <cell r="R1704">
            <v>1</v>
          </cell>
          <cell r="S1704">
            <v>1</v>
          </cell>
        </row>
        <row r="1705">
          <cell r="R1705">
            <v>1</v>
          </cell>
          <cell r="S1705">
            <v>1</v>
          </cell>
        </row>
        <row r="1706">
          <cell r="R1706">
            <v>1</v>
          </cell>
          <cell r="S1706">
            <v>1</v>
          </cell>
        </row>
        <row r="1707">
          <cell r="R1707">
            <v>1</v>
          </cell>
          <cell r="S1707">
            <v>1</v>
          </cell>
        </row>
        <row r="1708">
          <cell r="R1708">
            <v>1</v>
          </cell>
          <cell r="S1708">
            <v>1</v>
          </cell>
        </row>
        <row r="1709">
          <cell r="R1709">
            <v>1</v>
          </cell>
          <cell r="S1709">
            <v>1</v>
          </cell>
        </row>
        <row r="1710">
          <cell r="R1710">
            <v>1</v>
          </cell>
          <cell r="S1710">
            <v>1</v>
          </cell>
        </row>
        <row r="1711">
          <cell r="R1711">
            <v>1</v>
          </cell>
          <cell r="S1711">
            <v>1</v>
          </cell>
        </row>
        <row r="1712">
          <cell r="R1712">
            <v>1</v>
          </cell>
          <cell r="S1712">
            <v>1</v>
          </cell>
        </row>
        <row r="1713">
          <cell r="R1713">
            <v>1</v>
          </cell>
          <cell r="S1713">
            <v>1</v>
          </cell>
        </row>
        <row r="1714">
          <cell r="R1714">
            <v>1</v>
          </cell>
          <cell r="S1714">
            <v>1</v>
          </cell>
        </row>
        <row r="1715">
          <cell r="R1715">
            <v>1</v>
          </cell>
          <cell r="S1715">
            <v>1</v>
          </cell>
        </row>
        <row r="1716">
          <cell r="R1716">
            <v>1</v>
          </cell>
          <cell r="S1716">
            <v>1</v>
          </cell>
        </row>
        <row r="1717">
          <cell r="R1717">
            <v>1</v>
          </cell>
          <cell r="S1717">
            <v>1</v>
          </cell>
        </row>
        <row r="1718">
          <cell r="R1718">
            <v>1</v>
          </cell>
          <cell r="S1718">
            <v>1</v>
          </cell>
        </row>
        <row r="1719">
          <cell r="R1719">
            <v>1</v>
          </cell>
          <cell r="S1719">
            <v>1</v>
          </cell>
        </row>
        <row r="1720">
          <cell r="R1720">
            <v>1</v>
          </cell>
          <cell r="S1720">
            <v>1</v>
          </cell>
        </row>
        <row r="1721">
          <cell r="R1721">
            <v>1</v>
          </cell>
          <cell r="S1721">
            <v>1</v>
          </cell>
        </row>
        <row r="1722">
          <cell r="R1722">
            <v>1</v>
          </cell>
          <cell r="S1722">
            <v>1</v>
          </cell>
        </row>
        <row r="1723">
          <cell r="R1723">
            <v>1</v>
          </cell>
          <cell r="S1723">
            <v>1</v>
          </cell>
        </row>
        <row r="1724">
          <cell r="R1724">
            <v>1</v>
          </cell>
          <cell r="S1724">
            <v>1</v>
          </cell>
        </row>
        <row r="1725">
          <cell r="R1725">
            <v>1</v>
          </cell>
          <cell r="S1725">
            <v>1</v>
          </cell>
        </row>
        <row r="1726">
          <cell r="R1726">
            <v>1</v>
          </cell>
          <cell r="S1726">
            <v>1</v>
          </cell>
        </row>
        <row r="1727">
          <cell r="R1727">
            <v>1</v>
          </cell>
          <cell r="S1727">
            <v>1</v>
          </cell>
        </row>
        <row r="1728">
          <cell r="R1728">
            <v>1</v>
          </cell>
          <cell r="S1728">
            <v>1</v>
          </cell>
        </row>
        <row r="1729">
          <cell r="R1729">
            <v>1</v>
          </cell>
          <cell r="S1729">
            <v>1</v>
          </cell>
        </row>
        <row r="1730">
          <cell r="R1730">
            <v>1</v>
          </cell>
          <cell r="S1730">
            <v>1</v>
          </cell>
        </row>
        <row r="1731">
          <cell r="R1731">
            <v>1</v>
          </cell>
          <cell r="S1731">
            <v>1</v>
          </cell>
        </row>
        <row r="1732">
          <cell r="R1732">
            <v>1</v>
          </cell>
          <cell r="S1732">
            <v>1</v>
          </cell>
        </row>
        <row r="1733">
          <cell r="R1733">
            <v>1</v>
          </cell>
          <cell r="S1733">
            <v>1</v>
          </cell>
        </row>
        <row r="1734">
          <cell r="R1734">
            <v>1</v>
          </cell>
          <cell r="S1734">
            <v>1</v>
          </cell>
        </row>
        <row r="1735">
          <cell r="R1735">
            <v>1</v>
          </cell>
          <cell r="S1735">
            <v>1</v>
          </cell>
        </row>
        <row r="1736">
          <cell r="R1736">
            <v>1</v>
          </cell>
          <cell r="S1736">
            <v>1</v>
          </cell>
        </row>
        <row r="1737">
          <cell r="R1737">
            <v>1</v>
          </cell>
          <cell r="S1737">
            <v>1</v>
          </cell>
        </row>
        <row r="1738">
          <cell r="R1738">
            <v>1</v>
          </cell>
          <cell r="S1738">
            <v>1</v>
          </cell>
        </row>
        <row r="1739">
          <cell r="R1739">
            <v>1</v>
          </cell>
          <cell r="S1739">
            <v>1</v>
          </cell>
        </row>
        <row r="1740">
          <cell r="R1740">
            <v>1</v>
          </cell>
          <cell r="S1740">
            <v>1</v>
          </cell>
        </row>
        <row r="1741">
          <cell r="R1741">
            <v>1</v>
          </cell>
          <cell r="S1741">
            <v>1</v>
          </cell>
        </row>
        <row r="1742">
          <cell r="R1742">
            <v>1</v>
          </cell>
          <cell r="S1742">
            <v>1</v>
          </cell>
        </row>
        <row r="1743">
          <cell r="R1743">
            <v>1</v>
          </cell>
          <cell r="S1743">
            <v>1</v>
          </cell>
        </row>
        <row r="1744">
          <cell r="R1744">
            <v>1</v>
          </cell>
          <cell r="S1744">
            <v>1</v>
          </cell>
        </row>
        <row r="1745">
          <cell r="R1745">
            <v>1</v>
          </cell>
          <cell r="S1745">
            <v>1</v>
          </cell>
        </row>
        <row r="1746">
          <cell r="R1746">
            <v>1</v>
          </cell>
          <cell r="S1746">
            <v>1</v>
          </cell>
        </row>
        <row r="1747">
          <cell r="R1747">
            <v>1</v>
          </cell>
          <cell r="S1747">
            <v>1</v>
          </cell>
        </row>
        <row r="1748">
          <cell r="R1748">
            <v>1</v>
          </cell>
          <cell r="S1748">
            <v>1</v>
          </cell>
        </row>
        <row r="1749">
          <cell r="R1749">
            <v>1</v>
          </cell>
          <cell r="S1749">
            <v>1</v>
          </cell>
        </row>
        <row r="1750">
          <cell r="R1750">
            <v>1</v>
          </cell>
          <cell r="S1750">
            <v>1</v>
          </cell>
        </row>
        <row r="1751">
          <cell r="R1751">
            <v>1</v>
          </cell>
          <cell r="S1751">
            <v>1</v>
          </cell>
        </row>
        <row r="1752">
          <cell r="R1752">
            <v>1</v>
          </cell>
          <cell r="S1752">
            <v>1</v>
          </cell>
        </row>
        <row r="1753">
          <cell r="R1753">
            <v>1</v>
          </cell>
          <cell r="S1753">
            <v>1</v>
          </cell>
        </row>
        <row r="1754">
          <cell r="R1754">
            <v>1</v>
          </cell>
          <cell r="S1754">
            <v>1</v>
          </cell>
        </row>
        <row r="1755">
          <cell r="R1755">
            <v>1</v>
          </cell>
          <cell r="S1755">
            <v>1</v>
          </cell>
        </row>
        <row r="1756">
          <cell r="R1756">
            <v>1</v>
          </cell>
          <cell r="S1756">
            <v>1</v>
          </cell>
        </row>
        <row r="1757">
          <cell r="R1757">
            <v>1</v>
          </cell>
          <cell r="S1757">
            <v>1</v>
          </cell>
        </row>
        <row r="1758">
          <cell r="R1758">
            <v>1</v>
          </cell>
          <cell r="S1758">
            <v>1</v>
          </cell>
        </row>
        <row r="1759">
          <cell r="R1759">
            <v>1</v>
          </cell>
          <cell r="S1759">
            <v>1</v>
          </cell>
        </row>
        <row r="1760">
          <cell r="R1760">
            <v>1</v>
          </cell>
          <cell r="S1760">
            <v>1</v>
          </cell>
        </row>
        <row r="1761">
          <cell r="R1761">
            <v>1</v>
          </cell>
          <cell r="S1761">
            <v>1</v>
          </cell>
        </row>
        <row r="1762">
          <cell r="R1762">
            <v>1</v>
          </cell>
          <cell r="S1762">
            <v>1</v>
          </cell>
        </row>
        <row r="1763">
          <cell r="R1763">
            <v>1</v>
          </cell>
          <cell r="S1763">
            <v>1</v>
          </cell>
        </row>
        <row r="1764">
          <cell r="R1764">
            <v>1</v>
          </cell>
          <cell r="S1764">
            <v>1</v>
          </cell>
        </row>
        <row r="1765">
          <cell r="R1765">
            <v>1</v>
          </cell>
          <cell r="S1765">
            <v>1</v>
          </cell>
        </row>
        <row r="1766">
          <cell r="R1766">
            <v>1</v>
          </cell>
          <cell r="S1766">
            <v>1</v>
          </cell>
        </row>
        <row r="1767">
          <cell r="R1767">
            <v>1</v>
          </cell>
          <cell r="S1767">
            <v>1</v>
          </cell>
        </row>
        <row r="1768">
          <cell r="R1768">
            <v>1</v>
          </cell>
          <cell r="S1768">
            <v>1</v>
          </cell>
        </row>
        <row r="1769">
          <cell r="R1769">
            <v>1</v>
          </cell>
          <cell r="S1769">
            <v>1</v>
          </cell>
        </row>
        <row r="1770">
          <cell r="R1770">
            <v>1</v>
          </cell>
          <cell r="S1770">
            <v>1</v>
          </cell>
        </row>
        <row r="1771">
          <cell r="R1771">
            <v>1</v>
          </cell>
          <cell r="S1771">
            <v>1</v>
          </cell>
        </row>
        <row r="1772">
          <cell r="R1772">
            <v>1</v>
          </cell>
          <cell r="S1772">
            <v>1</v>
          </cell>
        </row>
        <row r="1773">
          <cell r="R1773">
            <v>1</v>
          </cell>
          <cell r="S1773">
            <v>1</v>
          </cell>
        </row>
        <row r="1774">
          <cell r="R1774">
            <v>1</v>
          </cell>
          <cell r="S1774">
            <v>1</v>
          </cell>
        </row>
        <row r="1775">
          <cell r="R1775">
            <v>1</v>
          </cell>
          <cell r="S1775">
            <v>1</v>
          </cell>
        </row>
        <row r="1776">
          <cell r="R1776">
            <v>1</v>
          </cell>
          <cell r="S1776">
            <v>1</v>
          </cell>
        </row>
        <row r="1777">
          <cell r="R1777">
            <v>1</v>
          </cell>
          <cell r="S1777">
            <v>1</v>
          </cell>
        </row>
        <row r="1778">
          <cell r="R1778">
            <v>1</v>
          </cell>
          <cell r="S1778">
            <v>1</v>
          </cell>
        </row>
        <row r="1779">
          <cell r="R1779">
            <v>1</v>
          </cell>
          <cell r="S1779">
            <v>1</v>
          </cell>
        </row>
        <row r="1780">
          <cell r="R1780">
            <v>1</v>
          </cell>
          <cell r="S1780">
            <v>1</v>
          </cell>
        </row>
        <row r="1781">
          <cell r="R1781">
            <v>1</v>
          </cell>
          <cell r="S1781">
            <v>1</v>
          </cell>
        </row>
        <row r="1782">
          <cell r="R1782">
            <v>1</v>
          </cell>
          <cell r="S1782">
            <v>1</v>
          </cell>
        </row>
        <row r="1783">
          <cell r="R1783">
            <v>1</v>
          </cell>
          <cell r="S1783">
            <v>1</v>
          </cell>
        </row>
        <row r="1784">
          <cell r="R1784">
            <v>1</v>
          </cell>
          <cell r="S1784">
            <v>1</v>
          </cell>
        </row>
        <row r="1785">
          <cell r="R1785">
            <v>1</v>
          </cell>
          <cell r="S1785">
            <v>1</v>
          </cell>
        </row>
        <row r="1786">
          <cell r="R1786">
            <v>1</v>
          </cell>
          <cell r="S1786">
            <v>1</v>
          </cell>
        </row>
        <row r="1787">
          <cell r="R1787">
            <v>1</v>
          </cell>
          <cell r="S1787">
            <v>1</v>
          </cell>
        </row>
        <row r="1788">
          <cell r="R1788">
            <v>1</v>
          </cell>
          <cell r="S1788">
            <v>1</v>
          </cell>
        </row>
        <row r="1789">
          <cell r="R1789">
            <v>1</v>
          </cell>
          <cell r="S1789">
            <v>1</v>
          </cell>
        </row>
        <row r="1790">
          <cell r="R1790">
            <v>1</v>
          </cell>
          <cell r="S1790">
            <v>1</v>
          </cell>
        </row>
        <row r="1791">
          <cell r="R1791">
            <v>1</v>
          </cell>
          <cell r="S1791">
            <v>1</v>
          </cell>
        </row>
        <row r="1792">
          <cell r="R1792">
            <v>1</v>
          </cell>
          <cell r="S1792">
            <v>1</v>
          </cell>
        </row>
        <row r="1793">
          <cell r="R1793">
            <v>1</v>
          </cell>
          <cell r="S1793">
            <v>1</v>
          </cell>
        </row>
        <row r="1794">
          <cell r="R1794">
            <v>1</v>
          </cell>
          <cell r="S1794">
            <v>1</v>
          </cell>
        </row>
        <row r="1795">
          <cell r="R1795">
            <v>1</v>
          </cell>
          <cell r="S1795">
            <v>1</v>
          </cell>
        </row>
        <row r="1796">
          <cell r="R1796">
            <v>1</v>
          </cell>
          <cell r="S1796">
            <v>1</v>
          </cell>
        </row>
        <row r="1797">
          <cell r="R1797">
            <v>1</v>
          </cell>
          <cell r="S1797">
            <v>1</v>
          </cell>
        </row>
        <row r="1798">
          <cell r="R1798">
            <v>1</v>
          </cell>
          <cell r="S1798">
            <v>1</v>
          </cell>
        </row>
        <row r="1799">
          <cell r="R1799">
            <v>1</v>
          </cell>
          <cell r="S1799">
            <v>1</v>
          </cell>
        </row>
        <row r="1800">
          <cell r="R1800">
            <v>1</v>
          </cell>
          <cell r="S1800">
            <v>1</v>
          </cell>
        </row>
        <row r="1801">
          <cell r="R1801">
            <v>1</v>
          </cell>
          <cell r="S1801">
            <v>1</v>
          </cell>
        </row>
        <row r="1802">
          <cell r="R1802">
            <v>1</v>
          </cell>
          <cell r="S1802">
            <v>1</v>
          </cell>
        </row>
        <row r="1803">
          <cell r="R1803">
            <v>1</v>
          </cell>
          <cell r="S1803">
            <v>1</v>
          </cell>
        </row>
        <row r="1804">
          <cell r="R1804">
            <v>1</v>
          </cell>
          <cell r="S1804">
            <v>1</v>
          </cell>
        </row>
        <row r="1805">
          <cell r="R1805">
            <v>1</v>
          </cell>
          <cell r="S1805">
            <v>1</v>
          </cell>
        </row>
        <row r="1806">
          <cell r="R1806">
            <v>1</v>
          </cell>
          <cell r="S1806">
            <v>1</v>
          </cell>
        </row>
        <row r="1807">
          <cell r="R1807">
            <v>1</v>
          </cell>
          <cell r="S1807">
            <v>1</v>
          </cell>
        </row>
        <row r="1808">
          <cell r="R1808">
            <v>1</v>
          </cell>
          <cell r="S1808">
            <v>1</v>
          </cell>
        </row>
        <row r="1809">
          <cell r="R1809">
            <v>1</v>
          </cell>
          <cell r="S1809">
            <v>1</v>
          </cell>
        </row>
        <row r="1810">
          <cell r="R1810">
            <v>1</v>
          </cell>
          <cell r="S1810">
            <v>1</v>
          </cell>
        </row>
        <row r="1811">
          <cell r="R1811">
            <v>1</v>
          </cell>
          <cell r="S1811">
            <v>1</v>
          </cell>
        </row>
        <row r="1812">
          <cell r="R1812">
            <v>1</v>
          </cell>
          <cell r="S1812">
            <v>1</v>
          </cell>
        </row>
        <row r="1813">
          <cell r="R1813">
            <v>1</v>
          </cell>
          <cell r="S1813">
            <v>1</v>
          </cell>
        </row>
        <row r="1814">
          <cell r="R1814">
            <v>1</v>
          </cell>
          <cell r="S1814">
            <v>1</v>
          </cell>
        </row>
        <row r="1815">
          <cell r="R1815">
            <v>1</v>
          </cell>
          <cell r="S1815">
            <v>1</v>
          </cell>
        </row>
        <row r="1816">
          <cell r="R1816">
            <v>1</v>
          </cell>
          <cell r="S1816">
            <v>1</v>
          </cell>
        </row>
        <row r="1817">
          <cell r="R1817">
            <v>1</v>
          </cell>
          <cell r="S1817">
            <v>1</v>
          </cell>
        </row>
        <row r="1818">
          <cell r="R1818">
            <v>1</v>
          </cell>
          <cell r="S1818">
            <v>1</v>
          </cell>
        </row>
        <row r="1819">
          <cell r="R1819">
            <v>1</v>
          </cell>
          <cell r="S1819">
            <v>1</v>
          </cell>
        </row>
        <row r="1820">
          <cell r="R1820">
            <v>1</v>
          </cell>
          <cell r="S1820">
            <v>1</v>
          </cell>
        </row>
        <row r="1821">
          <cell r="R1821">
            <v>1</v>
          </cell>
          <cell r="S1821">
            <v>1</v>
          </cell>
        </row>
        <row r="1822">
          <cell r="R1822">
            <v>1</v>
          </cell>
          <cell r="S1822">
            <v>1</v>
          </cell>
        </row>
        <row r="1823">
          <cell r="R1823">
            <v>1</v>
          </cell>
          <cell r="S1823">
            <v>1</v>
          </cell>
        </row>
        <row r="1824">
          <cell r="R1824">
            <v>1</v>
          </cell>
          <cell r="S1824">
            <v>1</v>
          </cell>
        </row>
        <row r="1825">
          <cell r="R1825">
            <v>1</v>
          </cell>
          <cell r="S1825">
            <v>1</v>
          </cell>
        </row>
        <row r="1826">
          <cell r="R1826">
            <v>1</v>
          </cell>
          <cell r="S1826">
            <v>1</v>
          </cell>
        </row>
        <row r="1827">
          <cell r="R1827">
            <v>1</v>
          </cell>
          <cell r="S1827">
            <v>1</v>
          </cell>
        </row>
        <row r="1828">
          <cell r="R1828">
            <v>1</v>
          </cell>
          <cell r="S1828">
            <v>1</v>
          </cell>
        </row>
        <row r="1829">
          <cell r="R1829">
            <v>1</v>
          </cell>
          <cell r="S1829">
            <v>1</v>
          </cell>
        </row>
        <row r="1830">
          <cell r="R1830">
            <v>1</v>
          </cell>
          <cell r="S1830">
            <v>1</v>
          </cell>
        </row>
        <row r="1831">
          <cell r="R1831">
            <v>1</v>
          </cell>
          <cell r="S1831">
            <v>1</v>
          </cell>
        </row>
        <row r="1832">
          <cell r="R1832">
            <v>1</v>
          </cell>
          <cell r="S1832">
            <v>1</v>
          </cell>
        </row>
        <row r="1833">
          <cell r="R1833">
            <v>1</v>
          </cell>
          <cell r="S1833">
            <v>1</v>
          </cell>
        </row>
        <row r="1834">
          <cell r="R1834">
            <v>1</v>
          </cell>
          <cell r="S1834">
            <v>1</v>
          </cell>
        </row>
        <row r="1835">
          <cell r="R1835">
            <v>1</v>
          </cell>
          <cell r="S1835">
            <v>1</v>
          </cell>
        </row>
        <row r="1836">
          <cell r="R1836">
            <v>1</v>
          </cell>
          <cell r="S1836">
            <v>1</v>
          </cell>
        </row>
        <row r="1837">
          <cell r="R1837">
            <v>1</v>
          </cell>
          <cell r="S1837">
            <v>1</v>
          </cell>
        </row>
        <row r="1838">
          <cell r="R1838">
            <v>1</v>
          </cell>
          <cell r="S1838">
            <v>1</v>
          </cell>
        </row>
        <row r="1839">
          <cell r="R1839">
            <v>1</v>
          </cell>
          <cell r="S1839">
            <v>1</v>
          </cell>
        </row>
        <row r="1840">
          <cell r="R1840">
            <v>1</v>
          </cell>
          <cell r="S1840">
            <v>1</v>
          </cell>
        </row>
        <row r="1841">
          <cell r="R1841">
            <v>1</v>
          </cell>
          <cell r="S1841">
            <v>1</v>
          </cell>
        </row>
        <row r="1842">
          <cell r="R1842">
            <v>1</v>
          </cell>
          <cell r="S1842">
            <v>1</v>
          </cell>
        </row>
        <row r="1843">
          <cell r="R1843">
            <v>1</v>
          </cell>
          <cell r="S1843">
            <v>1</v>
          </cell>
        </row>
        <row r="1844">
          <cell r="R1844">
            <v>1</v>
          </cell>
          <cell r="S1844">
            <v>1</v>
          </cell>
        </row>
        <row r="1845">
          <cell r="R1845">
            <v>1</v>
          </cell>
          <cell r="S1845">
            <v>1</v>
          </cell>
        </row>
        <row r="1846">
          <cell r="R1846">
            <v>1</v>
          </cell>
          <cell r="S1846">
            <v>1</v>
          </cell>
        </row>
        <row r="1847">
          <cell r="R1847">
            <v>1</v>
          </cell>
          <cell r="S1847">
            <v>1</v>
          </cell>
        </row>
        <row r="1848">
          <cell r="R1848">
            <v>1</v>
          </cell>
          <cell r="S1848">
            <v>1</v>
          </cell>
        </row>
        <row r="1849">
          <cell r="R1849">
            <v>1</v>
          </cell>
          <cell r="S1849">
            <v>1</v>
          </cell>
        </row>
        <row r="1850">
          <cell r="R1850">
            <v>1</v>
          </cell>
          <cell r="S1850">
            <v>1</v>
          </cell>
        </row>
        <row r="1851">
          <cell r="R1851">
            <v>1</v>
          </cell>
          <cell r="S1851">
            <v>1</v>
          </cell>
        </row>
        <row r="1852">
          <cell r="R1852">
            <v>1</v>
          </cell>
          <cell r="S1852">
            <v>1</v>
          </cell>
        </row>
        <row r="1853">
          <cell r="R1853">
            <v>1</v>
          </cell>
          <cell r="S1853">
            <v>1</v>
          </cell>
        </row>
        <row r="1854">
          <cell r="R1854">
            <v>1</v>
          </cell>
          <cell r="S1854">
            <v>1</v>
          </cell>
        </row>
        <row r="1855">
          <cell r="R1855">
            <v>1</v>
          </cell>
          <cell r="S1855">
            <v>1</v>
          </cell>
        </row>
        <row r="1856">
          <cell r="R1856">
            <v>1</v>
          </cell>
          <cell r="S1856">
            <v>1</v>
          </cell>
        </row>
        <row r="1857">
          <cell r="R1857">
            <v>1</v>
          </cell>
          <cell r="S1857">
            <v>1</v>
          </cell>
        </row>
        <row r="1858">
          <cell r="R1858">
            <v>1</v>
          </cell>
          <cell r="S1858">
            <v>1</v>
          </cell>
        </row>
        <row r="1859">
          <cell r="R1859">
            <v>1</v>
          </cell>
          <cell r="S1859">
            <v>1</v>
          </cell>
        </row>
        <row r="1860">
          <cell r="R1860">
            <v>1</v>
          </cell>
          <cell r="S1860">
            <v>1</v>
          </cell>
        </row>
        <row r="1861">
          <cell r="R1861">
            <v>1</v>
          </cell>
          <cell r="S1861">
            <v>1</v>
          </cell>
        </row>
        <row r="1862">
          <cell r="R1862">
            <v>1</v>
          </cell>
          <cell r="S1862">
            <v>1</v>
          </cell>
        </row>
        <row r="1863">
          <cell r="R1863">
            <v>1</v>
          </cell>
          <cell r="S1863">
            <v>1</v>
          </cell>
        </row>
        <row r="1864">
          <cell r="R1864">
            <v>1</v>
          </cell>
          <cell r="S1864">
            <v>1</v>
          </cell>
        </row>
        <row r="1865">
          <cell r="R1865">
            <v>1</v>
          </cell>
          <cell r="S1865">
            <v>1</v>
          </cell>
        </row>
        <row r="1866">
          <cell r="R1866">
            <v>1</v>
          </cell>
          <cell r="S1866">
            <v>1</v>
          </cell>
        </row>
        <row r="1867">
          <cell r="R1867">
            <v>1</v>
          </cell>
          <cell r="S1867">
            <v>1</v>
          </cell>
        </row>
        <row r="1868">
          <cell r="R1868">
            <v>1</v>
          </cell>
          <cell r="S1868">
            <v>1</v>
          </cell>
        </row>
        <row r="1869">
          <cell r="R1869">
            <v>1</v>
          </cell>
          <cell r="S1869">
            <v>1</v>
          </cell>
        </row>
        <row r="1870">
          <cell r="R1870">
            <v>1</v>
          </cell>
          <cell r="S1870">
            <v>1</v>
          </cell>
        </row>
        <row r="1871">
          <cell r="R1871">
            <v>1</v>
          </cell>
          <cell r="S1871">
            <v>1</v>
          </cell>
        </row>
        <row r="1872">
          <cell r="R1872">
            <v>1</v>
          </cell>
          <cell r="S1872">
            <v>1</v>
          </cell>
        </row>
        <row r="1873">
          <cell r="R1873">
            <v>1</v>
          </cell>
          <cell r="S1873">
            <v>1</v>
          </cell>
        </row>
        <row r="1874">
          <cell r="R1874">
            <v>1</v>
          </cell>
          <cell r="S1874">
            <v>1</v>
          </cell>
        </row>
        <row r="1875">
          <cell r="R1875">
            <v>1</v>
          </cell>
          <cell r="S1875">
            <v>1</v>
          </cell>
        </row>
        <row r="1876">
          <cell r="R1876">
            <v>1</v>
          </cell>
          <cell r="S1876">
            <v>1</v>
          </cell>
        </row>
        <row r="1877">
          <cell r="R1877">
            <v>1</v>
          </cell>
          <cell r="S1877">
            <v>1</v>
          </cell>
        </row>
        <row r="1878">
          <cell r="R1878">
            <v>1</v>
          </cell>
          <cell r="S1878">
            <v>1</v>
          </cell>
        </row>
        <row r="1879">
          <cell r="R1879">
            <v>1</v>
          </cell>
          <cell r="S1879">
            <v>1</v>
          </cell>
        </row>
        <row r="1880">
          <cell r="R1880">
            <v>1</v>
          </cell>
          <cell r="S1880">
            <v>1</v>
          </cell>
        </row>
        <row r="1881">
          <cell r="R1881">
            <v>1</v>
          </cell>
          <cell r="S1881">
            <v>1</v>
          </cell>
        </row>
        <row r="1882">
          <cell r="R1882">
            <v>1</v>
          </cell>
          <cell r="S1882">
            <v>1</v>
          </cell>
        </row>
        <row r="1883">
          <cell r="R1883">
            <v>1</v>
          </cell>
          <cell r="S1883">
            <v>1</v>
          </cell>
        </row>
        <row r="1884">
          <cell r="R1884">
            <v>1</v>
          </cell>
          <cell r="S1884">
            <v>1</v>
          </cell>
        </row>
        <row r="1885">
          <cell r="R1885">
            <v>1</v>
          </cell>
          <cell r="S1885">
            <v>1</v>
          </cell>
        </row>
        <row r="1886">
          <cell r="R1886">
            <v>1</v>
          </cell>
          <cell r="S1886">
            <v>1</v>
          </cell>
        </row>
        <row r="1887">
          <cell r="R1887">
            <v>1</v>
          </cell>
          <cell r="S1887">
            <v>1</v>
          </cell>
        </row>
        <row r="1888">
          <cell r="R1888">
            <v>1</v>
          </cell>
          <cell r="S1888">
            <v>1</v>
          </cell>
        </row>
        <row r="1889">
          <cell r="R1889">
            <v>1</v>
          </cell>
          <cell r="S1889">
            <v>1</v>
          </cell>
        </row>
        <row r="1890">
          <cell r="R1890">
            <v>1</v>
          </cell>
          <cell r="S1890">
            <v>1</v>
          </cell>
        </row>
        <row r="1891">
          <cell r="R1891">
            <v>1</v>
          </cell>
          <cell r="S1891">
            <v>1</v>
          </cell>
        </row>
        <row r="1892">
          <cell r="R1892">
            <v>1</v>
          </cell>
          <cell r="S1892">
            <v>1</v>
          </cell>
        </row>
        <row r="1893">
          <cell r="R1893">
            <v>1</v>
          </cell>
          <cell r="S1893">
            <v>1</v>
          </cell>
        </row>
        <row r="1894">
          <cell r="R1894">
            <v>1</v>
          </cell>
          <cell r="S1894">
            <v>1</v>
          </cell>
        </row>
        <row r="1895">
          <cell r="R1895">
            <v>1</v>
          </cell>
          <cell r="S1895">
            <v>1</v>
          </cell>
        </row>
        <row r="1896">
          <cell r="R1896">
            <v>1</v>
          </cell>
          <cell r="S1896">
            <v>1</v>
          </cell>
        </row>
        <row r="1897">
          <cell r="R1897">
            <v>1</v>
          </cell>
          <cell r="S1897">
            <v>1</v>
          </cell>
        </row>
        <row r="1898">
          <cell r="R1898">
            <v>1</v>
          </cell>
          <cell r="S1898">
            <v>1</v>
          </cell>
        </row>
        <row r="1899">
          <cell r="R1899">
            <v>1</v>
          </cell>
          <cell r="S1899">
            <v>1</v>
          </cell>
        </row>
        <row r="1900">
          <cell r="R1900">
            <v>1</v>
          </cell>
          <cell r="S1900">
            <v>1</v>
          </cell>
        </row>
        <row r="1901">
          <cell r="R1901">
            <v>1</v>
          </cell>
          <cell r="S1901">
            <v>1</v>
          </cell>
        </row>
        <row r="1902">
          <cell r="R1902">
            <v>1</v>
          </cell>
          <cell r="S1902">
            <v>1</v>
          </cell>
        </row>
        <row r="1903">
          <cell r="R1903">
            <v>1</v>
          </cell>
          <cell r="S1903">
            <v>1</v>
          </cell>
        </row>
        <row r="1904">
          <cell r="R1904">
            <v>1</v>
          </cell>
          <cell r="S1904">
            <v>1</v>
          </cell>
        </row>
        <row r="1905">
          <cell r="R1905">
            <v>1</v>
          </cell>
          <cell r="S1905">
            <v>1</v>
          </cell>
        </row>
        <row r="1906">
          <cell r="R1906">
            <v>1</v>
          </cell>
          <cell r="S1906">
            <v>1</v>
          </cell>
        </row>
        <row r="1907">
          <cell r="R1907">
            <v>1</v>
          </cell>
          <cell r="S1907">
            <v>1</v>
          </cell>
        </row>
        <row r="1908">
          <cell r="R1908">
            <v>1</v>
          </cell>
          <cell r="S1908">
            <v>1</v>
          </cell>
        </row>
        <row r="1909">
          <cell r="R1909">
            <v>1</v>
          </cell>
          <cell r="S1909">
            <v>1</v>
          </cell>
        </row>
        <row r="1910">
          <cell r="R1910">
            <v>1</v>
          </cell>
          <cell r="S1910">
            <v>1</v>
          </cell>
        </row>
        <row r="1911">
          <cell r="R1911">
            <v>1</v>
          </cell>
          <cell r="S1911">
            <v>1</v>
          </cell>
        </row>
        <row r="1912">
          <cell r="R1912">
            <v>1</v>
          </cell>
          <cell r="S1912">
            <v>1</v>
          </cell>
        </row>
        <row r="1913">
          <cell r="R1913">
            <v>1</v>
          </cell>
          <cell r="S1913">
            <v>1</v>
          </cell>
        </row>
        <row r="1914">
          <cell r="R1914">
            <v>1</v>
          </cell>
          <cell r="S1914">
            <v>1</v>
          </cell>
        </row>
        <row r="1915">
          <cell r="R1915">
            <v>1</v>
          </cell>
          <cell r="S1915">
            <v>1</v>
          </cell>
        </row>
        <row r="1916">
          <cell r="R1916">
            <v>1</v>
          </cell>
          <cell r="S1916">
            <v>1</v>
          </cell>
        </row>
        <row r="1917">
          <cell r="R1917">
            <v>1</v>
          </cell>
          <cell r="S1917">
            <v>1</v>
          </cell>
        </row>
        <row r="1918">
          <cell r="R1918">
            <v>1</v>
          </cell>
          <cell r="S1918">
            <v>1</v>
          </cell>
        </row>
        <row r="1919">
          <cell r="R1919">
            <v>1</v>
          </cell>
          <cell r="S1919">
            <v>1</v>
          </cell>
        </row>
        <row r="1920">
          <cell r="R1920">
            <v>1</v>
          </cell>
          <cell r="S1920">
            <v>1</v>
          </cell>
        </row>
        <row r="1921">
          <cell r="R1921">
            <v>1</v>
          </cell>
          <cell r="S1921">
            <v>1</v>
          </cell>
        </row>
        <row r="1922">
          <cell r="R1922">
            <v>1</v>
          </cell>
          <cell r="S1922">
            <v>1</v>
          </cell>
        </row>
        <row r="1923">
          <cell r="R1923">
            <v>1</v>
          </cell>
          <cell r="S1923">
            <v>1</v>
          </cell>
        </row>
        <row r="1924">
          <cell r="R1924">
            <v>1</v>
          </cell>
          <cell r="S1924">
            <v>1</v>
          </cell>
        </row>
        <row r="1925">
          <cell r="R1925">
            <v>1</v>
          </cell>
          <cell r="S1925">
            <v>1</v>
          </cell>
        </row>
        <row r="1926">
          <cell r="R1926">
            <v>1</v>
          </cell>
          <cell r="S1926">
            <v>1</v>
          </cell>
        </row>
        <row r="1927">
          <cell r="R1927">
            <v>1</v>
          </cell>
          <cell r="S1927">
            <v>1</v>
          </cell>
        </row>
        <row r="1928">
          <cell r="R1928">
            <v>1</v>
          </cell>
          <cell r="S1928">
            <v>1</v>
          </cell>
        </row>
        <row r="1929">
          <cell r="R1929">
            <v>1</v>
          </cell>
          <cell r="S1929">
            <v>1</v>
          </cell>
        </row>
        <row r="1930">
          <cell r="R1930">
            <v>1</v>
          </cell>
          <cell r="S1930">
            <v>1</v>
          </cell>
        </row>
        <row r="1931">
          <cell r="R1931">
            <v>1</v>
          </cell>
          <cell r="S1931">
            <v>1</v>
          </cell>
        </row>
        <row r="1932">
          <cell r="R1932">
            <v>1</v>
          </cell>
          <cell r="S1932">
            <v>1</v>
          </cell>
        </row>
        <row r="1933">
          <cell r="R1933">
            <v>1</v>
          </cell>
          <cell r="S1933">
            <v>1</v>
          </cell>
        </row>
        <row r="1934">
          <cell r="R1934">
            <v>1</v>
          </cell>
          <cell r="S1934">
            <v>1</v>
          </cell>
        </row>
        <row r="1935">
          <cell r="R1935">
            <v>1</v>
          </cell>
          <cell r="S1935">
            <v>1</v>
          </cell>
        </row>
        <row r="1936">
          <cell r="R1936">
            <v>1</v>
          </cell>
          <cell r="S1936">
            <v>1</v>
          </cell>
        </row>
        <row r="1937">
          <cell r="R1937">
            <v>1</v>
          </cell>
          <cell r="S1937">
            <v>1</v>
          </cell>
        </row>
        <row r="1938">
          <cell r="R1938">
            <v>1</v>
          </cell>
          <cell r="S1938">
            <v>1</v>
          </cell>
        </row>
        <row r="1939">
          <cell r="R1939">
            <v>1</v>
          </cell>
          <cell r="S1939">
            <v>1</v>
          </cell>
        </row>
        <row r="1940">
          <cell r="R1940">
            <v>1</v>
          </cell>
          <cell r="S1940">
            <v>1</v>
          </cell>
        </row>
        <row r="1941">
          <cell r="R1941">
            <v>1</v>
          </cell>
          <cell r="S1941">
            <v>1</v>
          </cell>
        </row>
        <row r="1942">
          <cell r="R1942">
            <v>1</v>
          </cell>
          <cell r="S1942">
            <v>1</v>
          </cell>
        </row>
        <row r="1943">
          <cell r="R1943">
            <v>1</v>
          </cell>
          <cell r="S1943">
            <v>1</v>
          </cell>
        </row>
        <row r="1944">
          <cell r="R1944">
            <v>1</v>
          </cell>
          <cell r="S1944">
            <v>1</v>
          </cell>
        </row>
        <row r="1945">
          <cell r="R1945">
            <v>1</v>
          </cell>
          <cell r="S1945">
            <v>1</v>
          </cell>
        </row>
        <row r="1946">
          <cell r="R1946">
            <v>1</v>
          </cell>
          <cell r="S1946">
            <v>1</v>
          </cell>
        </row>
        <row r="1947">
          <cell r="R1947">
            <v>1</v>
          </cell>
          <cell r="S1947">
            <v>1</v>
          </cell>
        </row>
        <row r="1948">
          <cell r="R1948">
            <v>1</v>
          </cell>
          <cell r="S1948">
            <v>1</v>
          </cell>
        </row>
        <row r="1949">
          <cell r="R1949">
            <v>1</v>
          </cell>
          <cell r="S1949">
            <v>1</v>
          </cell>
        </row>
        <row r="1950">
          <cell r="R1950">
            <v>1</v>
          </cell>
          <cell r="S1950">
            <v>1</v>
          </cell>
        </row>
        <row r="1951">
          <cell r="R1951">
            <v>1</v>
          </cell>
          <cell r="S1951">
            <v>1</v>
          </cell>
        </row>
        <row r="1952">
          <cell r="R1952">
            <v>1</v>
          </cell>
          <cell r="S1952">
            <v>1</v>
          </cell>
        </row>
        <row r="1953">
          <cell r="R1953">
            <v>1</v>
          </cell>
          <cell r="S1953">
            <v>1</v>
          </cell>
        </row>
        <row r="1954">
          <cell r="R1954">
            <v>1</v>
          </cell>
          <cell r="S1954">
            <v>1</v>
          </cell>
        </row>
        <row r="1955">
          <cell r="R1955">
            <v>1</v>
          </cell>
          <cell r="S1955">
            <v>1</v>
          </cell>
        </row>
        <row r="1956">
          <cell r="R1956">
            <v>1</v>
          </cell>
          <cell r="S1956">
            <v>1</v>
          </cell>
        </row>
        <row r="1957">
          <cell r="R1957">
            <v>1</v>
          </cell>
          <cell r="S1957">
            <v>1</v>
          </cell>
        </row>
        <row r="1958">
          <cell r="R1958">
            <v>1</v>
          </cell>
          <cell r="S1958">
            <v>1</v>
          </cell>
        </row>
        <row r="1959">
          <cell r="R1959">
            <v>1</v>
          </cell>
          <cell r="S1959">
            <v>1</v>
          </cell>
        </row>
        <row r="1960">
          <cell r="R1960">
            <v>1</v>
          </cell>
          <cell r="S1960">
            <v>1</v>
          </cell>
        </row>
        <row r="1961">
          <cell r="R1961">
            <v>1</v>
          </cell>
          <cell r="S1961">
            <v>1</v>
          </cell>
        </row>
        <row r="1962">
          <cell r="R1962">
            <v>1</v>
          </cell>
          <cell r="S1962">
            <v>1</v>
          </cell>
        </row>
        <row r="1963">
          <cell r="R1963">
            <v>1</v>
          </cell>
          <cell r="S1963">
            <v>1</v>
          </cell>
        </row>
        <row r="1964">
          <cell r="R1964">
            <v>1</v>
          </cell>
          <cell r="S1964">
            <v>1</v>
          </cell>
        </row>
        <row r="1965">
          <cell r="R1965">
            <v>1</v>
          </cell>
          <cell r="S1965">
            <v>1</v>
          </cell>
        </row>
        <row r="1966">
          <cell r="R1966">
            <v>1</v>
          </cell>
          <cell r="S1966">
            <v>1</v>
          </cell>
        </row>
        <row r="1967">
          <cell r="R1967">
            <v>1</v>
          </cell>
          <cell r="S1967">
            <v>1</v>
          </cell>
        </row>
        <row r="1968">
          <cell r="R1968">
            <v>1</v>
          </cell>
          <cell r="S1968">
            <v>1</v>
          </cell>
        </row>
        <row r="1969">
          <cell r="R1969">
            <v>1</v>
          </cell>
          <cell r="S1969">
            <v>1</v>
          </cell>
        </row>
        <row r="1970">
          <cell r="R1970">
            <v>1</v>
          </cell>
          <cell r="S1970">
            <v>1</v>
          </cell>
        </row>
        <row r="1971">
          <cell r="R1971">
            <v>1</v>
          </cell>
          <cell r="S1971">
            <v>1</v>
          </cell>
        </row>
        <row r="1972">
          <cell r="R1972">
            <v>1</v>
          </cell>
          <cell r="S1972">
            <v>1</v>
          </cell>
        </row>
        <row r="1973">
          <cell r="R1973">
            <v>1</v>
          </cell>
          <cell r="S1973">
            <v>1</v>
          </cell>
        </row>
        <row r="1974">
          <cell r="R1974">
            <v>1</v>
          </cell>
          <cell r="S1974">
            <v>1</v>
          </cell>
        </row>
        <row r="1975">
          <cell r="R1975">
            <v>1</v>
          </cell>
          <cell r="S1975">
            <v>1</v>
          </cell>
        </row>
        <row r="1976">
          <cell r="R1976">
            <v>1</v>
          </cell>
          <cell r="S1976">
            <v>1</v>
          </cell>
        </row>
        <row r="1977">
          <cell r="R1977">
            <v>1</v>
          </cell>
          <cell r="S1977">
            <v>1</v>
          </cell>
        </row>
        <row r="1978">
          <cell r="R1978">
            <v>1</v>
          </cell>
          <cell r="S1978">
            <v>1</v>
          </cell>
        </row>
        <row r="1979">
          <cell r="R1979">
            <v>1</v>
          </cell>
          <cell r="S1979">
            <v>1</v>
          </cell>
        </row>
        <row r="1980">
          <cell r="R1980">
            <v>1</v>
          </cell>
          <cell r="S1980">
            <v>1</v>
          </cell>
        </row>
        <row r="1981">
          <cell r="R1981">
            <v>1</v>
          </cell>
          <cell r="S1981">
            <v>1</v>
          </cell>
        </row>
        <row r="1982">
          <cell r="R1982">
            <v>1</v>
          </cell>
          <cell r="S1982">
            <v>1</v>
          </cell>
        </row>
        <row r="1983">
          <cell r="R1983">
            <v>1</v>
          </cell>
          <cell r="S1983">
            <v>1</v>
          </cell>
        </row>
        <row r="1984">
          <cell r="R1984">
            <v>1</v>
          </cell>
          <cell r="S1984">
            <v>1</v>
          </cell>
        </row>
        <row r="1985">
          <cell r="R1985">
            <v>1</v>
          </cell>
          <cell r="S1985">
            <v>1</v>
          </cell>
        </row>
        <row r="1986">
          <cell r="R1986">
            <v>1</v>
          </cell>
          <cell r="S1986">
            <v>1</v>
          </cell>
        </row>
        <row r="1987">
          <cell r="R1987">
            <v>1</v>
          </cell>
          <cell r="S1987">
            <v>1</v>
          </cell>
        </row>
        <row r="1988">
          <cell r="R1988">
            <v>1</v>
          </cell>
          <cell r="S1988">
            <v>1</v>
          </cell>
        </row>
        <row r="1989">
          <cell r="R1989">
            <v>1</v>
          </cell>
          <cell r="S1989">
            <v>1</v>
          </cell>
        </row>
        <row r="1990">
          <cell r="R1990">
            <v>1</v>
          </cell>
          <cell r="S1990">
            <v>1</v>
          </cell>
        </row>
        <row r="1991">
          <cell r="R1991">
            <v>1</v>
          </cell>
          <cell r="S1991">
            <v>1</v>
          </cell>
        </row>
        <row r="1992">
          <cell r="R1992">
            <v>1</v>
          </cell>
          <cell r="S1992">
            <v>1</v>
          </cell>
        </row>
        <row r="1993">
          <cell r="R1993">
            <v>1</v>
          </cell>
          <cell r="S1993">
            <v>1</v>
          </cell>
        </row>
        <row r="1994">
          <cell r="R1994">
            <v>1</v>
          </cell>
          <cell r="S1994">
            <v>1</v>
          </cell>
        </row>
        <row r="1995">
          <cell r="R1995">
            <v>1</v>
          </cell>
          <cell r="S1995">
            <v>1</v>
          </cell>
        </row>
        <row r="1996">
          <cell r="R1996">
            <v>1</v>
          </cell>
          <cell r="S1996">
            <v>1</v>
          </cell>
        </row>
        <row r="1997">
          <cell r="R1997">
            <v>1</v>
          </cell>
          <cell r="S1997">
            <v>1</v>
          </cell>
        </row>
        <row r="1998">
          <cell r="R1998">
            <v>1</v>
          </cell>
          <cell r="S1998">
            <v>1</v>
          </cell>
        </row>
        <row r="1999">
          <cell r="R1999">
            <v>1</v>
          </cell>
          <cell r="S1999">
            <v>1</v>
          </cell>
        </row>
        <row r="2000">
          <cell r="R2000">
            <v>1</v>
          </cell>
          <cell r="S2000">
            <v>1</v>
          </cell>
        </row>
        <row r="2001">
          <cell r="R2001">
            <v>1</v>
          </cell>
          <cell r="S2001">
            <v>1</v>
          </cell>
        </row>
        <row r="2002">
          <cell r="R2002">
            <v>1</v>
          </cell>
          <cell r="S2002">
            <v>1</v>
          </cell>
        </row>
        <row r="2003">
          <cell r="R2003">
            <v>1</v>
          </cell>
          <cell r="S2003">
            <v>1</v>
          </cell>
        </row>
        <row r="2004">
          <cell r="R2004">
            <v>1</v>
          </cell>
          <cell r="S2004">
            <v>1</v>
          </cell>
        </row>
        <row r="2005">
          <cell r="R2005">
            <v>1</v>
          </cell>
          <cell r="S2005">
            <v>1</v>
          </cell>
        </row>
        <row r="2006">
          <cell r="R2006">
            <v>1</v>
          </cell>
          <cell r="S2006">
            <v>1</v>
          </cell>
        </row>
        <row r="2007">
          <cell r="R2007">
            <v>1</v>
          </cell>
          <cell r="S2007">
            <v>1</v>
          </cell>
        </row>
        <row r="2008">
          <cell r="R2008">
            <v>1</v>
          </cell>
          <cell r="S2008">
            <v>1</v>
          </cell>
        </row>
        <row r="2009">
          <cell r="R2009">
            <v>1</v>
          </cell>
          <cell r="S2009">
            <v>1</v>
          </cell>
        </row>
        <row r="2010">
          <cell r="R2010">
            <v>1</v>
          </cell>
          <cell r="S2010">
            <v>1</v>
          </cell>
        </row>
        <row r="2011">
          <cell r="R2011">
            <v>1</v>
          </cell>
          <cell r="S2011">
            <v>1</v>
          </cell>
        </row>
        <row r="2012">
          <cell r="R2012">
            <v>1</v>
          </cell>
          <cell r="S2012">
            <v>1</v>
          </cell>
        </row>
        <row r="2013">
          <cell r="R2013">
            <v>1</v>
          </cell>
          <cell r="S2013">
            <v>1</v>
          </cell>
        </row>
        <row r="2014">
          <cell r="R2014">
            <v>1</v>
          </cell>
          <cell r="S2014">
            <v>1</v>
          </cell>
        </row>
        <row r="2015">
          <cell r="R2015">
            <v>1</v>
          </cell>
          <cell r="S2015">
            <v>1</v>
          </cell>
        </row>
        <row r="2016">
          <cell r="R2016">
            <v>1</v>
          </cell>
          <cell r="S2016">
            <v>1</v>
          </cell>
        </row>
        <row r="2017">
          <cell r="R2017">
            <v>1</v>
          </cell>
          <cell r="S2017">
            <v>1</v>
          </cell>
        </row>
        <row r="2018">
          <cell r="R2018">
            <v>1</v>
          </cell>
          <cell r="S2018">
            <v>1</v>
          </cell>
        </row>
        <row r="2019">
          <cell r="R2019">
            <v>1</v>
          </cell>
          <cell r="S2019">
            <v>1</v>
          </cell>
        </row>
        <row r="2020">
          <cell r="R2020">
            <v>1</v>
          </cell>
          <cell r="S2020">
            <v>1</v>
          </cell>
        </row>
        <row r="2021">
          <cell r="R2021">
            <v>1</v>
          </cell>
          <cell r="S2021">
            <v>1</v>
          </cell>
        </row>
        <row r="2022">
          <cell r="R2022">
            <v>1</v>
          </cell>
          <cell r="S2022">
            <v>1</v>
          </cell>
        </row>
        <row r="2023">
          <cell r="R2023">
            <v>1</v>
          </cell>
          <cell r="S2023">
            <v>1</v>
          </cell>
        </row>
        <row r="2024">
          <cell r="R2024">
            <v>1</v>
          </cell>
          <cell r="S2024">
            <v>1</v>
          </cell>
        </row>
        <row r="2025">
          <cell r="R2025">
            <v>1</v>
          </cell>
          <cell r="S2025">
            <v>1</v>
          </cell>
        </row>
        <row r="2026">
          <cell r="R2026">
            <v>1</v>
          </cell>
          <cell r="S2026">
            <v>1</v>
          </cell>
        </row>
        <row r="2027">
          <cell r="R2027">
            <v>1</v>
          </cell>
          <cell r="S2027">
            <v>1</v>
          </cell>
        </row>
        <row r="2028">
          <cell r="R2028">
            <v>1</v>
          </cell>
          <cell r="S2028">
            <v>1</v>
          </cell>
        </row>
        <row r="2029">
          <cell r="R2029">
            <v>1</v>
          </cell>
          <cell r="S2029">
            <v>1</v>
          </cell>
        </row>
        <row r="2030">
          <cell r="R2030">
            <v>1</v>
          </cell>
          <cell r="S2030">
            <v>1</v>
          </cell>
        </row>
        <row r="2031">
          <cell r="R2031">
            <v>1</v>
          </cell>
          <cell r="S2031">
            <v>1</v>
          </cell>
        </row>
        <row r="2032">
          <cell r="R2032">
            <v>1</v>
          </cell>
          <cell r="S2032">
            <v>1</v>
          </cell>
        </row>
        <row r="2033">
          <cell r="R2033">
            <v>1</v>
          </cell>
          <cell r="S2033">
            <v>1</v>
          </cell>
        </row>
        <row r="2034">
          <cell r="R2034">
            <v>1</v>
          </cell>
          <cell r="S2034">
            <v>1</v>
          </cell>
        </row>
        <row r="2035">
          <cell r="R2035">
            <v>1</v>
          </cell>
          <cell r="S2035">
            <v>1</v>
          </cell>
        </row>
        <row r="2036">
          <cell r="R2036">
            <v>1</v>
          </cell>
          <cell r="S2036">
            <v>1</v>
          </cell>
        </row>
        <row r="2037">
          <cell r="R2037">
            <v>1</v>
          </cell>
          <cell r="S2037">
            <v>1</v>
          </cell>
        </row>
        <row r="2038">
          <cell r="R2038">
            <v>1</v>
          </cell>
          <cell r="S2038">
            <v>1</v>
          </cell>
        </row>
        <row r="2039">
          <cell r="R2039">
            <v>1</v>
          </cell>
          <cell r="S2039">
            <v>1</v>
          </cell>
        </row>
        <row r="2040">
          <cell r="R2040">
            <v>1</v>
          </cell>
          <cell r="S2040">
            <v>1</v>
          </cell>
        </row>
        <row r="2041">
          <cell r="R2041">
            <v>1</v>
          </cell>
          <cell r="S2041">
            <v>1</v>
          </cell>
        </row>
        <row r="2042">
          <cell r="R2042">
            <v>1</v>
          </cell>
          <cell r="S2042">
            <v>1</v>
          </cell>
        </row>
        <row r="2043">
          <cell r="R2043">
            <v>1</v>
          </cell>
          <cell r="S2043">
            <v>1</v>
          </cell>
        </row>
        <row r="2044">
          <cell r="R2044">
            <v>1</v>
          </cell>
          <cell r="S2044">
            <v>1</v>
          </cell>
        </row>
        <row r="2045">
          <cell r="R2045">
            <v>1</v>
          </cell>
          <cell r="S2045">
            <v>1</v>
          </cell>
        </row>
        <row r="2046">
          <cell r="R2046">
            <v>1</v>
          </cell>
          <cell r="S2046">
            <v>1</v>
          </cell>
        </row>
        <row r="2047">
          <cell r="R2047">
            <v>1</v>
          </cell>
          <cell r="S2047">
            <v>1</v>
          </cell>
        </row>
        <row r="2048">
          <cell r="R2048">
            <v>1</v>
          </cell>
          <cell r="S2048">
            <v>1</v>
          </cell>
        </row>
        <row r="2049">
          <cell r="R2049">
            <v>1</v>
          </cell>
          <cell r="S2049">
            <v>1</v>
          </cell>
        </row>
        <row r="2050">
          <cell r="R2050">
            <v>1</v>
          </cell>
          <cell r="S2050">
            <v>1</v>
          </cell>
        </row>
        <row r="2051">
          <cell r="R2051">
            <v>1</v>
          </cell>
          <cell r="S2051">
            <v>1</v>
          </cell>
        </row>
        <row r="2052">
          <cell r="R2052">
            <v>1</v>
          </cell>
          <cell r="S2052">
            <v>1</v>
          </cell>
        </row>
        <row r="2053">
          <cell r="R2053">
            <v>1</v>
          </cell>
          <cell r="S2053">
            <v>1</v>
          </cell>
        </row>
        <row r="2054">
          <cell r="R2054">
            <v>1</v>
          </cell>
          <cell r="S2054">
            <v>1</v>
          </cell>
        </row>
        <row r="2055">
          <cell r="R2055">
            <v>1</v>
          </cell>
          <cell r="S2055">
            <v>1</v>
          </cell>
        </row>
        <row r="2056">
          <cell r="R2056">
            <v>1</v>
          </cell>
          <cell r="S2056">
            <v>1</v>
          </cell>
        </row>
        <row r="2057">
          <cell r="R2057">
            <v>1</v>
          </cell>
          <cell r="S2057">
            <v>1</v>
          </cell>
        </row>
        <row r="2058">
          <cell r="R2058">
            <v>1</v>
          </cell>
          <cell r="S2058">
            <v>1</v>
          </cell>
        </row>
        <row r="2059">
          <cell r="R2059">
            <v>1</v>
          </cell>
          <cell r="S2059">
            <v>1</v>
          </cell>
        </row>
        <row r="2060">
          <cell r="R2060">
            <v>1</v>
          </cell>
          <cell r="S2060">
            <v>1</v>
          </cell>
        </row>
        <row r="2061">
          <cell r="R2061">
            <v>1</v>
          </cell>
          <cell r="S2061">
            <v>1</v>
          </cell>
        </row>
        <row r="2062">
          <cell r="R2062">
            <v>1</v>
          </cell>
          <cell r="S2062">
            <v>1</v>
          </cell>
        </row>
        <row r="2063">
          <cell r="R2063">
            <v>1</v>
          </cell>
          <cell r="S2063">
            <v>1</v>
          </cell>
        </row>
        <row r="2064">
          <cell r="R2064">
            <v>1</v>
          </cell>
          <cell r="S2064">
            <v>1</v>
          </cell>
        </row>
        <row r="2065">
          <cell r="R2065">
            <v>1</v>
          </cell>
          <cell r="S2065">
            <v>1</v>
          </cell>
        </row>
        <row r="2066">
          <cell r="R2066">
            <v>1</v>
          </cell>
          <cell r="S2066">
            <v>1</v>
          </cell>
        </row>
        <row r="2067">
          <cell r="R2067">
            <v>1</v>
          </cell>
          <cell r="S2067">
            <v>1</v>
          </cell>
        </row>
        <row r="2068">
          <cell r="R2068">
            <v>1</v>
          </cell>
          <cell r="S2068">
            <v>1</v>
          </cell>
        </row>
        <row r="2069">
          <cell r="R2069">
            <v>1</v>
          </cell>
          <cell r="S2069">
            <v>1</v>
          </cell>
        </row>
        <row r="2070">
          <cell r="R2070">
            <v>1</v>
          </cell>
          <cell r="S2070">
            <v>1</v>
          </cell>
        </row>
        <row r="2071">
          <cell r="R2071">
            <v>1</v>
          </cell>
          <cell r="S2071">
            <v>1</v>
          </cell>
        </row>
        <row r="2072">
          <cell r="R2072">
            <v>1</v>
          </cell>
          <cell r="S2072">
            <v>1</v>
          </cell>
        </row>
        <row r="2073">
          <cell r="R2073">
            <v>1</v>
          </cell>
          <cell r="S2073">
            <v>1</v>
          </cell>
        </row>
        <row r="2074">
          <cell r="R2074">
            <v>1</v>
          </cell>
          <cell r="S2074">
            <v>1</v>
          </cell>
        </row>
        <row r="2075">
          <cell r="R2075">
            <v>1</v>
          </cell>
          <cell r="S2075">
            <v>1</v>
          </cell>
        </row>
        <row r="2076">
          <cell r="R2076">
            <v>1</v>
          </cell>
          <cell r="S2076">
            <v>1</v>
          </cell>
        </row>
        <row r="2077">
          <cell r="R2077">
            <v>1</v>
          </cell>
          <cell r="S2077">
            <v>1</v>
          </cell>
        </row>
        <row r="2078">
          <cell r="R2078">
            <v>1</v>
          </cell>
          <cell r="S2078">
            <v>1</v>
          </cell>
        </row>
        <row r="2079">
          <cell r="R2079">
            <v>1</v>
          </cell>
          <cell r="S2079">
            <v>1</v>
          </cell>
        </row>
        <row r="2080">
          <cell r="R2080">
            <v>1</v>
          </cell>
          <cell r="S2080">
            <v>1</v>
          </cell>
        </row>
        <row r="2081">
          <cell r="R2081">
            <v>1</v>
          </cell>
          <cell r="S2081">
            <v>1</v>
          </cell>
        </row>
        <row r="2082">
          <cell r="R2082">
            <v>1</v>
          </cell>
          <cell r="S2082">
            <v>1</v>
          </cell>
        </row>
        <row r="2083">
          <cell r="R2083">
            <v>1</v>
          </cell>
          <cell r="S2083">
            <v>1</v>
          </cell>
        </row>
        <row r="2084">
          <cell r="R2084">
            <v>1</v>
          </cell>
          <cell r="S2084">
            <v>1</v>
          </cell>
        </row>
        <row r="2085">
          <cell r="R2085">
            <v>1</v>
          </cell>
          <cell r="S2085">
            <v>1</v>
          </cell>
        </row>
        <row r="2086">
          <cell r="R2086">
            <v>1</v>
          </cell>
          <cell r="S2086">
            <v>1</v>
          </cell>
        </row>
        <row r="2087">
          <cell r="R2087">
            <v>1</v>
          </cell>
          <cell r="S2087">
            <v>1</v>
          </cell>
        </row>
        <row r="2088">
          <cell r="R2088">
            <v>1</v>
          </cell>
          <cell r="S2088">
            <v>1</v>
          </cell>
        </row>
        <row r="2089">
          <cell r="R2089">
            <v>1</v>
          </cell>
          <cell r="S2089">
            <v>1</v>
          </cell>
        </row>
        <row r="2090">
          <cell r="R2090">
            <v>1</v>
          </cell>
          <cell r="S2090">
            <v>1</v>
          </cell>
        </row>
        <row r="2091">
          <cell r="R2091">
            <v>1</v>
          </cell>
          <cell r="S2091">
            <v>1</v>
          </cell>
        </row>
        <row r="2092">
          <cell r="R2092">
            <v>1</v>
          </cell>
          <cell r="S2092">
            <v>1</v>
          </cell>
        </row>
        <row r="2093">
          <cell r="R2093">
            <v>1</v>
          </cell>
          <cell r="S2093">
            <v>1</v>
          </cell>
        </row>
        <row r="2094">
          <cell r="R2094">
            <v>1</v>
          </cell>
          <cell r="S2094">
            <v>1</v>
          </cell>
        </row>
        <row r="2095">
          <cell r="R2095">
            <v>1</v>
          </cell>
          <cell r="S2095">
            <v>1</v>
          </cell>
        </row>
        <row r="2096">
          <cell r="R2096">
            <v>1</v>
          </cell>
          <cell r="S2096">
            <v>1</v>
          </cell>
        </row>
        <row r="2097">
          <cell r="R2097">
            <v>1</v>
          </cell>
          <cell r="S2097">
            <v>1</v>
          </cell>
        </row>
        <row r="2098">
          <cell r="R2098">
            <v>1</v>
          </cell>
          <cell r="S2098">
            <v>1</v>
          </cell>
        </row>
        <row r="2099">
          <cell r="R2099">
            <v>1</v>
          </cell>
          <cell r="S2099">
            <v>1</v>
          </cell>
        </row>
        <row r="2100">
          <cell r="R2100">
            <v>1</v>
          </cell>
          <cell r="S2100">
            <v>1</v>
          </cell>
        </row>
        <row r="2101">
          <cell r="R2101">
            <v>1</v>
          </cell>
          <cell r="S2101">
            <v>1</v>
          </cell>
        </row>
        <row r="2102">
          <cell r="R2102">
            <v>1</v>
          </cell>
          <cell r="S2102">
            <v>1</v>
          </cell>
        </row>
        <row r="2103">
          <cell r="R2103">
            <v>1</v>
          </cell>
          <cell r="S2103">
            <v>1</v>
          </cell>
        </row>
        <row r="2104">
          <cell r="R2104">
            <v>1</v>
          </cell>
          <cell r="S2104">
            <v>1</v>
          </cell>
        </row>
        <row r="2105">
          <cell r="R2105">
            <v>1</v>
          </cell>
          <cell r="S2105">
            <v>1</v>
          </cell>
        </row>
        <row r="2106">
          <cell r="R2106">
            <v>1</v>
          </cell>
          <cell r="S2106">
            <v>1</v>
          </cell>
        </row>
        <row r="2107">
          <cell r="R2107">
            <v>1</v>
          </cell>
          <cell r="S2107">
            <v>1</v>
          </cell>
        </row>
        <row r="2108">
          <cell r="R2108">
            <v>1</v>
          </cell>
          <cell r="S2108">
            <v>1</v>
          </cell>
        </row>
        <row r="2109">
          <cell r="R2109">
            <v>1</v>
          </cell>
          <cell r="S2109">
            <v>1</v>
          </cell>
        </row>
        <row r="2110">
          <cell r="R2110">
            <v>1</v>
          </cell>
          <cell r="S2110">
            <v>1</v>
          </cell>
        </row>
        <row r="2111">
          <cell r="R2111">
            <v>1</v>
          </cell>
          <cell r="S2111">
            <v>1</v>
          </cell>
        </row>
        <row r="2112">
          <cell r="R2112">
            <v>1</v>
          </cell>
          <cell r="S2112">
            <v>1</v>
          </cell>
        </row>
        <row r="2113">
          <cell r="R2113">
            <v>1</v>
          </cell>
          <cell r="S2113">
            <v>1</v>
          </cell>
        </row>
        <row r="2114">
          <cell r="R2114">
            <v>1</v>
          </cell>
          <cell r="S2114">
            <v>1</v>
          </cell>
        </row>
        <row r="2115">
          <cell r="R2115">
            <v>1</v>
          </cell>
          <cell r="S2115">
            <v>1</v>
          </cell>
        </row>
        <row r="2116">
          <cell r="R2116">
            <v>1</v>
          </cell>
          <cell r="S2116">
            <v>1</v>
          </cell>
        </row>
        <row r="2117">
          <cell r="R2117">
            <v>1</v>
          </cell>
          <cell r="S2117">
            <v>1</v>
          </cell>
        </row>
        <row r="2118">
          <cell r="R2118">
            <v>1</v>
          </cell>
          <cell r="S2118">
            <v>1</v>
          </cell>
        </row>
        <row r="2119">
          <cell r="R2119">
            <v>1</v>
          </cell>
          <cell r="S2119">
            <v>1</v>
          </cell>
        </row>
        <row r="2120">
          <cell r="R2120">
            <v>1</v>
          </cell>
          <cell r="S2120">
            <v>1</v>
          </cell>
        </row>
        <row r="2121">
          <cell r="R2121">
            <v>1</v>
          </cell>
          <cell r="S2121">
            <v>1</v>
          </cell>
        </row>
        <row r="2122">
          <cell r="R2122">
            <v>1</v>
          </cell>
          <cell r="S2122">
            <v>1</v>
          </cell>
        </row>
        <row r="2123">
          <cell r="R2123">
            <v>1</v>
          </cell>
          <cell r="S2123">
            <v>1</v>
          </cell>
        </row>
        <row r="2124">
          <cell r="R2124">
            <v>1</v>
          </cell>
          <cell r="S2124">
            <v>1</v>
          </cell>
        </row>
        <row r="2125">
          <cell r="R2125">
            <v>1</v>
          </cell>
          <cell r="S2125">
            <v>1</v>
          </cell>
        </row>
        <row r="2126">
          <cell r="R2126">
            <v>1</v>
          </cell>
          <cell r="S2126">
            <v>1</v>
          </cell>
        </row>
        <row r="2127">
          <cell r="R2127">
            <v>1</v>
          </cell>
          <cell r="S2127">
            <v>1</v>
          </cell>
        </row>
        <row r="2128">
          <cell r="R2128">
            <v>1</v>
          </cell>
          <cell r="S2128">
            <v>1</v>
          </cell>
        </row>
        <row r="2129">
          <cell r="R2129">
            <v>1</v>
          </cell>
          <cell r="S2129">
            <v>1</v>
          </cell>
        </row>
        <row r="2130">
          <cell r="R2130">
            <v>1</v>
          </cell>
          <cell r="S2130">
            <v>1</v>
          </cell>
        </row>
        <row r="2131">
          <cell r="R2131">
            <v>1</v>
          </cell>
          <cell r="S2131">
            <v>1</v>
          </cell>
        </row>
        <row r="2132">
          <cell r="R2132">
            <v>1</v>
          </cell>
          <cell r="S2132">
            <v>1</v>
          </cell>
        </row>
        <row r="2133">
          <cell r="R2133">
            <v>1</v>
          </cell>
          <cell r="S2133">
            <v>1</v>
          </cell>
        </row>
        <row r="2134">
          <cell r="R2134">
            <v>1</v>
          </cell>
          <cell r="S2134">
            <v>1</v>
          </cell>
        </row>
        <row r="2135">
          <cell r="R2135">
            <v>1</v>
          </cell>
          <cell r="S2135">
            <v>1</v>
          </cell>
        </row>
        <row r="2136">
          <cell r="R2136">
            <v>1</v>
          </cell>
          <cell r="S2136">
            <v>1</v>
          </cell>
        </row>
        <row r="2137">
          <cell r="R2137">
            <v>1</v>
          </cell>
          <cell r="S2137">
            <v>1</v>
          </cell>
        </row>
        <row r="2138">
          <cell r="R2138">
            <v>1</v>
          </cell>
          <cell r="S2138">
            <v>1</v>
          </cell>
        </row>
        <row r="2139">
          <cell r="R2139">
            <v>1</v>
          </cell>
          <cell r="S2139">
            <v>1</v>
          </cell>
        </row>
        <row r="2140">
          <cell r="R2140">
            <v>1</v>
          </cell>
          <cell r="S2140">
            <v>1</v>
          </cell>
        </row>
        <row r="2141">
          <cell r="R2141">
            <v>1</v>
          </cell>
          <cell r="S2141">
            <v>1</v>
          </cell>
        </row>
        <row r="2142">
          <cell r="R2142">
            <v>1</v>
          </cell>
          <cell r="S2142">
            <v>1</v>
          </cell>
        </row>
        <row r="2143">
          <cell r="R2143">
            <v>1</v>
          </cell>
          <cell r="S2143">
            <v>1</v>
          </cell>
        </row>
        <row r="2144">
          <cell r="R2144">
            <v>1</v>
          </cell>
          <cell r="S2144">
            <v>1</v>
          </cell>
        </row>
        <row r="2145">
          <cell r="R2145">
            <v>1</v>
          </cell>
          <cell r="S2145">
            <v>1</v>
          </cell>
        </row>
        <row r="2146">
          <cell r="R2146">
            <v>1</v>
          </cell>
          <cell r="S2146">
            <v>1</v>
          </cell>
        </row>
        <row r="2147">
          <cell r="R2147">
            <v>1</v>
          </cell>
          <cell r="S2147">
            <v>1</v>
          </cell>
        </row>
        <row r="2148">
          <cell r="R2148">
            <v>1</v>
          </cell>
          <cell r="S2148">
            <v>1</v>
          </cell>
        </row>
        <row r="2149">
          <cell r="R2149">
            <v>1</v>
          </cell>
          <cell r="S2149">
            <v>1</v>
          </cell>
        </row>
        <row r="2150">
          <cell r="R2150">
            <v>1</v>
          </cell>
          <cell r="S2150">
            <v>1</v>
          </cell>
        </row>
        <row r="2151">
          <cell r="R2151">
            <v>1</v>
          </cell>
          <cell r="S2151">
            <v>1</v>
          </cell>
        </row>
        <row r="2152">
          <cell r="R2152">
            <v>1</v>
          </cell>
          <cell r="S2152">
            <v>1</v>
          </cell>
        </row>
        <row r="2153">
          <cell r="R2153">
            <v>1</v>
          </cell>
          <cell r="S2153">
            <v>1</v>
          </cell>
        </row>
        <row r="2154">
          <cell r="R2154">
            <v>1</v>
          </cell>
          <cell r="S2154">
            <v>1</v>
          </cell>
        </row>
        <row r="2155">
          <cell r="R2155">
            <v>1</v>
          </cell>
          <cell r="S2155">
            <v>1</v>
          </cell>
        </row>
        <row r="2156">
          <cell r="R2156">
            <v>1</v>
          </cell>
          <cell r="S2156">
            <v>1</v>
          </cell>
        </row>
        <row r="2157">
          <cell r="R2157">
            <v>1</v>
          </cell>
          <cell r="S2157">
            <v>1</v>
          </cell>
        </row>
        <row r="2158">
          <cell r="R2158">
            <v>1</v>
          </cell>
          <cell r="S2158">
            <v>1</v>
          </cell>
        </row>
        <row r="2159">
          <cell r="R2159">
            <v>1</v>
          </cell>
          <cell r="S2159">
            <v>1</v>
          </cell>
        </row>
        <row r="2160">
          <cell r="R2160">
            <v>1</v>
          </cell>
          <cell r="S2160">
            <v>1</v>
          </cell>
        </row>
        <row r="2161">
          <cell r="R2161">
            <v>1</v>
          </cell>
          <cell r="S2161">
            <v>1</v>
          </cell>
        </row>
        <row r="2162">
          <cell r="R2162">
            <v>1</v>
          </cell>
          <cell r="S2162">
            <v>1</v>
          </cell>
        </row>
        <row r="2163">
          <cell r="R2163">
            <v>1</v>
          </cell>
          <cell r="S2163">
            <v>1</v>
          </cell>
        </row>
        <row r="2164">
          <cell r="R2164">
            <v>1</v>
          </cell>
          <cell r="S2164">
            <v>1</v>
          </cell>
        </row>
        <row r="2165">
          <cell r="R2165">
            <v>1</v>
          </cell>
          <cell r="S2165">
            <v>1</v>
          </cell>
        </row>
        <row r="2166">
          <cell r="R2166">
            <v>1</v>
          </cell>
          <cell r="S2166">
            <v>1</v>
          </cell>
        </row>
        <row r="2167">
          <cell r="R2167">
            <v>1</v>
          </cell>
          <cell r="S2167">
            <v>1</v>
          </cell>
        </row>
        <row r="2168">
          <cell r="R2168">
            <v>1</v>
          </cell>
          <cell r="S2168">
            <v>1</v>
          </cell>
        </row>
        <row r="2169">
          <cell r="R2169">
            <v>1</v>
          </cell>
          <cell r="S2169">
            <v>1</v>
          </cell>
        </row>
        <row r="2170">
          <cell r="R2170">
            <v>1</v>
          </cell>
          <cell r="S2170">
            <v>1</v>
          </cell>
        </row>
        <row r="2171">
          <cell r="R2171">
            <v>1</v>
          </cell>
          <cell r="S2171">
            <v>1</v>
          </cell>
        </row>
        <row r="2172">
          <cell r="R2172">
            <v>1</v>
          </cell>
          <cell r="S2172">
            <v>1</v>
          </cell>
        </row>
        <row r="2173">
          <cell r="R2173">
            <v>1</v>
          </cell>
          <cell r="S2173">
            <v>1</v>
          </cell>
        </row>
        <row r="2174">
          <cell r="R2174">
            <v>1</v>
          </cell>
          <cell r="S2174">
            <v>1</v>
          </cell>
        </row>
        <row r="2175">
          <cell r="R2175">
            <v>1</v>
          </cell>
          <cell r="S2175">
            <v>1</v>
          </cell>
        </row>
        <row r="2176">
          <cell r="R2176">
            <v>1</v>
          </cell>
          <cell r="S2176">
            <v>1</v>
          </cell>
        </row>
        <row r="2177">
          <cell r="R2177">
            <v>1</v>
          </cell>
          <cell r="S2177">
            <v>1</v>
          </cell>
        </row>
        <row r="2178">
          <cell r="R2178">
            <v>1</v>
          </cell>
          <cell r="S2178">
            <v>1</v>
          </cell>
        </row>
        <row r="2179">
          <cell r="R2179">
            <v>1</v>
          </cell>
          <cell r="S2179">
            <v>1</v>
          </cell>
        </row>
        <row r="2180">
          <cell r="R2180">
            <v>1</v>
          </cell>
          <cell r="S2180">
            <v>1</v>
          </cell>
        </row>
        <row r="2181">
          <cell r="R2181">
            <v>1</v>
          </cell>
          <cell r="S2181">
            <v>1</v>
          </cell>
        </row>
        <row r="2182">
          <cell r="R2182">
            <v>1</v>
          </cell>
          <cell r="S2182">
            <v>1</v>
          </cell>
        </row>
        <row r="2183">
          <cell r="R2183">
            <v>1</v>
          </cell>
          <cell r="S2183">
            <v>1</v>
          </cell>
        </row>
        <row r="2184">
          <cell r="R2184">
            <v>1</v>
          </cell>
          <cell r="S2184">
            <v>1</v>
          </cell>
        </row>
        <row r="2185">
          <cell r="R2185">
            <v>1</v>
          </cell>
          <cell r="S2185">
            <v>1</v>
          </cell>
        </row>
        <row r="2186">
          <cell r="R2186">
            <v>1</v>
          </cell>
          <cell r="S2186">
            <v>1</v>
          </cell>
        </row>
        <row r="2187">
          <cell r="R2187">
            <v>1</v>
          </cell>
          <cell r="S2187">
            <v>1</v>
          </cell>
        </row>
        <row r="2188">
          <cell r="R2188">
            <v>1</v>
          </cell>
          <cell r="S2188">
            <v>1</v>
          </cell>
        </row>
        <row r="2189">
          <cell r="R2189">
            <v>1</v>
          </cell>
          <cell r="S2189">
            <v>1</v>
          </cell>
        </row>
        <row r="2190">
          <cell r="R2190">
            <v>1</v>
          </cell>
          <cell r="S2190">
            <v>1</v>
          </cell>
        </row>
        <row r="2191">
          <cell r="R2191">
            <v>1</v>
          </cell>
          <cell r="S2191">
            <v>1</v>
          </cell>
        </row>
        <row r="2192">
          <cell r="R2192">
            <v>1</v>
          </cell>
          <cell r="S2192">
            <v>1</v>
          </cell>
        </row>
        <row r="2193">
          <cell r="R2193">
            <v>1</v>
          </cell>
          <cell r="S2193">
            <v>1</v>
          </cell>
        </row>
        <row r="2194">
          <cell r="R2194">
            <v>1</v>
          </cell>
          <cell r="S2194">
            <v>1</v>
          </cell>
        </row>
        <row r="2195">
          <cell r="R2195">
            <v>1</v>
          </cell>
          <cell r="S2195">
            <v>1</v>
          </cell>
        </row>
        <row r="2196">
          <cell r="R2196">
            <v>1</v>
          </cell>
          <cell r="S2196">
            <v>1</v>
          </cell>
        </row>
        <row r="2197">
          <cell r="R2197">
            <v>1</v>
          </cell>
          <cell r="S2197">
            <v>1</v>
          </cell>
        </row>
        <row r="2198">
          <cell r="R2198">
            <v>1</v>
          </cell>
          <cell r="S2198">
            <v>1</v>
          </cell>
        </row>
        <row r="2199">
          <cell r="R2199">
            <v>1</v>
          </cell>
          <cell r="S2199">
            <v>1</v>
          </cell>
        </row>
        <row r="2200">
          <cell r="R2200">
            <v>1</v>
          </cell>
          <cell r="S2200">
            <v>1</v>
          </cell>
        </row>
        <row r="2201">
          <cell r="R2201">
            <v>1</v>
          </cell>
          <cell r="S2201">
            <v>1</v>
          </cell>
        </row>
        <row r="2202">
          <cell r="R2202">
            <v>1</v>
          </cell>
          <cell r="S2202">
            <v>1</v>
          </cell>
        </row>
        <row r="2203">
          <cell r="R2203">
            <v>1</v>
          </cell>
          <cell r="S2203">
            <v>1</v>
          </cell>
        </row>
        <row r="2204">
          <cell r="R2204">
            <v>1</v>
          </cell>
          <cell r="S2204">
            <v>1</v>
          </cell>
        </row>
        <row r="2205">
          <cell r="R2205">
            <v>1</v>
          </cell>
          <cell r="S2205">
            <v>1</v>
          </cell>
        </row>
        <row r="2206">
          <cell r="R2206">
            <v>1</v>
          </cell>
          <cell r="S2206">
            <v>1</v>
          </cell>
        </row>
        <row r="2207">
          <cell r="R2207">
            <v>1</v>
          </cell>
          <cell r="S2207">
            <v>1</v>
          </cell>
        </row>
        <row r="2208">
          <cell r="R2208">
            <v>1</v>
          </cell>
          <cell r="S2208">
            <v>1</v>
          </cell>
        </row>
        <row r="2209">
          <cell r="R2209">
            <v>1</v>
          </cell>
          <cell r="S2209">
            <v>1</v>
          </cell>
        </row>
        <row r="2210">
          <cell r="R2210">
            <v>1</v>
          </cell>
          <cell r="S2210">
            <v>1</v>
          </cell>
        </row>
        <row r="2211">
          <cell r="R2211">
            <v>1</v>
          </cell>
          <cell r="S2211">
            <v>1</v>
          </cell>
        </row>
        <row r="2212">
          <cell r="R2212">
            <v>1</v>
          </cell>
          <cell r="S2212">
            <v>1</v>
          </cell>
        </row>
        <row r="2213">
          <cell r="R2213">
            <v>1</v>
          </cell>
          <cell r="S2213">
            <v>1</v>
          </cell>
        </row>
        <row r="2214">
          <cell r="R2214">
            <v>1</v>
          </cell>
          <cell r="S2214">
            <v>1</v>
          </cell>
        </row>
        <row r="2215">
          <cell r="R2215">
            <v>1</v>
          </cell>
          <cell r="S2215">
            <v>1</v>
          </cell>
        </row>
        <row r="2216">
          <cell r="R2216">
            <v>1</v>
          </cell>
          <cell r="S2216">
            <v>1</v>
          </cell>
        </row>
        <row r="2217">
          <cell r="R2217">
            <v>1</v>
          </cell>
          <cell r="S2217">
            <v>1</v>
          </cell>
        </row>
        <row r="2218">
          <cell r="R2218">
            <v>1</v>
          </cell>
          <cell r="S2218">
            <v>1</v>
          </cell>
        </row>
        <row r="2219">
          <cell r="R2219">
            <v>1</v>
          </cell>
          <cell r="S2219">
            <v>1</v>
          </cell>
        </row>
        <row r="2220">
          <cell r="R2220">
            <v>1</v>
          </cell>
          <cell r="S2220">
            <v>1</v>
          </cell>
        </row>
        <row r="2221">
          <cell r="R2221">
            <v>1</v>
          </cell>
          <cell r="S2221">
            <v>1</v>
          </cell>
        </row>
        <row r="2222">
          <cell r="R2222">
            <v>1</v>
          </cell>
          <cell r="S2222">
            <v>1</v>
          </cell>
        </row>
        <row r="2223">
          <cell r="R2223">
            <v>1</v>
          </cell>
          <cell r="S2223">
            <v>1</v>
          </cell>
        </row>
        <row r="2224">
          <cell r="R2224">
            <v>1</v>
          </cell>
          <cell r="S2224">
            <v>1</v>
          </cell>
        </row>
        <row r="2225">
          <cell r="R2225">
            <v>1</v>
          </cell>
          <cell r="S2225">
            <v>1</v>
          </cell>
        </row>
        <row r="2226">
          <cell r="R2226">
            <v>1</v>
          </cell>
          <cell r="S2226">
            <v>1</v>
          </cell>
        </row>
        <row r="2227">
          <cell r="R2227">
            <v>1</v>
          </cell>
          <cell r="S2227">
            <v>1</v>
          </cell>
        </row>
        <row r="2228">
          <cell r="R2228">
            <v>1</v>
          </cell>
          <cell r="S2228">
            <v>1</v>
          </cell>
        </row>
        <row r="2229">
          <cell r="R2229">
            <v>1</v>
          </cell>
          <cell r="S2229">
            <v>1</v>
          </cell>
        </row>
        <row r="2230">
          <cell r="R2230">
            <v>1</v>
          </cell>
          <cell r="S2230">
            <v>1</v>
          </cell>
        </row>
        <row r="2231">
          <cell r="R2231">
            <v>1</v>
          </cell>
          <cell r="S2231">
            <v>1</v>
          </cell>
        </row>
        <row r="2232">
          <cell r="R2232">
            <v>1</v>
          </cell>
          <cell r="S2232">
            <v>1</v>
          </cell>
        </row>
        <row r="2233">
          <cell r="R2233">
            <v>1</v>
          </cell>
          <cell r="S2233">
            <v>1</v>
          </cell>
        </row>
        <row r="2234">
          <cell r="R2234">
            <v>1</v>
          </cell>
          <cell r="S2234">
            <v>1</v>
          </cell>
        </row>
        <row r="2235">
          <cell r="R2235">
            <v>1</v>
          </cell>
          <cell r="S2235">
            <v>1</v>
          </cell>
        </row>
        <row r="2236">
          <cell r="R2236">
            <v>1</v>
          </cell>
          <cell r="S2236">
            <v>1</v>
          </cell>
        </row>
        <row r="2237">
          <cell r="R2237">
            <v>1</v>
          </cell>
          <cell r="S2237">
            <v>1</v>
          </cell>
        </row>
        <row r="2238">
          <cell r="R2238">
            <v>1</v>
          </cell>
          <cell r="S2238">
            <v>1</v>
          </cell>
        </row>
        <row r="2239">
          <cell r="R2239">
            <v>1</v>
          </cell>
          <cell r="S2239">
            <v>1</v>
          </cell>
        </row>
        <row r="2240">
          <cell r="R2240">
            <v>1</v>
          </cell>
          <cell r="S2240">
            <v>1</v>
          </cell>
        </row>
        <row r="2241">
          <cell r="R2241">
            <v>1</v>
          </cell>
          <cell r="S2241">
            <v>1</v>
          </cell>
        </row>
        <row r="2242">
          <cell r="R2242">
            <v>1</v>
          </cell>
          <cell r="S2242">
            <v>1</v>
          </cell>
        </row>
        <row r="2243">
          <cell r="R2243">
            <v>1</v>
          </cell>
          <cell r="S2243">
            <v>1</v>
          </cell>
        </row>
        <row r="2244">
          <cell r="R2244">
            <v>1</v>
          </cell>
          <cell r="S2244">
            <v>1</v>
          </cell>
        </row>
        <row r="2245">
          <cell r="R2245">
            <v>1</v>
          </cell>
          <cell r="S2245">
            <v>1</v>
          </cell>
        </row>
        <row r="2246">
          <cell r="R2246">
            <v>1</v>
          </cell>
          <cell r="S2246">
            <v>1</v>
          </cell>
        </row>
        <row r="2247">
          <cell r="R2247">
            <v>1</v>
          </cell>
          <cell r="S2247">
            <v>1</v>
          </cell>
        </row>
        <row r="2248">
          <cell r="R2248">
            <v>1</v>
          </cell>
          <cell r="S2248">
            <v>1</v>
          </cell>
        </row>
        <row r="2249">
          <cell r="R2249">
            <v>1</v>
          </cell>
          <cell r="S2249">
            <v>1</v>
          </cell>
        </row>
        <row r="2250">
          <cell r="R2250">
            <v>1</v>
          </cell>
          <cell r="S2250">
            <v>1</v>
          </cell>
        </row>
        <row r="2251">
          <cell r="R2251">
            <v>1</v>
          </cell>
          <cell r="S2251">
            <v>1</v>
          </cell>
        </row>
        <row r="2252">
          <cell r="R2252">
            <v>1</v>
          </cell>
          <cell r="S2252">
            <v>1</v>
          </cell>
        </row>
        <row r="2253">
          <cell r="R2253">
            <v>1</v>
          </cell>
          <cell r="S2253">
            <v>1</v>
          </cell>
        </row>
        <row r="2254">
          <cell r="R2254">
            <v>1</v>
          </cell>
          <cell r="S2254">
            <v>1</v>
          </cell>
        </row>
        <row r="2255">
          <cell r="R2255">
            <v>1</v>
          </cell>
          <cell r="S2255">
            <v>1</v>
          </cell>
        </row>
        <row r="2256">
          <cell r="R2256">
            <v>1</v>
          </cell>
          <cell r="S2256">
            <v>1</v>
          </cell>
        </row>
        <row r="2257">
          <cell r="R2257">
            <v>1</v>
          </cell>
          <cell r="S2257">
            <v>1</v>
          </cell>
        </row>
        <row r="2258">
          <cell r="R2258">
            <v>1</v>
          </cell>
          <cell r="S2258">
            <v>1</v>
          </cell>
        </row>
        <row r="2259">
          <cell r="R2259">
            <v>1</v>
          </cell>
          <cell r="S2259">
            <v>1</v>
          </cell>
        </row>
        <row r="2260">
          <cell r="R2260">
            <v>1</v>
          </cell>
          <cell r="S2260">
            <v>1</v>
          </cell>
        </row>
        <row r="2261">
          <cell r="R2261">
            <v>1</v>
          </cell>
          <cell r="S2261">
            <v>1</v>
          </cell>
        </row>
        <row r="2262">
          <cell r="R2262">
            <v>1</v>
          </cell>
          <cell r="S2262">
            <v>1</v>
          </cell>
        </row>
        <row r="2263">
          <cell r="R2263">
            <v>1</v>
          </cell>
          <cell r="S2263">
            <v>1</v>
          </cell>
        </row>
        <row r="2264">
          <cell r="R2264">
            <v>1</v>
          </cell>
          <cell r="S2264">
            <v>1</v>
          </cell>
        </row>
        <row r="2265">
          <cell r="R2265">
            <v>1</v>
          </cell>
          <cell r="S2265">
            <v>1</v>
          </cell>
        </row>
        <row r="2266">
          <cell r="R2266">
            <v>1</v>
          </cell>
          <cell r="S2266">
            <v>1</v>
          </cell>
        </row>
        <row r="2267">
          <cell r="R2267">
            <v>1</v>
          </cell>
          <cell r="S2267">
            <v>1</v>
          </cell>
        </row>
        <row r="2268">
          <cell r="R2268">
            <v>1</v>
          </cell>
          <cell r="S2268">
            <v>1</v>
          </cell>
        </row>
        <row r="2269">
          <cell r="R2269">
            <v>1</v>
          </cell>
          <cell r="S2269">
            <v>1</v>
          </cell>
        </row>
        <row r="2270">
          <cell r="R2270">
            <v>1</v>
          </cell>
          <cell r="S2270">
            <v>1</v>
          </cell>
        </row>
        <row r="2271">
          <cell r="R2271">
            <v>1</v>
          </cell>
          <cell r="S2271">
            <v>1</v>
          </cell>
        </row>
        <row r="2272">
          <cell r="R2272">
            <v>1</v>
          </cell>
          <cell r="S2272">
            <v>1</v>
          </cell>
        </row>
        <row r="2273">
          <cell r="R2273">
            <v>1</v>
          </cell>
          <cell r="S2273">
            <v>1</v>
          </cell>
        </row>
        <row r="2274">
          <cell r="R2274">
            <v>1</v>
          </cell>
          <cell r="S2274">
            <v>1</v>
          </cell>
        </row>
        <row r="2275">
          <cell r="R2275">
            <v>1</v>
          </cell>
          <cell r="S2275">
            <v>1</v>
          </cell>
        </row>
        <row r="2276">
          <cell r="R2276">
            <v>1</v>
          </cell>
          <cell r="S2276">
            <v>1</v>
          </cell>
        </row>
        <row r="2277">
          <cell r="R2277">
            <v>1</v>
          </cell>
          <cell r="S2277">
            <v>1</v>
          </cell>
        </row>
        <row r="2278">
          <cell r="R2278">
            <v>1</v>
          </cell>
          <cell r="S2278">
            <v>1</v>
          </cell>
        </row>
        <row r="2279">
          <cell r="R2279">
            <v>1</v>
          </cell>
          <cell r="S2279">
            <v>1</v>
          </cell>
        </row>
        <row r="2280">
          <cell r="R2280">
            <v>1</v>
          </cell>
          <cell r="S2280">
            <v>1</v>
          </cell>
        </row>
        <row r="2281">
          <cell r="R2281">
            <v>1</v>
          </cell>
          <cell r="S2281">
            <v>1</v>
          </cell>
        </row>
        <row r="2282">
          <cell r="R2282">
            <v>1</v>
          </cell>
          <cell r="S2282">
            <v>1</v>
          </cell>
        </row>
        <row r="2283">
          <cell r="R2283">
            <v>1</v>
          </cell>
          <cell r="S2283">
            <v>1</v>
          </cell>
        </row>
        <row r="2284">
          <cell r="R2284">
            <v>1</v>
          </cell>
          <cell r="S2284">
            <v>1</v>
          </cell>
        </row>
        <row r="2285">
          <cell r="R2285">
            <v>1</v>
          </cell>
          <cell r="S2285">
            <v>1</v>
          </cell>
        </row>
        <row r="2286">
          <cell r="R2286">
            <v>1</v>
          </cell>
          <cell r="S2286">
            <v>1</v>
          </cell>
        </row>
        <row r="2287">
          <cell r="R2287">
            <v>1</v>
          </cell>
          <cell r="S2287">
            <v>1</v>
          </cell>
        </row>
        <row r="2288">
          <cell r="R2288">
            <v>1</v>
          </cell>
          <cell r="S2288">
            <v>1</v>
          </cell>
        </row>
        <row r="2289">
          <cell r="R2289">
            <v>1</v>
          </cell>
          <cell r="S2289">
            <v>1</v>
          </cell>
        </row>
        <row r="2290">
          <cell r="R2290">
            <v>1</v>
          </cell>
          <cell r="S2290">
            <v>1</v>
          </cell>
        </row>
        <row r="2291">
          <cell r="R2291">
            <v>1</v>
          </cell>
          <cell r="S2291">
            <v>1</v>
          </cell>
        </row>
        <row r="2292">
          <cell r="R2292">
            <v>1</v>
          </cell>
          <cell r="S2292">
            <v>1</v>
          </cell>
        </row>
        <row r="2293">
          <cell r="R2293">
            <v>1</v>
          </cell>
          <cell r="S2293">
            <v>1</v>
          </cell>
        </row>
        <row r="2294">
          <cell r="R2294">
            <v>1</v>
          </cell>
          <cell r="S2294">
            <v>1</v>
          </cell>
        </row>
        <row r="2295">
          <cell r="R2295">
            <v>1</v>
          </cell>
          <cell r="S2295">
            <v>1</v>
          </cell>
        </row>
        <row r="2296">
          <cell r="R2296">
            <v>1</v>
          </cell>
          <cell r="S2296">
            <v>1</v>
          </cell>
        </row>
        <row r="2297">
          <cell r="R2297">
            <v>1</v>
          </cell>
          <cell r="S2297">
            <v>1</v>
          </cell>
        </row>
        <row r="2298">
          <cell r="R2298">
            <v>1</v>
          </cell>
          <cell r="S2298">
            <v>1</v>
          </cell>
        </row>
        <row r="2299">
          <cell r="R2299">
            <v>1</v>
          </cell>
          <cell r="S2299">
            <v>1</v>
          </cell>
        </row>
        <row r="2300">
          <cell r="R2300">
            <v>1</v>
          </cell>
          <cell r="S2300">
            <v>1</v>
          </cell>
        </row>
        <row r="2301">
          <cell r="R2301">
            <v>1</v>
          </cell>
          <cell r="S2301">
            <v>1</v>
          </cell>
        </row>
        <row r="2302">
          <cell r="R2302">
            <v>1</v>
          </cell>
          <cell r="S2302">
            <v>1</v>
          </cell>
        </row>
        <row r="2303">
          <cell r="R2303">
            <v>1</v>
          </cell>
          <cell r="S2303">
            <v>1</v>
          </cell>
        </row>
        <row r="2304">
          <cell r="R2304">
            <v>1</v>
          </cell>
          <cell r="S2304">
            <v>1</v>
          </cell>
        </row>
        <row r="2305">
          <cell r="R2305">
            <v>1</v>
          </cell>
          <cell r="S2305">
            <v>1</v>
          </cell>
        </row>
        <row r="2306">
          <cell r="R2306">
            <v>1</v>
          </cell>
          <cell r="S2306">
            <v>1</v>
          </cell>
        </row>
        <row r="2307">
          <cell r="R2307">
            <v>1</v>
          </cell>
          <cell r="S2307">
            <v>1</v>
          </cell>
        </row>
        <row r="2308">
          <cell r="R2308">
            <v>1</v>
          </cell>
          <cell r="S2308">
            <v>1</v>
          </cell>
        </row>
        <row r="2309">
          <cell r="R2309">
            <v>1</v>
          </cell>
          <cell r="S2309">
            <v>1</v>
          </cell>
        </row>
        <row r="2310">
          <cell r="R2310">
            <v>1</v>
          </cell>
          <cell r="S2310">
            <v>1</v>
          </cell>
        </row>
        <row r="2311">
          <cell r="R2311">
            <v>1</v>
          </cell>
          <cell r="S2311">
            <v>1</v>
          </cell>
        </row>
        <row r="2312">
          <cell r="R2312">
            <v>1</v>
          </cell>
          <cell r="S2312">
            <v>1</v>
          </cell>
        </row>
        <row r="2313">
          <cell r="R2313">
            <v>1</v>
          </cell>
          <cell r="S2313">
            <v>1</v>
          </cell>
        </row>
        <row r="2314">
          <cell r="R2314">
            <v>1</v>
          </cell>
          <cell r="S2314">
            <v>1</v>
          </cell>
        </row>
        <row r="2315">
          <cell r="R2315">
            <v>1</v>
          </cell>
          <cell r="S2315">
            <v>1</v>
          </cell>
        </row>
        <row r="2316">
          <cell r="R2316">
            <v>1</v>
          </cell>
          <cell r="S2316">
            <v>1</v>
          </cell>
        </row>
        <row r="2317">
          <cell r="R2317">
            <v>1</v>
          </cell>
          <cell r="S2317">
            <v>1</v>
          </cell>
        </row>
        <row r="2318">
          <cell r="R2318">
            <v>1</v>
          </cell>
          <cell r="S2318">
            <v>1</v>
          </cell>
        </row>
        <row r="2319">
          <cell r="R2319">
            <v>1</v>
          </cell>
          <cell r="S2319">
            <v>1</v>
          </cell>
        </row>
        <row r="2320">
          <cell r="R2320">
            <v>1</v>
          </cell>
          <cell r="S2320">
            <v>1</v>
          </cell>
        </row>
        <row r="2321">
          <cell r="R2321">
            <v>1</v>
          </cell>
          <cell r="S2321">
            <v>1</v>
          </cell>
        </row>
        <row r="2322">
          <cell r="R2322">
            <v>1</v>
          </cell>
          <cell r="S2322">
            <v>1</v>
          </cell>
        </row>
        <row r="2323">
          <cell r="R2323">
            <v>1</v>
          </cell>
          <cell r="S2323">
            <v>1</v>
          </cell>
        </row>
        <row r="2324">
          <cell r="R2324">
            <v>1</v>
          </cell>
          <cell r="S2324">
            <v>1</v>
          </cell>
        </row>
        <row r="2325">
          <cell r="R2325">
            <v>1</v>
          </cell>
          <cell r="S2325">
            <v>1</v>
          </cell>
        </row>
        <row r="2326">
          <cell r="R2326">
            <v>1</v>
          </cell>
          <cell r="S2326">
            <v>1</v>
          </cell>
        </row>
        <row r="2327">
          <cell r="R2327">
            <v>1</v>
          </cell>
          <cell r="S2327">
            <v>1</v>
          </cell>
        </row>
        <row r="2328">
          <cell r="R2328">
            <v>1</v>
          </cell>
          <cell r="S2328">
            <v>1</v>
          </cell>
        </row>
        <row r="2329">
          <cell r="R2329">
            <v>1</v>
          </cell>
          <cell r="S2329">
            <v>1</v>
          </cell>
        </row>
        <row r="2330">
          <cell r="R2330">
            <v>1</v>
          </cell>
          <cell r="S2330">
            <v>1</v>
          </cell>
        </row>
        <row r="2331">
          <cell r="R2331">
            <v>1</v>
          </cell>
          <cell r="S2331">
            <v>1</v>
          </cell>
        </row>
        <row r="2332">
          <cell r="R2332">
            <v>1</v>
          </cell>
          <cell r="S2332">
            <v>1</v>
          </cell>
        </row>
        <row r="2333">
          <cell r="R2333">
            <v>1</v>
          </cell>
          <cell r="S2333">
            <v>1</v>
          </cell>
        </row>
        <row r="2334">
          <cell r="R2334">
            <v>1</v>
          </cell>
          <cell r="S2334">
            <v>1</v>
          </cell>
        </row>
        <row r="2335">
          <cell r="R2335">
            <v>1</v>
          </cell>
          <cell r="S2335">
            <v>1</v>
          </cell>
        </row>
        <row r="2336">
          <cell r="R2336">
            <v>1</v>
          </cell>
          <cell r="S2336">
            <v>1</v>
          </cell>
        </row>
        <row r="2337">
          <cell r="R2337">
            <v>1</v>
          </cell>
          <cell r="S2337">
            <v>1</v>
          </cell>
        </row>
        <row r="2338">
          <cell r="R2338">
            <v>1</v>
          </cell>
          <cell r="S2338">
            <v>1</v>
          </cell>
        </row>
        <row r="2339">
          <cell r="R2339">
            <v>1</v>
          </cell>
          <cell r="S2339">
            <v>1</v>
          </cell>
        </row>
        <row r="2340">
          <cell r="R2340">
            <v>1</v>
          </cell>
          <cell r="S2340">
            <v>1</v>
          </cell>
        </row>
        <row r="2341">
          <cell r="R2341">
            <v>1</v>
          </cell>
          <cell r="S2341">
            <v>1</v>
          </cell>
        </row>
        <row r="2342">
          <cell r="R2342">
            <v>1</v>
          </cell>
          <cell r="S2342">
            <v>1</v>
          </cell>
        </row>
        <row r="2343">
          <cell r="R2343">
            <v>1</v>
          </cell>
          <cell r="S2343">
            <v>1</v>
          </cell>
        </row>
        <row r="2344">
          <cell r="R2344">
            <v>1</v>
          </cell>
          <cell r="S2344">
            <v>1</v>
          </cell>
        </row>
        <row r="2345">
          <cell r="R2345">
            <v>1</v>
          </cell>
          <cell r="S2345">
            <v>1</v>
          </cell>
        </row>
        <row r="2346">
          <cell r="R2346">
            <v>1</v>
          </cell>
          <cell r="S2346">
            <v>1</v>
          </cell>
        </row>
        <row r="2347">
          <cell r="R2347">
            <v>1</v>
          </cell>
          <cell r="S2347">
            <v>1</v>
          </cell>
        </row>
        <row r="2348">
          <cell r="R2348">
            <v>1</v>
          </cell>
          <cell r="S2348">
            <v>1</v>
          </cell>
        </row>
        <row r="2349">
          <cell r="R2349">
            <v>1</v>
          </cell>
          <cell r="S2349">
            <v>1</v>
          </cell>
        </row>
        <row r="2350">
          <cell r="R2350">
            <v>1</v>
          </cell>
          <cell r="S2350">
            <v>1</v>
          </cell>
        </row>
        <row r="2351">
          <cell r="R2351">
            <v>1</v>
          </cell>
          <cell r="S2351">
            <v>1</v>
          </cell>
        </row>
        <row r="2352">
          <cell r="R2352">
            <v>1</v>
          </cell>
          <cell r="S2352">
            <v>1</v>
          </cell>
        </row>
        <row r="2353">
          <cell r="R2353">
            <v>1</v>
          </cell>
          <cell r="S2353">
            <v>1</v>
          </cell>
        </row>
        <row r="2354">
          <cell r="R2354">
            <v>1</v>
          </cell>
          <cell r="S2354">
            <v>1</v>
          </cell>
        </row>
        <row r="2355">
          <cell r="R2355">
            <v>1</v>
          </cell>
          <cell r="S2355">
            <v>1</v>
          </cell>
        </row>
        <row r="2356">
          <cell r="R2356">
            <v>1</v>
          </cell>
          <cell r="S2356">
            <v>1</v>
          </cell>
        </row>
        <row r="2357">
          <cell r="R2357">
            <v>1</v>
          </cell>
          <cell r="S2357">
            <v>1</v>
          </cell>
        </row>
        <row r="2358">
          <cell r="R2358">
            <v>1</v>
          </cell>
          <cell r="S2358">
            <v>1</v>
          </cell>
        </row>
        <row r="2359">
          <cell r="R2359">
            <v>1</v>
          </cell>
          <cell r="S2359">
            <v>1</v>
          </cell>
        </row>
        <row r="2360">
          <cell r="R2360">
            <v>1</v>
          </cell>
          <cell r="S2360">
            <v>1</v>
          </cell>
        </row>
        <row r="2361">
          <cell r="R2361">
            <v>1</v>
          </cell>
          <cell r="S2361">
            <v>1</v>
          </cell>
        </row>
        <row r="2362">
          <cell r="R2362">
            <v>1</v>
          </cell>
          <cell r="S2362">
            <v>1</v>
          </cell>
        </row>
        <row r="2363">
          <cell r="R2363">
            <v>1</v>
          </cell>
          <cell r="S2363">
            <v>1</v>
          </cell>
        </row>
        <row r="2364">
          <cell r="R2364">
            <v>1</v>
          </cell>
          <cell r="S2364">
            <v>1</v>
          </cell>
        </row>
        <row r="2365">
          <cell r="R2365">
            <v>1</v>
          </cell>
          <cell r="S2365">
            <v>1</v>
          </cell>
        </row>
        <row r="2366">
          <cell r="R2366">
            <v>1</v>
          </cell>
          <cell r="S2366">
            <v>1</v>
          </cell>
        </row>
        <row r="2367">
          <cell r="R2367">
            <v>1</v>
          </cell>
          <cell r="S2367">
            <v>1</v>
          </cell>
        </row>
        <row r="2368">
          <cell r="R2368">
            <v>1</v>
          </cell>
          <cell r="S2368">
            <v>1</v>
          </cell>
        </row>
        <row r="2369">
          <cell r="R2369">
            <v>1</v>
          </cell>
          <cell r="S2369">
            <v>1</v>
          </cell>
        </row>
        <row r="2370">
          <cell r="R2370">
            <v>1</v>
          </cell>
          <cell r="S2370">
            <v>1</v>
          </cell>
        </row>
        <row r="2371">
          <cell r="R2371">
            <v>1</v>
          </cell>
          <cell r="S2371">
            <v>1</v>
          </cell>
        </row>
        <row r="2372">
          <cell r="R2372">
            <v>1</v>
          </cell>
          <cell r="S2372">
            <v>1</v>
          </cell>
        </row>
        <row r="2373">
          <cell r="R2373">
            <v>1</v>
          </cell>
          <cell r="S2373">
            <v>1</v>
          </cell>
        </row>
        <row r="2374">
          <cell r="R2374">
            <v>1</v>
          </cell>
          <cell r="S2374">
            <v>1</v>
          </cell>
        </row>
        <row r="2375">
          <cell r="R2375">
            <v>1</v>
          </cell>
          <cell r="S2375">
            <v>1</v>
          </cell>
        </row>
        <row r="2376">
          <cell r="R2376">
            <v>1</v>
          </cell>
          <cell r="S2376">
            <v>1</v>
          </cell>
        </row>
        <row r="2377">
          <cell r="R2377">
            <v>1</v>
          </cell>
          <cell r="S2377">
            <v>1</v>
          </cell>
        </row>
        <row r="2378">
          <cell r="R2378">
            <v>1</v>
          </cell>
          <cell r="S2378">
            <v>1</v>
          </cell>
        </row>
        <row r="2379">
          <cell r="R2379">
            <v>1</v>
          </cell>
          <cell r="S2379">
            <v>1</v>
          </cell>
        </row>
        <row r="2380">
          <cell r="R2380">
            <v>1</v>
          </cell>
          <cell r="S2380">
            <v>1</v>
          </cell>
        </row>
        <row r="2381">
          <cell r="R2381">
            <v>1</v>
          </cell>
          <cell r="S2381">
            <v>1</v>
          </cell>
        </row>
        <row r="2382">
          <cell r="R2382">
            <v>1</v>
          </cell>
          <cell r="S2382">
            <v>1</v>
          </cell>
        </row>
        <row r="2383">
          <cell r="R2383">
            <v>1</v>
          </cell>
          <cell r="S2383">
            <v>1</v>
          </cell>
        </row>
        <row r="2384">
          <cell r="R2384">
            <v>1</v>
          </cell>
          <cell r="S2384">
            <v>1</v>
          </cell>
        </row>
        <row r="2385">
          <cell r="R2385">
            <v>1</v>
          </cell>
          <cell r="S2385">
            <v>1</v>
          </cell>
        </row>
        <row r="2386">
          <cell r="R2386">
            <v>1</v>
          </cell>
          <cell r="S2386">
            <v>1</v>
          </cell>
        </row>
        <row r="2387">
          <cell r="R2387">
            <v>1</v>
          </cell>
          <cell r="S2387">
            <v>1</v>
          </cell>
        </row>
        <row r="2388">
          <cell r="R2388">
            <v>1</v>
          </cell>
          <cell r="S2388">
            <v>1</v>
          </cell>
        </row>
        <row r="2389">
          <cell r="R2389">
            <v>1</v>
          </cell>
          <cell r="S2389">
            <v>1</v>
          </cell>
        </row>
        <row r="2390">
          <cell r="R2390">
            <v>1</v>
          </cell>
          <cell r="S2390">
            <v>1</v>
          </cell>
        </row>
        <row r="2391">
          <cell r="R2391">
            <v>1</v>
          </cell>
          <cell r="S2391">
            <v>1</v>
          </cell>
        </row>
        <row r="2392">
          <cell r="R2392">
            <v>1</v>
          </cell>
          <cell r="S2392">
            <v>1</v>
          </cell>
        </row>
        <row r="2393">
          <cell r="R2393">
            <v>1</v>
          </cell>
          <cell r="S2393">
            <v>1</v>
          </cell>
        </row>
        <row r="2394">
          <cell r="R2394">
            <v>1</v>
          </cell>
          <cell r="S2394">
            <v>1</v>
          </cell>
        </row>
        <row r="2395">
          <cell r="R2395">
            <v>1</v>
          </cell>
          <cell r="S2395">
            <v>1</v>
          </cell>
        </row>
        <row r="2396">
          <cell r="R2396">
            <v>1</v>
          </cell>
          <cell r="S2396">
            <v>1</v>
          </cell>
        </row>
        <row r="2397">
          <cell r="R2397">
            <v>1</v>
          </cell>
          <cell r="S2397">
            <v>1</v>
          </cell>
        </row>
        <row r="2398">
          <cell r="R2398">
            <v>1</v>
          </cell>
          <cell r="S2398">
            <v>1</v>
          </cell>
        </row>
        <row r="2399">
          <cell r="R2399">
            <v>1</v>
          </cell>
          <cell r="S2399">
            <v>1</v>
          </cell>
        </row>
        <row r="2400">
          <cell r="R2400">
            <v>1</v>
          </cell>
          <cell r="S2400">
            <v>1</v>
          </cell>
        </row>
        <row r="2401">
          <cell r="R2401">
            <v>1</v>
          </cell>
          <cell r="S2401">
            <v>1</v>
          </cell>
        </row>
        <row r="2402">
          <cell r="R2402">
            <v>1</v>
          </cell>
          <cell r="S2402">
            <v>1</v>
          </cell>
        </row>
        <row r="2403">
          <cell r="R2403">
            <v>1</v>
          </cell>
          <cell r="S2403">
            <v>1</v>
          </cell>
        </row>
        <row r="2404">
          <cell r="R2404">
            <v>1</v>
          </cell>
          <cell r="S2404">
            <v>1</v>
          </cell>
        </row>
        <row r="2405">
          <cell r="R2405">
            <v>1</v>
          </cell>
          <cell r="S2405">
            <v>1</v>
          </cell>
        </row>
        <row r="2406">
          <cell r="R2406">
            <v>1</v>
          </cell>
          <cell r="S2406">
            <v>1</v>
          </cell>
        </row>
        <row r="2407">
          <cell r="R2407">
            <v>1</v>
          </cell>
          <cell r="S2407">
            <v>1</v>
          </cell>
        </row>
        <row r="2408">
          <cell r="R2408">
            <v>1</v>
          </cell>
          <cell r="S2408">
            <v>1</v>
          </cell>
        </row>
        <row r="2409">
          <cell r="R2409">
            <v>1</v>
          </cell>
          <cell r="S2409">
            <v>1</v>
          </cell>
        </row>
        <row r="2410">
          <cell r="R2410">
            <v>1</v>
          </cell>
          <cell r="S2410">
            <v>1</v>
          </cell>
        </row>
        <row r="2411">
          <cell r="R2411">
            <v>1</v>
          </cell>
          <cell r="S2411">
            <v>1</v>
          </cell>
        </row>
        <row r="2412">
          <cell r="R2412">
            <v>1</v>
          </cell>
          <cell r="S2412">
            <v>1</v>
          </cell>
        </row>
        <row r="2413">
          <cell r="R2413">
            <v>1</v>
          </cell>
          <cell r="S2413">
            <v>1</v>
          </cell>
        </row>
        <row r="2414">
          <cell r="R2414">
            <v>1</v>
          </cell>
          <cell r="S2414">
            <v>1</v>
          </cell>
        </row>
        <row r="2415">
          <cell r="R2415">
            <v>1</v>
          </cell>
          <cell r="S2415">
            <v>1</v>
          </cell>
        </row>
        <row r="2416">
          <cell r="R2416">
            <v>1</v>
          </cell>
          <cell r="S2416">
            <v>1</v>
          </cell>
        </row>
        <row r="2417">
          <cell r="R2417">
            <v>1</v>
          </cell>
          <cell r="S2417">
            <v>1</v>
          </cell>
        </row>
        <row r="2418">
          <cell r="R2418">
            <v>1</v>
          </cell>
          <cell r="S2418">
            <v>1</v>
          </cell>
        </row>
        <row r="2419">
          <cell r="R2419">
            <v>1</v>
          </cell>
          <cell r="S2419">
            <v>1</v>
          </cell>
        </row>
        <row r="2420">
          <cell r="R2420">
            <v>1</v>
          </cell>
          <cell r="S2420">
            <v>1</v>
          </cell>
        </row>
        <row r="2421">
          <cell r="R2421">
            <v>1</v>
          </cell>
          <cell r="S2421">
            <v>1</v>
          </cell>
        </row>
        <row r="2422">
          <cell r="R2422">
            <v>1</v>
          </cell>
          <cell r="S2422">
            <v>1</v>
          </cell>
        </row>
        <row r="2423">
          <cell r="R2423">
            <v>1</v>
          </cell>
          <cell r="S2423">
            <v>1</v>
          </cell>
        </row>
        <row r="2424">
          <cell r="R2424">
            <v>1</v>
          </cell>
          <cell r="S2424">
            <v>1</v>
          </cell>
        </row>
        <row r="2425">
          <cell r="R2425">
            <v>1</v>
          </cell>
          <cell r="S2425">
            <v>1</v>
          </cell>
        </row>
        <row r="2426">
          <cell r="R2426">
            <v>1</v>
          </cell>
          <cell r="S2426">
            <v>1</v>
          </cell>
        </row>
        <row r="2427">
          <cell r="R2427">
            <v>1</v>
          </cell>
          <cell r="S2427">
            <v>1</v>
          </cell>
        </row>
        <row r="2428">
          <cell r="R2428">
            <v>1</v>
          </cell>
          <cell r="S2428">
            <v>1</v>
          </cell>
        </row>
        <row r="2429">
          <cell r="R2429">
            <v>1</v>
          </cell>
          <cell r="S2429">
            <v>1</v>
          </cell>
        </row>
        <row r="2430">
          <cell r="R2430">
            <v>1</v>
          </cell>
          <cell r="S2430">
            <v>1</v>
          </cell>
        </row>
        <row r="2431">
          <cell r="R2431">
            <v>1</v>
          </cell>
          <cell r="S2431">
            <v>1</v>
          </cell>
        </row>
        <row r="2432">
          <cell r="R2432">
            <v>1</v>
          </cell>
          <cell r="S2432">
            <v>1</v>
          </cell>
        </row>
        <row r="2433">
          <cell r="R2433">
            <v>1</v>
          </cell>
          <cell r="S2433">
            <v>1</v>
          </cell>
        </row>
        <row r="2434">
          <cell r="R2434">
            <v>1</v>
          </cell>
          <cell r="S2434">
            <v>1</v>
          </cell>
        </row>
        <row r="2435">
          <cell r="R2435">
            <v>1</v>
          </cell>
          <cell r="S2435">
            <v>1</v>
          </cell>
        </row>
        <row r="2436">
          <cell r="R2436">
            <v>1</v>
          </cell>
          <cell r="S2436">
            <v>1</v>
          </cell>
        </row>
        <row r="2437">
          <cell r="R2437">
            <v>1</v>
          </cell>
          <cell r="S2437">
            <v>1</v>
          </cell>
        </row>
        <row r="2438">
          <cell r="R2438">
            <v>1</v>
          </cell>
          <cell r="S2438">
            <v>1</v>
          </cell>
        </row>
        <row r="2439">
          <cell r="R2439">
            <v>1</v>
          </cell>
          <cell r="S2439">
            <v>1</v>
          </cell>
        </row>
        <row r="2440">
          <cell r="R2440">
            <v>1</v>
          </cell>
          <cell r="S2440">
            <v>1</v>
          </cell>
        </row>
        <row r="2441">
          <cell r="R2441">
            <v>1</v>
          </cell>
          <cell r="S2441">
            <v>1</v>
          </cell>
        </row>
        <row r="2442">
          <cell r="R2442">
            <v>1</v>
          </cell>
          <cell r="S2442">
            <v>1</v>
          </cell>
        </row>
        <row r="2443">
          <cell r="R2443">
            <v>1</v>
          </cell>
          <cell r="S2443">
            <v>1</v>
          </cell>
        </row>
        <row r="2444">
          <cell r="R2444">
            <v>1</v>
          </cell>
          <cell r="S2444">
            <v>1</v>
          </cell>
        </row>
        <row r="2445">
          <cell r="R2445">
            <v>1</v>
          </cell>
          <cell r="S2445">
            <v>1</v>
          </cell>
        </row>
        <row r="2446">
          <cell r="R2446">
            <v>1</v>
          </cell>
          <cell r="S2446">
            <v>1</v>
          </cell>
        </row>
        <row r="2447">
          <cell r="R2447">
            <v>1</v>
          </cell>
          <cell r="S2447">
            <v>1</v>
          </cell>
        </row>
        <row r="2448">
          <cell r="R2448">
            <v>1</v>
          </cell>
          <cell r="S2448">
            <v>1</v>
          </cell>
        </row>
        <row r="2449">
          <cell r="R2449">
            <v>1</v>
          </cell>
          <cell r="S2449">
            <v>1</v>
          </cell>
        </row>
        <row r="2450">
          <cell r="R2450">
            <v>1</v>
          </cell>
          <cell r="S2450">
            <v>1</v>
          </cell>
        </row>
        <row r="2451">
          <cell r="R2451">
            <v>1</v>
          </cell>
          <cell r="S2451">
            <v>1</v>
          </cell>
        </row>
        <row r="2452">
          <cell r="R2452">
            <v>1</v>
          </cell>
          <cell r="S2452">
            <v>1</v>
          </cell>
        </row>
        <row r="2453">
          <cell r="R2453">
            <v>1</v>
          </cell>
          <cell r="S2453">
            <v>1</v>
          </cell>
        </row>
        <row r="2454">
          <cell r="R2454">
            <v>1</v>
          </cell>
          <cell r="S2454">
            <v>1</v>
          </cell>
        </row>
        <row r="2455">
          <cell r="R2455">
            <v>1</v>
          </cell>
          <cell r="S2455">
            <v>1</v>
          </cell>
        </row>
        <row r="2456">
          <cell r="R2456">
            <v>1</v>
          </cell>
          <cell r="S2456">
            <v>1</v>
          </cell>
        </row>
        <row r="2457">
          <cell r="R2457">
            <v>1</v>
          </cell>
          <cell r="S2457">
            <v>1</v>
          </cell>
        </row>
        <row r="2458">
          <cell r="R2458">
            <v>1</v>
          </cell>
          <cell r="S2458">
            <v>1</v>
          </cell>
        </row>
        <row r="2459">
          <cell r="R2459">
            <v>1</v>
          </cell>
          <cell r="S2459">
            <v>1</v>
          </cell>
        </row>
        <row r="2460">
          <cell r="R2460">
            <v>1</v>
          </cell>
          <cell r="S2460">
            <v>1</v>
          </cell>
        </row>
        <row r="2461">
          <cell r="R2461">
            <v>1</v>
          </cell>
          <cell r="S2461">
            <v>1</v>
          </cell>
        </row>
        <row r="2462">
          <cell r="R2462">
            <v>1</v>
          </cell>
          <cell r="S2462">
            <v>1</v>
          </cell>
        </row>
        <row r="2463">
          <cell r="R2463">
            <v>1</v>
          </cell>
          <cell r="S2463">
            <v>1</v>
          </cell>
        </row>
        <row r="2464">
          <cell r="R2464">
            <v>1</v>
          </cell>
          <cell r="S2464">
            <v>1</v>
          </cell>
        </row>
        <row r="2465">
          <cell r="R2465">
            <v>1</v>
          </cell>
          <cell r="S2465">
            <v>1</v>
          </cell>
        </row>
        <row r="2466">
          <cell r="R2466">
            <v>1</v>
          </cell>
          <cell r="S2466">
            <v>1</v>
          </cell>
        </row>
        <row r="2467">
          <cell r="R2467">
            <v>1</v>
          </cell>
          <cell r="S2467">
            <v>1</v>
          </cell>
        </row>
        <row r="2468">
          <cell r="R2468">
            <v>1</v>
          </cell>
          <cell r="S2468">
            <v>1</v>
          </cell>
        </row>
        <row r="2469">
          <cell r="R2469">
            <v>1</v>
          </cell>
          <cell r="S2469">
            <v>1</v>
          </cell>
        </row>
        <row r="2470">
          <cell r="R2470">
            <v>1</v>
          </cell>
          <cell r="S2470">
            <v>1</v>
          </cell>
        </row>
        <row r="2471">
          <cell r="R2471">
            <v>1</v>
          </cell>
          <cell r="S2471">
            <v>1</v>
          </cell>
        </row>
        <row r="2472">
          <cell r="R2472">
            <v>1</v>
          </cell>
          <cell r="S2472">
            <v>1</v>
          </cell>
        </row>
        <row r="2473">
          <cell r="R2473">
            <v>1</v>
          </cell>
          <cell r="S2473">
            <v>1</v>
          </cell>
        </row>
        <row r="2474">
          <cell r="R2474">
            <v>1</v>
          </cell>
          <cell r="S2474">
            <v>1</v>
          </cell>
        </row>
        <row r="2475">
          <cell r="R2475">
            <v>1</v>
          </cell>
          <cell r="S2475">
            <v>1</v>
          </cell>
        </row>
        <row r="2476">
          <cell r="R2476">
            <v>1</v>
          </cell>
          <cell r="S2476">
            <v>1</v>
          </cell>
        </row>
        <row r="2477">
          <cell r="R2477">
            <v>1</v>
          </cell>
          <cell r="S2477">
            <v>1</v>
          </cell>
        </row>
        <row r="2478">
          <cell r="R2478">
            <v>1</v>
          </cell>
          <cell r="S2478">
            <v>1</v>
          </cell>
        </row>
        <row r="2479">
          <cell r="R2479">
            <v>1</v>
          </cell>
          <cell r="S2479">
            <v>1</v>
          </cell>
        </row>
        <row r="2480">
          <cell r="R2480">
            <v>1</v>
          </cell>
          <cell r="S2480">
            <v>1</v>
          </cell>
        </row>
        <row r="2481">
          <cell r="R2481">
            <v>1</v>
          </cell>
          <cell r="S2481">
            <v>1</v>
          </cell>
        </row>
        <row r="2482">
          <cell r="R2482">
            <v>1</v>
          </cell>
          <cell r="S2482">
            <v>1</v>
          </cell>
        </row>
        <row r="2483">
          <cell r="R2483">
            <v>1</v>
          </cell>
          <cell r="S2483">
            <v>1</v>
          </cell>
        </row>
        <row r="2484">
          <cell r="R2484">
            <v>1</v>
          </cell>
          <cell r="S2484">
            <v>1</v>
          </cell>
        </row>
        <row r="2485">
          <cell r="R2485">
            <v>1</v>
          </cell>
          <cell r="S2485">
            <v>1</v>
          </cell>
        </row>
        <row r="2486">
          <cell r="R2486">
            <v>1</v>
          </cell>
          <cell r="S2486">
            <v>1</v>
          </cell>
        </row>
        <row r="2487">
          <cell r="R2487">
            <v>1</v>
          </cell>
          <cell r="S2487">
            <v>1</v>
          </cell>
        </row>
        <row r="2488">
          <cell r="R2488">
            <v>1</v>
          </cell>
          <cell r="S2488">
            <v>1</v>
          </cell>
        </row>
        <row r="2489">
          <cell r="R2489">
            <v>1</v>
          </cell>
          <cell r="S2489">
            <v>1</v>
          </cell>
        </row>
        <row r="2490">
          <cell r="R2490">
            <v>1</v>
          </cell>
          <cell r="S2490">
            <v>1</v>
          </cell>
        </row>
        <row r="2491">
          <cell r="R2491">
            <v>1</v>
          </cell>
          <cell r="S2491">
            <v>1</v>
          </cell>
        </row>
        <row r="2492">
          <cell r="R2492">
            <v>1</v>
          </cell>
          <cell r="S2492">
            <v>1</v>
          </cell>
        </row>
        <row r="2493">
          <cell r="R2493">
            <v>1</v>
          </cell>
          <cell r="S2493">
            <v>1</v>
          </cell>
        </row>
        <row r="2494">
          <cell r="R2494">
            <v>1</v>
          </cell>
          <cell r="S2494">
            <v>1</v>
          </cell>
        </row>
        <row r="2495">
          <cell r="R2495">
            <v>1</v>
          </cell>
          <cell r="S2495">
            <v>1</v>
          </cell>
        </row>
        <row r="2496">
          <cell r="R2496">
            <v>1</v>
          </cell>
          <cell r="S2496">
            <v>1</v>
          </cell>
        </row>
        <row r="2497">
          <cell r="R2497">
            <v>1</v>
          </cell>
          <cell r="S2497">
            <v>1</v>
          </cell>
        </row>
        <row r="2498">
          <cell r="R2498">
            <v>1</v>
          </cell>
          <cell r="S2498">
            <v>1</v>
          </cell>
        </row>
        <row r="2499">
          <cell r="R2499">
            <v>1</v>
          </cell>
          <cell r="S2499">
            <v>1</v>
          </cell>
        </row>
        <row r="2500">
          <cell r="R2500">
            <v>1</v>
          </cell>
          <cell r="S2500">
            <v>1</v>
          </cell>
        </row>
        <row r="2501">
          <cell r="R2501">
            <v>1</v>
          </cell>
          <cell r="S2501">
            <v>1</v>
          </cell>
        </row>
        <row r="2502">
          <cell r="R2502">
            <v>1</v>
          </cell>
          <cell r="S2502">
            <v>1</v>
          </cell>
        </row>
        <row r="2503">
          <cell r="R2503">
            <v>1</v>
          </cell>
          <cell r="S2503">
            <v>1</v>
          </cell>
        </row>
        <row r="2504">
          <cell r="R2504">
            <v>1</v>
          </cell>
          <cell r="S2504">
            <v>1</v>
          </cell>
        </row>
        <row r="2505">
          <cell r="R2505">
            <v>1</v>
          </cell>
          <cell r="S2505">
            <v>1</v>
          </cell>
        </row>
        <row r="2506">
          <cell r="R2506">
            <v>1</v>
          </cell>
          <cell r="S2506">
            <v>1</v>
          </cell>
        </row>
        <row r="2507">
          <cell r="R2507">
            <v>1</v>
          </cell>
          <cell r="S2507">
            <v>1</v>
          </cell>
        </row>
        <row r="2508">
          <cell r="R2508">
            <v>1</v>
          </cell>
          <cell r="S2508">
            <v>1</v>
          </cell>
        </row>
        <row r="2509">
          <cell r="R2509">
            <v>1</v>
          </cell>
          <cell r="S2509">
            <v>1</v>
          </cell>
        </row>
        <row r="2510">
          <cell r="R2510">
            <v>1</v>
          </cell>
          <cell r="S2510">
            <v>1</v>
          </cell>
        </row>
        <row r="2511">
          <cell r="R2511">
            <v>1</v>
          </cell>
          <cell r="S2511">
            <v>1</v>
          </cell>
        </row>
        <row r="2512">
          <cell r="R2512">
            <v>1</v>
          </cell>
          <cell r="S2512">
            <v>1</v>
          </cell>
        </row>
        <row r="2513">
          <cell r="R2513">
            <v>1</v>
          </cell>
          <cell r="S2513">
            <v>1</v>
          </cell>
        </row>
        <row r="2514">
          <cell r="R2514">
            <v>1</v>
          </cell>
          <cell r="S2514">
            <v>1</v>
          </cell>
        </row>
        <row r="2515">
          <cell r="R2515">
            <v>1</v>
          </cell>
          <cell r="S2515">
            <v>1</v>
          </cell>
        </row>
        <row r="2516">
          <cell r="R2516">
            <v>1</v>
          </cell>
          <cell r="S2516">
            <v>1</v>
          </cell>
        </row>
        <row r="2517">
          <cell r="R2517">
            <v>1</v>
          </cell>
          <cell r="S2517">
            <v>1</v>
          </cell>
        </row>
        <row r="2518">
          <cell r="R2518">
            <v>1</v>
          </cell>
          <cell r="S2518">
            <v>1</v>
          </cell>
        </row>
        <row r="2519">
          <cell r="R2519">
            <v>1</v>
          </cell>
          <cell r="S2519">
            <v>1</v>
          </cell>
        </row>
        <row r="2520">
          <cell r="R2520">
            <v>1</v>
          </cell>
          <cell r="S2520">
            <v>1</v>
          </cell>
        </row>
        <row r="2521">
          <cell r="R2521">
            <v>1</v>
          </cell>
          <cell r="S2521">
            <v>1</v>
          </cell>
        </row>
        <row r="2522">
          <cell r="R2522">
            <v>1</v>
          </cell>
          <cell r="S2522">
            <v>1</v>
          </cell>
        </row>
        <row r="2523">
          <cell r="R2523">
            <v>1</v>
          </cell>
          <cell r="S2523">
            <v>1</v>
          </cell>
        </row>
        <row r="2524">
          <cell r="R2524">
            <v>1</v>
          </cell>
          <cell r="S2524">
            <v>1</v>
          </cell>
        </row>
        <row r="2525">
          <cell r="R2525">
            <v>1</v>
          </cell>
          <cell r="S2525">
            <v>1</v>
          </cell>
        </row>
        <row r="2526">
          <cell r="R2526">
            <v>1</v>
          </cell>
          <cell r="S2526">
            <v>1</v>
          </cell>
        </row>
        <row r="2527">
          <cell r="R2527">
            <v>1</v>
          </cell>
          <cell r="S2527">
            <v>1</v>
          </cell>
        </row>
        <row r="2528">
          <cell r="R2528">
            <v>1</v>
          </cell>
          <cell r="S2528">
            <v>1</v>
          </cell>
        </row>
        <row r="2529">
          <cell r="R2529">
            <v>1</v>
          </cell>
          <cell r="S2529">
            <v>1</v>
          </cell>
        </row>
        <row r="2530">
          <cell r="R2530">
            <v>1</v>
          </cell>
          <cell r="S2530">
            <v>1</v>
          </cell>
        </row>
        <row r="2531">
          <cell r="R2531">
            <v>1</v>
          </cell>
          <cell r="S2531">
            <v>1</v>
          </cell>
        </row>
        <row r="2532">
          <cell r="R2532">
            <v>1</v>
          </cell>
          <cell r="S2532">
            <v>1</v>
          </cell>
        </row>
        <row r="2533">
          <cell r="R2533">
            <v>1</v>
          </cell>
          <cell r="S2533">
            <v>1</v>
          </cell>
        </row>
        <row r="2534">
          <cell r="R2534">
            <v>1</v>
          </cell>
          <cell r="S2534">
            <v>1</v>
          </cell>
        </row>
        <row r="2535">
          <cell r="R2535">
            <v>1</v>
          </cell>
          <cell r="S2535">
            <v>1</v>
          </cell>
        </row>
        <row r="2536">
          <cell r="R2536">
            <v>1</v>
          </cell>
          <cell r="S2536">
            <v>1</v>
          </cell>
        </row>
        <row r="2537">
          <cell r="R2537">
            <v>1</v>
          </cell>
          <cell r="S2537">
            <v>1</v>
          </cell>
        </row>
        <row r="2538">
          <cell r="R2538">
            <v>1</v>
          </cell>
          <cell r="S2538">
            <v>1</v>
          </cell>
        </row>
        <row r="2539">
          <cell r="R2539">
            <v>1</v>
          </cell>
          <cell r="S2539">
            <v>1</v>
          </cell>
        </row>
        <row r="2540">
          <cell r="R2540">
            <v>1</v>
          </cell>
          <cell r="S2540">
            <v>1</v>
          </cell>
        </row>
        <row r="2541">
          <cell r="R2541">
            <v>1</v>
          </cell>
          <cell r="S2541">
            <v>1</v>
          </cell>
        </row>
        <row r="2542">
          <cell r="R2542">
            <v>1</v>
          </cell>
          <cell r="S2542">
            <v>1</v>
          </cell>
        </row>
        <row r="2543">
          <cell r="R2543">
            <v>1</v>
          </cell>
          <cell r="S2543">
            <v>1</v>
          </cell>
        </row>
        <row r="2544">
          <cell r="R2544">
            <v>1</v>
          </cell>
          <cell r="S2544">
            <v>1</v>
          </cell>
        </row>
        <row r="2545">
          <cell r="R2545">
            <v>1</v>
          </cell>
          <cell r="S2545">
            <v>1</v>
          </cell>
        </row>
        <row r="2546">
          <cell r="R2546">
            <v>1</v>
          </cell>
          <cell r="S2546">
            <v>1</v>
          </cell>
        </row>
        <row r="2547">
          <cell r="R2547">
            <v>1</v>
          </cell>
          <cell r="S2547">
            <v>1</v>
          </cell>
        </row>
        <row r="2548">
          <cell r="R2548">
            <v>1</v>
          </cell>
          <cell r="S2548">
            <v>1</v>
          </cell>
        </row>
        <row r="2549">
          <cell r="R2549">
            <v>1</v>
          </cell>
          <cell r="S2549">
            <v>1</v>
          </cell>
        </row>
        <row r="2550">
          <cell r="R2550">
            <v>1</v>
          </cell>
          <cell r="S2550">
            <v>1</v>
          </cell>
        </row>
        <row r="2551">
          <cell r="R2551">
            <v>1</v>
          </cell>
          <cell r="S2551">
            <v>1</v>
          </cell>
        </row>
        <row r="2552">
          <cell r="R2552">
            <v>1</v>
          </cell>
          <cell r="S2552">
            <v>1</v>
          </cell>
        </row>
        <row r="2553">
          <cell r="R2553">
            <v>1</v>
          </cell>
          <cell r="S2553">
            <v>1</v>
          </cell>
        </row>
        <row r="2554">
          <cell r="R2554">
            <v>1</v>
          </cell>
          <cell r="S2554">
            <v>1</v>
          </cell>
        </row>
        <row r="2555">
          <cell r="R2555">
            <v>1</v>
          </cell>
          <cell r="S2555">
            <v>1</v>
          </cell>
        </row>
        <row r="2556">
          <cell r="R2556">
            <v>1</v>
          </cell>
          <cell r="S2556">
            <v>1</v>
          </cell>
        </row>
        <row r="2557">
          <cell r="R2557">
            <v>1</v>
          </cell>
          <cell r="S2557">
            <v>1</v>
          </cell>
        </row>
        <row r="2558">
          <cell r="R2558">
            <v>1</v>
          </cell>
          <cell r="S2558">
            <v>1</v>
          </cell>
        </row>
        <row r="2559">
          <cell r="R2559">
            <v>1</v>
          </cell>
          <cell r="S2559">
            <v>1</v>
          </cell>
        </row>
        <row r="2560">
          <cell r="R2560">
            <v>1</v>
          </cell>
          <cell r="S2560">
            <v>1</v>
          </cell>
        </row>
        <row r="2561">
          <cell r="R2561">
            <v>1</v>
          </cell>
          <cell r="S2561">
            <v>1</v>
          </cell>
        </row>
        <row r="2562">
          <cell r="R2562">
            <v>1</v>
          </cell>
          <cell r="S2562">
            <v>1</v>
          </cell>
        </row>
        <row r="2563">
          <cell r="R2563">
            <v>1</v>
          </cell>
          <cell r="S2563">
            <v>1</v>
          </cell>
        </row>
        <row r="2564">
          <cell r="R2564">
            <v>1</v>
          </cell>
          <cell r="S2564">
            <v>1</v>
          </cell>
        </row>
        <row r="2565">
          <cell r="R2565">
            <v>1</v>
          </cell>
          <cell r="S2565">
            <v>1</v>
          </cell>
        </row>
        <row r="2566">
          <cell r="R2566">
            <v>1</v>
          </cell>
          <cell r="S2566">
            <v>1</v>
          </cell>
        </row>
        <row r="2567">
          <cell r="R2567">
            <v>1</v>
          </cell>
          <cell r="S2567">
            <v>1</v>
          </cell>
        </row>
        <row r="2568">
          <cell r="R2568">
            <v>1</v>
          </cell>
          <cell r="S2568">
            <v>1</v>
          </cell>
        </row>
        <row r="2569">
          <cell r="R2569">
            <v>1</v>
          </cell>
          <cell r="S2569">
            <v>1</v>
          </cell>
        </row>
        <row r="2570">
          <cell r="R2570">
            <v>1</v>
          </cell>
          <cell r="S2570">
            <v>1</v>
          </cell>
        </row>
        <row r="2571">
          <cell r="R2571">
            <v>1</v>
          </cell>
          <cell r="S2571">
            <v>1</v>
          </cell>
        </row>
        <row r="2572">
          <cell r="R2572">
            <v>1</v>
          </cell>
          <cell r="S2572">
            <v>1</v>
          </cell>
        </row>
        <row r="2573">
          <cell r="R2573">
            <v>1</v>
          </cell>
          <cell r="S2573">
            <v>1</v>
          </cell>
        </row>
        <row r="2574">
          <cell r="R2574">
            <v>1</v>
          </cell>
          <cell r="S2574">
            <v>1</v>
          </cell>
        </row>
        <row r="2575">
          <cell r="R2575">
            <v>1</v>
          </cell>
          <cell r="S2575">
            <v>1</v>
          </cell>
        </row>
        <row r="2576">
          <cell r="R2576">
            <v>1</v>
          </cell>
          <cell r="S2576">
            <v>1</v>
          </cell>
        </row>
        <row r="2577">
          <cell r="R2577">
            <v>1</v>
          </cell>
          <cell r="S2577">
            <v>1</v>
          </cell>
        </row>
        <row r="2578">
          <cell r="R2578">
            <v>1</v>
          </cell>
          <cell r="S2578">
            <v>1</v>
          </cell>
        </row>
        <row r="2579">
          <cell r="R2579">
            <v>1</v>
          </cell>
          <cell r="S2579">
            <v>1</v>
          </cell>
        </row>
        <row r="2580">
          <cell r="R2580">
            <v>1</v>
          </cell>
          <cell r="S2580">
            <v>1</v>
          </cell>
        </row>
        <row r="2581">
          <cell r="R2581">
            <v>1</v>
          </cell>
          <cell r="S2581">
            <v>1</v>
          </cell>
        </row>
        <row r="2582">
          <cell r="R2582">
            <v>1</v>
          </cell>
          <cell r="S2582">
            <v>1</v>
          </cell>
        </row>
        <row r="2583">
          <cell r="R2583">
            <v>1</v>
          </cell>
          <cell r="S2583">
            <v>1</v>
          </cell>
        </row>
        <row r="2584">
          <cell r="R2584">
            <v>1</v>
          </cell>
          <cell r="S2584">
            <v>1</v>
          </cell>
        </row>
        <row r="2585">
          <cell r="R2585">
            <v>1</v>
          </cell>
          <cell r="S2585">
            <v>1</v>
          </cell>
        </row>
        <row r="2586">
          <cell r="R2586">
            <v>1</v>
          </cell>
          <cell r="S2586">
            <v>1</v>
          </cell>
        </row>
        <row r="2587">
          <cell r="R2587">
            <v>1</v>
          </cell>
          <cell r="S2587">
            <v>1</v>
          </cell>
        </row>
        <row r="2588">
          <cell r="R2588">
            <v>1</v>
          </cell>
          <cell r="S2588">
            <v>1</v>
          </cell>
        </row>
        <row r="2589">
          <cell r="R2589">
            <v>1</v>
          </cell>
          <cell r="S2589">
            <v>1</v>
          </cell>
        </row>
        <row r="2590">
          <cell r="R2590">
            <v>1</v>
          </cell>
          <cell r="S2590">
            <v>1</v>
          </cell>
        </row>
        <row r="2591">
          <cell r="R2591">
            <v>1</v>
          </cell>
          <cell r="S2591">
            <v>1</v>
          </cell>
        </row>
        <row r="2592">
          <cell r="R2592">
            <v>1</v>
          </cell>
          <cell r="S2592">
            <v>1</v>
          </cell>
        </row>
        <row r="2593">
          <cell r="R2593">
            <v>1</v>
          </cell>
          <cell r="S2593">
            <v>1</v>
          </cell>
        </row>
        <row r="2594">
          <cell r="R2594">
            <v>1</v>
          </cell>
          <cell r="S2594">
            <v>1</v>
          </cell>
        </row>
        <row r="2595">
          <cell r="R2595">
            <v>1</v>
          </cell>
          <cell r="S2595">
            <v>1</v>
          </cell>
        </row>
        <row r="2596">
          <cell r="R2596">
            <v>1</v>
          </cell>
          <cell r="S2596">
            <v>1</v>
          </cell>
        </row>
        <row r="2597">
          <cell r="R2597">
            <v>1</v>
          </cell>
          <cell r="S2597">
            <v>1</v>
          </cell>
        </row>
        <row r="2598">
          <cell r="R2598">
            <v>1</v>
          </cell>
          <cell r="S2598">
            <v>1</v>
          </cell>
        </row>
        <row r="2599">
          <cell r="R2599">
            <v>1</v>
          </cell>
          <cell r="S2599">
            <v>1</v>
          </cell>
        </row>
        <row r="2600">
          <cell r="R2600">
            <v>1</v>
          </cell>
          <cell r="S2600">
            <v>1</v>
          </cell>
        </row>
        <row r="2601">
          <cell r="R2601">
            <v>1</v>
          </cell>
          <cell r="S2601">
            <v>1</v>
          </cell>
        </row>
        <row r="2602">
          <cell r="R2602">
            <v>1</v>
          </cell>
          <cell r="S2602">
            <v>1</v>
          </cell>
        </row>
        <row r="2603">
          <cell r="R2603">
            <v>1</v>
          </cell>
          <cell r="S2603">
            <v>1</v>
          </cell>
        </row>
        <row r="2604">
          <cell r="R2604">
            <v>1</v>
          </cell>
          <cell r="S2604">
            <v>1</v>
          </cell>
        </row>
        <row r="2605">
          <cell r="R2605">
            <v>1</v>
          </cell>
          <cell r="S2605">
            <v>1</v>
          </cell>
        </row>
        <row r="2606">
          <cell r="R2606">
            <v>1</v>
          </cell>
          <cell r="S2606">
            <v>1</v>
          </cell>
        </row>
        <row r="2607">
          <cell r="R2607">
            <v>1</v>
          </cell>
          <cell r="S2607">
            <v>1</v>
          </cell>
        </row>
        <row r="2608">
          <cell r="R2608">
            <v>1</v>
          </cell>
          <cell r="S2608">
            <v>1</v>
          </cell>
        </row>
        <row r="2609">
          <cell r="R2609">
            <v>1</v>
          </cell>
          <cell r="S2609">
            <v>1</v>
          </cell>
        </row>
        <row r="2610">
          <cell r="R2610">
            <v>1</v>
          </cell>
          <cell r="S2610">
            <v>1</v>
          </cell>
        </row>
        <row r="2611">
          <cell r="R2611">
            <v>1</v>
          </cell>
          <cell r="S2611">
            <v>1</v>
          </cell>
        </row>
        <row r="2612">
          <cell r="R2612">
            <v>1</v>
          </cell>
          <cell r="S2612">
            <v>1</v>
          </cell>
        </row>
        <row r="2613">
          <cell r="R2613">
            <v>1</v>
          </cell>
          <cell r="S2613">
            <v>1</v>
          </cell>
        </row>
        <row r="2614">
          <cell r="R2614">
            <v>1</v>
          </cell>
          <cell r="S2614">
            <v>1</v>
          </cell>
        </row>
        <row r="2615">
          <cell r="R2615">
            <v>1</v>
          </cell>
          <cell r="S2615">
            <v>1</v>
          </cell>
        </row>
        <row r="2616">
          <cell r="R2616">
            <v>1</v>
          </cell>
          <cell r="S2616">
            <v>1</v>
          </cell>
        </row>
        <row r="2617">
          <cell r="R2617">
            <v>1</v>
          </cell>
          <cell r="S2617">
            <v>1</v>
          </cell>
        </row>
        <row r="2618">
          <cell r="R2618">
            <v>1</v>
          </cell>
          <cell r="S2618">
            <v>1</v>
          </cell>
        </row>
        <row r="2619">
          <cell r="R2619">
            <v>1</v>
          </cell>
          <cell r="S2619">
            <v>1</v>
          </cell>
        </row>
        <row r="2620">
          <cell r="R2620">
            <v>1</v>
          </cell>
          <cell r="S2620">
            <v>1</v>
          </cell>
        </row>
        <row r="2621">
          <cell r="R2621">
            <v>1</v>
          </cell>
          <cell r="S2621">
            <v>1</v>
          </cell>
        </row>
        <row r="2622">
          <cell r="R2622">
            <v>1</v>
          </cell>
          <cell r="S2622">
            <v>1</v>
          </cell>
        </row>
        <row r="2623">
          <cell r="R2623">
            <v>1</v>
          </cell>
          <cell r="S2623">
            <v>1</v>
          </cell>
        </row>
        <row r="2624">
          <cell r="R2624">
            <v>1</v>
          </cell>
          <cell r="S2624">
            <v>1</v>
          </cell>
        </row>
        <row r="2625">
          <cell r="R2625">
            <v>1</v>
          </cell>
          <cell r="S2625">
            <v>1</v>
          </cell>
        </row>
        <row r="2626">
          <cell r="R2626">
            <v>1</v>
          </cell>
          <cell r="S2626">
            <v>1</v>
          </cell>
        </row>
        <row r="2627">
          <cell r="R2627">
            <v>1</v>
          </cell>
          <cell r="S2627">
            <v>1</v>
          </cell>
        </row>
        <row r="2628">
          <cell r="R2628">
            <v>1</v>
          </cell>
          <cell r="S2628">
            <v>1</v>
          </cell>
        </row>
        <row r="2629">
          <cell r="R2629">
            <v>1</v>
          </cell>
          <cell r="S2629">
            <v>1</v>
          </cell>
        </row>
        <row r="2630">
          <cell r="R2630">
            <v>1</v>
          </cell>
          <cell r="S2630">
            <v>1</v>
          </cell>
        </row>
        <row r="2631">
          <cell r="R2631">
            <v>1</v>
          </cell>
          <cell r="S2631">
            <v>1</v>
          </cell>
        </row>
        <row r="2632">
          <cell r="R2632">
            <v>1</v>
          </cell>
          <cell r="S2632">
            <v>1</v>
          </cell>
        </row>
        <row r="2633">
          <cell r="R2633">
            <v>1</v>
          </cell>
          <cell r="S2633">
            <v>1</v>
          </cell>
        </row>
        <row r="2634">
          <cell r="R2634">
            <v>1</v>
          </cell>
          <cell r="S2634">
            <v>1</v>
          </cell>
        </row>
        <row r="2635">
          <cell r="R2635">
            <v>1</v>
          </cell>
          <cell r="S2635">
            <v>1</v>
          </cell>
        </row>
        <row r="2636">
          <cell r="R2636">
            <v>1</v>
          </cell>
          <cell r="S2636">
            <v>1</v>
          </cell>
        </row>
        <row r="2637">
          <cell r="R2637">
            <v>1</v>
          </cell>
          <cell r="S2637">
            <v>1</v>
          </cell>
        </row>
        <row r="2638">
          <cell r="R2638">
            <v>1</v>
          </cell>
          <cell r="S2638">
            <v>1</v>
          </cell>
        </row>
        <row r="2639">
          <cell r="R2639">
            <v>1</v>
          </cell>
          <cell r="S2639">
            <v>1</v>
          </cell>
        </row>
        <row r="2640">
          <cell r="R2640">
            <v>1</v>
          </cell>
          <cell r="S2640">
            <v>1</v>
          </cell>
        </row>
        <row r="2641">
          <cell r="R2641">
            <v>1</v>
          </cell>
          <cell r="S2641">
            <v>1</v>
          </cell>
        </row>
        <row r="2642">
          <cell r="R2642">
            <v>1</v>
          </cell>
          <cell r="S2642">
            <v>1</v>
          </cell>
        </row>
        <row r="2643">
          <cell r="R2643">
            <v>1</v>
          </cell>
          <cell r="S2643">
            <v>1</v>
          </cell>
        </row>
        <row r="2644">
          <cell r="R2644">
            <v>1</v>
          </cell>
          <cell r="S2644">
            <v>1</v>
          </cell>
        </row>
        <row r="2645">
          <cell r="R2645">
            <v>1</v>
          </cell>
          <cell r="S2645">
            <v>1</v>
          </cell>
        </row>
        <row r="2646">
          <cell r="R2646">
            <v>1</v>
          </cell>
          <cell r="S2646">
            <v>1</v>
          </cell>
        </row>
        <row r="2647">
          <cell r="R2647">
            <v>1</v>
          </cell>
          <cell r="S2647">
            <v>1</v>
          </cell>
        </row>
        <row r="2648">
          <cell r="R2648">
            <v>1</v>
          </cell>
          <cell r="S2648">
            <v>1</v>
          </cell>
        </row>
        <row r="2649">
          <cell r="R2649">
            <v>1</v>
          </cell>
          <cell r="S2649">
            <v>1</v>
          </cell>
        </row>
        <row r="2650">
          <cell r="R2650">
            <v>1</v>
          </cell>
          <cell r="S2650">
            <v>1</v>
          </cell>
        </row>
        <row r="2651">
          <cell r="R2651">
            <v>1</v>
          </cell>
          <cell r="S2651">
            <v>1</v>
          </cell>
        </row>
        <row r="2652">
          <cell r="R2652">
            <v>1</v>
          </cell>
          <cell r="S2652">
            <v>1</v>
          </cell>
        </row>
        <row r="2653">
          <cell r="R2653">
            <v>1</v>
          </cell>
          <cell r="S2653">
            <v>1</v>
          </cell>
        </row>
        <row r="2654">
          <cell r="R2654">
            <v>1</v>
          </cell>
          <cell r="S2654">
            <v>1</v>
          </cell>
        </row>
        <row r="2655">
          <cell r="R2655">
            <v>1</v>
          </cell>
          <cell r="S2655">
            <v>1</v>
          </cell>
        </row>
        <row r="2656">
          <cell r="R2656">
            <v>1</v>
          </cell>
          <cell r="S2656">
            <v>1</v>
          </cell>
        </row>
        <row r="2657">
          <cell r="R2657">
            <v>1</v>
          </cell>
          <cell r="S2657">
            <v>1</v>
          </cell>
        </row>
        <row r="2658">
          <cell r="R2658">
            <v>1</v>
          </cell>
          <cell r="S2658">
            <v>1</v>
          </cell>
        </row>
        <row r="2659">
          <cell r="R2659">
            <v>1</v>
          </cell>
          <cell r="S2659">
            <v>1</v>
          </cell>
        </row>
        <row r="2660">
          <cell r="R2660">
            <v>1</v>
          </cell>
          <cell r="S2660">
            <v>1</v>
          </cell>
        </row>
        <row r="2661">
          <cell r="R2661">
            <v>1</v>
          </cell>
          <cell r="S2661">
            <v>1</v>
          </cell>
        </row>
        <row r="2662">
          <cell r="R2662">
            <v>1</v>
          </cell>
          <cell r="S2662">
            <v>1</v>
          </cell>
        </row>
        <row r="2663">
          <cell r="R2663">
            <v>1</v>
          </cell>
          <cell r="S2663">
            <v>1</v>
          </cell>
        </row>
        <row r="2664">
          <cell r="R2664">
            <v>1</v>
          </cell>
          <cell r="S2664">
            <v>1</v>
          </cell>
        </row>
        <row r="2665">
          <cell r="R2665">
            <v>1</v>
          </cell>
          <cell r="S2665">
            <v>1</v>
          </cell>
        </row>
        <row r="2666">
          <cell r="R2666">
            <v>1</v>
          </cell>
          <cell r="S2666">
            <v>1</v>
          </cell>
        </row>
        <row r="2667">
          <cell r="R2667">
            <v>1</v>
          </cell>
          <cell r="S2667">
            <v>1</v>
          </cell>
        </row>
        <row r="2668">
          <cell r="R2668">
            <v>1</v>
          </cell>
          <cell r="S2668">
            <v>1</v>
          </cell>
        </row>
        <row r="2669">
          <cell r="R2669">
            <v>1</v>
          </cell>
          <cell r="S2669">
            <v>1</v>
          </cell>
        </row>
        <row r="2670">
          <cell r="R2670">
            <v>1</v>
          </cell>
          <cell r="S2670">
            <v>1</v>
          </cell>
        </row>
        <row r="2671">
          <cell r="R2671">
            <v>1</v>
          </cell>
          <cell r="S2671">
            <v>1</v>
          </cell>
        </row>
        <row r="2672">
          <cell r="R2672">
            <v>1</v>
          </cell>
          <cell r="S2672">
            <v>1</v>
          </cell>
        </row>
        <row r="2673">
          <cell r="R2673">
            <v>1</v>
          </cell>
          <cell r="S2673">
            <v>1</v>
          </cell>
        </row>
        <row r="2674">
          <cell r="R2674">
            <v>1</v>
          </cell>
          <cell r="S2674">
            <v>1</v>
          </cell>
        </row>
        <row r="2675">
          <cell r="R2675">
            <v>1</v>
          </cell>
          <cell r="S2675">
            <v>1</v>
          </cell>
        </row>
        <row r="2676">
          <cell r="R2676">
            <v>1</v>
          </cell>
          <cell r="S2676">
            <v>1</v>
          </cell>
        </row>
        <row r="2677">
          <cell r="R2677">
            <v>1</v>
          </cell>
          <cell r="S2677">
            <v>1</v>
          </cell>
        </row>
        <row r="2678">
          <cell r="R2678">
            <v>1</v>
          </cell>
          <cell r="S2678">
            <v>1</v>
          </cell>
        </row>
        <row r="2679">
          <cell r="R2679">
            <v>1</v>
          </cell>
          <cell r="S2679">
            <v>1</v>
          </cell>
        </row>
        <row r="2680">
          <cell r="R2680">
            <v>1</v>
          </cell>
          <cell r="S2680">
            <v>1</v>
          </cell>
        </row>
        <row r="2681">
          <cell r="R2681">
            <v>1</v>
          </cell>
          <cell r="S2681">
            <v>1</v>
          </cell>
        </row>
        <row r="2682">
          <cell r="R2682">
            <v>1</v>
          </cell>
          <cell r="S2682">
            <v>1</v>
          </cell>
        </row>
        <row r="2683">
          <cell r="R2683">
            <v>1</v>
          </cell>
          <cell r="S2683">
            <v>1</v>
          </cell>
        </row>
        <row r="2684">
          <cell r="R2684">
            <v>1</v>
          </cell>
          <cell r="S2684">
            <v>1</v>
          </cell>
        </row>
        <row r="2685">
          <cell r="R2685">
            <v>1</v>
          </cell>
          <cell r="S2685">
            <v>1</v>
          </cell>
        </row>
        <row r="2686">
          <cell r="R2686">
            <v>1</v>
          </cell>
          <cell r="S2686">
            <v>1</v>
          </cell>
        </row>
        <row r="2687">
          <cell r="R2687">
            <v>1</v>
          </cell>
          <cell r="S2687">
            <v>1</v>
          </cell>
        </row>
        <row r="2688">
          <cell r="R2688">
            <v>1</v>
          </cell>
          <cell r="S2688">
            <v>1</v>
          </cell>
        </row>
        <row r="2689">
          <cell r="R2689">
            <v>1</v>
          </cell>
          <cell r="S2689">
            <v>1</v>
          </cell>
        </row>
        <row r="2690">
          <cell r="R2690">
            <v>1</v>
          </cell>
          <cell r="S2690">
            <v>1</v>
          </cell>
        </row>
        <row r="2691">
          <cell r="R2691">
            <v>1</v>
          </cell>
          <cell r="S2691">
            <v>1</v>
          </cell>
        </row>
        <row r="2692">
          <cell r="R2692">
            <v>1</v>
          </cell>
          <cell r="S2692">
            <v>1</v>
          </cell>
        </row>
        <row r="2693">
          <cell r="R2693">
            <v>1</v>
          </cell>
          <cell r="S2693">
            <v>1</v>
          </cell>
        </row>
        <row r="2694">
          <cell r="R2694">
            <v>1</v>
          </cell>
          <cell r="S2694">
            <v>1</v>
          </cell>
        </row>
        <row r="2695">
          <cell r="R2695">
            <v>1</v>
          </cell>
          <cell r="S2695">
            <v>1</v>
          </cell>
        </row>
        <row r="2696">
          <cell r="R2696">
            <v>1</v>
          </cell>
          <cell r="S2696">
            <v>1</v>
          </cell>
        </row>
        <row r="2697">
          <cell r="R2697">
            <v>1</v>
          </cell>
          <cell r="S2697">
            <v>1</v>
          </cell>
        </row>
        <row r="2698">
          <cell r="R2698">
            <v>1</v>
          </cell>
          <cell r="S2698">
            <v>1</v>
          </cell>
        </row>
        <row r="2699">
          <cell r="R2699">
            <v>1</v>
          </cell>
          <cell r="S2699">
            <v>1</v>
          </cell>
        </row>
        <row r="2700">
          <cell r="R2700">
            <v>1</v>
          </cell>
          <cell r="S2700">
            <v>1</v>
          </cell>
        </row>
        <row r="2701">
          <cell r="R2701">
            <v>1</v>
          </cell>
          <cell r="S2701">
            <v>1</v>
          </cell>
        </row>
        <row r="2702">
          <cell r="R2702">
            <v>1</v>
          </cell>
          <cell r="S2702">
            <v>1</v>
          </cell>
        </row>
        <row r="2703">
          <cell r="R2703">
            <v>1</v>
          </cell>
          <cell r="S2703">
            <v>1</v>
          </cell>
        </row>
        <row r="2704">
          <cell r="R2704">
            <v>1</v>
          </cell>
          <cell r="S2704">
            <v>1</v>
          </cell>
        </row>
        <row r="2705">
          <cell r="R2705">
            <v>1</v>
          </cell>
          <cell r="S2705">
            <v>1</v>
          </cell>
        </row>
        <row r="2706">
          <cell r="R2706">
            <v>1</v>
          </cell>
          <cell r="S2706">
            <v>1</v>
          </cell>
        </row>
        <row r="2707">
          <cell r="R2707">
            <v>1</v>
          </cell>
          <cell r="S2707">
            <v>1</v>
          </cell>
        </row>
        <row r="2708">
          <cell r="R2708">
            <v>1</v>
          </cell>
          <cell r="S2708">
            <v>1</v>
          </cell>
        </row>
        <row r="2709">
          <cell r="R2709">
            <v>1</v>
          </cell>
          <cell r="S2709">
            <v>1</v>
          </cell>
        </row>
        <row r="2710">
          <cell r="R2710">
            <v>1</v>
          </cell>
          <cell r="S2710">
            <v>1</v>
          </cell>
        </row>
        <row r="2711">
          <cell r="R2711">
            <v>1</v>
          </cell>
          <cell r="S2711">
            <v>1</v>
          </cell>
        </row>
        <row r="2712">
          <cell r="R2712">
            <v>1</v>
          </cell>
          <cell r="S2712">
            <v>1</v>
          </cell>
        </row>
        <row r="2713">
          <cell r="R2713">
            <v>1</v>
          </cell>
          <cell r="S2713">
            <v>1</v>
          </cell>
        </row>
        <row r="2714">
          <cell r="R2714">
            <v>1</v>
          </cell>
          <cell r="S2714">
            <v>1</v>
          </cell>
        </row>
        <row r="2715">
          <cell r="R2715">
            <v>1</v>
          </cell>
          <cell r="S2715">
            <v>1</v>
          </cell>
        </row>
        <row r="2716">
          <cell r="R2716">
            <v>1</v>
          </cell>
          <cell r="S2716">
            <v>1</v>
          </cell>
        </row>
        <row r="2717">
          <cell r="R2717">
            <v>1</v>
          </cell>
          <cell r="S2717">
            <v>1</v>
          </cell>
        </row>
        <row r="2718">
          <cell r="R2718">
            <v>1</v>
          </cell>
          <cell r="S2718">
            <v>1</v>
          </cell>
        </row>
        <row r="2719">
          <cell r="R2719">
            <v>1</v>
          </cell>
          <cell r="S2719">
            <v>1</v>
          </cell>
        </row>
        <row r="2720">
          <cell r="R2720">
            <v>1</v>
          </cell>
          <cell r="S2720">
            <v>1</v>
          </cell>
        </row>
        <row r="2721">
          <cell r="R2721">
            <v>1</v>
          </cell>
          <cell r="S2721">
            <v>1</v>
          </cell>
        </row>
        <row r="2722">
          <cell r="R2722">
            <v>1</v>
          </cell>
          <cell r="S2722">
            <v>1</v>
          </cell>
        </row>
        <row r="2723">
          <cell r="R2723">
            <v>1</v>
          </cell>
          <cell r="S2723">
            <v>1</v>
          </cell>
        </row>
        <row r="2724">
          <cell r="R2724">
            <v>1</v>
          </cell>
          <cell r="S2724">
            <v>1</v>
          </cell>
        </row>
        <row r="2725">
          <cell r="R2725">
            <v>1</v>
          </cell>
          <cell r="S2725">
            <v>1</v>
          </cell>
        </row>
        <row r="2726">
          <cell r="R2726">
            <v>1</v>
          </cell>
          <cell r="S2726">
            <v>1</v>
          </cell>
        </row>
        <row r="2727">
          <cell r="R2727">
            <v>1</v>
          </cell>
          <cell r="S2727">
            <v>1</v>
          </cell>
        </row>
        <row r="2728">
          <cell r="R2728">
            <v>1</v>
          </cell>
          <cell r="S2728">
            <v>1</v>
          </cell>
        </row>
        <row r="2729">
          <cell r="R2729">
            <v>1</v>
          </cell>
          <cell r="S2729">
            <v>1</v>
          </cell>
        </row>
        <row r="2730">
          <cell r="R2730">
            <v>1</v>
          </cell>
          <cell r="S2730">
            <v>1</v>
          </cell>
        </row>
        <row r="2731">
          <cell r="R2731">
            <v>1</v>
          </cell>
          <cell r="S2731">
            <v>1</v>
          </cell>
        </row>
        <row r="2732">
          <cell r="R2732">
            <v>1</v>
          </cell>
          <cell r="S2732">
            <v>1</v>
          </cell>
        </row>
        <row r="2733">
          <cell r="R2733">
            <v>1</v>
          </cell>
          <cell r="S2733">
            <v>1</v>
          </cell>
        </row>
        <row r="2734">
          <cell r="R2734">
            <v>1</v>
          </cell>
          <cell r="S2734">
            <v>1</v>
          </cell>
        </row>
        <row r="2735">
          <cell r="R2735">
            <v>1</v>
          </cell>
          <cell r="S2735">
            <v>1</v>
          </cell>
        </row>
        <row r="2736">
          <cell r="R2736">
            <v>1</v>
          </cell>
          <cell r="S2736">
            <v>1</v>
          </cell>
        </row>
        <row r="2737">
          <cell r="R2737">
            <v>1</v>
          </cell>
          <cell r="S2737">
            <v>1</v>
          </cell>
        </row>
        <row r="2738">
          <cell r="R2738">
            <v>1</v>
          </cell>
          <cell r="S2738">
            <v>1</v>
          </cell>
        </row>
        <row r="2739">
          <cell r="R2739">
            <v>1</v>
          </cell>
          <cell r="S2739">
            <v>1</v>
          </cell>
        </row>
        <row r="2740">
          <cell r="R2740">
            <v>1</v>
          </cell>
          <cell r="S2740">
            <v>1</v>
          </cell>
        </row>
        <row r="2741">
          <cell r="R2741">
            <v>1</v>
          </cell>
          <cell r="S2741">
            <v>1</v>
          </cell>
        </row>
        <row r="2742">
          <cell r="R2742">
            <v>1</v>
          </cell>
          <cell r="S2742">
            <v>1</v>
          </cell>
        </row>
        <row r="2743">
          <cell r="R2743">
            <v>1</v>
          </cell>
          <cell r="S2743">
            <v>1</v>
          </cell>
        </row>
        <row r="2744">
          <cell r="R2744">
            <v>1</v>
          </cell>
          <cell r="S2744">
            <v>1</v>
          </cell>
        </row>
        <row r="2745">
          <cell r="R2745">
            <v>1</v>
          </cell>
          <cell r="S2745">
            <v>1</v>
          </cell>
        </row>
        <row r="2746">
          <cell r="R2746">
            <v>1</v>
          </cell>
          <cell r="S2746">
            <v>1</v>
          </cell>
        </row>
        <row r="2747">
          <cell r="R2747">
            <v>1</v>
          </cell>
          <cell r="S2747">
            <v>1</v>
          </cell>
        </row>
        <row r="2748">
          <cell r="R2748">
            <v>1</v>
          </cell>
          <cell r="S2748">
            <v>1</v>
          </cell>
        </row>
        <row r="2749">
          <cell r="R2749">
            <v>1</v>
          </cell>
          <cell r="S2749">
            <v>1</v>
          </cell>
        </row>
        <row r="2750">
          <cell r="R2750">
            <v>1</v>
          </cell>
          <cell r="S2750">
            <v>1</v>
          </cell>
        </row>
        <row r="2751">
          <cell r="R2751">
            <v>1</v>
          </cell>
          <cell r="S2751">
            <v>1</v>
          </cell>
        </row>
        <row r="2752">
          <cell r="R2752">
            <v>1</v>
          </cell>
          <cell r="S2752">
            <v>1</v>
          </cell>
        </row>
        <row r="2753">
          <cell r="R2753">
            <v>1</v>
          </cell>
          <cell r="S2753">
            <v>1</v>
          </cell>
        </row>
        <row r="2754">
          <cell r="R2754">
            <v>1</v>
          </cell>
          <cell r="S2754">
            <v>1</v>
          </cell>
        </row>
        <row r="2755">
          <cell r="R2755">
            <v>1</v>
          </cell>
          <cell r="S2755">
            <v>1</v>
          </cell>
        </row>
        <row r="2756">
          <cell r="R2756">
            <v>1</v>
          </cell>
          <cell r="S2756">
            <v>1</v>
          </cell>
        </row>
        <row r="2757">
          <cell r="R2757">
            <v>1</v>
          </cell>
          <cell r="S2757">
            <v>1</v>
          </cell>
        </row>
        <row r="2758">
          <cell r="R2758">
            <v>1</v>
          </cell>
          <cell r="S2758">
            <v>1</v>
          </cell>
        </row>
        <row r="2759">
          <cell r="R2759">
            <v>1</v>
          </cell>
          <cell r="S2759">
            <v>1</v>
          </cell>
        </row>
        <row r="2760">
          <cell r="R2760">
            <v>1</v>
          </cell>
          <cell r="S2760">
            <v>1</v>
          </cell>
        </row>
        <row r="2761">
          <cell r="R2761">
            <v>1</v>
          </cell>
          <cell r="S2761">
            <v>1</v>
          </cell>
        </row>
        <row r="2762">
          <cell r="R2762">
            <v>1</v>
          </cell>
          <cell r="S2762">
            <v>1</v>
          </cell>
        </row>
        <row r="2763">
          <cell r="R2763">
            <v>1</v>
          </cell>
          <cell r="S2763">
            <v>1</v>
          </cell>
        </row>
        <row r="2764">
          <cell r="R2764">
            <v>1</v>
          </cell>
          <cell r="S2764">
            <v>1</v>
          </cell>
        </row>
        <row r="2765">
          <cell r="R2765">
            <v>1</v>
          </cell>
          <cell r="S2765">
            <v>1</v>
          </cell>
        </row>
        <row r="2766">
          <cell r="R2766">
            <v>1</v>
          </cell>
          <cell r="S2766">
            <v>1</v>
          </cell>
        </row>
        <row r="2767">
          <cell r="R2767">
            <v>1</v>
          </cell>
          <cell r="S2767">
            <v>1</v>
          </cell>
        </row>
        <row r="2768">
          <cell r="R2768">
            <v>1</v>
          </cell>
          <cell r="S2768">
            <v>1</v>
          </cell>
        </row>
        <row r="2769">
          <cell r="R2769">
            <v>1</v>
          </cell>
          <cell r="S2769">
            <v>1</v>
          </cell>
        </row>
        <row r="2770">
          <cell r="R2770">
            <v>1</v>
          </cell>
          <cell r="S2770">
            <v>1</v>
          </cell>
        </row>
        <row r="2771">
          <cell r="R2771">
            <v>1</v>
          </cell>
          <cell r="S2771">
            <v>1</v>
          </cell>
        </row>
        <row r="2772">
          <cell r="R2772">
            <v>1</v>
          </cell>
          <cell r="S2772">
            <v>1</v>
          </cell>
        </row>
        <row r="2773">
          <cell r="R2773">
            <v>1</v>
          </cell>
          <cell r="S2773">
            <v>1</v>
          </cell>
        </row>
        <row r="2774">
          <cell r="R2774">
            <v>1</v>
          </cell>
          <cell r="S2774">
            <v>1</v>
          </cell>
        </row>
        <row r="2775">
          <cell r="R2775">
            <v>1</v>
          </cell>
          <cell r="S2775">
            <v>1</v>
          </cell>
        </row>
        <row r="2776">
          <cell r="R2776">
            <v>1</v>
          </cell>
          <cell r="S2776">
            <v>1</v>
          </cell>
        </row>
        <row r="2777">
          <cell r="R2777">
            <v>1</v>
          </cell>
          <cell r="S2777">
            <v>1</v>
          </cell>
        </row>
        <row r="2778">
          <cell r="R2778">
            <v>1</v>
          </cell>
          <cell r="S2778">
            <v>1</v>
          </cell>
        </row>
        <row r="2779">
          <cell r="R2779">
            <v>1</v>
          </cell>
          <cell r="S2779">
            <v>1</v>
          </cell>
        </row>
        <row r="2780">
          <cell r="R2780">
            <v>1</v>
          </cell>
          <cell r="S2780">
            <v>1</v>
          </cell>
        </row>
        <row r="2781">
          <cell r="R2781">
            <v>1</v>
          </cell>
          <cell r="S2781">
            <v>1</v>
          </cell>
        </row>
        <row r="2782">
          <cell r="R2782">
            <v>1</v>
          </cell>
          <cell r="S2782">
            <v>1</v>
          </cell>
        </row>
        <row r="2783">
          <cell r="R2783">
            <v>1</v>
          </cell>
          <cell r="S2783">
            <v>1</v>
          </cell>
        </row>
        <row r="2784">
          <cell r="R2784">
            <v>1</v>
          </cell>
          <cell r="S2784">
            <v>1</v>
          </cell>
        </row>
        <row r="2785">
          <cell r="R2785">
            <v>1</v>
          </cell>
          <cell r="S2785">
            <v>1</v>
          </cell>
        </row>
        <row r="2786">
          <cell r="R2786">
            <v>1</v>
          </cell>
          <cell r="S2786">
            <v>1</v>
          </cell>
        </row>
        <row r="2787">
          <cell r="R2787">
            <v>1</v>
          </cell>
          <cell r="S2787">
            <v>1</v>
          </cell>
        </row>
        <row r="2788">
          <cell r="R2788">
            <v>1</v>
          </cell>
          <cell r="S2788">
            <v>1</v>
          </cell>
        </row>
        <row r="2789">
          <cell r="R2789">
            <v>1</v>
          </cell>
          <cell r="S2789">
            <v>1</v>
          </cell>
        </row>
        <row r="2790">
          <cell r="R2790">
            <v>1</v>
          </cell>
          <cell r="S2790">
            <v>1</v>
          </cell>
        </row>
        <row r="2791">
          <cell r="R2791">
            <v>1</v>
          </cell>
          <cell r="S2791">
            <v>1</v>
          </cell>
        </row>
        <row r="2792">
          <cell r="R2792">
            <v>1</v>
          </cell>
          <cell r="S2792">
            <v>1</v>
          </cell>
        </row>
        <row r="2793">
          <cell r="R2793">
            <v>1</v>
          </cell>
          <cell r="S2793">
            <v>1</v>
          </cell>
        </row>
        <row r="2794">
          <cell r="R2794">
            <v>1</v>
          </cell>
          <cell r="S2794">
            <v>1</v>
          </cell>
        </row>
        <row r="2795">
          <cell r="R2795">
            <v>1</v>
          </cell>
          <cell r="S2795">
            <v>1</v>
          </cell>
        </row>
        <row r="2796">
          <cell r="R2796">
            <v>1</v>
          </cell>
          <cell r="S2796">
            <v>1</v>
          </cell>
        </row>
        <row r="2797">
          <cell r="R2797">
            <v>1</v>
          </cell>
          <cell r="S2797">
            <v>1</v>
          </cell>
        </row>
        <row r="2798">
          <cell r="R2798">
            <v>1</v>
          </cell>
          <cell r="S2798">
            <v>1</v>
          </cell>
        </row>
        <row r="2799">
          <cell r="R2799">
            <v>1</v>
          </cell>
          <cell r="S2799">
            <v>1</v>
          </cell>
        </row>
        <row r="2800">
          <cell r="R2800">
            <v>1</v>
          </cell>
          <cell r="S2800">
            <v>1</v>
          </cell>
        </row>
        <row r="2801">
          <cell r="R2801">
            <v>1</v>
          </cell>
          <cell r="S2801">
            <v>1</v>
          </cell>
        </row>
        <row r="2802">
          <cell r="R2802">
            <v>1</v>
          </cell>
          <cell r="S2802">
            <v>1</v>
          </cell>
        </row>
        <row r="2803">
          <cell r="R2803">
            <v>1</v>
          </cell>
          <cell r="S2803">
            <v>1</v>
          </cell>
        </row>
        <row r="2804">
          <cell r="R2804">
            <v>1</v>
          </cell>
          <cell r="S2804">
            <v>1</v>
          </cell>
        </row>
        <row r="2805">
          <cell r="R2805">
            <v>1</v>
          </cell>
          <cell r="S2805">
            <v>1</v>
          </cell>
        </row>
        <row r="2806">
          <cell r="R2806">
            <v>1</v>
          </cell>
          <cell r="S2806">
            <v>1</v>
          </cell>
        </row>
        <row r="2807">
          <cell r="R2807">
            <v>1</v>
          </cell>
          <cell r="S2807">
            <v>1</v>
          </cell>
        </row>
        <row r="2808">
          <cell r="R2808">
            <v>1</v>
          </cell>
          <cell r="S2808">
            <v>1</v>
          </cell>
        </row>
        <row r="2809">
          <cell r="R2809">
            <v>1</v>
          </cell>
          <cell r="S2809">
            <v>1</v>
          </cell>
        </row>
        <row r="2810">
          <cell r="R2810">
            <v>1</v>
          </cell>
          <cell r="S2810">
            <v>1</v>
          </cell>
        </row>
        <row r="2811">
          <cell r="R2811">
            <v>1</v>
          </cell>
          <cell r="S2811">
            <v>1</v>
          </cell>
        </row>
        <row r="2812">
          <cell r="R2812">
            <v>1</v>
          </cell>
          <cell r="S2812">
            <v>1</v>
          </cell>
        </row>
        <row r="2813">
          <cell r="R2813">
            <v>1</v>
          </cell>
          <cell r="S2813">
            <v>1</v>
          </cell>
        </row>
        <row r="2814">
          <cell r="R2814">
            <v>1</v>
          </cell>
          <cell r="S2814">
            <v>1</v>
          </cell>
        </row>
        <row r="2815">
          <cell r="R2815">
            <v>1</v>
          </cell>
          <cell r="S2815">
            <v>1</v>
          </cell>
        </row>
        <row r="2816">
          <cell r="R2816">
            <v>1</v>
          </cell>
          <cell r="S2816">
            <v>1</v>
          </cell>
        </row>
        <row r="2817">
          <cell r="R2817">
            <v>1</v>
          </cell>
          <cell r="S2817">
            <v>1</v>
          </cell>
        </row>
        <row r="2818">
          <cell r="R2818">
            <v>1</v>
          </cell>
          <cell r="S2818">
            <v>1</v>
          </cell>
        </row>
        <row r="2819">
          <cell r="R2819">
            <v>1</v>
          </cell>
          <cell r="S2819">
            <v>1</v>
          </cell>
        </row>
        <row r="2820">
          <cell r="R2820">
            <v>1</v>
          </cell>
          <cell r="S2820">
            <v>1</v>
          </cell>
        </row>
        <row r="2821">
          <cell r="R2821">
            <v>1</v>
          </cell>
          <cell r="S2821">
            <v>1</v>
          </cell>
        </row>
        <row r="2822">
          <cell r="R2822">
            <v>1</v>
          </cell>
          <cell r="S2822">
            <v>1</v>
          </cell>
        </row>
        <row r="2823">
          <cell r="R2823">
            <v>1</v>
          </cell>
          <cell r="S2823">
            <v>1</v>
          </cell>
        </row>
        <row r="2824">
          <cell r="R2824">
            <v>1</v>
          </cell>
          <cell r="S2824">
            <v>1</v>
          </cell>
        </row>
        <row r="2825">
          <cell r="R2825">
            <v>1</v>
          </cell>
          <cell r="S2825">
            <v>1</v>
          </cell>
        </row>
        <row r="2826">
          <cell r="R2826">
            <v>1</v>
          </cell>
          <cell r="S2826">
            <v>1</v>
          </cell>
        </row>
        <row r="2827">
          <cell r="R2827">
            <v>1</v>
          </cell>
          <cell r="S2827">
            <v>1</v>
          </cell>
        </row>
        <row r="2828">
          <cell r="R2828">
            <v>1</v>
          </cell>
          <cell r="S2828">
            <v>1</v>
          </cell>
        </row>
        <row r="2829">
          <cell r="R2829">
            <v>1</v>
          </cell>
          <cell r="S2829">
            <v>1</v>
          </cell>
        </row>
        <row r="2830">
          <cell r="R2830">
            <v>1</v>
          </cell>
          <cell r="S2830">
            <v>1</v>
          </cell>
        </row>
        <row r="2831">
          <cell r="R2831">
            <v>1</v>
          </cell>
          <cell r="S2831">
            <v>1</v>
          </cell>
        </row>
        <row r="2832">
          <cell r="R2832">
            <v>1</v>
          </cell>
          <cell r="S2832">
            <v>1</v>
          </cell>
        </row>
        <row r="2833">
          <cell r="R2833">
            <v>1</v>
          </cell>
          <cell r="S2833">
            <v>1</v>
          </cell>
        </row>
        <row r="2834">
          <cell r="R2834">
            <v>1</v>
          </cell>
          <cell r="S2834">
            <v>1</v>
          </cell>
        </row>
        <row r="2835">
          <cell r="R2835">
            <v>1</v>
          </cell>
          <cell r="S2835">
            <v>1</v>
          </cell>
        </row>
        <row r="2836">
          <cell r="R2836">
            <v>1</v>
          </cell>
          <cell r="S2836">
            <v>1</v>
          </cell>
        </row>
        <row r="2837">
          <cell r="R2837">
            <v>1</v>
          </cell>
          <cell r="S2837">
            <v>1</v>
          </cell>
        </row>
        <row r="2838">
          <cell r="R2838">
            <v>1</v>
          </cell>
          <cell r="S2838">
            <v>1</v>
          </cell>
        </row>
        <row r="2839">
          <cell r="R2839">
            <v>1</v>
          </cell>
          <cell r="S2839">
            <v>1</v>
          </cell>
        </row>
        <row r="2840">
          <cell r="R2840">
            <v>1</v>
          </cell>
          <cell r="S2840">
            <v>1</v>
          </cell>
        </row>
        <row r="2841">
          <cell r="R2841">
            <v>1</v>
          </cell>
          <cell r="S2841">
            <v>1</v>
          </cell>
        </row>
        <row r="2842">
          <cell r="R2842">
            <v>1</v>
          </cell>
          <cell r="S2842">
            <v>1</v>
          </cell>
        </row>
        <row r="2843">
          <cell r="R2843">
            <v>1</v>
          </cell>
          <cell r="S2843">
            <v>1</v>
          </cell>
        </row>
        <row r="2844">
          <cell r="R2844">
            <v>1</v>
          </cell>
          <cell r="S2844">
            <v>1</v>
          </cell>
        </row>
        <row r="2845">
          <cell r="R2845">
            <v>1</v>
          </cell>
          <cell r="S2845">
            <v>1</v>
          </cell>
        </row>
        <row r="2846">
          <cell r="R2846">
            <v>1</v>
          </cell>
          <cell r="S2846">
            <v>1</v>
          </cell>
        </row>
        <row r="2847">
          <cell r="R2847">
            <v>1</v>
          </cell>
          <cell r="S2847">
            <v>1</v>
          </cell>
        </row>
        <row r="2848">
          <cell r="R2848">
            <v>1</v>
          </cell>
          <cell r="S2848">
            <v>1</v>
          </cell>
        </row>
        <row r="2849">
          <cell r="R2849">
            <v>1</v>
          </cell>
          <cell r="S2849">
            <v>1</v>
          </cell>
        </row>
        <row r="2850">
          <cell r="R2850">
            <v>1</v>
          </cell>
          <cell r="S2850">
            <v>1</v>
          </cell>
        </row>
        <row r="2851">
          <cell r="R2851">
            <v>1</v>
          </cell>
          <cell r="S2851">
            <v>1</v>
          </cell>
        </row>
        <row r="2852">
          <cell r="R2852">
            <v>1</v>
          </cell>
          <cell r="S2852">
            <v>1</v>
          </cell>
        </row>
        <row r="2853">
          <cell r="R2853">
            <v>1</v>
          </cell>
          <cell r="S2853">
            <v>1</v>
          </cell>
        </row>
        <row r="2854">
          <cell r="R2854">
            <v>1</v>
          </cell>
          <cell r="S2854">
            <v>1</v>
          </cell>
        </row>
        <row r="2855">
          <cell r="R2855">
            <v>1</v>
          </cell>
          <cell r="S2855">
            <v>1</v>
          </cell>
        </row>
        <row r="2856">
          <cell r="R2856">
            <v>1</v>
          </cell>
          <cell r="S2856">
            <v>1</v>
          </cell>
        </row>
        <row r="2857">
          <cell r="R2857">
            <v>1</v>
          </cell>
          <cell r="S2857">
            <v>1</v>
          </cell>
        </row>
        <row r="2858">
          <cell r="R2858">
            <v>1</v>
          </cell>
          <cell r="S2858">
            <v>1</v>
          </cell>
        </row>
        <row r="2859">
          <cell r="R2859">
            <v>1</v>
          </cell>
          <cell r="S2859">
            <v>1</v>
          </cell>
        </row>
        <row r="2860">
          <cell r="R2860">
            <v>1</v>
          </cell>
          <cell r="S2860">
            <v>1</v>
          </cell>
        </row>
        <row r="2861">
          <cell r="R2861">
            <v>1</v>
          </cell>
          <cell r="S2861">
            <v>1</v>
          </cell>
        </row>
        <row r="2862">
          <cell r="R2862">
            <v>1</v>
          </cell>
          <cell r="S2862">
            <v>1</v>
          </cell>
        </row>
        <row r="2863">
          <cell r="R2863">
            <v>1</v>
          </cell>
          <cell r="S2863">
            <v>1</v>
          </cell>
        </row>
        <row r="2864">
          <cell r="R2864">
            <v>1</v>
          </cell>
          <cell r="S2864">
            <v>1</v>
          </cell>
        </row>
        <row r="2865">
          <cell r="R2865">
            <v>1</v>
          </cell>
          <cell r="S2865">
            <v>1</v>
          </cell>
        </row>
        <row r="2866">
          <cell r="R2866">
            <v>1</v>
          </cell>
          <cell r="S2866">
            <v>1</v>
          </cell>
        </row>
        <row r="2867">
          <cell r="R2867">
            <v>1</v>
          </cell>
          <cell r="S2867">
            <v>1</v>
          </cell>
        </row>
        <row r="2868">
          <cell r="R2868">
            <v>1</v>
          </cell>
          <cell r="S2868">
            <v>1</v>
          </cell>
        </row>
        <row r="2869">
          <cell r="R2869">
            <v>1</v>
          </cell>
          <cell r="S2869">
            <v>1</v>
          </cell>
        </row>
        <row r="2870">
          <cell r="R2870">
            <v>1</v>
          </cell>
          <cell r="S2870">
            <v>1</v>
          </cell>
        </row>
        <row r="2871">
          <cell r="R2871">
            <v>1</v>
          </cell>
          <cell r="S2871">
            <v>1</v>
          </cell>
        </row>
        <row r="2872">
          <cell r="R2872">
            <v>1</v>
          </cell>
          <cell r="S2872">
            <v>1</v>
          </cell>
        </row>
        <row r="2873">
          <cell r="R2873">
            <v>1</v>
          </cell>
          <cell r="S2873">
            <v>1</v>
          </cell>
        </row>
        <row r="2874">
          <cell r="R2874">
            <v>1</v>
          </cell>
          <cell r="S2874">
            <v>1</v>
          </cell>
        </row>
        <row r="2875">
          <cell r="R2875">
            <v>1</v>
          </cell>
          <cell r="S2875">
            <v>1</v>
          </cell>
        </row>
        <row r="2876">
          <cell r="R2876">
            <v>1</v>
          </cell>
          <cell r="S2876">
            <v>1</v>
          </cell>
        </row>
        <row r="2877">
          <cell r="R2877">
            <v>1</v>
          </cell>
          <cell r="S2877">
            <v>1</v>
          </cell>
        </row>
        <row r="2878">
          <cell r="R2878">
            <v>1</v>
          </cell>
          <cell r="S2878">
            <v>1</v>
          </cell>
        </row>
        <row r="2879">
          <cell r="R2879">
            <v>1</v>
          </cell>
          <cell r="S2879">
            <v>1</v>
          </cell>
        </row>
        <row r="2880">
          <cell r="R2880">
            <v>1</v>
          </cell>
          <cell r="S2880">
            <v>1</v>
          </cell>
        </row>
        <row r="2881">
          <cell r="R2881">
            <v>1</v>
          </cell>
          <cell r="S2881">
            <v>1</v>
          </cell>
        </row>
        <row r="2882">
          <cell r="R2882">
            <v>1</v>
          </cell>
          <cell r="S2882">
            <v>1</v>
          </cell>
        </row>
        <row r="2883">
          <cell r="R2883">
            <v>1</v>
          </cell>
          <cell r="S2883">
            <v>1</v>
          </cell>
        </row>
        <row r="2884">
          <cell r="R2884">
            <v>1</v>
          </cell>
          <cell r="S2884">
            <v>1</v>
          </cell>
        </row>
        <row r="2885">
          <cell r="R2885">
            <v>1</v>
          </cell>
          <cell r="S2885">
            <v>1</v>
          </cell>
        </row>
        <row r="2886">
          <cell r="R2886">
            <v>1</v>
          </cell>
          <cell r="S2886">
            <v>1</v>
          </cell>
        </row>
        <row r="2887">
          <cell r="R2887">
            <v>1</v>
          </cell>
          <cell r="S2887">
            <v>1</v>
          </cell>
        </row>
        <row r="2888">
          <cell r="R2888">
            <v>1</v>
          </cell>
          <cell r="S2888">
            <v>1</v>
          </cell>
        </row>
        <row r="2889">
          <cell r="R2889">
            <v>1</v>
          </cell>
          <cell r="S2889">
            <v>1</v>
          </cell>
        </row>
        <row r="2890">
          <cell r="R2890">
            <v>1</v>
          </cell>
          <cell r="S2890">
            <v>1</v>
          </cell>
        </row>
        <row r="2891">
          <cell r="R2891">
            <v>1</v>
          </cell>
          <cell r="S2891">
            <v>1</v>
          </cell>
        </row>
        <row r="2892">
          <cell r="R2892">
            <v>1</v>
          </cell>
          <cell r="S2892">
            <v>1</v>
          </cell>
        </row>
        <row r="2893">
          <cell r="R2893">
            <v>1</v>
          </cell>
          <cell r="S2893">
            <v>1</v>
          </cell>
        </row>
        <row r="2894">
          <cell r="R2894">
            <v>1</v>
          </cell>
          <cell r="S2894">
            <v>1</v>
          </cell>
        </row>
        <row r="2895">
          <cell r="R2895">
            <v>1</v>
          </cell>
          <cell r="S2895">
            <v>1</v>
          </cell>
        </row>
        <row r="2896">
          <cell r="R2896">
            <v>1</v>
          </cell>
          <cell r="S2896">
            <v>1</v>
          </cell>
        </row>
        <row r="2897">
          <cell r="R2897">
            <v>1</v>
          </cell>
          <cell r="S2897">
            <v>1</v>
          </cell>
        </row>
        <row r="2898">
          <cell r="R2898">
            <v>1</v>
          </cell>
          <cell r="S2898">
            <v>1</v>
          </cell>
        </row>
        <row r="2899">
          <cell r="R2899">
            <v>1</v>
          </cell>
          <cell r="S2899">
            <v>1</v>
          </cell>
        </row>
        <row r="2900">
          <cell r="R2900">
            <v>1</v>
          </cell>
          <cell r="S2900">
            <v>1</v>
          </cell>
        </row>
        <row r="2901">
          <cell r="R2901">
            <v>1</v>
          </cell>
          <cell r="S2901">
            <v>1</v>
          </cell>
        </row>
        <row r="2902">
          <cell r="R2902">
            <v>1</v>
          </cell>
          <cell r="S2902">
            <v>1</v>
          </cell>
        </row>
        <row r="2903">
          <cell r="R2903">
            <v>1</v>
          </cell>
          <cell r="S2903">
            <v>1</v>
          </cell>
        </row>
        <row r="2904">
          <cell r="R2904">
            <v>1</v>
          </cell>
          <cell r="S2904">
            <v>1</v>
          </cell>
        </row>
        <row r="2905">
          <cell r="R2905">
            <v>1</v>
          </cell>
          <cell r="S2905">
            <v>1</v>
          </cell>
        </row>
        <row r="2906">
          <cell r="R2906">
            <v>1</v>
          </cell>
          <cell r="S2906">
            <v>1</v>
          </cell>
        </row>
        <row r="2907">
          <cell r="R2907">
            <v>1</v>
          </cell>
          <cell r="S2907">
            <v>1</v>
          </cell>
        </row>
        <row r="2908">
          <cell r="R2908">
            <v>1</v>
          </cell>
          <cell r="S2908">
            <v>1</v>
          </cell>
        </row>
        <row r="2909">
          <cell r="R2909">
            <v>1</v>
          </cell>
          <cell r="S2909">
            <v>1</v>
          </cell>
        </row>
        <row r="2910">
          <cell r="R2910">
            <v>1</v>
          </cell>
          <cell r="S2910">
            <v>1</v>
          </cell>
        </row>
        <row r="2911">
          <cell r="R2911">
            <v>1</v>
          </cell>
          <cell r="S2911">
            <v>1</v>
          </cell>
        </row>
        <row r="2912">
          <cell r="R2912">
            <v>1</v>
          </cell>
          <cell r="S2912">
            <v>1</v>
          </cell>
        </row>
        <row r="2913">
          <cell r="R2913">
            <v>1</v>
          </cell>
          <cell r="S2913">
            <v>1</v>
          </cell>
        </row>
        <row r="2914">
          <cell r="R2914">
            <v>1</v>
          </cell>
          <cell r="S2914">
            <v>1</v>
          </cell>
        </row>
        <row r="2915">
          <cell r="R2915">
            <v>1</v>
          </cell>
          <cell r="S2915">
            <v>1</v>
          </cell>
        </row>
        <row r="2916">
          <cell r="R2916">
            <v>1</v>
          </cell>
          <cell r="S2916">
            <v>1</v>
          </cell>
        </row>
        <row r="2917">
          <cell r="R2917">
            <v>1</v>
          </cell>
          <cell r="S2917">
            <v>1</v>
          </cell>
        </row>
        <row r="2918">
          <cell r="R2918">
            <v>1</v>
          </cell>
          <cell r="S2918">
            <v>1</v>
          </cell>
        </row>
        <row r="2919">
          <cell r="R2919">
            <v>1</v>
          </cell>
          <cell r="S2919">
            <v>1</v>
          </cell>
        </row>
        <row r="2920">
          <cell r="R2920">
            <v>1</v>
          </cell>
          <cell r="S2920">
            <v>1</v>
          </cell>
        </row>
        <row r="2921">
          <cell r="R2921">
            <v>1</v>
          </cell>
          <cell r="S2921">
            <v>1</v>
          </cell>
        </row>
        <row r="2922">
          <cell r="R2922">
            <v>1</v>
          </cell>
          <cell r="S2922">
            <v>1</v>
          </cell>
        </row>
        <row r="2923">
          <cell r="R2923">
            <v>1</v>
          </cell>
          <cell r="S2923">
            <v>1</v>
          </cell>
        </row>
        <row r="2924">
          <cell r="R2924">
            <v>1</v>
          </cell>
          <cell r="S2924">
            <v>1</v>
          </cell>
        </row>
        <row r="2925">
          <cell r="R2925">
            <v>1</v>
          </cell>
          <cell r="S2925">
            <v>1</v>
          </cell>
        </row>
        <row r="2926">
          <cell r="R2926">
            <v>1</v>
          </cell>
          <cell r="S2926">
            <v>1</v>
          </cell>
        </row>
        <row r="2927">
          <cell r="R2927">
            <v>1</v>
          </cell>
          <cell r="S2927">
            <v>1</v>
          </cell>
        </row>
        <row r="2928">
          <cell r="R2928">
            <v>1</v>
          </cell>
          <cell r="S2928">
            <v>1</v>
          </cell>
        </row>
        <row r="2929">
          <cell r="R2929">
            <v>1</v>
          </cell>
          <cell r="S2929">
            <v>1</v>
          </cell>
        </row>
        <row r="2930">
          <cell r="R2930">
            <v>1</v>
          </cell>
          <cell r="S2930">
            <v>1</v>
          </cell>
        </row>
        <row r="2931">
          <cell r="R2931">
            <v>1</v>
          </cell>
          <cell r="S2931">
            <v>1</v>
          </cell>
        </row>
        <row r="2932">
          <cell r="R2932">
            <v>1</v>
          </cell>
          <cell r="S2932">
            <v>1</v>
          </cell>
        </row>
        <row r="2933">
          <cell r="R2933">
            <v>1</v>
          </cell>
          <cell r="S2933">
            <v>1</v>
          </cell>
        </row>
        <row r="2934">
          <cell r="R2934">
            <v>1</v>
          </cell>
          <cell r="S2934">
            <v>1</v>
          </cell>
        </row>
        <row r="2935">
          <cell r="R2935">
            <v>1</v>
          </cell>
          <cell r="S2935">
            <v>1</v>
          </cell>
        </row>
        <row r="2936">
          <cell r="R2936">
            <v>1</v>
          </cell>
          <cell r="S2936">
            <v>1</v>
          </cell>
        </row>
        <row r="2937">
          <cell r="R2937">
            <v>1</v>
          </cell>
          <cell r="S2937">
            <v>1</v>
          </cell>
        </row>
        <row r="2938">
          <cell r="R2938">
            <v>1</v>
          </cell>
          <cell r="S2938">
            <v>1</v>
          </cell>
        </row>
        <row r="2939">
          <cell r="R2939">
            <v>1</v>
          </cell>
          <cell r="S2939">
            <v>1</v>
          </cell>
        </row>
        <row r="2940">
          <cell r="R2940">
            <v>1</v>
          </cell>
          <cell r="S2940">
            <v>1</v>
          </cell>
        </row>
        <row r="2941">
          <cell r="R2941">
            <v>1</v>
          </cell>
          <cell r="S2941">
            <v>1</v>
          </cell>
        </row>
        <row r="2942">
          <cell r="R2942">
            <v>1</v>
          </cell>
          <cell r="S2942">
            <v>1</v>
          </cell>
        </row>
        <row r="2943">
          <cell r="R2943">
            <v>1</v>
          </cell>
          <cell r="S2943">
            <v>1</v>
          </cell>
        </row>
        <row r="2944">
          <cell r="R2944">
            <v>1</v>
          </cell>
          <cell r="S2944">
            <v>1</v>
          </cell>
        </row>
        <row r="2945">
          <cell r="R2945">
            <v>1</v>
          </cell>
          <cell r="S2945">
            <v>1</v>
          </cell>
        </row>
        <row r="2946">
          <cell r="R2946">
            <v>1</v>
          </cell>
          <cell r="S2946">
            <v>1</v>
          </cell>
        </row>
        <row r="2947">
          <cell r="R2947">
            <v>1</v>
          </cell>
          <cell r="S2947">
            <v>1</v>
          </cell>
        </row>
        <row r="2948">
          <cell r="R2948">
            <v>1</v>
          </cell>
          <cell r="S2948">
            <v>1</v>
          </cell>
        </row>
        <row r="2949">
          <cell r="R2949">
            <v>1</v>
          </cell>
          <cell r="S2949">
            <v>1</v>
          </cell>
        </row>
        <row r="2950">
          <cell r="R2950">
            <v>1</v>
          </cell>
          <cell r="S2950">
            <v>1</v>
          </cell>
        </row>
        <row r="2951">
          <cell r="R2951">
            <v>1</v>
          </cell>
          <cell r="S2951">
            <v>1</v>
          </cell>
        </row>
        <row r="2952">
          <cell r="R2952">
            <v>1</v>
          </cell>
          <cell r="S2952">
            <v>1</v>
          </cell>
        </row>
        <row r="2953">
          <cell r="R2953">
            <v>1</v>
          </cell>
          <cell r="S2953">
            <v>1</v>
          </cell>
        </row>
        <row r="2954">
          <cell r="R2954">
            <v>1</v>
          </cell>
          <cell r="S2954">
            <v>1</v>
          </cell>
        </row>
        <row r="2955">
          <cell r="R2955">
            <v>1</v>
          </cell>
          <cell r="S2955">
            <v>1</v>
          </cell>
        </row>
        <row r="2956">
          <cell r="R2956">
            <v>1</v>
          </cell>
          <cell r="S2956">
            <v>1</v>
          </cell>
        </row>
        <row r="2957">
          <cell r="R2957">
            <v>1</v>
          </cell>
          <cell r="S2957">
            <v>1</v>
          </cell>
        </row>
        <row r="2958">
          <cell r="R2958">
            <v>1</v>
          </cell>
          <cell r="S2958">
            <v>1</v>
          </cell>
        </row>
        <row r="2959">
          <cell r="R2959">
            <v>1</v>
          </cell>
          <cell r="S2959">
            <v>1</v>
          </cell>
        </row>
        <row r="2960">
          <cell r="R2960">
            <v>1</v>
          </cell>
          <cell r="S2960">
            <v>1</v>
          </cell>
        </row>
        <row r="2961">
          <cell r="R2961">
            <v>1</v>
          </cell>
          <cell r="S2961">
            <v>1</v>
          </cell>
        </row>
        <row r="2962">
          <cell r="R2962">
            <v>1</v>
          </cell>
          <cell r="S2962">
            <v>1</v>
          </cell>
        </row>
        <row r="2963">
          <cell r="R2963">
            <v>1</v>
          </cell>
          <cell r="S2963">
            <v>1</v>
          </cell>
        </row>
        <row r="2964">
          <cell r="R2964">
            <v>1</v>
          </cell>
          <cell r="S2964">
            <v>1</v>
          </cell>
        </row>
        <row r="2965">
          <cell r="R2965">
            <v>1</v>
          </cell>
          <cell r="S2965">
            <v>1</v>
          </cell>
        </row>
        <row r="2966">
          <cell r="R2966">
            <v>1</v>
          </cell>
          <cell r="S2966">
            <v>1</v>
          </cell>
        </row>
        <row r="2967">
          <cell r="R2967">
            <v>1</v>
          </cell>
          <cell r="S2967">
            <v>1</v>
          </cell>
        </row>
        <row r="2968">
          <cell r="R2968">
            <v>1</v>
          </cell>
          <cell r="S2968">
            <v>1</v>
          </cell>
        </row>
        <row r="2969">
          <cell r="R2969">
            <v>1</v>
          </cell>
          <cell r="S2969">
            <v>1</v>
          </cell>
        </row>
        <row r="2970">
          <cell r="R2970">
            <v>1</v>
          </cell>
          <cell r="S2970">
            <v>1</v>
          </cell>
        </row>
        <row r="2971">
          <cell r="R2971">
            <v>1</v>
          </cell>
          <cell r="S2971">
            <v>1</v>
          </cell>
        </row>
        <row r="2972">
          <cell r="R2972">
            <v>1</v>
          </cell>
          <cell r="S2972">
            <v>1</v>
          </cell>
        </row>
        <row r="2973">
          <cell r="R2973">
            <v>1</v>
          </cell>
          <cell r="S2973">
            <v>1</v>
          </cell>
        </row>
        <row r="2974">
          <cell r="R2974">
            <v>1</v>
          </cell>
          <cell r="S2974">
            <v>1</v>
          </cell>
        </row>
        <row r="2975">
          <cell r="R2975">
            <v>1</v>
          </cell>
          <cell r="S2975">
            <v>1</v>
          </cell>
        </row>
        <row r="2976">
          <cell r="R2976">
            <v>1</v>
          </cell>
          <cell r="S2976">
            <v>1</v>
          </cell>
        </row>
        <row r="2977">
          <cell r="R2977">
            <v>1</v>
          </cell>
          <cell r="S2977">
            <v>1</v>
          </cell>
        </row>
        <row r="2978">
          <cell r="R2978">
            <v>1</v>
          </cell>
          <cell r="S2978">
            <v>1</v>
          </cell>
        </row>
        <row r="2979">
          <cell r="R2979">
            <v>1</v>
          </cell>
          <cell r="S2979">
            <v>1</v>
          </cell>
        </row>
        <row r="2980">
          <cell r="R2980">
            <v>1</v>
          </cell>
          <cell r="S2980">
            <v>1</v>
          </cell>
        </row>
        <row r="2981">
          <cell r="R2981">
            <v>1</v>
          </cell>
          <cell r="S2981">
            <v>1</v>
          </cell>
        </row>
        <row r="2982">
          <cell r="R2982">
            <v>1</v>
          </cell>
          <cell r="S2982">
            <v>1</v>
          </cell>
        </row>
        <row r="2983">
          <cell r="R2983">
            <v>1</v>
          </cell>
          <cell r="S2983">
            <v>1</v>
          </cell>
        </row>
        <row r="2984">
          <cell r="R2984">
            <v>1</v>
          </cell>
          <cell r="S2984">
            <v>1</v>
          </cell>
        </row>
        <row r="2985">
          <cell r="R2985">
            <v>1</v>
          </cell>
          <cell r="S2985">
            <v>1</v>
          </cell>
        </row>
        <row r="2986">
          <cell r="R2986">
            <v>1</v>
          </cell>
          <cell r="S2986">
            <v>1</v>
          </cell>
        </row>
        <row r="2987">
          <cell r="R2987">
            <v>1</v>
          </cell>
          <cell r="S2987">
            <v>1</v>
          </cell>
        </row>
        <row r="2988">
          <cell r="R2988">
            <v>1</v>
          </cell>
          <cell r="S2988">
            <v>1</v>
          </cell>
        </row>
        <row r="2989">
          <cell r="R2989">
            <v>1</v>
          </cell>
          <cell r="S2989">
            <v>1</v>
          </cell>
        </row>
        <row r="2990">
          <cell r="R2990">
            <v>1</v>
          </cell>
          <cell r="S2990">
            <v>1</v>
          </cell>
        </row>
        <row r="2991">
          <cell r="R2991">
            <v>1</v>
          </cell>
          <cell r="S2991">
            <v>1</v>
          </cell>
        </row>
        <row r="2992">
          <cell r="R2992">
            <v>1</v>
          </cell>
          <cell r="S2992">
            <v>1</v>
          </cell>
        </row>
        <row r="2993">
          <cell r="R2993">
            <v>1</v>
          </cell>
          <cell r="S2993">
            <v>1</v>
          </cell>
        </row>
        <row r="2994">
          <cell r="R2994">
            <v>1</v>
          </cell>
          <cell r="S2994">
            <v>1</v>
          </cell>
        </row>
        <row r="2995">
          <cell r="R2995">
            <v>1</v>
          </cell>
          <cell r="S2995">
            <v>1</v>
          </cell>
        </row>
        <row r="2996">
          <cell r="R2996">
            <v>1</v>
          </cell>
          <cell r="S2996">
            <v>1</v>
          </cell>
        </row>
        <row r="2997">
          <cell r="R2997">
            <v>1</v>
          </cell>
          <cell r="S2997">
            <v>1</v>
          </cell>
        </row>
        <row r="2998">
          <cell r="R2998">
            <v>1</v>
          </cell>
          <cell r="S2998">
            <v>1</v>
          </cell>
        </row>
        <row r="2999">
          <cell r="R2999">
            <v>1</v>
          </cell>
          <cell r="S2999">
            <v>1</v>
          </cell>
        </row>
        <row r="3000">
          <cell r="R3000">
            <v>1</v>
          </cell>
          <cell r="S3000">
            <v>1</v>
          </cell>
        </row>
        <row r="3001">
          <cell r="R3001">
            <v>1</v>
          </cell>
          <cell r="S3001">
            <v>1</v>
          </cell>
        </row>
        <row r="3002">
          <cell r="R3002">
            <v>1</v>
          </cell>
          <cell r="S3002">
            <v>1</v>
          </cell>
        </row>
        <row r="3003">
          <cell r="R3003">
            <v>1</v>
          </cell>
          <cell r="S3003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A076-1_&#24405;&#20837;&#26412;.xlsx" TargetMode="Externa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34"/>
  <sheetViews>
    <sheetView showGridLines="0"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30" customWidth="1" min="4" max="4"/>
    <col width="16" customWidth="1" min="5" max="5"/>
    <col width="40" customWidth="1" min="6" max="6"/>
    <col width="4" customWidth="1" min="7" max="7"/>
  </cols>
  <sheetData>
    <row r="1" ht="28" customHeight="1">
      <c r="A1" s="1" t="inlineStr">
        <is>
          <t>A076 拼多多电脑电商财务帐套 · 首页（报表本）</t>
        </is>
      </c>
    </row>
    <row r="2">
      <c r="A2" s="2" t="inlineStr">
        <is>
          <t>录入本连接：</t>
        </is>
      </c>
      <c r="B2" s="2" t="str">
        <f>IF(ISERROR(COUNTIF('[1]基础资料'!$A$4:$A$5,"?*")),"请先打开 A076-1_录入本.xlsx，再在这本按 F9／更新","录入本已连上（数取自 A076-1_录入本.xlsx）")</f>
        <v>录入本已连上（数取自 A076-1_录入本.xlsx）</v>
      </c>
    </row>
    <row r="3" ht="32" customHeight="1">
      <c r="A3" s="3" t="inlineStr">
        <is>
          <t>用法：先开录入本（记账、粘管家婆和拼多多导出都在那本），再开这本看报表。两本放同一个文件夹，文件名别改。下面年份、月份可以改（淡黄格）。</t>
        </is>
      </c>
    </row>
    <row r="4">
      <c r="A4" s="2" t="inlineStr">
        <is>
          <t>年份</t>
        </is>
      </c>
      <c r="B4" s="4" t="n">
        <v>2026</v>
      </c>
      <c r="D4" s="2" t="inlineStr">
        <is>
          <t>月份（本月）</t>
        </is>
      </c>
      <c r="E4" s="4" t="n">
        <v>9</v>
      </c>
    </row>
    <row r="5"/>
    <row r="6">
      <c r="A6" s="5" t="inlineStr">
        <is>
          <t>资金账户</t>
        </is>
      </c>
      <c r="B6" s="5" t="inlineStr">
        <is>
          <t>当前余额</t>
        </is>
      </c>
      <c r="D6" s="5" t="inlineStr">
        <is>
          <t>本月（见上面月份）</t>
        </is>
      </c>
      <c r="E6" s="5" t="inlineStr">
        <is>
          <t>金额</t>
        </is>
      </c>
    </row>
    <row r="7">
      <c r="A7" s="6" t="str">
        <f>IF('[1]基础资料'!$A$5="","",'[1]基础资料'!$A$5)</f>
        <v>招商银行</v>
      </c>
      <c r="B7" s="7">
        <f>IF(A7="","",'[1]基础资料'!$D$5)</f>
        <v>100000</v>
      </c>
      <c r="D7" s="2" t="inlineStr">
        <is>
          <t>资金台帐收入（不含内部转账）</t>
        </is>
      </c>
      <c r="E7" s="7">
        <f>SUMIFS('[1]资金台帐'!$G$4:$G$3003,'[1]资金台帐'!$N$4:$N$3003,'首页'!$B$4*100+'首页'!$E$4,'[1]资金台帐'!$M$4:$M$3003,"&lt;&gt;内部转账")</f>
        <v>0</v>
      </c>
    </row>
    <row r="8">
      <c r="A8" s="6" t="str">
        <f>IF('[1]基础资料'!$A$6="","",'[1]基础资料'!$A$6)</f>
        <v>微信</v>
      </c>
      <c r="B8" s="7">
        <f>IF(A8="","",'[1]基础资料'!$D$6)</f>
        <v>0</v>
      </c>
      <c r="D8" s="2" t="inlineStr">
        <is>
          <t>资金台帐支出（不含内部转账）</t>
        </is>
      </c>
      <c r="E8" s="7">
        <f>SUMIFS('[1]资金台帐'!$H$4:$H$3003,'[1]资金台帐'!$N$4:$N$3003,'首页'!$B$4*100+'首页'!$E$4,'[1]资金台帐'!$M$4:$M$3003,"&lt;&gt;内部转账")</f>
        <v>0</v>
      </c>
    </row>
    <row r="9">
      <c r="A9" s="6" t="str">
        <f>IF('[1]基础资料'!$A$7="","",'[1]基础资料'!$A$7)</f>
        <v>支付宝</v>
      </c>
      <c r="B9" s="7">
        <f>IF(A9="","",'[1]基础资料'!$D$7)</f>
        <v>0</v>
      </c>
      <c r="D9" s="2" t="inlineStr">
        <is>
          <t>销售收入（管家婆）</t>
        </is>
      </c>
      <c r="E9" s="7">
        <f>INDEX('利润表'!$C$7:$N$7,'首页'!$E$4)</f>
        <v>2807123</v>
      </c>
    </row>
    <row r="10">
      <c r="A10" s="6" t="str">
        <f>IF('[1]基础资料'!$A$8="","",'[1]基础资料'!$A$8)</f>
        <v>拼多多店铺余额</v>
      </c>
      <c r="B10" s="7">
        <f>IF(A10="","",'[1]基础资料'!$D$8)</f>
        <v>61390.86</v>
      </c>
      <c r="C10" s="2" t="inlineStr">
        <is>
          <t>含平台账务明细</t>
        </is>
      </c>
      <c r="D10" s="2" t="inlineStr">
        <is>
          <t>销售成本</t>
        </is>
      </c>
      <c r="E10" s="7">
        <f>INDEX('利润表'!$C$8:$N$8,'首页'!$E$4)</f>
        <v>2698448.226606</v>
      </c>
    </row>
    <row r="11">
      <c r="A11" s="6">
        <f>IF('[1]基础资料'!$A$9="","",'[1]基础资料'!$A$9)</f>
      </c>
      <c r="B11" s="7">
        <f>IF(A11="","",'[1]基础资料'!$D$9)</f>
      </c>
      <c r="D11" s="2" t="inlineStr">
        <is>
          <t>毛利</t>
        </is>
      </c>
      <c r="E11" s="7">
        <f>INDEX('利润表'!$C$9:$N$9,'首页'!$E$4)</f>
        <v>108674.773394</v>
      </c>
    </row>
    <row r="12">
      <c r="A12" s="6">
        <f>IF('[1]基础资料'!$A$10="","",'[1]基础资料'!$A$10)</f>
      </c>
      <c r="B12" s="7">
        <f>IF(A12="","",'[1]基础资料'!$D$10)</f>
      </c>
      <c r="D12" s="2" t="inlineStr">
        <is>
          <t>净利润（简易）</t>
        </is>
      </c>
      <c r="E12" s="7">
        <f>INDEX('利润表'!$C$17:$N$17,'首页'!$E$4)</f>
        <v>114126.633394</v>
      </c>
    </row>
    <row r="13">
      <c r="A13" s="8" t="inlineStr">
        <is>
          <t>合计</t>
        </is>
      </c>
      <c r="B13" s="9">
        <f>SUM(B7:B12)</f>
        <v>161390.86</v>
      </c>
    </row>
    <row r="14"/>
    <row r="15">
      <c r="A15" s="5" t="inlineStr">
        <is>
          <t>拼多多对账提示</t>
        </is>
      </c>
      <c r="B15" s="5" t="inlineStr">
        <is>
          <t>笔数／单数</t>
        </is>
      </c>
      <c r="C15" s="5" t="inlineStr">
        <is>
          <t>金额</t>
        </is>
      </c>
      <c r="D15" s="5" t="inlineStr">
        <is>
          <t>看哪里／怎么处理</t>
        </is>
      </c>
    </row>
    <row r="16">
      <c r="A16" s="2" t="inlineStr">
        <is>
          <t>本月店铺净额 跟账务明细「#总计」差</t>
        </is>
      </c>
      <c r="B16" s="10" t="n"/>
      <c r="C16" s="11">
        <f>INDEX('拼多多对账'!$C$24:$N$24,'首页'!$E$4)</f>
        <v>0</v>
      </c>
      <c r="D16" s="12" t="inlineStr">
        <is>
          <t>拼多多对账「一」；应为 0</t>
        </is>
      </c>
    </row>
    <row r="17">
      <c r="A17" s="2" t="inlineStr">
        <is>
          <t>本月月末店铺余额（期初＋净额）</t>
        </is>
      </c>
      <c r="B17" s="10" t="n"/>
      <c r="C17" s="11">
        <f>INDEX('拼多多对账'!$C$26:$N$26,'首页'!$E$4)</f>
        <v>61390.86</v>
      </c>
      <c r="D17" s="12" t="inlineStr">
        <is>
          <t>期初在录入本基础资料第 8 行</t>
        </is>
      </c>
    </row>
    <row r="18">
      <c r="A18" s="2" t="inlineStr">
        <is>
          <t>本月提现没记进资金台帐的差额</t>
        </is>
      </c>
      <c r="B18" s="10" t="n"/>
      <c r="C18" s="11">
        <f>INDEX('拼多多对账'!$C$28:$N$28,'首页'!$E$4)</f>
        <v>0</v>
      </c>
      <c r="D18" s="12" t="inlineStr">
        <is>
          <t>应为 0；提现在资金台帐记内部转账</t>
        </is>
      </c>
    </row>
    <row r="19">
      <c r="A19" s="2" t="inlineStr">
        <is>
          <t>到账批次：对账单里没有明细的</t>
        </is>
      </c>
      <c r="B19" s="10">
        <f>COUNTIF('拼多多对账'!$J$32:$J$91,"对账单里没有*")</f>
        <v>6</v>
      </c>
      <c r="C19" s="11">
        <f>SUMIFS('拼多多对账'!$E$32:$E$91,'拼多多对账'!$J$32:$J$91,"对账单里没有*")</f>
        <v>3991.59</v>
      </c>
      <c r="D19" s="12" t="inlineStr">
        <is>
          <t>按批次号去后台下载这几批的对账单明细，粘进录入本</t>
        </is>
      </c>
    </row>
    <row r="20">
      <c r="A20" s="2" t="inlineStr">
        <is>
          <t>对账单批次：账务明细还没到账的</t>
        </is>
      </c>
      <c r="B20" s="10">
        <f>COUNTIF('拼多多对账'!$I$95:$I$134,"账务明细里还没到账*")</f>
        <v>3</v>
      </c>
      <c r="C20" s="11">
        <f>SUMIFS('拼多多对账'!$F$95:$F$134,'拼多多对账'!$I$95:$I$134,"账务明细里还没到账*")</f>
        <v>1320</v>
      </c>
      <c r="D20" s="12" t="inlineStr">
        <is>
          <t>看结算时间，粘那个月的账务明细再看</t>
        </is>
      </c>
    </row>
    <row r="21">
      <c r="A21" s="2" t="inlineStr">
        <is>
          <t>营销活动逐单不一致</t>
        </is>
      </c>
      <c r="B21" s="10">
        <f>'拼多多对账'!$I$138</f>
        <v>0</v>
      </c>
      <c r="C21" s="11" t="n"/>
      <c r="D21" s="12" t="inlineStr">
        <is>
          <t>拼多多对账「三」</t>
        </is>
      </c>
    </row>
    <row r="22">
      <c r="A22" s="2" t="inlineStr">
        <is>
          <t>百亿补贴技术服务费 扣了还没返</t>
        </is>
      </c>
      <c r="B22" s="10">
        <f>'技术服务费核对'!$H$10</f>
        <v>40</v>
      </c>
      <c r="C22" s="11">
        <f>'技术服务费核对'!$H$11</f>
        <v>2183.3</v>
      </c>
      <c r="D22" s="12" t="inlineStr">
        <is>
          <t>技术服务费核对「三」；超过 30 天没返问客服</t>
        </is>
      </c>
    </row>
    <row r="23">
      <c r="A23" s="2" t="inlineStr">
        <is>
          <t>返还账单里在账务明细找不到这单</t>
        </is>
      </c>
      <c r="B23" s="10">
        <f>'技术服务费核对'!$C$10</f>
        <v>64</v>
      </c>
      <c r="C23" s="11">
        <f>'技术服务费核对'!$C$11</f>
        <v>4637.2</v>
      </c>
      <c r="D23" s="12" t="inlineStr">
        <is>
          <t>扣费在更早月份，把那个月账务明细也粘上</t>
        </is>
      </c>
    </row>
    <row r="24">
      <c r="A24" s="2" t="inlineStr">
        <is>
          <t>返了又扣回（-t01）</t>
        </is>
      </c>
      <c r="B24" s="10">
        <f>'技术服务费核对'!$C$7</f>
        <v>1</v>
      </c>
      <c r="C24" s="11">
        <f>'技术服务费核对'!$C$8</f>
        <v>-50.39</v>
      </c>
      <c r="D24" s="12" t="inlineStr">
        <is>
          <t>技术服务费核对「二」，问客服扣回原因</t>
        </is>
      </c>
    </row>
    <row r="25"/>
    <row r="26"/>
    <row r="27">
      <c r="A27" s="13" t="inlineStr">
        <is>
          <t>跳转</t>
        </is>
      </c>
    </row>
    <row r="28">
      <c r="A28" s="14" t="inlineStr">
        <is>
          <t>→ 拼多多对账</t>
        </is>
      </c>
      <c r="D28" s="14" t="inlineStr">
        <is>
          <t>→ 打开录入本 A076-1_录入本.xlsx（同一文件夹）</t>
        </is>
      </c>
    </row>
    <row r="29">
      <c r="A29" s="14" t="inlineStr">
        <is>
          <t>→ 技术服务费核对</t>
        </is>
      </c>
    </row>
    <row r="30">
      <c r="A30" s="14" t="inlineStr">
        <is>
          <t>→ 库存</t>
        </is>
      </c>
    </row>
    <row r="31">
      <c r="A31" s="14" t="inlineStr">
        <is>
          <t>→ 往来</t>
        </is>
      </c>
    </row>
    <row r="32">
      <c r="A32" s="14" t="inlineStr">
        <is>
          <t>→ 费用统计</t>
        </is>
      </c>
    </row>
    <row r="33">
      <c r="A33" s="14" t="inlineStr">
        <is>
          <t>→ 利润表</t>
        </is>
      </c>
    </row>
    <row r="34">
      <c r="A34" s="14" t="inlineStr">
        <is>
          <t>→ 使用说明</t>
        </is>
      </c>
    </row>
  </sheetData>
  <mergeCells count="13">
    <mergeCell ref="D21:F21"/>
    <mergeCell ref="D19:F19"/>
    <mergeCell ref="B2:F2"/>
    <mergeCell ref="D23:F23"/>
    <mergeCell ref="A1:F1"/>
    <mergeCell ref="D22:F22"/>
    <mergeCell ref="D18:F18"/>
    <mergeCell ref="D17:F17"/>
    <mergeCell ref="A3:F3"/>
    <mergeCell ref="D20:F20"/>
    <mergeCell ref="D15:F15"/>
    <mergeCell ref="D16:F16"/>
    <mergeCell ref="D24:F24"/>
  </mergeCells>
  <conditionalFormatting sqref="B2">
    <cfRule type="expression" priority="1" dxfId="0">
      <formula>LEFT($B$2,2)="请先"</formula>
    </cfRule>
    <cfRule type="expression" priority="2" dxfId="1">
      <formula>LEFT($B$2,2)&lt;&gt;"请先"</formula>
    </cfRule>
  </conditionalFormatting>
  <conditionalFormatting sqref="B16:C24">
    <cfRule type="expression" priority="3" dxfId="0">
      <formula>AND(ISNUMBER(B16),B16&lt;&gt;0)</formula>
    </cfRule>
  </conditionalFormatting>
  <dataValidations count="2">
    <dataValidation sqref="B4" showDropDown="0" showInputMessage="0" showErrorMessage="0" allowBlank="1" type="list">
      <formula1>"2025,2026,2027,2028,2029,2030"</formula1>
    </dataValidation>
    <dataValidation sqref="E4" showDropDown="0" showInputMessage="0" showErrorMessage="0" allowBlank="1" type="list">
      <formula1>"1,2,3,4,5,6,7,8,9,10,11,12"</formula1>
    </dataValidation>
  </dataValidations>
  <hyperlinks>
    <hyperlink ref="A28" location="'拼多多对账'!A1"/>
    <hyperlink xmlns:r="http://schemas.openxmlformats.org/officeDocument/2006/relationships" ref="D28" r:id="rId1"/>
    <hyperlink ref="A29" location="'技术服务费核对'!A1"/>
    <hyperlink ref="A30" location="'库存'!A1"/>
    <hyperlink ref="A31" location="'往来'!A1"/>
    <hyperlink ref="A32" location="'费用统计'!A1"/>
    <hyperlink ref="A33" location="'利润表'!A1"/>
    <hyperlink ref="A34" location="'使用说明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R160"/>
  <sheetViews>
    <sheetView showGridLines="1"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9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  <col width="24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7" customWidth="1" min="16" max="16"/>
    <col width="7" customWidth="1" min="17" max="17"/>
  </cols>
  <sheetData>
    <row r="1" ht="26" customHeight="1">
      <c r="A1" s="1" t="inlineStr">
        <is>
          <t>A076 拼多多对账（店铺余额·批次·营销活动）</t>
        </is>
      </c>
    </row>
    <row r="2" ht="48" customHeight="1">
      <c r="A2" s="3" t="inlineStr">
        <is>
          <t>怎么核才准：① 先看「一」每月净额跟账务明细最后一行「#总计」对上没有；② 补贴汇入、技术服务费返还在账务明细里只有一笔总数，备注里有批次号——拿批次号去对账单里找同批次的明细，合计要等于到账金额（「二」）；③ 营销活动逐单：应结＝报名价－活动价＋补贴券（「三」）；④ 技术服务费逐单在「技术服务费核对」表。对账单是按结算时间出的，账务明细是按到账月份出的，月份不一样就会「对不上」，要按批次号对。</t>
        </is>
      </c>
    </row>
    <row r="3"/>
    <row r="4">
      <c r="A4" s="13" t="inlineStr">
        <is>
          <t>一、按月店铺余额（年份见首页；单位：元，收入正、支出负）</t>
        </is>
      </c>
    </row>
    <row r="5" ht="30" customHeight="1">
      <c r="A5" s="5" t="inlineStr">
        <is>
          <t>账务类型</t>
        </is>
      </c>
      <c r="B5" s="5" t="inlineStr">
        <is>
          <t>利润表归类</t>
        </is>
      </c>
      <c r="C5" s="15" t="n">
        <v>1</v>
      </c>
      <c r="D5" s="15" t="n">
        <v>2</v>
      </c>
      <c r="E5" s="15" t="n">
        <v>3</v>
      </c>
      <c r="F5" s="15" t="n">
        <v>4</v>
      </c>
      <c r="G5" s="15" t="n">
        <v>5</v>
      </c>
      <c r="H5" s="15" t="n">
        <v>6</v>
      </c>
      <c r="I5" s="15" t="n">
        <v>7</v>
      </c>
      <c r="J5" s="15" t="n">
        <v>8</v>
      </c>
      <c r="K5" s="15" t="n">
        <v>9</v>
      </c>
      <c r="L5" s="15" t="n">
        <v>10</v>
      </c>
      <c r="M5" s="15" t="n">
        <v>11</v>
      </c>
      <c r="N5" s="15" t="n">
        <v>12</v>
      </c>
      <c r="O5" s="5" t="inlineStr">
        <is>
          <t>全年合计</t>
        </is>
      </c>
    </row>
    <row r="6">
      <c r="A6" s="6" t="str">
        <f>IF('[1]基础资料'!$B$47="","",'[1]基础资料'!$B$47)</f>
        <v>订单收入</v>
      </c>
      <c r="B6" s="6" t="str">
        <f>IF(A6="","",'[1]基础资料'!$C$47)</f>
        <v>店铺回款</v>
      </c>
      <c r="C6" s="11">
        <f>IF($A6="",0,SUMIFS('[1]粘贴_账务明细'!$K$4:$K$3003,'[1]粘贴_账务明细'!$L$4:$L$3003,$A6,'[1]粘贴_账务明细'!$I$4:$I$3003,'首页'!$B$4*100+C$5))</f>
        <v>0</v>
      </c>
      <c r="D6" s="11">
        <f>IF($A6="",0,SUMIFS('[1]粘贴_账务明细'!$K$4:$K$3003,'[1]粘贴_账务明细'!$L$4:$L$3003,$A6,'[1]粘贴_账务明细'!$I$4:$I$3003,'首页'!$B$4*100+D$5))</f>
        <v>0</v>
      </c>
      <c r="E6" s="11">
        <f>IF($A6="",0,SUMIFS('[1]粘贴_账务明细'!$K$4:$K$3003,'[1]粘贴_账务明细'!$L$4:$L$3003,$A6,'[1]粘贴_账务明细'!$I$4:$I$3003,'首页'!$B$4*100+E$5))</f>
        <v>0</v>
      </c>
      <c r="F6" s="11">
        <f>IF($A6="",0,SUMIFS('[1]粘贴_账务明细'!$K$4:$K$3003,'[1]粘贴_账务明细'!$L$4:$L$3003,$A6,'[1]粘贴_账务明细'!$I$4:$I$3003,'首页'!$B$4*100+F$5))</f>
        <v>0</v>
      </c>
      <c r="G6" s="11">
        <f>IF($A6="",0,SUMIFS('[1]粘贴_账务明细'!$K$4:$K$3003,'[1]粘贴_账务明细'!$L$4:$L$3003,$A6,'[1]粘贴_账务明细'!$I$4:$I$3003,'首页'!$B$4*100+G$5))</f>
        <v>0</v>
      </c>
      <c r="H6" s="11">
        <f>IF($A6="",0,SUMIFS('[1]粘贴_账务明细'!$K$4:$K$3003,'[1]粘贴_账务明细'!$L$4:$L$3003,$A6,'[1]粘贴_账务明细'!$I$4:$I$3003,'首页'!$B$4*100+H$5))</f>
        <v>0</v>
      </c>
      <c r="I6" s="11">
        <f>IF($A6="",0,SUMIFS('[1]粘贴_账务明细'!$K$4:$K$3003,'[1]粘贴_账务明细'!$L$4:$L$3003,$A6,'[1]粘贴_账务明细'!$I$4:$I$3003,'首页'!$B$4*100+I$5))</f>
        <v>0</v>
      </c>
      <c r="J6" s="11">
        <f>IF($A6="",0,SUMIFS('[1]粘贴_账务明细'!$K$4:$K$3003,'[1]粘贴_账务明细'!$L$4:$L$3003,$A6,'[1]粘贴_账务明细'!$I$4:$I$3003,'首页'!$B$4*100+J$5))</f>
        <v>0</v>
      </c>
      <c r="K6" s="11">
        <f>IF($A6="",0,SUMIFS('[1]粘贴_账务明细'!$K$4:$K$3003,'[1]粘贴_账务明细'!$L$4:$L$3003,$A6,'[1]粘贴_账务明细'!$I$4:$I$3003,'首页'!$B$4*100+K$5))</f>
        <v>303943</v>
      </c>
      <c r="L6" s="11">
        <f>IF($A6="",0,SUMIFS('[1]粘贴_账务明细'!$K$4:$K$3003,'[1]粘贴_账务明细'!$L$4:$L$3003,$A6,'[1]粘贴_账务明细'!$I$4:$I$3003,'首页'!$B$4*100+L$5))</f>
        <v>0</v>
      </c>
      <c r="M6" s="11">
        <f>IF($A6="",0,SUMIFS('[1]粘贴_账务明细'!$K$4:$K$3003,'[1]粘贴_账务明细'!$L$4:$L$3003,$A6,'[1]粘贴_账务明细'!$I$4:$I$3003,'首页'!$B$4*100+M$5))</f>
        <v>0</v>
      </c>
      <c r="N6" s="11">
        <f>IF($A6="",0,SUMIFS('[1]粘贴_账务明细'!$K$4:$K$3003,'[1]粘贴_账务明细'!$L$4:$L$3003,$A6,'[1]粘贴_账务明细'!$I$4:$I$3003,'首页'!$B$4*100+N$5))</f>
        <v>0</v>
      </c>
      <c r="O6" s="11">
        <f t="shared" ref="O6:O22" si="0">SUM(C6:N6)</f>
        <v>303943</v>
      </c>
    </row>
    <row r="7">
      <c r="A7" s="6" t="str">
        <f>IF('[1]基础资料'!$B$48="","",'[1]基础资料'!$B$48)</f>
        <v>优惠券结算</v>
      </c>
      <c r="B7" s="6" t="str">
        <f>IF(A7="","",'[1]基础资料'!$C$48)</f>
        <v>店铺回款</v>
      </c>
      <c r="C7" s="11">
        <f>IF($A7="",0,SUMIFS('[1]粘贴_账务明细'!$K$4:$K$3003,'[1]粘贴_账务明细'!$L$4:$L$3003,$A7,'[1]粘贴_账务明细'!$I$4:$I$3003,'首页'!$B$4*100+C$5))</f>
        <v>0</v>
      </c>
      <c r="D7" s="11">
        <f>IF($A7="",0,SUMIFS('[1]粘贴_账务明细'!$K$4:$K$3003,'[1]粘贴_账务明细'!$L$4:$L$3003,$A7,'[1]粘贴_账务明细'!$I$4:$I$3003,'首页'!$B$4*100+D$5))</f>
        <v>0</v>
      </c>
      <c r="E7" s="11">
        <f>IF($A7="",0,SUMIFS('[1]粘贴_账务明细'!$K$4:$K$3003,'[1]粘贴_账务明细'!$L$4:$L$3003,$A7,'[1]粘贴_账务明细'!$I$4:$I$3003,'首页'!$B$4*100+E$5))</f>
        <v>0</v>
      </c>
      <c r="F7" s="11">
        <f>IF($A7="",0,SUMIFS('[1]粘贴_账务明细'!$K$4:$K$3003,'[1]粘贴_账务明细'!$L$4:$L$3003,$A7,'[1]粘贴_账务明细'!$I$4:$I$3003,'首页'!$B$4*100+F$5))</f>
        <v>0</v>
      </c>
      <c r="G7" s="11">
        <f>IF($A7="",0,SUMIFS('[1]粘贴_账务明细'!$K$4:$K$3003,'[1]粘贴_账务明细'!$L$4:$L$3003,$A7,'[1]粘贴_账务明细'!$I$4:$I$3003,'首页'!$B$4*100+G$5))</f>
        <v>0</v>
      </c>
      <c r="H7" s="11">
        <f>IF($A7="",0,SUMIFS('[1]粘贴_账务明细'!$K$4:$K$3003,'[1]粘贴_账务明细'!$L$4:$L$3003,$A7,'[1]粘贴_账务明细'!$I$4:$I$3003,'首页'!$B$4*100+H$5))</f>
        <v>0</v>
      </c>
      <c r="I7" s="11">
        <f>IF($A7="",0,SUMIFS('[1]粘贴_账务明细'!$K$4:$K$3003,'[1]粘贴_账务明细'!$L$4:$L$3003,$A7,'[1]粘贴_账务明细'!$I$4:$I$3003,'首页'!$B$4*100+I$5))</f>
        <v>0</v>
      </c>
      <c r="J7" s="11">
        <f>IF($A7="",0,SUMIFS('[1]粘贴_账务明细'!$K$4:$K$3003,'[1]粘贴_账务明细'!$L$4:$L$3003,$A7,'[1]粘贴_账务明细'!$I$4:$I$3003,'首页'!$B$4*100+J$5))</f>
        <v>0</v>
      </c>
      <c r="K7" s="11">
        <f>IF($A7="",0,SUMIFS('[1]粘贴_账务明细'!$K$4:$K$3003,'[1]粘贴_账务明细'!$L$4:$L$3003,$A7,'[1]粘贴_账务明细'!$I$4:$I$3003,'首页'!$B$4*100+K$5))</f>
        <v>7172</v>
      </c>
      <c r="L7" s="11">
        <f>IF($A7="",0,SUMIFS('[1]粘贴_账务明细'!$K$4:$K$3003,'[1]粘贴_账务明细'!$L$4:$L$3003,$A7,'[1]粘贴_账务明细'!$I$4:$I$3003,'首页'!$B$4*100+L$5))</f>
        <v>0</v>
      </c>
      <c r="M7" s="11">
        <f>IF($A7="",0,SUMIFS('[1]粘贴_账务明细'!$K$4:$K$3003,'[1]粘贴_账务明细'!$L$4:$L$3003,$A7,'[1]粘贴_账务明细'!$I$4:$I$3003,'首页'!$B$4*100+M$5))</f>
        <v>0</v>
      </c>
      <c r="N7" s="11">
        <f>IF($A7="",0,SUMIFS('[1]粘贴_账务明细'!$K$4:$K$3003,'[1]粘贴_账务明细'!$L$4:$L$3003,$A7,'[1]粘贴_账务明细'!$I$4:$I$3003,'首页'!$B$4*100+N$5))</f>
        <v>0</v>
      </c>
      <c r="O7" s="11">
        <f t="shared" si="0"/>
        <v>7172</v>
      </c>
    </row>
    <row r="8">
      <c r="A8" s="6" t="str">
        <f>IF('[1]基础资料'!$B$49="","",'[1]基础资料'!$B$49)</f>
        <v>交易退款</v>
      </c>
      <c r="B8" s="6" t="str">
        <f>IF(A8="","",'[1]基础资料'!$C$49)</f>
        <v>店铺回款</v>
      </c>
      <c r="C8" s="11">
        <f>IF($A8="",0,SUMIFS('[1]粘贴_账务明细'!$K$4:$K$3003,'[1]粘贴_账务明细'!$L$4:$L$3003,$A8,'[1]粘贴_账务明细'!$I$4:$I$3003,'首页'!$B$4*100+C$5))</f>
        <v>0</v>
      </c>
      <c r="D8" s="11">
        <f>IF($A8="",0,SUMIFS('[1]粘贴_账务明细'!$K$4:$K$3003,'[1]粘贴_账务明细'!$L$4:$L$3003,$A8,'[1]粘贴_账务明细'!$I$4:$I$3003,'首页'!$B$4*100+D$5))</f>
        <v>0</v>
      </c>
      <c r="E8" s="11">
        <f>IF($A8="",0,SUMIFS('[1]粘贴_账务明细'!$K$4:$K$3003,'[1]粘贴_账务明细'!$L$4:$L$3003,$A8,'[1]粘贴_账务明细'!$I$4:$I$3003,'首页'!$B$4*100+E$5))</f>
        <v>0</v>
      </c>
      <c r="F8" s="11">
        <f>IF($A8="",0,SUMIFS('[1]粘贴_账务明细'!$K$4:$K$3003,'[1]粘贴_账务明细'!$L$4:$L$3003,$A8,'[1]粘贴_账务明细'!$I$4:$I$3003,'首页'!$B$4*100+F$5))</f>
        <v>0</v>
      </c>
      <c r="G8" s="11">
        <f>IF($A8="",0,SUMIFS('[1]粘贴_账务明细'!$K$4:$K$3003,'[1]粘贴_账务明细'!$L$4:$L$3003,$A8,'[1]粘贴_账务明细'!$I$4:$I$3003,'首页'!$B$4*100+G$5))</f>
        <v>0</v>
      </c>
      <c r="H8" s="11">
        <f>IF($A8="",0,SUMIFS('[1]粘贴_账务明细'!$K$4:$K$3003,'[1]粘贴_账务明细'!$L$4:$L$3003,$A8,'[1]粘贴_账务明细'!$I$4:$I$3003,'首页'!$B$4*100+H$5))</f>
        <v>0</v>
      </c>
      <c r="I8" s="11">
        <f>IF($A8="",0,SUMIFS('[1]粘贴_账务明细'!$K$4:$K$3003,'[1]粘贴_账务明细'!$L$4:$L$3003,$A8,'[1]粘贴_账务明细'!$I$4:$I$3003,'首页'!$B$4*100+I$5))</f>
        <v>0</v>
      </c>
      <c r="J8" s="11">
        <f>IF($A8="",0,SUMIFS('[1]粘贴_账务明细'!$K$4:$K$3003,'[1]粘贴_账务明细'!$L$4:$L$3003,$A8,'[1]粘贴_账务明细'!$I$4:$I$3003,'首页'!$B$4*100+J$5))</f>
        <v>0</v>
      </c>
      <c r="K8" s="11">
        <f>IF($A8="",0,SUMIFS('[1]粘贴_账务明细'!$K$4:$K$3003,'[1]粘贴_账务明细'!$L$4:$L$3003,$A8,'[1]粘贴_账务明细'!$I$4:$I$3003,'首页'!$B$4*100+K$5))</f>
        <v>-151906</v>
      </c>
      <c r="L8" s="11">
        <f>IF($A8="",0,SUMIFS('[1]粘贴_账务明细'!$K$4:$K$3003,'[1]粘贴_账务明细'!$L$4:$L$3003,$A8,'[1]粘贴_账务明细'!$I$4:$I$3003,'首页'!$B$4*100+L$5))</f>
        <v>0</v>
      </c>
      <c r="M8" s="11">
        <f>IF($A8="",0,SUMIFS('[1]粘贴_账务明细'!$K$4:$K$3003,'[1]粘贴_账务明细'!$L$4:$L$3003,$A8,'[1]粘贴_账务明细'!$I$4:$I$3003,'首页'!$B$4*100+M$5))</f>
        <v>0</v>
      </c>
      <c r="N8" s="11">
        <f>IF($A8="",0,SUMIFS('[1]粘贴_账务明细'!$K$4:$K$3003,'[1]粘贴_账务明细'!$L$4:$L$3003,$A8,'[1]粘贴_账务明细'!$I$4:$I$3003,'首页'!$B$4*100+N$5))</f>
        <v>0</v>
      </c>
      <c r="O8" s="11">
        <f t="shared" si="0"/>
        <v>-151906</v>
      </c>
    </row>
    <row r="9">
      <c r="A9" s="6" t="str">
        <f>IF('[1]基础资料'!$B$50="","",'[1]基础资料'!$B$50)</f>
        <v>退款扣优惠券</v>
      </c>
      <c r="B9" s="6" t="str">
        <f>IF(A9="","",'[1]基础资料'!$C$50)</f>
        <v>店铺回款</v>
      </c>
      <c r="C9" s="11">
        <f>IF($A9="",0,SUMIFS('[1]粘贴_账务明细'!$K$4:$K$3003,'[1]粘贴_账务明细'!$L$4:$L$3003,$A9,'[1]粘贴_账务明细'!$I$4:$I$3003,'首页'!$B$4*100+C$5))</f>
        <v>0</v>
      </c>
      <c r="D9" s="11">
        <f>IF($A9="",0,SUMIFS('[1]粘贴_账务明细'!$K$4:$K$3003,'[1]粘贴_账务明细'!$L$4:$L$3003,$A9,'[1]粘贴_账务明细'!$I$4:$I$3003,'首页'!$B$4*100+D$5))</f>
        <v>0</v>
      </c>
      <c r="E9" s="11">
        <f>IF($A9="",0,SUMIFS('[1]粘贴_账务明细'!$K$4:$K$3003,'[1]粘贴_账务明细'!$L$4:$L$3003,$A9,'[1]粘贴_账务明细'!$I$4:$I$3003,'首页'!$B$4*100+E$5))</f>
        <v>0</v>
      </c>
      <c r="F9" s="11">
        <f>IF($A9="",0,SUMIFS('[1]粘贴_账务明细'!$K$4:$K$3003,'[1]粘贴_账务明细'!$L$4:$L$3003,$A9,'[1]粘贴_账务明细'!$I$4:$I$3003,'首页'!$B$4*100+F$5))</f>
        <v>0</v>
      </c>
      <c r="G9" s="11">
        <f>IF($A9="",0,SUMIFS('[1]粘贴_账务明细'!$K$4:$K$3003,'[1]粘贴_账务明细'!$L$4:$L$3003,$A9,'[1]粘贴_账务明细'!$I$4:$I$3003,'首页'!$B$4*100+G$5))</f>
        <v>0</v>
      </c>
      <c r="H9" s="11">
        <f>IF($A9="",0,SUMIFS('[1]粘贴_账务明细'!$K$4:$K$3003,'[1]粘贴_账务明细'!$L$4:$L$3003,$A9,'[1]粘贴_账务明细'!$I$4:$I$3003,'首页'!$B$4*100+H$5))</f>
        <v>0</v>
      </c>
      <c r="I9" s="11">
        <f>IF($A9="",0,SUMIFS('[1]粘贴_账务明细'!$K$4:$K$3003,'[1]粘贴_账务明细'!$L$4:$L$3003,$A9,'[1]粘贴_账务明细'!$I$4:$I$3003,'首页'!$B$4*100+I$5))</f>
        <v>0</v>
      </c>
      <c r="J9" s="11">
        <f>IF($A9="",0,SUMIFS('[1]粘贴_账务明细'!$K$4:$K$3003,'[1]粘贴_账务明细'!$L$4:$L$3003,$A9,'[1]粘贴_账务明细'!$I$4:$I$3003,'首页'!$B$4*100+J$5))</f>
        <v>0</v>
      </c>
      <c r="K9" s="11">
        <f>IF($A9="",0,SUMIFS('[1]粘贴_账务明细'!$K$4:$K$3003,'[1]粘贴_账务明细'!$L$4:$L$3003,$A9,'[1]粘贴_账务明细'!$I$4:$I$3003,'首页'!$B$4*100+K$5))</f>
        <v>-3270</v>
      </c>
      <c r="L9" s="11">
        <f>IF($A9="",0,SUMIFS('[1]粘贴_账务明细'!$K$4:$K$3003,'[1]粘贴_账务明细'!$L$4:$L$3003,$A9,'[1]粘贴_账务明细'!$I$4:$I$3003,'首页'!$B$4*100+L$5))</f>
        <v>0</v>
      </c>
      <c r="M9" s="11">
        <f>IF($A9="",0,SUMIFS('[1]粘贴_账务明细'!$K$4:$K$3003,'[1]粘贴_账务明细'!$L$4:$L$3003,$A9,'[1]粘贴_账务明细'!$I$4:$I$3003,'首页'!$B$4*100+M$5))</f>
        <v>0</v>
      </c>
      <c r="N9" s="11">
        <f>IF($A9="",0,SUMIFS('[1]粘贴_账务明细'!$K$4:$K$3003,'[1]粘贴_账务明细'!$L$4:$L$3003,$A9,'[1]粘贴_账务明细'!$I$4:$I$3003,'首页'!$B$4*100+N$5))</f>
        <v>0</v>
      </c>
      <c r="O9" s="11">
        <f t="shared" si="0"/>
        <v>-3270</v>
      </c>
    </row>
    <row r="10">
      <c r="A10" s="6" t="str">
        <f>IF('[1]基础资料'!$B$51="","",'[1]基础资料'!$B$51)</f>
        <v>基础技术服务费</v>
      </c>
      <c r="B10" s="6" t="str">
        <f>IF(A10="","",'[1]基础资料'!$C$51)</f>
        <v>技术服务费</v>
      </c>
      <c r="C10" s="11">
        <f>IF($A10="",0,SUMIFS('[1]粘贴_账务明细'!$K$4:$K$3003,'[1]粘贴_账务明细'!$L$4:$L$3003,$A10,'[1]粘贴_账务明细'!$I$4:$I$3003,'首页'!$B$4*100+C$5))</f>
        <v>0</v>
      </c>
      <c r="D10" s="11">
        <f>IF($A10="",0,SUMIFS('[1]粘贴_账务明细'!$K$4:$K$3003,'[1]粘贴_账务明细'!$L$4:$L$3003,$A10,'[1]粘贴_账务明细'!$I$4:$I$3003,'首页'!$B$4*100+D$5))</f>
        <v>0</v>
      </c>
      <c r="E10" s="11">
        <f>IF($A10="",0,SUMIFS('[1]粘贴_账务明细'!$K$4:$K$3003,'[1]粘贴_账务明细'!$L$4:$L$3003,$A10,'[1]粘贴_账务明细'!$I$4:$I$3003,'首页'!$B$4*100+E$5))</f>
        <v>0</v>
      </c>
      <c r="F10" s="11">
        <f>IF($A10="",0,SUMIFS('[1]粘贴_账务明细'!$K$4:$K$3003,'[1]粘贴_账务明细'!$L$4:$L$3003,$A10,'[1]粘贴_账务明细'!$I$4:$I$3003,'首页'!$B$4*100+F$5))</f>
        <v>0</v>
      </c>
      <c r="G10" s="11">
        <f>IF($A10="",0,SUMIFS('[1]粘贴_账务明细'!$K$4:$K$3003,'[1]粘贴_账务明细'!$L$4:$L$3003,$A10,'[1]粘贴_账务明细'!$I$4:$I$3003,'首页'!$B$4*100+G$5))</f>
        <v>0</v>
      </c>
      <c r="H10" s="11">
        <f>IF($A10="",0,SUMIFS('[1]粘贴_账务明细'!$K$4:$K$3003,'[1]粘贴_账务明细'!$L$4:$L$3003,$A10,'[1]粘贴_账务明细'!$I$4:$I$3003,'首页'!$B$4*100+H$5))</f>
        <v>0</v>
      </c>
      <c r="I10" s="11">
        <f>IF($A10="",0,SUMIFS('[1]粘贴_账务明细'!$K$4:$K$3003,'[1]粘贴_账务明细'!$L$4:$L$3003,$A10,'[1]粘贴_账务明细'!$I$4:$I$3003,'首页'!$B$4*100+I$5))</f>
        <v>0</v>
      </c>
      <c r="J10" s="11">
        <f>IF($A10="",0,SUMIFS('[1]粘贴_账务明细'!$K$4:$K$3003,'[1]粘贴_账务明细'!$L$4:$L$3003,$A10,'[1]粘贴_账务明细'!$I$4:$I$3003,'首页'!$B$4*100+J$5))</f>
        <v>0</v>
      </c>
      <c r="K10" s="11">
        <f>IF($A10="",0,SUMIFS('[1]粘贴_账务明细'!$K$4:$K$3003,'[1]粘贴_账务明细'!$L$4:$L$3003,$A10,'[1]粘贴_账务明细'!$I$4:$I$3003,'首页'!$B$4*100+K$5))</f>
        <v>-956.47</v>
      </c>
      <c r="L10" s="11">
        <f>IF($A10="",0,SUMIFS('[1]粘贴_账务明细'!$K$4:$K$3003,'[1]粘贴_账务明细'!$L$4:$L$3003,$A10,'[1]粘贴_账务明细'!$I$4:$I$3003,'首页'!$B$4*100+L$5))</f>
        <v>0</v>
      </c>
      <c r="M10" s="11">
        <f>IF($A10="",0,SUMIFS('[1]粘贴_账务明细'!$K$4:$K$3003,'[1]粘贴_账务明细'!$L$4:$L$3003,$A10,'[1]粘贴_账务明细'!$I$4:$I$3003,'首页'!$B$4*100+M$5))</f>
        <v>0</v>
      </c>
      <c r="N10" s="11">
        <f>IF($A10="",0,SUMIFS('[1]粘贴_账务明细'!$K$4:$K$3003,'[1]粘贴_账务明细'!$L$4:$L$3003,$A10,'[1]粘贴_账务明细'!$I$4:$I$3003,'首页'!$B$4*100+N$5))</f>
        <v>0</v>
      </c>
      <c r="O10" s="11">
        <f t="shared" si="0"/>
        <v>-956.47</v>
      </c>
    </row>
    <row r="11">
      <c r="A11" s="6" t="str">
        <f>IF('[1]基础资料'!$B$52="","",'[1]基础资料'!$B$52)</f>
        <v>百亿补贴技术服务费</v>
      </c>
      <c r="B11" s="6" t="str">
        <f>IF(A11="","",'[1]基础资料'!$C$52)</f>
        <v>技术服务费</v>
      </c>
      <c r="C11" s="11">
        <f>IF($A11="",0,SUMIFS('[1]粘贴_账务明细'!$K$4:$K$3003,'[1]粘贴_账务明细'!$L$4:$L$3003,$A11,'[1]粘贴_账务明细'!$I$4:$I$3003,'首页'!$B$4*100+C$5))</f>
        <v>0</v>
      </c>
      <c r="D11" s="11">
        <f>IF($A11="",0,SUMIFS('[1]粘贴_账务明细'!$K$4:$K$3003,'[1]粘贴_账务明细'!$L$4:$L$3003,$A11,'[1]粘贴_账务明细'!$I$4:$I$3003,'首页'!$B$4*100+D$5))</f>
        <v>0</v>
      </c>
      <c r="E11" s="11">
        <f>IF($A11="",0,SUMIFS('[1]粘贴_账务明细'!$K$4:$K$3003,'[1]粘贴_账务明细'!$L$4:$L$3003,$A11,'[1]粘贴_账务明细'!$I$4:$I$3003,'首页'!$B$4*100+E$5))</f>
        <v>0</v>
      </c>
      <c r="F11" s="11">
        <f>IF($A11="",0,SUMIFS('[1]粘贴_账务明细'!$K$4:$K$3003,'[1]粘贴_账务明细'!$L$4:$L$3003,$A11,'[1]粘贴_账务明细'!$I$4:$I$3003,'首页'!$B$4*100+F$5))</f>
        <v>0</v>
      </c>
      <c r="G11" s="11">
        <f>IF($A11="",0,SUMIFS('[1]粘贴_账务明细'!$K$4:$K$3003,'[1]粘贴_账务明细'!$L$4:$L$3003,$A11,'[1]粘贴_账务明细'!$I$4:$I$3003,'首页'!$B$4*100+G$5))</f>
        <v>0</v>
      </c>
      <c r="H11" s="11">
        <f>IF($A11="",0,SUMIFS('[1]粘贴_账务明细'!$K$4:$K$3003,'[1]粘贴_账务明细'!$L$4:$L$3003,$A11,'[1]粘贴_账务明细'!$I$4:$I$3003,'首页'!$B$4*100+H$5))</f>
        <v>0</v>
      </c>
      <c r="I11" s="11">
        <f>IF($A11="",0,SUMIFS('[1]粘贴_账务明细'!$K$4:$K$3003,'[1]粘贴_账务明细'!$L$4:$L$3003,$A11,'[1]粘贴_账务明细'!$I$4:$I$3003,'首页'!$B$4*100+I$5))</f>
        <v>0</v>
      </c>
      <c r="J11" s="11">
        <f>IF($A11="",0,SUMIFS('[1]粘贴_账务明细'!$K$4:$K$3003,'[1]粘贴_账务明细'!$L$4:$L$3003,$A11,'[1]粘贴_账务明细'!$I$4:$I$3003,'首页'!$B$4*100+J$5))</f>
        <v>0</v>
      </c>
      <c r="K11" s="11">
        <f>IF($A11="",0,SUMIFS('[1]粘贴_账务明细'!$K$4:$K$3003,'[1]粘贴_账务明细'!$L$4:$L$3003,$A11,'[1]粘贴_账务明细'!$I$4:$I$3003,'首页'!$B$4*100+K$5))</f>
        <v>-2183.3</v>
      </c>
      <c r="L11" s="11">
        <f>IF($A11="",0,SUMIFS('[1]粘贴_账务明细'!$K$4:$K$3003,'[1]粘贴_账务明细'!$L$4:$L$3003,$A11,'[1]粘贴_账务明细'!$I$4:$I$3003,'首页'!$B$4*100+L$5))</f>
        <v>0</v>
      </c>
      <c r="M11" s="11">
        <f>IF($A11="",0,SUMIFS('[1]粘贴_账务明细'!$K$4:$K$3003,'[1]粘贴_账务明细'!$L$4:$L$3003,$A11,'[1]粘贴_账务明细'!$I$4:$I$3003,'首页'!$B$4*100+M$5))</f>
        <v>0</v>
      </c>
      <c r="N11" s="11">
        <f>IF($A11="",0,SUMIFS('[1]粘贴_账务明细'!$K$4:$K$3003,'[1]粘贴_账务明细'!$L$4:$L$3003,$A11,'[1]粘贴_账务明细'!$I$4:$I$3003,'首页'!$B$4*100+N$5))</f>
        <v>0</v>
      </c>
      <c r="O11" s="11">
        <f t="shared" si="0"/>
        <v>-2183.3</v>
      </c>
    </row>
    <row r="12">
      <c r="A12" s="6" t="str">
        <f>IF('[1]基础资料'!$B$53="","",'[1]基础资料'!$B$53)</f>
        <v>技术服务费返还</v>
      </c>
      <c r="B12" s="6" t="str">
        <f>IF(A12="","",'[1]基础资料'!$C$53)</f>
        <v>技术服务费</v>
      </c>
      <c r="C12" s="11">
        <f>IF($A12="",0,SUMIFS('[1]粘贴_账务明细'!$K$4:$K$3003,'[1]粘贴_账务明细'!$L$4:$L$3003,$A12,'[1]粘贴_账务明细'!$I$4:$I$3003,'首页'!$B$4*100+C$5))</f>
        <v>0</v>
      </c>
      <c r="D12" s="11">
        <f>IF($A12="",0,SUMIFS('[1]粘贴_账务明细'!$K$4:$K$3003,'[1]粘贴_账务明细'!$L$4:$L$3003,$A12,'[1]粘贴_账务明细'!$I$4:$I$3003,'首页'!$B$4*100+D$5))</f>
        <v>0</v>
      </c>
      <c r="E12" s="11">
        <f>IF($A12="",0,SUMIFS('[1]粘贴_账务明细'!$K$4:$K$3003,'[1]粘贴_账务明细'!$L$4:$L$3003,$A12,'[1]粘贴_账务明细'!$I$4:$I$3003,'首页'!$B$4*100+E$5))</f>
        <v>0</v>
      </c>
      <c r="F12" s="11">
        <f>IF($A12="",0,SUMIFS('[1]粘贴_账务明细'!$K$4:$K$3003,'[1]粘贴_账务明细'!$L$4:$L$3003,$A12,'[1]粘贴_账务明细'!$I$4:$I$3003,'首页'!$B$4*100+F$5))</f>
        <v>0</v>
      </c>
      <c r="G12" s="11">
        <f>IF($A12="",0,SUMIFS('[1]粘贴_账务明细'!$K$4:$K$3003,'[1]粘贴_账务明细'!$L$4:$L$3003,$A12,'[1]粘贴_账务明细'!$I$4:$I$3003,'首页'!$B$4*100+G$5))</f>
        <v>0</v>
      </c>
      <c r="H12" s="11">
        <f>IF($A12="",0,SUMIFS('[1]粘贴_账务明细'!$K$4:$K$3003,'[1]粘贴_账务明细'!$L$4:$L$3003,$A12,'[1]粘贴_账务明细'!$I$4:$I$3003,'首页'!$B$4*100+H$5))</f>
        <v>0</v>
      </c>
      <c r="I12" s="11">
        <f>IF($A12="",0,SUMIFS('[1]粘贴_账务明细'!$K$4:$K$3003,'[1]粘贴_账务明细'!$L$4:$L$3003,$A12,'[1]粘贴_账务明细'!$I$4:$I$3003,'首页'!$B$4*100+I$5))</f>
        <v>0</v>
      </c>
      <c r="J12" s="11">
        <f>IF($A12="",0,SUMIFS('[1]粘贴_账务明细'!$K$4:$K$3003,'[1]粘贴_账务明细'!$L$4:$L$3003,$A12,'[1]粘贴_账务明细'!$I$4:$I$3003,'首页'!$B$4*100+J$5))</f>
        <v>0</v>
      </c>
      <c r="K12" s="11">
        <f>IF($A12="",0,SUMIFS('[1]粘贴_账务明细'!$K$4:$K$3003,'[1]粘贴_账务明细'!$L$4:$L$3003,$A12,'[1]粘贴_账务明细'!$I$4:$I$3003,'首页'!$B$4*100+K$5))</f>
        <v>4608.4</v>
      </c>
      <c r="L12" s="11">
        <f>IF($A12="",0,SUMIFS('[1]粘贴_账务明细'!$K$4:$K$3003,'[1]粘贴_账务明细'!$L$4:$L$3003,$A12,'[1]粘贴_账务明细'!$I$4:$I$3003,'首页'!$B$4*100+L$5))</f>
        <v>0</v>
      </c>
      <c r="M12" s="11">
        <f>IF($A12="",0,SUMIFS('[1]粘贴_账务明细'!$K$4:$K$3003,'[1]粘贴_账务明细'!$L$4:$L$3003,$A12,'[1]粘贴_账务明细'!$I$4:$I$3003,'首页'!$B$4*100+M$5))</f>
        <v>0</v>
      </c>
      <c r="N12" s="11">
        <f>IF($A12="",0,SUMIFS('[1]粘贴_账务明细'!$K$4:$K$3003,'[1]粘贴_账务明细'!$L$4:$L$3003,$A12,'[1]粘贴_账务明细'!$I$4:$I$3003,'首页'!$B$4*100+N$5))</f>
        <v>0</v>
      </c>
      <c r="O12" s="11">
        <f t="shared" si="0"/>
        <v>4608.4</v>
      </c>
    </row>
    <row r="13">
      <c r="A13" s="6" t="str">
        <f>IF('[1]基础资料'!$B$54="","",'[1]基础资料'!$B$54)</f>
        <v>补贴汇入</v>
      </c>
      <c r="B13" s="6" t="str">
        <f>IF(A13="","",'[1]基础资料'!$C$54)</f>
        <v>平台补贴</v>
      </c>
      <c r="C13" s="11">
        <f>IF($A13="",0,SUMIFS('[1]粘贴_账务明细'!$K$4:$K$3003,'[1]粘贴_账务明细'!$L$4:$L$3003,$A13,'[1]粘贴_账务明细'!$I$4:$I$3003,'首页'!$B$4*100+C$5))</f>
        <v>0</v>
      </c>
      <c r="D13" s="11">
        <f>IF($A13="",0,SUMIFS('[1]粘贴_账务明细'!$K$4:$K$3003,'[1]粘贴_账务明细'!$L$4:$L$3003,$A13,'[1]粘贴_账务明细'!$I$4:$I$3003,'首页'!$B$4*100+D$5))</f>
        <v>0</v>
      </c>
      <c r="E13" s="11">
        <f>IF($A13="",0,SUMIFS('[1]粘贴_账务明细'!$K$4:$K$3003,'[1]粘贴_账务明细'!$L$4:$L$3003,$A13,'[1]粘贴_账务明细'!$I$4:$I$3003,'首页'!$B$4*100+E$5))</f>
        <v>0</v>
      </c>
      <c r="F13" s="11">
        <f>IF($A13="",0,SUMIFS('[1]粘贴_账务明细'!$K$4:$K$3003,'[1]粘贴_账务明细'!$L$4:$L$3003,$A13,'[1]粘贴_账务明细'!$I$4:$I$3003,'首页'!$B$4*100+F$5))</f>
        <v>0</v>
      </c>
      <c r="G13" s="11">
        <f>IF($A13="",0,SUMIFS('[1]粘贴_账务明细'!$K$4:$K$3003,'[1]粘贴_账务明细'!$L$4:$L$3003,$A13,'[1]粘贴_账务明细'!$I$4:$I$3003,'首页'!$B$4*100+G$5))</f>
        <v>0</v>
      </c>
      <c r="H13" s="11">
        <f>IF($A13="",0,SUMIFS('[1]粘贴_账务明细'!$K$4:$K$3003,'[1]粘贴_账务明细'!$L$4:$L$3003,$A13,'[1]粘贴_账务明细'!$I$4:$I$3003,'首页'!$B$4*100+H$5))</f>
        <v>0</v>
      </c>
      <c r="I13" s="11">
        <f>IF($A13="",0,SUMIFS('[1]粘贴_账务明细'!$K$4:$K$3003,'[1]粘贴_账务明细'!$L$4:$L$3003,$A13,'[1]粘贴_账务明细'!$I$4:$I$3003,'首页'!$B$4*100+I$5))</f>
        <v>0</v>
      </c>
      <c r="J13" s="11">
        <f>IF($A13="",0,SUMIFS('[1]粘贴_账务明细'!$K$4:$K$3003,'[1]粘贴_账务明细'!$L$4:$L$3003,$A13,'[1]粘贴_账务明细'!$I$4:$I$3003,'首页'!$B$4*100+J$5))</f>
        <v>0</v>
      </c>
      <c r="K13" s="11">
        <f>IF($A13="",0,SUMIFS('[1]粘贴_账务明细'!$K$4:$K$3003,'[1]粘贴_账务明细'!$L$4:$L$3003,$A13,'[1]粘贴_账务明细'!$I$4:$I$3003,'首页'!$B$4*100+K$5))</f>
        <v>3970</v>
      </c>
      <c r="L13" s="11">
        <f>IF($A13="",0,SUMIFS('[1]粘贴_账务明细'!$K$4:$K$3003,'[1]粘贴_账务明细'!$L$4:$L$3003,$A13,'[1]粘贴_账务明细'!$I$4:$I$3003,'首页'!$B$4*100+L$5))</f>
        <v>0</v>
      </c>
      <c r="M13" s="11">
        <f>IF($A13="",0,SUMIFS('[1]粘贴_账务明细'!$K$4:$K$3003,'[1]粘贴_账务明细'!$L$4:$L$3003,$A13,'[1]粘贴_账务明细'!$I$4:$I$3003,'首页'!$B$4*100+M$5))</f>
        <v>0</v>
      </c>
      <c r="N13" s="11">
        <f>IF($A13="",0,SUMIFS('[1]粘贴_账务明细'!$K$4:$K$3003,'[1]粘贴_账务明细'!$L$4:$L$3003,$A13,'[1]粘贴_账务明细'!$I$4:$I$3003,'首页'!$B$4*100+N$5))</f>
        <v>0</v>
      </c>
      <c r="O13" s="11">
        <f t="shared" si="0"/>
        <v>3970</v>
      </c>
    </row>
    <row r="14">
      <c r="A14" s="6" t="str">
        <f>IF('[1]基础资料'!$B$55="","",'[1]基础资料'!$B$55)</f>
        <v>消费者体验提升计划</v>
      </c>
      <c r="B14" s="6" t="str">
        <f>IF(A14="","",'[1]基础资料'!$C$55)</f>
        <v>体验计划</v>
      </c>
      <c r="C14" s="11">
        <f>IF($A14="",0,SUMIFS('[1]粘贴_账务明细'!$K$4:$K$3003,'[1]粘贴_账务明细'!$L$4:$L$3003,$A14,'[1]粘贴_账务明细'!$I$4:$I$3003,'首页'!$B$4*100+C$5))</f>
        <v>0</v>
      </c>
      <c r="D14" s="11">
        <f>IF($A14="",0,SUMIFS('[1]粘贴_账务明细'!$K$4:$K$3003,'[1]粘贴_账务明细'!$L$4:$L$3003,$A14,'[1]粘贴_账务明细'!$I$4:$I$3003,'首页'!$B$4*100+D$5))</f>
        <v>0</v>
      </c>
      <c r="E14" s="11">
        <f>IF($A14="",0,SUMIFS('[1]粘贴_账务明细'!$K$4:$K$3003,'[1]粘贴_账务明细'!$L$4:$L$3003,$A14,'[1]粘贴_账务明细'!$I$4:$I$3003,'首页'!$B$4*100+E$5))</f>
        <v>0</v>
      </c>
      <c r="F14" s="11">
        <f>IF($A14="",0,SUMIFS('[1]粘贴_账务明细'!$K$4:$K$3003,'[1]粘贴_账务明细'!$L$4:$L$3003,$A14,'[1]粘贴_账务明细'!$I$4:$I$3003,'首页'!$B$4*100+F$5))</f>
        <v>0</v>
      </c>
      <c r="G14" s="11">
        <f>IF($A14="",0,SUMIFS('[1]粘贴_账务明细'!$K$4:$K$3003,'[1]粘贴_账务明细'!$L$4:$L$3003,$A14,'[1]粘贴_账务明细'!$I$4:$I$3003,'首页'!$B$4*100+G$5))</f>
        <v>0</v>
      </c>
      <c r="H14" s="11">
        <f>IF($A14="",0,SUMIFS('[1]粘贴_账务明细'!$K$4:$K$3003,'[1]粘贴_账务明细'!$L$4:$L$3003,$A14,'[1]粘贴_账务明细'!$I$4:$I$3003,'首页'!$B$4*100+H$5))</f>
        <v>0</v>
      </c>
      <c r="I14" s="11">
        <f>IF($A14="",0,SUMIFS('[1]粘贴_账务明细'!$K$4:$K$3003,'[1]粘贴_账务明细'!$L$4:$L$3003,$A14,'[1]粘贴_账务明细'!$I$4:$I$3003,'首页'!$B$4*100+I$5))</f>
        <v>0</v>
      </c>
      <c r="J14" s="11">
        <f>IF($A14="",0,SUMIFS('[1]粘贴_账务明细'!$K$4:$K$3003,'[1]粘贴_账务明细'!$L$4:$L$3003,$A14,'[1]粘贴_账务明细'!$I$4:$I$3003,'首页'!$B$4*100+J$5))</f>
        <v>0</v>
      </c>
      <c r="K14" s="11">
        <f>IF($A14="",0,SUMIFS('[1]粘贴_账务明细'!$K$4:$K$3003,'[1]粘贴_账务明细'!$L$4:$L$3003,$A14,'[1]粘贴_账务明细'!$I$4:$I$3003,'首页'!$B$4*100+K$5))</f>
        <v>-9.77</v>
      </c>
      <c r="L14" s="11">
        <f>IF($A14="",0,SUMIFS('[1]粘贴_账务明细'!$K$4:$K$3003,'[1]粘贴_账务明细'!$L$4:$L$3003,$A14,'[1]粘贴_账务明细'!$I$4:$I$3003,'首页'!$B$4*100+L$5))</f>
        <v>0</v>
      </c>
      <c r="M14" s="11">
        <f>IF($A14="",0,SUMIFS('[1]粘贴_账务明细'!$K$4:$K$3003,'[1]粘贴_账务明细'!$L$4:$L$3003,$A14,'[1]粘贴_账务明细'!$I$4:$I$3003,'首页'!$B$4*100+M$5))</f>
        <v>0</v>
      </c>
      <c r="N14" s="11">
        <f>IF($A14="",0,SUMIFS('[1]粘贴_账务明细'!$K$4:$K$3003,'[1]粘贴_账务明细'!$L$4:$L$3003,$A14,'[1]粘贴_账务明细'!$I$4:$I$3003,'首页'!$B$4*100+N$5))</f>
        <v>0</v>
      </c>
      <c r="O14" s="11">
        <f t="shared" si="0"/>
        <v>-9.77</v>
      </c>
    </row>
    <row r="15">
      <c r="A15" s="6" t="str">
        <f>IF('[1]基础资料'!$B$56="","",'[1]基础资料'!$B$56)</f>
        <v>售后补偿</v>
      </c>
      <c r="B15" s="6" t="str">
        <f>IF(A15="","",'[1]基础资料'!$C$56)</f>
        <v>售后补偿</v>
      </c>
      <c r="C15" s="11">
        <f>IF($A15="",0,SUMIFS('[1]粘贴_账务明细'!$K$4:$K$3003,'[1]粘贴_账务明细'!$L$4:$L$3003,$A15,'[1]粘贴_账务明细'!$I$4:$I$3003,'首页'!$B$4*100+C$5))</f>
        <v>0</v>
      </c>
      <c r="D15" s="11">
        <f>IF($A15="",0,SUMIFS('[1]粘贴_账务明细'!$K$4:$K$3003,'[1]粘贴_账务明细'!$L$4:$L$3003,$A15,'[1]粘贴_账务明细'!$I$4:$I$3003,'首页'!$B$4*100+D$5))</f>
        <v>0</v>
      </c>
      <c r="E15" s="11">
        <f>IF($A15="",0,SUMIFS('[1]粘贴_账务明细'!$K$4:$K$3003,'[1]粘贴_账务明细'!$L$4:$L$3003,$A15,'[1]粘贴_账务明细'!$I$4:$I$3003,'首页'!$B$4*100+E$5))</f>
        <v>0</v>
      </c>
      <c r="F15" s="11">
        <f>IF($A15="",0,SUMIFS('[1]粘贴_账务明细'!$K$4:$K$3003,'[1]粘贴_账务明细'!$L$4:$L$3003,$A15,'[1]粘贴_账务明细'!$I$4:$I$3003,'首页'!$B$4*100+F$5))</f>
        <v>0</v>
      </c>
      <c r="G15" s="11">
        <f>IF($A15="",0,SUMIFS('[1]粘贴_账务明细'!$K$4:$K$3003,'[1]粘贴_账务明细'!$L$4:$L$3003,$A15,'[1]粘贴_账务明细'!$I$4:$I$3003,'首页'!$B$4*100+G$5))</f>
        <v>0</v>
      </c>
      <c r="H15" s="11">
        <f>IF($A15="",0,SUMIFS('[1]粘贴_账务明细'!$K$4:$K$3003,'[1]粘贴_账务明细'!$L$4:$L$3003,$A15,'[1]粘贴_账务明细'!$I$4:$I$3003,'首页'!$B$4*100+H$5))</f>
        <v>0</v>
      </c>
      <c r="I15" s="11">
        <f>IF($A15="",0,SUMIFS('[1]粘贴_账务明细'!$K$4:$K$3003,'[1]粘贴_账务明细'!$L$4:$L$3003,$A15,'[1]粘贴_账务明细'!$I$4:$I$3003,'首页'!$B$4*100+I$5))</f>
        <v>0</v>
      </c>
      <c r="J15" s="11">
        <f>IF($A15="",0,SUMIFS('[1]粘贴_账务明细'!$K$4:$K$3003,'[1]粘贴_账务明细'!$L$4:$L$3003,$A15,'[1]粘贴_账务明细'!$I$4:$I$3003,'首页'!$B$4*100+J$5))</f>
        <v>0</v>
      </c>
      <c r="K15" s="11">
        <f>IF($A15="",0,SUMIFS('[1]粘贴_账务明细'!$K$4:$K$3003,'[1]粘贴_账务明细'!$L$4:$L$3003,$A15,'[1]粘贴_账务明细'!$I$4:$I$3003,'首页'!$B$4*100+K$5))</f>
        <v>-103</v>
      </c>
      <c r="L15" s="11">
        <f>IF($A15="",0,SUMIFS('[1]粘贴_账务明细'!$K$4:$K$3003,'[1]粘贴_账务明细'!$L$4:$L$3003,$A15,'[1]粘贴_账务明细'!$I$4:$I$3003,'首页'!$B$4*100+L$5))</f>
        <v>0</v>
      </c>
      <c r="M15" s="11">
        <f>IF($A15="",0,SUMIFS('[1]粘贴_账务明细'!$K$4:$K$3003,'[1]粘贴_账务明细'!$L$4:$L$3003,$A15,'[1]粘贴_账务明细'!$I$4:$I$3003,'首页'!$B$4*100+M$5))</f>
        <v>0</v>
      </c>
      <c r="N15" s="11">
        <f>IF($A15="",0,SUMIFS('[1]粘贴_账务明细'!$K$4:$K$3003,'[1]粘贴_账务明细'!$L$4:$L$3003,$A15,'[1]粘贴_账务明细'!$I$4:$I$3003,'首页'!$B$4*100+N$5))</f>
        <v>0</v>
      </c>
      <c r="O15" s="11">
        <f t="shared" si="0"/>
        <v>-103</v>
      </c>
    </row>
    <row r="16">
      <c r="A16" s="6" t="str">
        <f>IF('[1]基础资料'!$B$57="","",'[1]基础资料'!$B$57)</f>
        <v>申诉补回</v>
      </c>
      <c r="B16" s="6" t="str">
        <f>IF(A16="","",'[1]基础资料'!$C$57)</f>
        <v>售后补偿</v>
      </c>
      <c r="C16" s="11">
        <f>IF($A16="",0,SUMIFS('[1]粘贴_账务明细'!$K$4:$K$3003,'[1]粘贴_账务明细'!$L$4:$L$3003,$A16,'[1]粘贴_账务明细'!$I$4:$I$3003,'首页'!$B$4*100+C$5))</f>
        <v>0</v>
      </c>
      <c r="D16" s="11">
        <f>IF($A16="",0,SUMIFS('[1]粘贴_账务明细'!$K$4:$K$3003,'[1]粘贴_账务明细'!$L$4:$L$3003,$A16,'[1]粘贴_账务明细'!$I$4:$I$3003,'首页'!$B$4*100+D$5))</f>
        <v>0</v>
      </c>
      <c r="E16" s="11">
        <f>IF($A16="",0,SUMIFS('[1]粘贴_账务明细'!$K$4:$K$3003,'[1]粘贴_账务明细'!$L$4:$L$3003,$A16,'[1]粘贴_账务明细'!$I$4:$I$3003,'首页'!$B$4*100+E$5))</f>
        <v>0</v>
      </c>
      <c r="F16" s="11">
        <f>IF($A16="",0,SUMIFS('[1]粘贴_账务明细'!$K$4:$K$3003,'[1]粘贴_账务明细'!$L$4:$L$3003,$A16,'[1]粘贴_账务明细'!$I$4:$I$3003,'首页'!$B$4*100+F$5))</f>
        <v>0</v>
      </c>
      <c r="G16" s="11">
        <f>IF($A16="",0,SUMIFS('[1]粘贴_账务明细'!$K$4:$K$3003,'[1]粘贴_账务明细'!$L$4:$L$3003,$A16,'[1]粘贴_账务明细'!$I$4:$I$3003,'首页'!$B$4*100+G$5))</f>
        <v>0</v>
      </c>
      <c r="H16" s="11">
        <f>IF($A16="",0,SUMIFS('[1]粘贴_账务明细'!$K$4:$K$3003,'[1]粘贴_账务明细'!$L$4:$L$3003,$A16,'[1]粘贴_账务明细'!$I$4:$I$3003,'首页'!$B$4*100+H$5))</f>
        <v>0</v>
      </c>
      <c r="I16" s="11">
        <f>IF($A16="",0,SUMIFS('[1]粘贴_账务明细'!$K$4:$K$3003,'[1]粘贴_账务明细'!$L$4:$L$3003,$A16,'[1]粘贴_账务明细'!$I$4:$I$3003,'首页'!$B$4*100+I$5))</f>
        <v>0</v>
      </c>
      <c r="J16" s="11">
        <f>IF($A16="",0,SUMIFS('[1]粘贴_账务明细'!$K$4:$K$3003,'[1]粘贴_账务明细'!$L$4:$L$3003,$A16,'[1]粘贴_账务明细'!$I$4:$I$3003,'首页'!$B$4*100+J$5))</f>
        <v>0</v>
      </c>
      <c r="K16" s="11">
        <f>IF($A16="",0,SUMIFS('[1]粘贴_账务明细'!$K$4:$K$3003,'[1]粘贴_账务明细'!$L$4:$L$3003,$A16,'[1]粘贴_账务明细'!$I$4:$I$3003,'首页'!$B$4*100+K$5))</f>
        <v>126</v>
      </c>
      <c r="L16" s="11">
        <f>IF($A16="",0,SUMIFS('[1]粘贴_账务明细'!$K$4:$K$3003,'[1]粘贴_账务明细'!$L$4:$L$3003,$A16,'[1]粘贴_账务明细'!$I$4:$I$3003,'首页'!$B$4*100+L$5))</f>
        <v>0</v>
      </c>
      <c r="M16" s="11">
        <f>IF($A16="",0,SUMIFS('[1]粘贴_账务明细'!$K$4:$K$3003,'[1]粘贴_账务明细'!$L$4:$L$3003,$A16,'[1]粘贴_账务明细'!$I$4:$I$3003,'首页'!$B$4*100+M$5))</f>
        <v>0</v>
      </c>
      <c r="N16" s="11">
        <f>IF($A16="",0,SUMIFS('[1]粘贴_账务明细'!$K$4:$K$3003,'[1]粘贴_账务明细'!$L$4:$L$3003,$A16,'[1]粘贴_账务明细'!$I$4:$I$3003,'首页'!$B$4*100+N$5))</f>
        <v>0</v>
      </c>
      <c r="O16" s="11">
        <f t="shared" si="0"/>
        <v>126</v>
      </c>
    </row>
    <row r="17">
      <c r="A17" s="6" t="str">
        <f>IF('[1]基础资料'!$B$58="","",'[1]基础资料'!$B$58)</f>
        <v>提现</v>
      </c>
      <c r="B17" s="6" t="str">
        <f>IF(A17="","",'[1]基础资料'!$C$58)</f>
        <v>提现</v>
      </c>
      <c r="C17" s="11">
        <f>IF($A17="",0,SUMIFS('[1]粘贴_账务明细'!$K$4:$K$3003,'[1]粘贴_账务明细'!$L$4:$L$3003,$A17,'[1]粘贴_账务明细'!$I$4:$I$3003,'首页'!$B$4*100+C$5))</f>
        <v>0</v>
      </c>
      <c r="D17" s="11">
        <f>IF($A17="",0,SUMIFS('[1]粘贴_账务明细'!$K$4:$K$3003,'[1]粘贴_账务明细'!$L$4:$L$3003,$A17,'[1]粘贴_账务明细'!$I$4:$I$3003,'首页'!$B$4*100+D$5))</f>
        <v>0</v>
      </c>
      <c r="E17" s="11">
        <f>IF($A17="",0,SUMIFS('[1]粘贴_账务明细'!$K$4:$K$3003,'[1]粘贴_账务明细'!$L$4:$L$3003,$A17,'[1]粘贴_账务明细'!$I$4:$I$3003,'首页'!$B$4*100+E$5))</f>
        <v>0</v>
      </c>
      <c r="F17" s="11">
        <f>IF($A17="",0,SUMIFS('[1]粘贴_账务明细'!$K$4:$K$3003,'[1]粘贴_账务明细'!$L$4:$L$3003,$A17,'[1]粘贴_账务明细'!$I$4:$I$3003,'首页'!$B$4*100+F$5))</f>
        <v>0</v>
      </c>
      <c r="G17" s="11">
        <f>IF($A17="",0,SUMIFS('[1]粘贴_账务明细'!$K$4:$K$3003,'[1]粘贴_账务明细'!$L$4:$L$3003,$A17,'[1]粘贴_账务明细'!$I$4:$I$3003,'首页'!$B$4*100+G$5))</f>
        <v>0</v>
      </c>
      <c r="H17" s="11">
        <f>IF($A17="",0,SUMIFS('[1]粘贴_账务明细'!$K$4:$K$3003,'[1]粘贴_账务明细'!$L$4:$L$3003,$A17,'[1]粘贴_账务明细'!$I$4:$I$3003,'首页'!$B$4*100+H$5))</f>
        <v>0</v>
      </c>
      <c r="I17" s="11">
        <f>IF($A17="",0,SUMIFS('[1]粘贴_账务明细'!$K$4:$K$3003,'[1]粘贴_账务明细'!$L$4:$L$3003,$A17,'[1]粘贴_账务明细'!$I$4:$I$3003,'首页'!$B$4*100+I$5))</f>
        <v>0</v>
      </c>
      <c r="J17" s="11">
        <f>IF($A17="",0,SUMIFS('[1]粘贴_账务明细'!$K$4:$K$3003,'[1]粘贴_账务明细'!$L$4:$L$3003,$A17,'[1]粘贴_账务明细'!$I$4:$I$3003,'首页'!$B$4*100+J$5))</f>
        <v>0</v>
      </c>
      <c r="K17" s="11">
        <f>IF($A17="",0,SUMIFS('[1]粘贴_账务明细'!$K$4:$K$3003,'[1]粘贴_账务明细'!$L$4:$L$3003,$A17,'[1]粘贴_账务明细'!$I$4:$I$3003,'首页'!$B$4*100+K$5))</f>
        <v>-100000</v>
      </c>
      <c r="L17" s="11">
        <f>IF($A17="",0,SUMIFS('[1]粘贴_账务明细'!$K$4:$K$3003,'[1]粘贴_账务明细'!$L$4:$L$3003,$A17,'[1]粘贴_账务明细'!$I$4:$I$3003,'首页'!$B$4*100+L$5))</f>
        <v>0</v>
      </c>
      <c r="M17" s="11">
        <f>IF($A17="",0,SUMIFS('[1]粘贴_账务明细'!$K$4:$K$3003,'[1]粘贴_账务明细'!$L$4:$L$3003,$A17,'[1]粘贴_账务明细'!$I$4:$I$3003,'首页'!$B$4*100+M$5))</f>
        <v>0</v>
      </c>
      <c r="N17" s="11">
        <f>IF($A17="",0,SUMIFS('[1]粘贴_账务明细'!$K$4:$K$3003,'[1]粘贴_账务明细'!$L$4:$L$3003,$A17,'[1]粘贴_账务明细'!$I$4:$I$3003,'首页'!$B$4*100+N$5))</f>
        <v>0</v>
      </c>
      <c r="O17" s="11">
        <f t="shared" si="0"/>
        <v>-100000</v>
      </c>
    </row>
    <row r="18">
      <c r="A18" s="6">
        <f>IF('[1]基础资料'!$B$59="","",'[1]基础资料'!$B$59)</f>
      </c>
      <c r="B18" s="6">
        <f>IF(A18="","",'[1]基础资料'!$C$59)</f>
      </c>
      <c r="C18" s="11">
        <f>IF($A18="",0,SUMIFS('[1]粘贴_账务明细'!$K$4:$K$3003,'[1]粘贴_账务明细'!$L$4:$L$3003,$A18,'[1]粘贴_账务明细'!$I$4:$I$3003,'首页'!$B$4*100+C$5))</f>
        <v>0</v>
      </c>
      <c r="D18" s="11">
        <f>IF($A18="",0,SUMIFS('[1]粘贴_账务明细'!$K$4:$K$3003,'[1]粘贴_账务明细'!$L$4:$L$3003,$A18,'[1]粘贴_账务明细'!$I$4:$I$3003,'首页'!$B$4*100+D$5))</f>
        <v>0</v>
      </c>
      <c r="E18" s="11">
        <f>IF($A18="",0,SUMIFS('[1]粘贴_账务明细'!$K$4:$K$3003,'[1]粘贴_账务明细'!$L$4:$L$3003,$A18,'[1]粘贴_账务明细'!$I$4:$I$3003,'首页'!$B$4*100+E$5))</f>
        <v>0</v>
      </c>
      <c r="F18" s="11">
        <f>IF($A18="",0,SUMIFS('[1]粘贴_账务明细'!$K$4:$K$3003,'[1]粘贴_账务明细'!$L$4:$L$3003,$A18,'[1]粘贴_账务明细'!$I$4:$I$3003,'首页'!$B$4*100+F$5))</f>
        <v>0</v>
      </c>
      <c r="G18" s="11">
        <f>IF($A18="",0,SUMIFS('[1]粘贴_账务明细'!$K$4:$K$3003,'[1]粘贴_账务明细'!$L$4:$L$3003,$A18,'[1]粘贴_账务明细'!$I$4:$I$3003,'首页'!$B$4*100+G$5))</f>
        <v>0</v>
      </c>
      <c r="H18" s="11">
        <f>IF($A18="",0,SUMIFS('[1]粘贴_账务明细'!$K$4:$K$3003,'[1]粘贴_账务明细'!$L$4:$L$3003,$A18,'[1]粘贴_账务明细'!$I$4:$I$3003,'首页'!$B$4*100+H$5))</f>
        <v>0</v>
      </c>
      <c r="I18" s="11">
        <f>IF($A18="",0,SUMIFS('[1]粘贴_账务明细'!$K$4:$K$3003,'[1]粘贴_账务明细'!$L$4:$L$3003,$A18,'[1]粘贴_账务明细'!$I$4:$I$3003,'首页'!$B$4*100+I$5))</f>
        <v>0</v>
      </c>
      <c r="J18" s="11">
        <f>IF($A18="",0,SUMIFS('[1]粘贴_账务明细'!$K$4:$K$3003,'[1]粘贴_账务明细'!$L$4:$L$3003,$A18,'[1]粘贴_账务明细'!$I$4:$I$3003,'首页'!$B$4*100+J$5))</f>
        <v>0</v>
      </c>
      <c r="K18" s="11">
        <f>IF($A18="",0,SUMIFS('[1]粘贴_账务明细'!$K$4:$K$3003,'[1]粘贴_账务明细'!$L$4:$L$3003,$A18,'[1]粘贴_账务明细'!$I$4:$I$3003,'首页'!$B$4*100+K$5))</f>
        <v>0</v>
      </c>
      <c r="L18" s="11">
        <f>IF($A18="",0,SUMIFS('[1]粘贴_账务明细'!$K$4:$K$3003,'[1]粘贴_账务明细'!$L$4:$L$3003,$A18,'[1]粘贴_账务明细'!$I$4:$I$3003,'首页'!$B$4*100+L$5))</f>
        <v>0</v>
      </c>
      <c r="M18" s="11">
        <f>IF($A18="",0,SUMIFS('[1]粘贴_账务明细'!$K$4:$K$3003,'[1]粘贴_账务明细'!$L$4:$L$3003,$A18,'[1]粘贴_账务明细'!$I$4:$I$3003,'首页'!$B$4*100+M$5))</f>
        <v>0</v>
      </c>
      <c r="N18" s="11">
        <f>IF($A18="",0,SUMIFS('[1]粘贴_账务明细'!$K$4:$K$3003,'[1]粘贴_账务明细'!$L$4:$L$3003,$A18,'[1]粘贴_账务明细'!$I$4:$I$3003,'首页'!$B$4*100+N$5))</f>
        <v>0</v>
      </c>
      <c r="O18" s="11">
        <f t="shared" si="0"/>
        <v>0</v>
      </c>
    </row>
    <row r="19">
      <c r="A19" s="6">
        <f>IF('[1]基础资料'!$B$60="","",'[1]基础资料'!$B$60)</f>
      </c>
      <c r="B19" s="6">
        <f>IF(A19="","",'[1]基础资料'!$C$60)</f>
      </c>
      <c r="C19" s="11">
        <f>IF($A19="",0,SUMIFS('[1]粘贴_账务明细'!$K$4:$K$3003,'[1]粘贴_账务明细'!$L$4:$L$3003,$A19,'[1]粘贴_账务明细'!$I$4:$I$3003,'首页'!$B$4*100+C$5))</f>
        <v>0</v>
      </c>
      <c r="D19" s="11">
        <f>IF($A19="",0,SUMIFS('[1]粘贴_账务明细'!$K$4:$K$3003,'[1]粘贴_账务明细'!$L$4:$L$3003,$A19,'[1]粘贴_账务明细'!$I$4:$I$3003,'首页'!$B$4*100+D$5))</f>
        <v>0</v>
      </c>
      <c r="E19" s="11">
        <f>IF($A19="",0,SUMIFS('[1]粘贴_账务明细'!$K$4:$K$3003,'[1]粘贴_账务明细'!$L$4:$L$3003,$A19,'[1]粘贴_账务明细'!$I$4:$I$3003,'首页'!$B$4*100+E$5))</f>
        <v>0</v>
      </c>
      <c r="F19" s="11">
        <f>IF($A19="",0,SUMIFS('[1]粘贴_账务明细'!$K$4:$K$3003,'[1]粘贴_账务明细'!$L$4:$L$3003,$A19,'[1]粘贴_账务明细'!$I$4:$I$3003,'首页'!$B$4*100+F$5))</f>
        <v>0</v>
      </c>
      <c r="G19" s="11">
        <f>IF($A19="",0,SUMIFS('[1]粘贴_账务明细'!$K$4:$K$3003,'[1]粘贴_账务明细'!$L$4:$L$3003,$A19,'[1]粘贴_账务明细'!$I$4:$I$3003,'首页'!$B$4*100+G$5))</f>
        <v>0</v>
      </c>
      <c r="H19" s="11">
        <f>IF($A19="",0,SUMIFS('[1]粘贴_账务明细'!$K$4:$K$3003,'[1]粘贴_账务明细'!$L$4:$L$3003,$A19,'[1]粘贴_账务明细'!$I$4:$I$3003,'首页'!$B$4*100+H$5))</f>
        <v>0</v>
      </c>
      <c r="I19" s="11">
        <f>IF($A19="",0,SUMIFS('[1]粘贴_账务明细'!$K$4:$K$3003,'[1]粘贴_账务明细'!$L$4:$L$3003,$A19,'[1]粘贴_账务明细'!$I$4:$I$3003,'首页'!$B$4*100+I$5))</f>
        <v>0</v>
      </c>
      <c r="J19" s="11">
        <f>IF($A19="",0,SUMIFS('[1]粘贴_账务明细'!$K$4:$K$3003,'[1]粘贴_账务明细'!$L$4:$L$3003,$A19,'[1]粘贴_账务明细'!$I$4:$I$3003,'首页'!$B$4*100+J$5))</f>
        <v>0</v>
      </c>
      <c r="K19" s="11">
        <f>IF($A19="",0,SUMIFS('[1]粘贴_账务明细'!$K$4:$K$3003,'[1]粘贴_账务明细'!$L$4:$L$3003,$A19,'[1]粘贴_账务明细'!$I$4:$I$3003,'首页'!$B$4*100+K$5))</f>
        <v>0</v>
      </c>
      <c r="L19" s="11">
        <f>IF($A19="",0,SUMIFS('[1]粘贴_账务明细'!$K$4:$K$3003,'[1]粘贴_账务明细'!$L$4:$L$3003,$A19,'[1]粘贴_账务明细'!$I$4:$I$3003,'首页'!$B$4*100+L$5))</f>
        <v>0</v>
      </c>
      <c r="M19" s="11">
        <f>IF($A19="",0,SUMIFS('[1]粘贴_账务明细'!$K$4:$K$3003,'[1]粘贴_账务明细'!$L$4:$L$3003,$A19,'[1]粘贴_账务明细'!$I$4:$I$3003,'首页'!$B$4*100+M$5))</f>
        <v>0</v>
      </c>
      <c r="N19" s="11">
        <f>IF($A19="",0,SUMIFS('[1]粘贴_账务明细'!$K$4:$K$3003,'[1]粘贴_账务明细'!$L$4:$L$3003,$A19,'[1]粘贴_账务明细'!$I$4:$I$3003,'首页'!$B$4*100+N$5))</f>
        <v>0</v>
      </c>
      <c r="O19" s="11">
        <f t="shared" si="0"/>
        <v>0</v>
      </c>
    </row>
    <row r="20">
      <c r="A20" s="6">
        <f>IF('[1]基础资料'!$B$61="","",'[1]基础资料'!$B$61)</f>
      </c>
      <c r="B20" s="6">
        <f>IF(A20="","",'[1]基础资料'!$C$61)</f>
      </c>
      <c r="C20" s="11">
        <f>IF($A20="",0,SUMIFS('[1]粘贴_账务明细'!$K$4:$K$3003,'[1]粘贴_账务明细'!$L$4:$L$3003,$A20,'[1]粘贴_账务明细'!$I$4:$I$3003,'首页'!$B$4*100+C$5))</f>
        <v>0</v>
      </c>
      <c r="D20" s="11">
        <f>IF($A20="",0,SUMIFS('[1]粘贴_账务明细'!$K$4:$K$3003,'[1]粘贴_账务明细'!$L$4:$L$3003,$A20,'[1]粘贴_账务明细'!$I$4:$I$3003,'首页'!$B$4*100+D$5))</f>
        <v>0</v>
      </c>
      <c r="E20" s="11">
        <f>IF($A20="",0,SUMIFS('[1]粘贴_账务明细'!$K$4:$K$3003,'[1]粘贴_账务明细'!$L$4:$L$3003,$A20,'[1]粘贴_账务明细'!$I$4:$I$3003,'首页'!$B$4*100+E$5))</f>
        <v>0</v>
      </c>
      <c r="F20" s="11">
        <f>IF($A20="",0,SUMIFS('[1]粘贴_账务明细'!$K$4:$K$3003,'[1]粘贴_账务明细'!$L$4:$L$3003,$A20,'[1]粘贴_账务明细'!$I$4:$I$3003,'首页'!$B$4*100+F$5))</f>
        <v>0</v>
      </c>
      <c r="G20" s="11">
        <f>IF($A20="",0,SUMIFS('[1]粘贴_账务明细'!$K$4:$K$3003,'[1]粘贴_账务明细'!$L$4:$L$3003,$A20,'[1]粘贴_账务明细'!$I$4:$I$3003,'首页'!$B$4*100+G$5))</f>
        <v>0</v>
      </c>
      <c r="H20" s="11">
        <f>IF($A20="",0,SUMIFS('[1]粘贴_账务明细'!$K$4:$K$3003,'[1]粘贴_账务明细'!$L$4:$L$3003,$A20,'[1]粘贴_账务明细'!$I$4:$I$3003,'首页'!$B$4*100+H$5))</f>
        <v>0</v>
      </c>
      <c r="I20" s="11">
        <f>IF($A20="",0,SUMIFS('[1]粘贴_账务明细'!$K$4:$K$3003,'[1]粘贴_账务明细'!$L$4:$L$3003,$A20,'[1]粘贴_账务明细'!$I$4:$I$3003,'首页'!$B$4*100+I$5))</f>
        <v>0</v>
      </c>
      <c r="J20" s="11">
        <f>IF($A20="",0,SUMIFS('[1]粘贴_账务明细'!$K$4:$K$3003,'[1]粘贴_账务明细'!$L$4:$L$3003,$A20,'[1]粘贴_账务明细'!$I$4:$I$3003,'首页'!$B$4*100+J$5))</f>
        <v>0</v>
      </c>
      <c r="K20" s="11">
        <f>IF($A20="",0,SUMIFS('[1]粘贴_账务明细'!$K$4:$K$3003,'[1]粘贴_账务明细'!$L$4:$L$3003,$A20,'[1]粘贴_账务明细'!$I$4:$I$3003,'首页'!$B$4*100+K$5))</f>
        <v>0</v>
      </c>
      <c r="L20" s="11">
        <f>IF($A20="",0,SUMIFS('[1]粘贴_账务明细'!$K$4:$K$3003,'[1]粘贴_账务明细'!$L$4:$L$3003,$A20,'[1]粘贴_账务明细'!$I$4:$I$3003,'首页'!$B$4*100+L$5))</f>
        <v>0</v>
      </c>
      <c r="M20" s="11">
        <f>IF($A20="",0,SUMIFS('[1]粘贴_账务明细'!$K$4:$K$3003,'[1]粘贴_账务明细'!$L$4:$L$3003,$A20,'[1]粘贴_账务明细'!$I$4:$I$3003,'首页'!$B$4*100+M$5))</f>
        <v>0</v>
      </c>
      <c r="N20" s="11">
        <f>IF($A20="",0,SUMIFS('[1]粘贴_账务明细'!$K$4:$K$3003,'[1]粘贴_账务明细'!$L$4:$L$3003,$A20,'[1]粘贴_账务明细'!$I$4:$I$3003,'首页'!$B$4*100+N$5))</f>
        <v>0</v>
      </c>
      <c r="O20" s="11">
        <f t="shared" si="0"/>
        <v>0</v>
      </c>
    </row>
    <row r="21">
      <c r="A21" s="6" t="inlineStr">
        <is>
          <t>其他未归类</t>
        </is>
      </c>
      <c r="B21" s="6" t="inlineStr">
        <is>
          <t>其他费用</t>
        </is>
      </c>
      <c r="C21" s="11">
        <f>IF($A21="",0,SUMIFS('[1]粘贴_账务明细'!$K$4:$K$3003,'[1]粘贴_账务明细'!$L$4:$L$3003,$A21,'[1]粘贴_账务明细'!$I$4:$I$3003,'首页'!$B$4*100+C$5))</f>
        <v>0</v>
      </c>
      <c r="D21" s="11">
        <f>IF($A21="",0,SUMIFS('[1]粘贴_账务明细'!$K$4:$K$3003,'[1]粘贴_账务明细'!$L$4:$L$3003,$A21,'[1]粘贴_账务明细'!$I$4:$I$3003,'首页'!$B$4*100+D$5))</f>
        <v>0</v>
      </c>
      <c r="E21" s="11">
        <f>IF($A21="",0,SUMIFS('[1]粘贴_账务明细'!$K$4:$K$3003,'[1]粘贴_账务明细'!$L$4:$L$3003,$A21,'[1]粘贴_账务明细'!$I$4:$I$3003,'首页'!$B$4*100+E$5))</f>
        <v>0</v>
      </c>
      <c r="F21" s="11">
        <f>IF($A21="",0,SUMIFS('[1]粘贴_账务明细'!$K$4:$K$3003,'[1]粘贴_账务明细'!$L$4:$L$3003,$A21,'[1]粘贴_账务明细'!$I$4:$I$3003,'首页'!$B$4*100+F$5))</f>
        <v>0</v>
      </c>
      <c r="G21" s="11">
        <f>IF($A21="",0,SUMIFS('[1]粘贴_账务明细'!$K$4:$K$3003,'[1]粘贴_账务明细'!$L$4:$L$3003,$A21,'[1]粘贴_账务明细'!$I$4:$I$3003,'首页'!$B$4*100+G$5))</f>
        <v>0</v>
      </c>
      <c r="H21" s="11">
        <f>IF($A21="",0,SUMIFS('[1]粘贴_账务明细'!$K$4:$K$3003,'[1]粘贴_账务明细'!$L$4:$L$3003,$A21,'[1]粘贴_账务明细'!$I$4:$I$3003,'首页'!$B$4*100+H$5))</f>
        <v>0</v>
      </c>
      <c r="I21" s="11">
        <f>IF($A21="",0,SUMIFS('[1]粘贴_账务明细'!$K$4:$K$3003,'[1]粘贴_账务明细'!$L$4:$L$3003,$A21,'[1]粘贴_账务明细'!$I$4:$I$3003,'首页'!$B$4*100+I$5))</f>
        <v>0</v>
      </c>
      <c r="J21" s="11">
        <f>IF($A21="",0,SUMIFS('[1]粘贴_账务明细'!$K$4:$K$3003,'[1]粘贴_账务明细'!$L$4:$L$3003,$A21,'[1]粘贴_账务明细'!$I$4:$I$3003,'首页'!$B$4*100+J$5))</f>
        <v>0</v>
      </c>
      <c r="K21" s="11">
        <f>IF($A21="",0,SUMIFS('[1]粘贴_账务明细'!$K$4:$K$3003,'[1]粘贴_账务明细'!$L$4:$L$3003,$A21,'[1]粘贴_账务明细'!$I$4:$I$3003,'首页'!$B$4*100+K$5))</f>
        <v>0</v>
      </c>
      <c r="L21" s="11">
        <f>IF($A21="",0,SUMIFS('[1]粘贴_账务明细'!$K$4:$K$3003,'[1]粘贴_账务明细'!$L$4:$L$3003,$A21,'[1]粘贴_账务明细'!$I$4:$I$3003,'首页'!$B$4*100+L$5))</f>
        <v>0</v>
      </c>
      <c r="M21" s="11">
        <f>IF($A21="",0,SUMIFS('[1]粘贴_账务明细'!$K$4:$K$3003,'[1]粘贴_账务明细'!$L$4:$L$3003,$A21,'[1]粘贴_账务明细'!$I$4:$I$3003,'首页'!$B$4*100+M$5))</f>
        <v>0</v>
      </c>
      <c r="N21" s="11">
        <f>IF($A21="",0,SUMIFS('[1]粘贴_账务明细'!$K$4:$K$3003,'[1]粘贴_账务明细'!$L$4:$L$3003,$A21,'[1]粘贴_账务明细'!$I$4:$I$3003,'首页'!$B$4*100+N$5))</f>
        <v>0</v>
      </c>
      <c r="O21" s="11">
        <f t="shared" si="0"/>
        <v>0</v>
      </c>
    </row>
    <row r="22">
      <c r="A22" s="8" t="inlineStr">
        <is>
          <t>本月净额（上面合计）</t>
        </is>
      </c>
      <c r="B22" s="8" t="n"/>
      <c r="C22" s="9">
        <f>SUM(C6:C21)</f>
        <v>0</v>
      </c>
      <c r="D22" s="9">
        <f>SUM(D6:D21)</f>
        <v>0</v>
      </c>
      <c r="E22" s="9">
        <f>SUM(E6:E21)</f>
        <v>0</v>
      </c>
      <c r="F22" s="9">
        <f>SUM(F6:F21)</f>
        <v>0</v>
      </c>
      <c r="G22" s="9">
        <f>SUM(G6:G21)</f>
        <v>0</v>
      </c>
      <c r="H22" s="9">
        <f>SUM(H6:H21)</f>
        <v>0</v>
      </c>
      <c r="I22" s="9">
        <f>SUM(I6:I21)</f>
        <v>0</v>
      </c>
      <c r="J22" s="9">
        <f>SUM(J6:J21)</f>
        <v>0</v>
      </c>
      <c r="K22" s="9">
        <f>SUM(K6:K21)</f>
        <v>61390.86</v>
      </c>
      <c r="L22" s="9">
        <f>SUM(L6:L21)</f>
        <v>0</v>
      </c>
      <c r="M22" s="9">
        <f>SUM(M6:M21)</f>
        <v>0</v>
      </c>
      <c r="N22" s="9">
        <f>SUM(N6:N21)</f>
        <v>0</v>
      </c>
      <c r="O22" s="9">
        <f t="shared" si="0"/>
        <v>61390.86</v>
      </c>
    </row>
    <row r="23">
      <c r="A23" s="8" t="inlineStr">
        <is>
          <t>账务明细「#总计」</t>
        </is>
      </c>
      <c r="B23" s="8" t="n"/>
      <c r="C23" s="9">
        <f>IF(COUNTIFS('[1]粘贴_账务明细'!$J$4:$J$3003,"&gt;-9E+99",'[1]粘贴_账务明细'!$I$4:$I$3003,'首页'!$B$4*100+C$5)=0,"",SUMIFS('[1]粘贴_账务明细'!$J$4:$J$3003,'[1]粘贴_账务明细'!$I$4:$I$3003,'首页'!$B$4*100+C$5))</f>
      </c>
      <c r="D23" s="9">
        <f>IF(COUNTIFS('[1]粘贴_账务明细'!$J$4:$J$3003,"&gt;-9E+99",'[1]粘贴_账务明细'!$I$4:$I$3003,'首页'!$B$4*100+D$5)=0,"",SUMIFS('[1]粘贴_账务明细'!$J$4:$J$3003,'[1]粘贴_账务明细'!$I$4:$I$3003,'首页'!$B$4*100+D$5))</f>
      </c>
      <c r="E23" s="9">
        <f>IF(COUNTIFS('[1]粘贴_账务明细'!$J$4:$J$3003,"&gt;-9E+99",'[1]粘贴_账务明细'!$I$4:$I$3003,'首页'!$B$4*100+E$5)=0,"",SUMIFS('[1]粘贴_账务明细'!$J$4:$J$3003,'[1]粘贴_账务明细'!$I$4:$I$3003,'首页'!$B$4*100+E$5))</f>
      </c>
      <c r="F23" s="9">
        <f>IF(COUNTIFS('[1]粘贴_账务明细'!$J$4:$J$3003,"&gt;-9E+99",'[1]粘贴_账务明细'!$I$4:$I$3003,'首页'!$B$4*100+F$5)=0,"",SUMIFS('[1]粘贴_账务明细'!$J$4:$J$3003,'[1]粘贴_账务明细'!$I$4:$I$3003,'首页'!$B$4*100+F$5))</f>
      </c>
      <c r="G23" s="9">
        <f>IF(COUNTIFS('[1]粘贴_账务明细'!$J$4:$J$3003,"&gt;-9E+99",'[1]粘贴_账务明细'!$I$4:$I$3003,'首页'!$B$4*100+G$5)=0,"",SUMIFS('[1]粘贴_账务明细'!$J$4:$J$3003,'[1]粘贴_账务明细'!$I$4:$I$3003,'首页'!$B$4*100+G$5))</f>
      </c>
      <c r="H23" s="9">
        <f>IF(COUNTIFS('[1]粘贴_账务明细'!$J$4:$J$3003,"&gt;-9E+99",'[1]粘贴_账务明细'!$I$4:$I$3003,'首页'!$B$4*100+H$5)=0,"",SUMIFS('[1]粘贴_账务明细'!$J$4:$J$3003,'[1]粘贴_账务明细'!$I$4:$I$3003,'首页'!$B$4*100+H$5))</f>
      </c>
      <c r="I23" s="9">
        <f>IF(COUNTIFS('[1]粘贴_账务明细'!$J$4:$J$3003,"&gt;-9E+99",'[1]粘贴_账务明细'!$I$4:$I$3003,'首页'!$B$4*100+I$5)=0,"",SUMIFS('[1]粘贴_账务明细'!$J$4:$J$3003,'[1]粘贴_账务明细'!$I$4:$I$3003,'首页'!$B$4*100+I$5))</f>
      </c>
      <c r="J23" s="9">
        <f>IF(COUNTIFS('[1]粘贴_账务明细'!$J$4:$J$3003,"&gt;-9E+99",'[1]粘贴_账务明细'!$I$4:$I$3003,'首页'!$B$4*100+J$5)=0,"",SUMIFS('[1]粘贴_账务明细'!$J$4:$J$3003,'[1]粘贴_账务明细'!$I$4:$I$3003,'首页'!$B$4*100+J$5))</f>
      </c>
      <c r="K23" s="9">
        <f>IF(COUNTIFS('[1]粘贴_账务明细'!$J$4:$J$3003,"&gt;-9E+99",'[1]粘贴_账务明细'!$I$4:$I$3003,'首页'!$B$4*100+K$5)=0,"",SUMIFS('[1]粘贴_账务明细'!$J$4:$J$3003,'[1]粘贴_账务明细'!$I$4:$I$3003,'首页'!$B$4*100+K$5))</f>
        <v>61390.86</v>
      </c>
      <c r="L23" s="9">
        <f>IF(COUNTIFS('[1]粘贴_账务明细'!$J$4:$J$3003,"&gt;-9E+99",'[1]粘贴_账务明细'!$I$4:$I$3003,'首页'!$B$4*100+L$5)=0,"",SUMIFS('[1]粘贴_账务明细'!$J$4:$J$3003,'[1]粘贴_账务明细'!$I$4:$I$3003,'首页'!$B$4*100+L$5))</f>
      </c>
      <c r="M23" s="9">
        <f>IF(COUNTIFS('[1]粘贴_账务明细'!$J$4:$J$3003,"&gt;-9E+99",'[1]粘贴_账务明细'!$I$4:$I$3003,'首页'!$B$4*100+M$5)=0,"",SUMIFS('[1]粘贴_账务明细'!$J$4:$J$3003,'[1]粘贴_账务明细'!$I$4:$I$3003,'首页'!$B$4*100+M$5))</f>
      </c>
      <c r="N23" s="9">
        <f>IF(COUNTIFS('[1]粘贴_账务明细'!$J$4:$J$3003,"&gt;-9E+99",'[1]粘贴_账务明细'!$I$4:$I$3003,'首页'!$B$4*100+N$5)=0,"",SUMIFS('[1]粘贴_账务明细'!$J$4:$J$3003,'[1]粘贴_账务明细'!$I$4:$I$3003,'首页'!$B$4*100+N$5))</f>
      </c>
      <c r="O23" s="9" t="n"/>
    </row>
    <row r="24">
      <c r="A24" s="8" t="inlineStr">
        <is>
          <t>差异（应为 0）</t>
        </is>
      </c>
      <c r="B24" s="8" t="n"/>
      <c r="C24" s="9" t="str">
        <f>IF(C23="","没粘#总计",ROUND(C22-C23,2))</f>
        <v>没粘#总计</v>
      </c>
      <c r="D24" s="9" t="str">
        <f>IF(D23="","没粘#总计",ROUND(D22-D23,2))</f>
        <v>没粘#总计</v>
      </c>
      <c r="E24" s="9" t="str">
        <f>IF(E23="","没粘#总计",ROUND(E22-E23,2))</f>
        <v>没粘#总计</v>
      </c>
      <c r="F24" s="9" t="str">
        <f>IF(F23="","没粘#总计",ROUND(F22-F23,2))</f>
        <v>没粘#总计</v>
      </c>
      <c r="G24" s="9" t="str">
        <f>IF(G23="","没粘#总计",ROUND(G22-G23,2))</f>
        <v>没粘#总计</v>
      </c>
      <c r="H24" s="9" t="str">
        <f>IF(H23="","没粘#总计",ROUND(H22-H23,2))</f>
        <v>没粘#总计</v>
      </c>
      <c r="I24" s="9" t="str">
        <f>IF(I23="","没粘#总计",ROUND(I22-I23,2))</f>
        <v>没粘#总计</v>
      </c>
      <c r="J24" s="9" t="str">
        <f>IF(J23="","没粘#总计",ROUND(J22-J23,2))</f>
        <v>没粘#总计</v>
      </c>
      <c r="K24" s="9">
        <f>IF(K23="","没粘#总计",ROUND(K22-K23,2))</f>
        <v>0</v>
      </c>
      <c r="L24" s="9" t="str">
        <f>IF(L23="","没粘#总计",ROUND(L22-L23,2))</f>
        <v>没粘#总计</v>
      </c>
      <c r="M24" s="9" t="str">
        <f>IF(M23="","没粘#总计",ROUND(M22-M23,2))</f>
        <v>没粘#总计</v>
      </c>
      <c r="N24" s="9" t="str">
        <f>IF(N23="","没粘#总计",ROUND(N22-N23,2))</f>
        <v>没粘#总计</v>
      </c>
      <c r="O24" s="9" t="n"/>
    </row>
    <row r="25">
      <c r="A25" s="8" t="inlineStr">
        <is>
          <t>月初店铺余额</t>
        </is>
      </c>
      <c r="B25" s="8" t="n"/>
      <c r="C25" s="9">
        <f>N('[1]基础资料'!$C$8)</f>
        <v>0</v>
      </c>
      <c r="D25" s="9">
        <f>C26</f>
        <v>0</v>
      </c>
      <c r="E25" s="9">
        <f>D26</f>
        <v>0</v>
      </c>
      <c r="F25" s="9">
        <f>E26</f>
        <v>0</v>
      </c>
      <c r="G25" s="9">
        <f>F26</f>
        <v>0</v>
      </c>
      <c r="H25" s="9">
        <f>G26</f>
        <v>0</v>
      </c>
      <c r="I25" s="9">
        <f>H26</f>
        <v>0</v>
      </c>
      <c r="J25" s="9">
        <f>I26</f>
        <v>0</v>
      </c>
      <c r="K25" s="9">
        <f>J26</f>
        <v>0</v>
      </c>
      <c r="L25" s="9">
        <f>K26</f>
        <v>61390.86</v>
      </c>
      <c r="M25" s="9">
        <f>L26</f>
        <v>61390.86</v>
      </c>
      <c r="N25" s="9">
        <f>M26</f>
        <v>61390.86</v>
      </c>
      <c r="O25" s="9" t="n"/>
    </row>
    <row r="26">
      <c r="A26" s="8" t="inlineStr">
        <is>
          <t>月末店铺余额</t>
        </is>
      </c>
      <c r="B26" s="8" t="n"/>
      <c r="C26" s="9">
        <f>C25+C22</f>
        <v>0</v>
      </c>
      <c r="D26" s="9">
        <f>D25+D22</f>
        <v>0</v>
      </c>
      <c r="E26" s="9">
        <f>E25+E22</f>
        <v>0</v>
      </c>
      <c r="F26" s="9">
        <f>F25+F22</f>
        <v>0</v>
      </c>
      <c r="G26" s="9">
        <f>G25+G22</f>
        <v>0</v>
      </c>
      <c r="H26" s="9">
        <f>H25+H22</f>
        <v>0</v>
      </c>
      <c r="I26" s="9">
        <f>I25+I22</f>
        <v>0</v>
      </c>
      <c r="J26" s="9">
        <f>J25+J22</f>
        <v>0</v>
      </c>
      <c r="K26" s="9">
        <f>K25+K22</f>
        <v>61390.86</v>
      </c>
      <c r="L26" s="9">
        <f>L25+L22</f>
        <v>61390.86</v>
      </c>
      <c r="M26" s="9">
        <f>M25+M22</f>
        <v>61390.86</v>
      </c>
      <c r="N26" s="9">
        <f>N25+N22</f>
        <v>61390.86</v>
      </c>
      <c r="O26" s="9" t="n"/>
    </row>
    <row r="27">
      <c r="A27" s="8" t="inlineStr">
        <is>
          <t>资金台帐记的提现</t>
        </is>
      </c>
      <c r="B27" s="8" t="n"/>
      <c r="C27" s="9">
        <f>SUMIFS('[1]资金台帐'!$H$4:$H$3003,'[1]资金台帐'!$B$4:$B$3003,'[1]基础资料'!$A$8,'[1]资金台帐'!$M$4:$M$3003,"内部转账",'[1]资金台帐'!$N$4:$N$3003,'首页'!$B$4*100+C$5)-SUMIFS('[1]资金台帐'!$G$4:$G$3003,'[1]资金台帐'!$B$4:$B$3003,'[1]基础资料'!$A$8,'[1]资金台帐'!$M$4:$M$3003,"内部转账",'[1]资金台帐'!$N$4:$N$3003,'首页'!$B$4*100+C$5)+SUMIFS('[1]资金台帐'!$G$4:$G$3003,'[1]资金台帐'!$I$4:$I$3003,'[1]基础资料'!$A$8,'[1]资金台帐'!$M$4:$M$3003,"内部转账",'[1]资金台帐'!$N$4:$N$3003,'首页'!$B$4*100+C$5)-SUMIFS('[1]资金台帐'!$H$4:$H$3003,'[1]资金台帐'!$I$4:$I$3003,'[1]基础资料'!$A$8,'[1]资金台帐'!$M$4:$M$3003,"内部转账",'[1]资金台帐'!$N$4:$N$3003,'首页'!$B$4*100+C$5)</f>
        <v>0</v>
      </c>
      <c r="D27" s="9">
        <f>SUMIFS('[1]资金台帐'!$H$4:$H$3003,'[1]资金台帐'!$B$4:$B$3003,'[1]基础资料'!$A$8,'[1]资金台帐'!$M$4:$M$3003,"内部转账",'[1]资金台帐'!$N$4:$N$3003,'首页'!$B$4*100+D$5)-SUMIFS('[1]资金台帐'!$G$4:$G$3003,'[1]资金台帐'!$B$4:$B$3003,'[1]基础资料'!$A$8,'[1]资金台帐'!$M$4:$M$3003,"内部转账",'[1]资金台帐'!$N$4:$N$3003,'首页'!$B$4*100+D$5)+SUMIFS('[1]资金台帐'!$G$4:$G$3003,'[1]资金台帐'!$I$4:$I$3003,'[1]基础资料'!$A$8,'[1]资金台帐'!$M$4:$M$3003,"内部转账",'[1]资金台帐'!$N$4:$N$3003,'首页'!$B$4*100+D$5)-SUMIFS('[1]资金台帐'!$H$4:$H$3003,'[1]资金台帐'!$I$4:$I$3003,'[1]基础资料'!$A$8,'[1]资金台帐'!$M$4:$M$3003,"内部转账",'[1]资金台帐'!$N$4:$N$3003,'首页'!$B$4*100+D$5)</f>
        <v>0</v>
      </c>
      <c r="E27" s="9">
        <f>SUMIFS('[1]资金台帐'!$H$4:$H$3003,'[1]资金台帐'!$B$4:$B$3003,'[1]基础资料'!$A$8,'[1]资金台帐'!$M$4:$M$3003,"内部转账",'[1]资金台帐'!$N$4:$N$3003,'首页'!$B$4*100+E$5)-SUMIFS('[1]资金台帐'!$G$4:$G$3003,'[1]资金台帐'!$B$4:$B$3003,'[1]基础资料'!$A$8,'[1]资金台帐'!$M$4:$M$3003,"内部转账",'[1]资金台帐'!$N$4:$N$3003,'首页'!$B$4*100+E$5)+SUMIFS('[1]资金台帐'!$G$4:$G$3003,'[1]资金台帐'!$I$4:$I$3003,'[1]基础资料'!$A$8,'[1]资金台帐'!$M$4:$M$3003,"内部转账",'[1]资金台帐'!$N$4:$N$3003,'首页'!$B$4*100+E$5)-SUMIFS('[1]资金台帐'!$H$4:$H$3003,'[1]资金台帐'!$I$4:$I$3003,'[1]基础资料'!$A$8,'[1]资金台帐'!$M$4:$M$3003,"内部转账",'[1]资金台帐'!$N$4:$N$3003,'首页'!$B$4*100+E$5)</f>
        <v>0</v>
      </c>
      <c r="F27" s="9">
        <f>SUMIFS('[1]资金台帐'!$H$4:$H$3003,'[1]资金台帐'!$B$4:$B$3003,'[1]基础资料'!$A$8,'[1]资金台帐'!$M$4:$M$3003,"内部转账",'[1]资金台帐'!$N$4:$N$3003,'首页'!$B$4*100+F$5)-SUMIFS('[1]资金台帐'!$G$4:$G$3003,'[1]资金台帐'!$B$4:$B$3003,'[1]基础资料'!$A$8,'[1]资金台帐'!$M$4:$M$3003,"内部转账",'[1]资金台帐'!$N$4:$N$3003,'首页'!$B$4*100+F$5)+SUMIFS('[1]资金台帐'!$G$4:$G$3003,'[1]资金台帐'!$I$4:$I$3003,'[1]基础资料'!$A$8,'[1]资金台帐'!$M$4:$M$3003,"内部转账",'[1]资金台帐'!$N$4:$N$3003,'首页'!$B$4*100+F$5)-SUMIFS('[1]资金台帐'!$H$4:$H$3003,'[1]资金台帐'!$I$4:$I$3003,'[1]基础资料'!$A$8,'[1]资金台帐'!$M$4:$M$3003,"内部转账",'[1]资金台帐'!$N$4:$N$3003,'首页'!$B$4*100+F$5)</f>
        <v>0</v>
      </c>
      <c r="G27" s="9">
        <f>SUMIFS('[1]资金台帐'!$H$4:$H$3003,'[1]资金台帐'!$B$4:$B$3003,'[1]基础资料'!$A$8,'[1]资金台帐'!$M$4:$M$3003,"内部转账",'[1]资金台帐'!$N$4:$N$3003,'首页'!$B$4*100+G$5)-SUMIFS('[1]资金台帐'!$G$4:$G$3003,'[1]资金台帐'!$B$4:$B$3003,'[1]基础资料'!$A$8,'[1]资金台帐'!$M$4:$M$3003,"内部转账",'[1]资金台帐'!$N$4:$N$3003,'首页'!$B$4*100+G$5)+SUMIFS('[1]资金台帐'!$G$4:$G$3003,'[1]资金台帐'!$I$4:$I$3003,'[1]基础资料'!$A$8,'[1]资金台帐'!$M$4:$M$3003,"内部转账",'[1]资金台帐'!$N$4:$N$3003,'首页'!$B$4*100+G$5)-SUMIFS('[1]资金台帐'!$H$4:$H$3003,'[1]资金台帐'!$I$4:$I$3003,'[1]基础资料'!$A$8,'[1]资金台帐'!$M$4:$M$3003,"内部转账",'[1]资金台帐'!$N$4:$N$3003,'首页'!$B$4*100+G$5)</f>
        <v>0</v>
      </c>
      <c r="H27" s="9">
        <f>SUMIFS('[1]资金台帐'!$H$4:$H$3003,'[1]资金台帐'!$B$4:$B$3003,'[1]基础资料'!$A$8,'[1]资金台帐'!$M$4:$M$3003,"内部转账",'[1]资金台帐'!$N$4:$N$3003,'首页'!$B$4*100+H$5)-SUMIFS('[1]资金台帐'!$G$4:$G$3003,'[1]资金台帐'!$B$4:$B$3003,'[1]基础资料'!$A$8,'[1]资金台帐'!$M$4:$M$3003,"内部转账",'[1]资金台帐'!$N$4:$N$3003,'首页'!$B$4*100+H$5)+SUMIFS('[1]资金台帐'!$G$4:$G$3003,'[1]资金台帐'!$I$4:$I$3003,'[1]基础资料'!$A$8,'[1]资金台帐'!$M$4:$M$3003,"内部转账",'[1]资金台帐'!$N$4:$N$3003,'首页'!$B$4*100+H$5)-SUMIFS('[1]资金台帐'!$H$4:$H$3003,'[1]资金台帐'!$I$4:$I$3003,'[1]基础资料'!$A$8,'[1]资金台帐'!$M$4:$M$3003,"内部转账",'[1]资金台帐'!$N$4:$N$3003,'首页'!$B$4*100+H$5)</f>
        <v>0</v>
      </c>
      <c r="I27" s="9">
        <f>SUMIFS('[1]资金台帐'!$H$4:$H$3003,'[1]资金台帐'!$B$4:$B$3003,'[1]基础资料'!$A$8,'[1]资金台帐'!$M$4:$M$3003,"内部转账",'[1]资金台帐'!$N$4:$N$3003,'首页'!$B$4*100+I$5)-SUMIFS('[1]资金台帐'!$G$4:$G$3003,'[1]资金台帐'!$B$4:$B$3003,'[1]基础资料'!$A$8,'[1]资金台帐'!$M$4:$M$3003,"内部转账",'[1]资金台帐'!$N$4:$N$3003,'首页'!$B$4*100+I$5)+SUMIFS('[1]资金台帐'!$G$4:$G$3003,'[1]资金台帐'!$I$4:$I$3003,'[1]基础资料'!$A$8,'[1]资金台帐'!$M$4:$M$3003,"内部转账",'[1]资金台帐'!$N$4:$N$3003,'首页'!$B$4*100+I$5)-SUMIFS('[1]资金台帐'!$H$4:$H$3003,'[1]资金台帐'!$I$4:$I$3003,'[1]基础资料'!$A$8,'[1]资金台帐'!$M$4:$M$3003,"内部转账",'[1]资金台帐'!$N$4:$N$3003,'首页'!$B$4*100+I$5)</f>
        <v>0</v>
      </c>
      <c r="J27" s="9">
        <f>SUMIFS('[1]资金台帐'!$H$4:$H$3003,'[1]资金台帐'!$B$4:$B$3003,'[1]基础资料'!$A$8,'[1]资金台帐'!$M$4:$M$3003,"内部转账",'[1]资金台帐'!$N$4:$N$3003,'首页'!$B$4*100+J$5)-SUMIFS('[1]资金台帐'!$G$4:$G$3003,'[1]资金台帐'!$B$4:$B$3003,'[1]基础资料'!$A$8,'[1]资金台帐'!$M$4:$M$3003,"内部转账",'[1]资金台帐'!$N$4:$N$3003,'首页'!$B$4*100+J$5)+SUMIFS('[1]资金台帐'!$G$4:$G$3003,'[1]资金台帐'!$I$4:$I$3003,'[1]基础资料'!$A$8,'[1]资金台帐'!$M$4:$M$3003,"内部转账",'[1]资金台帐'!$N$4:$N$3003,'首页'!$B$4*100+J$5)-SUMIFS('[1]资金台帐'!$H$4:$H$3003,'[1]资金台帐'!$I$4:$I$3003,'[1]基础资料'!$A$8,'[1]资金台帐'!$M$4:$M$3003,"内部转账",'[1]资金台帐'!$N$4:$N$3003,'首页'!$B$4*100+J$5)</f>
        <v>0</v>
      </c>
      <c r="K27" s="9">
        <f>SUMIFS('[1]资金台帐'!$H$4:$H$3003,'[1]资金台帐'!$B$4:$B$3003,'[1]基础资料'!$A$8,'[1]资金台帐'!$M$4:$M$3003,"内部转账",'[1]资金台帐'!$N$4:$N$3003,'首页'!$B$4*100+K$5)-SUMIFS('[1]资金台帐'!$G$4:$G$3003,'[1]资金台帐'!$B$4:$B$3003,'[1]基础资料'!$A$8,'[1]资金台帐'!$M$4:$M$3003,"内部转账",'[1]资金台帐'!$N$4:$N$3003,'首页'!$B$4*100+K$5)+SUMIFS('[1]资金台帐'!$G$4:$G$3003,'[1]资金台帐'!$I$4:$I$3003,'[1]基础资料'!$A$8,'[1]资金台帐'!$M$4:$M$3003,"内部转账",'[1]资金台帐'!$N$4:$N$3003,'首页'!$B$4*100+K$5)-SUMIFS('[1]资金台帐'!$H$4:$H$3003,'[1]资金台帐'!$I$4:$I$3003,'[1]基础资料'!$A$8,'[1]资金台帐'!$M$4:$M$3003,"内部转账",'[1]资金台帐'!$N$4:$N$3003,'首页'!$B$4*100+K$5)</f>
        <v>100000</v>
      </c>
      <c r="L27" s="9">
        <f>SUMIFS('[1]资金台帐'!$H$4:$H$3003,'[1]资金台帐'!$B$4:$B$3003,'[1]基础资料'!$A$8,'[1]资金台帐'!$M$4:$M$3003,"内部转账",'[1]资金台帐'!$N$4:$N$3003,'首页'!$B$4*100+L$5)-SUMIFS('[1]资金台帐'!$G$4:$G$3003,'[1]资金台帐'!$B$4:$B$3003,'[1]基础资料'!$A$8,'[1]资金台帐'!$M$4:$M$3003,"内部转账",'[1]资金台帐'!$N$4:$N$3003,'首页'!$B$4*100+L$5)+SUMIFS('[1]资金台帐'!$G$4:$G$3003,'[1]资金台帐'!$I$4:$I$3003,'[1]基础资料'!$A$8,'[1]资金台帐'!$M$4:$M$3003,"内部转账",'[1]资金台帐'!$N$4:$N$3003,'首页'!$B$4*100+L$5)-SUMIFS('[1]资金台帐'!$H$4:$H$3003,'[1]资金台帐'!$I$4:$I$3003,'[1]基础资料'!$A$8,'[1]资金台帐'!$M$4:$M$3003,"内部转账",'[1]资金台帐'!$N$4:$N$3003,'首页'!$B$4*100+L$5)</f>
        <v>0</v>
      </c>
      <c r="M27" s="9">
        <f>SUMIFS('[1]资金台帐'!$H$4:$H$3003,'[1]资金台帐'!$B$4:$B$3003,'[1]基础资料'!$A$8,'[1]资金台帐'!$M$4:$M$3003,"内部转账",'[1]资金台帐'!$N$4:$N$3003,'首页'!$B$4*100+M$5)-SUMIFS('[1]资金台帐'!$G$4:$G$3003,'[1]资金台帐'!$B$4:$B$3003,'[1]基础资料'!$A$8,'[1]资金台帐'!$M$4:$M$3003,"内部转账",'[1]资金台帐'!$N$4:$N$3003,'首页'!$B$4*100+M$5)+SUMIFS('[1]资金台帐'!$G$4:$G$3003,'[1]资金台帐'!$I$4:$I$3003,'[1]基础资料'!$A$8,'[1]资金台帐'!$M$4:$M$3003,"内部转账",'[1]资金台帐'!$N$4:$N$3003,'首页'!$B$4*100+M$5)-SUMIFS('[1]资金台帐'!$H$4:$H$3003,'[1]资金台帐'!$I$4:$I$3003,'[1]基础资料'!$A$8,'[1]资金台帐'!$M$4:$M$3003,"内部转账",'[1]资金台帐'!$N$4:$N$3003,'首页'!$B$4*100+M$5)</f>
        <v>0</v>
      </c>
      <c r="N27" s="9">
        <f>SUMIFS('[1]资金台帐'!$H$4:$H$3003,'[1]资金台帐'!$B$4:$B$3003,'[1]基础资料'!$A$8,'[1]资金台帐'!$M$4:$M$3003,"内部转账",'[1]资金台帐'!$N$4:$N$3003,'首页'!$B$4*100+N$5)-SUMIFS('[1]资金台帐'!$G$4:$G$3003,'[1]资金台帐'!$B$4:$B$3003,'[1]基础资料'!$A$8,'[1]资金台帐'!$M$4:$M$3003,"内部转账",'[1]资金台帐'!$N$4:$N$3003,'首页'!$B$4*100+N$5)+SUMIFS('[1]资金台帐'!$G$4:$G$3003,'[1]资金台帐'!$I$4:$I$3003,'[1]基础资料'!$A$8,'[1]资金台帐'!$M$4:$M$3003,"内部转账",'[1]资金台帐'!$N$4:$N$3003,'首页'!$B$4*100+N$5)-SUMIFS('[1]资金台帐'!$H$4:$H$3003,'[1]资金台帐'!$I$4:$I$3003,'[1]基础资料'!$A$8,'[1]资金台帐'!$M$4:$M$3003,"内部转账",'[1]资金台帐'!$N$4:$N$3003,'首页'!$B$4*100+N$5)</f>
        <v>0</v>
      </c>
      <c r="O27" s="9">
        <f>SUM(C27:N27)</f>
        <v>100000</v>
      </c>
    </row>
    <row r="28">
      <c r="A28" s="8" t="inlineStr">
        <is>
          <t>提现差异（台帐－账务明细）</t>
        </is>
      </c>
      <c r="B28" s="8" t="n"/>
      <c r="C28" s="9">
        <f>ROUND(C27+SUMIFS('[1]粘贴_账务明细'!$K$4:$K$3003,'[1]粘贴_账务明细'!$L$4:$L$3003,"提现",'[1]粘贴_账务明细'!$I$4:$I$3003,'首页'!$B$4*100+C$5),2)</f>
        <v>0</v>
      </c>
      <c r="D28" s="9">
        <f>ROUND(D27+SUMIFS('[1]粘贴_账务明细'!$K$4:$K$3003,'[1]粘贴_账务明细'!$L$4:$L$3003,"提现",'[1]粘贴_账务明细'!$I$4:$I$3003,'首页'!$B$4*100+D$5),2)</f>
        <v>0</v>
      </c>
      <c r="E28" s="9">
        <f>ROUND(E27+SUMIFS('[1]粘贴_账务明细'!$K$4:$K$3003,'[1]粘贴_账务明细'!$L$4:$L$3003,"提现",'[1]粘贴_账务明细'!$I$4:$I$3003,'首页'!$B$4*100+E$5),2)</f>
        <v>0</v>
      </c>
      <c r="F28" s="9">
        <f>ROUND(F27+SUMIFS('[1]粘贴_账务明细'!$K$4:$K$3003,'[1]粘贴_账务明细'!$L$4:$L$3003,"提现",'[1]粘贴_账务明细'!$I$4:$I$3003,'首页'!$B$4*100+F$5),2)</f>
        <v>0</v>
      </c>
      <c r="G28" s="9">
        <f>ROUND(G27+SUMIFS('[1]粘贴_账务明细'!$K$4:$K$3003,'[1]粘贴_账务明细'!$L$4:$L$3003,"提现",'[1]粘贴_账务明细'!$I$4:$I$3003,'首页'!$B$4*100+G$5),2)</f>
        <v>0</v>
      </c>
      <c r="H28" s="9">
        <f>ROUND(H27+SUMIFS('[1]粘贴_账务明细'!$K$4:$K$3003,'[1]粘贴_账务明细'!$L$4:$L$3003,"提现",'[1]粘贴_账务明细'!$I$4:$I$3003,'首页'!$B$4*100+H$5),2)</f>
        <v>0</v>
      </c>
      <c r="I28" s="9">
        <f>ROUND(I27+SUMIFS('[1]粘贴_账务明细'!$K$4:$K$3003,'[1]粘贴_账务明细'!$L$4:$L$3003,"提现",'[1]粘贴_账务明细'!$I$4:$I$3003,'首页'!$B$4*100+I$5),2)</f>
        <v>0</v>
      </c>
      <c r="J28" s="9">
        <f>ROUND(J27+SUMIFS('[1]粘贴_账务明细'!$K$4:$K$3003,'[1]粘贴_账务明细'!$L$4:$L$3003,"提现",'[1]粘贴_账务明细'!$I$4:$I$3003,'首页'!$B$4*100+J$5),2)</f>
        <v>0</v>
      </c>
      <c r="K28" s="9">
        <f>ROUND(K27+SUMIFS('[1]粘贴_账务明细'!$K$4:$K$3003,'[1]粘贴_账务明细'!$L$4:$L$3003,"提现",'[1]粘贴_账务明细'!$I$4:$I$3003,'首页'!$B$4*100+K$5),2)</f>
        <v>0</v>
      </c>
      <c r="L28" s="9">
        <f>ROUND(L27+SUMIFS('[1]粘贴_账务明细'!$K$4:$K$3003,'[1]粘贴_账务明细'!$L$4:$L$3003,"提现",'[1]粘贴_账务明细'!$I$4:$I$3003,'首页'!$B$4*100+L$5),2)</f>
        <v>0</v>
      </c>
      <c r="M28" s="9">
        <f>ROUND(M27+SUMIFS('[1]粘贴_账务明细'!$K$4:$K$3003,'[1]粘贴_账务明细'!$L$4:$L$3003,"提现",'[1]粘贴_账务明细'!$I$4:$I$3003,'首页'!$B$4*100+M$5),2)</f>
        <v>0</v>
      </c>
      <c r="N28" s="9">
        <f>ROUND(N27+SUMIFS('[1]粘贴_账务明细'!$K$4:$K$3003,'[1]粘贴_账务明细'!$L$4:$L$3003,"提现",'[1]粘贴_账务明细'!$I$4:$I$3003,'首页'!$B$4*100+N$5),2)</f>
        <v>0</v>
      </c>
      <c r="O28" s="9">
        <f>SUM(C28:N28)</f>
        <v>0</v>
      </c>
    </row>
    <row r="29"/>
    <row r="30">
      <c r="A30" s="13" t="inlineStr">
        <is>
          <t>二、批次核对　A. 账务明细里到账的批次（补贴汇入／技术服务费返还）→ 对账单里同一批次号的合计</t>
        </is>
      </c>
      <c r="P30" s="10">
        <f>'[1]粘贴_账务明细'!$N$3003</f>
        <v>7</v>
      </c>
      <c r="Q30" s="2" t="inlineStr">
        <is>
          <t>← 批数</t>
        </is>
      </c>
    </row>
    <row r="31">
      <c r="A31" s="5" t="inlineStr">
        <is>
          <t>序</t>
        </is>
      </c>
      <c r="B31" s="5" t="inlineStr">
        <is>
          <t>到账时间</t>
        </is>
      </c>
      <c r="C31" s="5" t="inlineStr">
        <is>
          <t>类型</t>
        </is>
      </c>
      <c r="D31" s="5" t="inlineStr">
        <is>
          <t>批次号</t>
        </is>
      </c>
      <c r="E31" s="5" t="inlineStr">
        <is>
          <t>到账金额</t>
        </is>
      </c>
      <c r="F31" s="5" t="inlineStr">
        <is>
          <t>营销活动对账单</t>
        </is>
      </c>
      <c r="G31" s="5" t="inlineStr">
        <is>
          <t>服务费返还账单</t>
        </is>
      </c>
      <c r="H31" s="5" t="inlineStr">
        <is>
          <t>对账单笔数</t>
        </is>
      </c>
      <c r="I31" s="5" t="inlineStr">
        <is>
          <t>差额</t>
        </is>
      </c>
      <c r="J31" s="5" t="inlineStr">
        <is>
          <t>结论</t>
        </is>
      </c>
      <c r="P31" s="5" t="inlineStr">
        <is>
          <t>(位置)</t>
        </is>
      </c>
    </row>
    <row r="32">
      <c r="A32" s="10" t="n">
        <v>1</v>
      </c>
      <c r="B32" s="16">
        <f>IF($P32="","",INDEX('[1]粘贴_账务明细'!$H$4:$H$3003,$P32))</f>
        <v>46289.37480324074</v>
      </c>
      <c r="C32" s="6" t="str">
        <f>IF($P32="","",INDEX('[1]粘贴_账务明细'!$L$4:$L$3003,$P32))</f>
        <v>技术服务费返还</v>
      </c>
      <c r="D32" s="6" t="str">
        <f>IF($P32="","",INDEX('[1]粘贴_账务明细'!$M$4:$M$3003,$P32))</f>
        <v>BO260915078057502</v>
      </c>
      <c r="E32" s="11">
        <f>IF($P32="","",INDEX('[1]粘贴_账务明细'!$K$4:$K$3003,$P32))</f>
        <v>4586.81</v>
      </c>
      <c r="F32" s="11">
        <f>IF($P32="","",SUMIFS('[1]粘贴_营销活动'!$M$4:$M$3003,'[1]粘贴_营销活动'!$I$4:$I$3003,$D32))</f>
        <v>0</v>
      </c>
      <c r="G32" s="11">
        <f>IF($P32="","",SUMIFS('[1]粘贴_服务费返还'!$M$4:$M$3003,'[1]粘贴_服务费返还'!$I$4:$I$3003,$D32))</f>
        <v>4586.81</v>
      </c>
      <c r="H32" s="10">
        <f>IF($P32="","",COUNTIFS('[1]粘贴_营销活动'!$I$4:$I$3003,$D32)+COUNTIFS('[1]粘贴_服务费返还'!$I$4:$I$3003,$D32))</f>
        <v>65</v>
      </c>
      <c r="I32" s="11">
        <f t="shared" ref="I32:I91" si="2">IF($P32="","",ROUND(E32-F32-G32,2))</f>
        <v>0</v>
      </c>
      <c r="J32" s="6" t="str">
        <f t="shared" ref="J32:J91" si="4">IF($P32="","",IF(H32=0,"对账单里没有这批明细",IF(ABS(I32)&lt;0.01,"对上","差 "&amp;TEXT(I32,"0.00"))))</f>
        <v>对上</v>
      </c>
      <c r="P32" s="17">
        <f>IF(A32&gt;$P$30,"",MATCH(A32,'[1]粘贴_账务明细'!$N$4:$N$3003,0))</f>
        <v>93</v>
      </c>
    </row>
    <row r="33">
      <c r="A33" s="10" t="n">
        <v>2</v>
      </c>
      <c r="B33" s="16">
        <f>IF($P33="","",INDEX('[1]粘贴_账务明细'!$H$4:$H$3003,$P33))</f>
        <v>46280.00565972222</v>
      </c>
      <c r="C33" s="6" t="str">
        <f>IF($P33="","",INDEX('[1]粘贴_账务明细'!$L$4:$L$3003,$P33))</f>
        <v>补贴汇入</v>
      </c>
      <c r="D33" s="6" t="str">
        <f>IF($P33="","",INDEX('[1]粘贴_账务明细'!$M$4:$M$3003,$P33))</f>
        <v>BO260825067002610</v>
      </c>
      <c r="E33" s="11">
        <f>IF($P33="","",INDEX('[1]粘贴_账务明细'!$K$4:$K$3003,$P33))</f>
        <v>690</v>
      </c>
      <c r="F33" s="11">
        <f>IF($P33="","",SUMIFS('[1]粘贴_营销活动'!$M$4:$M$3003,'[1]粘贴_营销活动'!$I$4:$I$3003,$D33))</f>
        <v>0</v>
      </c>
      <c r="G33" s="11">
        <f>IF($P33="","",SUMIFS('[1]粘贴_服务费返还'!$M$4:$M$3003,'[1]粘贴_服务费返还'!$I$4:$I$3003,$D33))</f>
        <v>0</v>
      </c>
      <c r="H33" s="10">
        <f>IF($P33="","",COUNTIFS('[1]粘贴_营销活动'!$I$4:$I$3003,$D33)+COUNTIFS('[1]粘贴_服务费返还'!$I$4:$I$3003,$D33))</f>
        <v>0</v>
      </c>
      <c r="I33" s="11">
        <f t="shared" si="2"/>
        <v>690</v>
      </c>
      <c r="J33" s="6" t="str">
        <f t="shared" si="4"/>
        <v>对账单里没有这批明细</v>
      </c>
      <c r="P33" s="17">
        <f>IF(A33&gt;$P$30,"",MATCH(A33,'[1]粘贴_账务明细'!$N$4:$N$3003,0))</f>
        <v>239</v>
      </c>
    </row>
    <row r="34">
      <c r="A34" s="10" t="n">
        <v>3</v>
      </c>
      <c r="B34" s="16">
        <f>IF($P34="","",INDEX('[1]粘贴_账务明细'!$H$4:$H$3003,$P34))</f>
        <v>46280.005520833336</v>
      </c>
      <c r="C34" s="6" t="str">
        <f>IF($P34="","",INDEX('[1]粘贴_账务明细'!$L$4:$L$3003,$P34))</f>
        <v>补贴汇入</v>
      </c>
      <c r="D34" s="6" t="str">
        <f>IF($P34="","",INDEX('[1]粘贴_账务明细'!$M$4:$M$3003,$P34))</f>
        <v>BO260904188542622</v>
      </c>
      <c r="E34" s="11">
        <f>IF($P34="","",INDEX('[1]粘贴_账务明细'!$K$4:$K$3003,$P34))</f>
        <v>310</v>
      </c>
      <c r="F34" s="11">
        <f>IF($P34="","",SUMIFS('[1]粘贴_营销活动'!$M$4:$M$3003,'[1]粘贴_营销活动'!$I$4:$I$3003,$D34))</f>
        <v>0</v>
      </c>
      <c r="G34" s="11">
        <f>IF($P34="","",SUMIFS('[1]粘贴_服务费返还'!$M$4:$M$3003,'[1]粘贴_服务费返还'!$I$4:$I$3003,$D34))</f>
        <v>0</v>
      </c>
      <c r="H34" s="10">
        <f>IF($P34="","",COUNTIFS('[1]粘贴_营销活动'!$I$4:$I$3003,$D34)+COUNTIFS('[1]粘贴_服务费返还'!$I$4:$I$3003,$D34))</f>
        <v>0</v>
      </c>
      <c r="I34" s="11">
        <f t="shared" si="2"/>
        <v>310</v>
      </c>
      <c r="J34" s="6" t="str">
        <f t="shared" si="4"/>
        <v>对账单里没有这批明细</v>
      </c>
      <c r="P34" s="17">
        <f>IF(A34&gt;$P$30,"",MATCH(A34,'[1]粘贴_账务明细'!$N$4:$N$3003,0))</f>
        <v>240</v>
      </c>
    </row>
    <row r="35">
      <c r="A35" s="10" t="n">
        <v>4</v>
      </c>
      <c r="B35" s="16">
        <f>IF($P35="","",INDEX('[1]粘贴_账务明细'!$H$4:$H$3003,$P35))</f>
        <v>46280.005474537036</v>
      </c>
      <c r="C35" s="6" t="str">
        <f>IF($P35="","",INDEX('[1]粘贴_账务明细'!$L$4:$L$3003,$P35))</f>
        <v>补贴汇入</v>
      </c>
      <c r="D35" s="6" t="str">
        <f>IF($P35="","",INDEX('[1]粘贴_账务明细'!$M$4:$M$3003,$P35))</f>
        <v>BO260828184556094</v>
      </c>
      <c r="E35" s="11">
        <f>IF($P35="","",INDEX('[1]粘贴_账务明细'!$K$4:$K$3003,$P35))</f>
        <v>600</v>
      </c>
      <c r="F35" s="11">
        <f>IF($P35="","",SUMIFS('[1]粘贴_营销活动'!$M$4:$M$3003,'[1]粘贴_营销活动'!$I$4:$I$3003,$D35))</f>
        <v>0</v>
      </c>
      <c r="G35" s="11">
        <f>IF($P35="","",SUMIFS('[1]粘贴_服务费返还'!$M$4:$M$3003,'[1]粘贴_服务费返还'!$I$4:$I$3003,$D35))</f>
        <v>0</v>
      </c>
      <c r="H35" s="10">
        <f>IF($P35="","",COUNTIFS('[1]粘贴_营销活动'!$I$4:$I$3003,$D35)+COUNTIFS('[1]粘贴_服务费返还'!$I$4:$I$3003,$D35))</f>
        <v>0</v>
      </c>
      <c r="I35" s="11">
        <f t="shared" si="2"/>
        <v>600</v>
      </c>
      <c r="J35" s="6" t="str">
        <f t="shared" si="4"/>
        <v>对账单里没有这批明细</v>
      </c>
      <c r="P35" s="17">
        <f>IF(A35&gt;$P$30,"",MATCH(A35,'[1]粘贴_账务明细'!$N$4:$N$3003,0))</f>
        <v>241</v>
      </c>
    </row>
    <row r="36">
      <c r="A36" s="10" t="n">
        <v>5</v>
      </c>
      <c r="B36" s="16">
        <f>IF($P36="","",INDEX('[1]粘贴_账务明细'!$H$4:$H$3003,$P36))</f>
        <v>46280.00546296296</v>
      </c>
      <c r="C36" s="6" t="str">
        <f>IF($P36="","",INDEX('[1]粘贴_账务明细'!$L$4:$L$3003,$P36))</f>
        <v>补贴汇入</v>
      </c>
      <c r="D36" s="6" t="str">
        <f>IF($P36="","",INDEX('[1]粘贴_账务明细'!$M$4:$M$3003,$P36))</f>
        <v>BO260904071810200</v>
      </c>
      <c r="E36" s="11">
        <f>IF($P36="","",INDEX('[1]粘贴_账务明细'!$K$4:$K$3003,$P36))</f>
        <v>660</v>
      </c>
      <c r="F36" s="11">
        <f>IF($P36="","",SUMIFS('[1]粘贴_营销活动'!$M$4:$M$3003,'[1]粘贴_营销活动'!$I$4:$I$3003,$D36))</f>
        <v>0</v>
      </c>
      <c r="G36" s="11">
        <f>IF($P36="","",SUMIFS('[1]粘贴_服务费返还'!$M$4:$M$3003,'[1]粘贴_服务费返还'!$I$4:$I$3003,$D36))</f>
        <v>0</v>
      </c>
      <c r="H36" s="10">
        <f>IF($P36="","",COUNTIFS('[1]粘贴_营销活动'!$I$4:$I$3003,$D36)+COUNTIFS('[1]粘贴_服务费返还'!$I$4:$I$3003,$D36))</f>
        <v>0</v>
      </c>
      <c r="I36" s="11">
        <f t="shared" si="2"/>
        <v>660</v>
      </c>
      <c r="J36" s="6" t="str">
        <f t="shared" si="4"/>
        <v>对账单里没有这批明细</v>
      </c>
      <c r="P36" s="17">
        <f>IF(A36&gt;$P$30,"",MATCH(A36,'[1]粘贴_账务明细'!$N$4:$N$3003,0))</f>
        <v>242</v>
      </c>
    </row>
    <row r="37">
      <c r="A37" s="10" t="n">
        <v>6</v>
      </c>
      <c r="B37" s="16">
        <f>IF($P37="","",INDEX('[1]粘贴_账务明细'!$H$4:$H$3003,$P37))</f>
        <v>46280.00491898148</v>
      </c>
      <c r="C37" s="6" t="str">
        <f>IF($P37="","",INDEX('[1]粘贴_账务明细'!$L$4:$L$3003,$P37))</f>
        <v>补贴汇入</v>
      </c>
      <c r="D37" s="6" t="str">
        <f>IF($P37="","",INDEX('[1]粘贴_账务明细'!$M$4:$M$3003,$P37))</f>
        <v>BO260828184181181</v>
      </c>
      <c r="E37" s="11">
        <f>IF($P37="","",INDEX('[1]粘贴_账务明细'!$K$4:$K$3003,$P37))</f>
        <v>1710</v>
      </c>
      <c r="F37" s="11">
        <f>IF($P37="","",SUMIFS('[1]粘贴_营销活动'!$M$4:$M$3003,'[1]粘贴_营销活动'!$I$4:$I$3003,$D37))</f>
        <v>0</v>
      </c>
      <c r="G37" s="11">
        <f>IF($P37="","",SUMIFS('[1]粘贴_服务费返还'!$M$4:$M$3003,'[1]粘贴_服务费返还'!$I$4:$I$3003,$D37))</f>
        <v>0</v>
      </c>
      <c r="H37" s="10">
        <f>IF($P37="","",COUNTIFS('[1]粘贴_营销活动'!$I$4:$I$3003,$D37)+COUNTIFS('[1]粘贴_服务费返还'!$I$4:$I$3003,$D37))</f>
        <v>0</v>
      </c>
      <c r="I37" s="11">
        <f t="shared" si="2"/>
        <v>1710</v>
      </c>
      <c r="J37" s="6" t="str">
        <f t="shared" si="4"/>
        <v>对账单里没有这批明细</v>
      </c>
      <c r="P37" s="17">
        <f>IF(A37&gt;$P$30,"",MATCH(A37,'[1]粘贴_账务明细'!$N$4:$N$3003,0))</f>
        <v>243</v>
      </c>
    </row>
    <row r="38">
      <c r="A38" s="10" t="n">
        <v>7</v>
      </c>
      <c r="B38" s="16">
        <f>IF($P38="","",INDEX('[1]粘贴_账务明细'!$H$4:$H$3003,$P38))</f>
        <v>46273.400347222225</v>
      </c>
      <c r="C38" s="6" t="str">
        <f>IF($P38="","",INDEX('[1]粘贴_账务明细'!$L$4:$L$3003,$P38))</f>
        <v>技术服务费返还</v>
      </c>
      <c r="D38" s="6" t="str">
        <f>IF($P38="","",INDEX('[1]粘贴_账务明细'!$M$4:$M$3003,$P38))</f>
        <v>BO260904188278880</v>
      </c>
      <c r="E38" s="11">
        <f>IF($P38="","",INDEX('[1]粘贴_账务明细'!$K$4:$K$3003,$P38))</f>
        <v>21.59</v>
      </c>
      <c r="F38" s="11">
        <f>IF($P38="","",SUMIFS('[1]粘贴_营销活动'!$M$4:$M$3003,'[1]粘贴_营销活动'!$I$4:$I$3003,$D38))</f>
        <v>0</v>
      </c>
      <c r="G38" s="11">
        <f>IF($P38="","",SUMIFS('[1]粘贴_服务费返还'!$M$4:$M$3003,'[1]粘贴_服务费返还'!$I$4:$I$3003,$D38))</f>
        <v>0</v>
      </c>
      <c r="H38" s="10">
        <f>IF($P38="","",COUNTIFS('[1]粘贴_营销活动'!$I$4:$I$3003,$D38)+COUNTIFS('[1]粘贴_服务费返还'!$I$4:$I$3003,$D38))</f>
        <v>0</v>
      </c>
      <c r="I38" s="11">
        <f t="shared" si="2"/>
        <v>21.59</v>
      </c>
      <c r="J38" s="6" t="str">
        <f t="shared" si="4"/>
        <v>对账单里没有这批明细</v>
      </c>
      <c r="P38" s="17">
        <f>IF(A38&gt;$P$30,"",MATCH(A38,'[1]粘贴_账务明细'!$N$4:$N$3003,0))</f>
        <v>292</v>
      </c>
    </row>
    <row r="39">
      <c r="A39" s="10" t="n">
        <v>8</v>
      </c>
      <c r="B39" s="16">
        <f>IF($P39="","",INDEX('[1]粘贴_账务明细'!$H$4:$H$3003,$P39))</f>
      </c>
      <c r="C39" s="6">
        <f>IF($P39="","",INDEX('[1]粘贴_账务明细'!$L$4:$L$3003,$P39))</f>
      </c>
      <c r="D39" s="6">
        <f>IF($P39="","",INDEX('[1]粘贴_账务明细'!$M$4:$M$3003,$P39))</f>
      </c>
      <c r="E39" s="11">
        <f>IF($P39="","",INDEX('[1]粘贴_账务明细'!$K$4:$K$3003,$P39))</f>
      </c>
      <c r="F39" s="11">
        <f>IF($P39="","",SUMIFS('[1]粘贴_营销活动'!$M$4:$M$3003,'[1]粘贴_营销活动'!$I$4:$I$3003,$D39))</f>
      </c>
      <c r="G39" s="11">
        <f>IF($P39="","",SUMIFS('[1]粘贴_服务费返还'!$M$4:$M$3003,'[1]粘贴_服务费返还'!$I$4:$I$3003,$D39))</f>
      </c>
      <c r="H39" s="10">
        <f>IF($P39="","",COUNTIFS('[1]粘贴_营销活动'!$I$4:$I$3003,$D39)+COUNTIFS('[1]粘贴_服务费返还'!$I$4:$I$3003,$D39))</f>
      </c>
      <c r="I39" s="11">
        <f t="shared" si="2"/>
      </c>
      <c r="J39" s="6">
        <f t="shared" si="4"/>
      </c>
      <c r="P39" s="17">
        <f>IF(A39&gt;$P$30,"",MATCH(A39,'[1]粘贴_账务明细'!$N$4:$N$3003,0))</f>
      </c>
    </row>
    <row r="40">
      <c r="A40" s="10" t="n">
        <v>9</v>
      </c>
      <c r="B40" s="16">
        <f>IF($P40="","",INDEX('[1]粘贴_账务明细'!$H$4:$H$3003,$P40))</f>
      </c>
      <c r="C40" s="6">
        <f>IF($P40="","",INDEX('[1]粘贴_账务明细'!$L$4:$L$3003,$P40))</f>
      </c>
      <c r="D40" s="6">
        <f>IF($P40="","",INDEX('[1]粘贴_账务明细'!$M$4:$M$3003,$P40))</f>
      </c>
      <c r="E40" s="11">
        <f>IF($P40="","",INDEX('[1]粘贴_账务明细'!$K$4:$K$3003,$P40))</f>
      </c>
      <c r="F40" s="11">
        <f>IF($P40="","",SUMIFS('[1]粘贴_营销活动'!$M$4:$M$3003,'[1]粘贴_营销活动'!$I$4:$I$3003,$D40))</f>
      </c>
      <c r="G40" s="11">
        <f>IF($P40="","",SUMIFS('[1]粘贴_服务费返还'!$M$4:$M$3003,'[1]粘贴_服务费返还'!$I$4:$I$3003,$D40))</f>
      </c>
      <c r="H40" s="10">
        <f>IF($P40="","",COUNTIFS('[1]粘贴_营销活动'!$I$4:$I$3003,$D40)+COUNTIFS('[1]粘贴_服务费返还'!$I$4:$I$3003,$D40))</f>
      </c>
      <c r="I40" s="11">
        <f t="shared" si="2"/>
      </c>
      <c r="J40" s="6">
        <f t="shared" si="4"/>
      </c>
      <c r="P40" s="17">
        <f>IF(A40&gt;$P$30,"",MATCH(A40,'[1]粘贴_账务明细'!$N$4:$N$3003,0))</f>
      </c>
    </row>
    <row r="41">
      <c r="A41" s="10" t="n">
        <v>10</v>
      </c>
      <c r="B41" s="16">
        <f>IF($P41="","",INDEX('[1]粘贴_账务明细'!$H$4:$H$3003,$P41))</f>
      </c>
      <c r="C41" s="6">
        <f>IF($P41="","",INDEX('[1]粘贴_账务明细'!$L$4:$L$3003,$P41))</f>
      </c>
      <c r="D41" s="6">
        <f>IF($P41="","",INDEX('[1]粘贴_账务明细'!$M$4:$M$3003,$P41))</f>
      </c>
      <c r="E41" s="11">
        <f>IF($P41="","",INDEX('[1]粘贴_账务明细'!$K$4:$K$3003,$P41))</f>
      </c>
      <c r="F41" s="11">
        <f>IF($P41="","",SUMIFS('[1]粘贴_营销活动'!$M$4:$M$3003,'[1]粘贴_营销活动'!$I$4:$I$3003,$D41))</f>
      </c>
      <c r="G41" s="11">
        <f>IF($P41="","",SUMIFS('[1]粘贴_服务费返还'!$M$4:$M$3003,'[1]粘贴_服务费返还'!$I$4:$I$3003,$D41))</f>
      </c>
      <c r="H41" s="10">
        <f>IF($P41="","",COUNTIFS('[1]粘贴_营销活动'!$I$4:$I$3003,$D41)+COUNTIFS('[1]粘贴_服务费返还'!$I$4:$I$3003,$D41))</f>
      </c>
      <c r="I41" s="11">
        <f t="shared" si="2"/>
      </c>
      <c r="J41" s="6">
        <f t="shared" si="4"/>
      </c>
      <c r="P41" s="17">
        <f>IF(A41&gt;$P$30,"",MATCH(A41,'[1]粘贴_账务明细'!$N$4:$N$3003,0))</f>
      </c>
    </row>
    <row r="42">
      <c r="A42" s="10" t="n">
        <v>11</v>
      </c>
      <c r="B42" s="16">
        <f>IF($P42="","",INDEX('[1]粘贴_账务明细'!$H$4:$H$3003,$P42))</f>
      </c>
      <c r="C42" s="6">
        <f>IF($P42="","",INDEX('[1]粘贴_账务明细'!$L$4:$L$3003,$P42))</f>
      </c>
      <c r="D42" s="6">
        <f>IF($P42="","",INDEX('[1]粘贴_账务明细'!$M$4:$M$3003,$P42))</f>
      </c>
      <c r="E42" s="11">
        <f>IF($P42="","",INDEX('[1]粘贴_账务明细'!$K$4:$K$3003,$P42))</f>
      </c>
      <c r="F42" s="11">
        <f>IF($P42="","",SUMIFS('[1]粘贴_营销活动'!$M$4:$M$3003,'[1]粘贴_营销活动'!$I$4:$I$3003,$D42))</f>
      </c>
      <c r="G42" s="11">
        <f>IF($P42="","",SUMIFS('[1]粘贴_服务费返还'!$M$4:$M$3003,'[1]粘贴_服务费返还'!$I$4:$I$3003,$D42))</f>
      </c>
      <c r="H42" s="10">
        <f>IF($P42="","",COUNTIFS('[1]粘贴_营销活动'!$I$4:$I$3003,$D42)+COUNTIFS('[1]粘贴_服务费返还'!$I$4:$I$3003,$D42))</f>
      </c>
      <c r="I42" s="11">
        <f t="shared" si="2"/>
      </c>
      <c r="J42" s="6">
        <f t="shared" si="4"/>
      </c>
      <c r="P42" s="17">
        <f>IF(A42&gt;$P$30,"",MATCH(A42,'[1]粘贴_账务明细'!$N$4:$N$3003,0))</f>
      </c>
    </row>
    <row r="43">
      <c r="A43" s="10" t="n">
        <v>12</v>
      </c>
      <c r="B43" s="16">
        <f>IF($P43="","",INDEX('[1]粘贴_账务明细'!$H$4:$H$3003,$P43))</f>
      </c>
      <c r="C43" s="6">
        <f>IF($P43="","",INDEX('[1]粘贴_账务明细'!$L$4:$L$3003,$P43))</f>
      </c>
      <c r="D43" s="6">
        <f>IF($P43="","",INDEX('[1]粘贴_账务明细'!$M$4:$M$3003,$P43))</f>
      </c>
      <c r="E43" s="11">
        <f>IF($P43="","",INDEX('[1]粘贴_账务明细'!$K$4:$K$3003,$P43))</f>
      </c>
      <c r="F43" s="11">
        <f>IF($P43="","",SUMIFS('[1]粘贴_营销活动'!$M$4:$M$3003,'[1]粘贴_营销活动'!$I$4:$I$3003,$D43))</f>
      </c>
      <c r="G43" s="11">
        <f>IF($P43="","",SUMIFS('[1]粘贴_服务费返还'!$M$4:$M$3003,'[1]粘贴_服务费返还'!$I$4:$I$3003,$D43))</f>
      </c>
      <c r="H43" s="10">
        <f>IF($P43="","",COUNTIFS('[1]粘贴_营销活动'!$I$4:$I$3003,$D43)+COUNTIFS('[1]粘贴_服务费返还'!$I$4:$I$3003,$D43))</f>
      </c>
      <c r="I43" s="11">
        <f t="shared" si="2"/>
      </c>
      <c r="J43" s="6">
        <f t="shared" si="4"/>
      </c>
      <c r="P43" s="17">
        <f>IF(A43&gt;$P$30,"",MATCH(A43,'[1]粘贴_账务明细'!$N$4:$N$3003,0))</f>
      </c>
    </row>
    <row r="44">
      <c r="A44" s="10" t="n">
        <v>13</v>
      </c>
      <c r="B44" s="16">
        <f>IF($P44="","",INDEX('[1]粘贴_账务明细'!$H$4:$H$3003,$P44))</f>
      </c>
      <c r="C44" s="6">
        <f>IF($P44="","",INDEX('[1]粘贴_账务明细'!$L$4:$L$3003,$P44))</f>
      </c>
      <c r="D44" s="6">
        <f>IF($P44="","",INDEX('[1]粘贴_账务明细'!$M$4:$M$3003,$P44))</f>
      </c>
      <c r="E44" s="11">
        <f>IF($P44="","",INDEX('[1]粘贴_账务明细'!$K$4:$K$3003,$P44))</f>
      </c>
      <c r="F44" s="11">
        <f>IF($P44="","",SUMIFS('[1]粘贴_营销活动'!$M$4:$M$3003,'[1]粘贴_营销活动'!$I$4:$I$3003,$D44))</f>
      </c>
      <c r="G44" s="11">
        <f>IF($P44="","",SUMIFS('[1]粘贴_服务费返还'!$M$4:$M$3003,'[1]粘贴_服务费返还'!$I$4:$I$3003,$D44))</f>
      </c>
      <c r="H44" s="10">
        <f>IF($P44="","",COUNTIFS('[1]粘贴_营销活动'!$I$4:$I$3003,$D44)+COUNTIFS('[1]粘贴_服务费返还'!$I$4:$I$3003,$D44))</f>
      </c>
      <c r="I44" s="11">
        <f t="shared" si="2"/>
      </c>
      <c r="J44" s="6">
        <f t="shared" si="4"/>
      </c>
      <c r="P44" s="17">
        <f>IF(A44&gt;$P$30,"",MATCH(A44,'[1]粘贴_账务明细'!$N$4:$N$3003,0))</f>
      </c>
    </row>
    <row r="45">
      <c r="A45" s="10" t="n">
        <v>14</v>
      </c>
      <c r="B45" s="16">
        <f>IF($P45="","",INDEX('[1]粘贴_账务明细'!$H$4:$H$3003,$P45))</f>
      </c>
      <c r="C45" s="6">
        <f>IF($P45="","",INDEX('[1]粘贴_账务明细'!$L$4:$L$3003,$P45))</f>
      </c>
      <c r="D45" s="6">
        <f>IF($P45="","",INDEX('[1]粘贴_账务明细'!$M$4:$M$3003,$P45))</f>
      </c>
      <c r="E45" s="11">
        <f>IF($P45="","",INDEX('[1]粘贴_账务明细'!$K$4:$K$3003,$P45))</f>
      </c>
      <c r="F45" s="11">
        <f>IF($P45="","",SUMIFS('[1]粘贴_营销活动'!$M$4:$M$3003,'[1]粘贴_营销活动'!$I$4:$I$3003,$D45))</f>
      </c>
      <c r="G45" s="11">
        <f>IF($P45="","",SUMIFS('[1]粘贴_服务费返还'!$M$4:$M$3003,'[1]粘贴_服务费返还'!$I$4:$I$3003,$D45))</f>
      </c>
      <c r="H45" s="10">
        <f>IF($P45="","",COUNTIFS('[1]粘贴_营销活动'!$I$4:$I$3003,$D45)+COUNTIFS('[1]粘贴_服务费返还'!$I$4:$I$3003,$D45))</f>
      </c>
      <c r="I45" s="11">
        <f t="shared" si="2"/>
      </c>
      <c r="J45" s="6">
        <f t="shared" si="4"/>
      </c>
      <c r="P45" s="17">
        <f>IF(A45&gt;$P$30,"",MATCH(A45,'[1]粘贴_账务明细'!$N$4:$N$3003,0))</f>
      </c>
    </row>
    <row r="46">
      <c r="A46" s="10" t="n">
        <v>15</v>
      </c>
      <c r="B46" s="16">
        <f>IF($P46="","",INDEX('[1]粘贴_账务明细'!$H$4:$H$3003,$P46))</f>
      </c>
      <c r="C46" s="6">
        <f>IF($P46="","",INDEX('[1]粘贴_账务明细'!$L$4:$L$3003,$P46))</f>
      </c>
      <c r="D46" s="6">
        <f>IF($P46="","",INDEX('[1]粘贴_账务明细'!$M$4:$M$3003,$P46))</f>
      </c>
      <c r="E46" s="11">
        <f>IF($P46="","",INDEX('[1]粘贴_账务明细'!$K$4:$K$3003,$P46))</f>
      </c>
      <c r="F46" s="11">
        <f>IF($P46="","",SUMIFS('[1]粘贴_营销活动'!$M$4:$M$3003,'[1]粘贴_营销活动'!$I$4:$I$3003,$D46))</f>
      </c>
      <c r="G46" s="11">
        <f>IF($P46="","",SUMIFS('[1]粘贴_服务费返还'!$M$4:$M$3003,'[1]粘贴_服务费返还'!$I$4:$I$3003,$D46))</f>
      </c>
      <c r="H46" s="10">
        <f>IF($P46="","",COUNTIFS('[1]粘贴_营销活动'!$I$4:$I$3003,$D46)+COUNTIFS('[1]粘贴_服务费返还'!$I$4:$I$3003,$D46))</f>
      </c>
      <c r="I46" s="11">
        <f t="shared" si="2"/>
      </c>
      <c r="J46" s="6">
        <f t="shared" si="4"/>
      </c>
      <c r="P46" s="17">
        <f>IF(A46&gt;$P$30,"",MATCH(A46,'[1]粘贴_账务明细'!$N$4:$N$3003,0))</f>
      </c>
    </row>
    <row r="47">
      <c r="A47" s="10" t="n">
        <v>16</v>
      </c>
      <c r="B47" s="16">
        <f>IF($P47="","",INDEX('[1]粘贴_账务明细'!$H$4:$H$3003,$P47))</f>
      </c>
      <c r="C47" s="6">
        <f>IF($P47="","",INDEX('[1]粘贴_账务明细'!$L$4:$L$3003,$P47))</f>
      </c>
      <c r="D47" s="6">
        <f>IF($P47="","",INDEX('[1]粘贴_账务明细'!$M$4:$M$3003,$P47))</f>
      </c>
      <c r="E47" s="11">
        <f>IF($P47="","",INDEX('[1]粘贴_账务明细'!$K$4:$K$3003,$P47))</f>
      </c>
      <c r="F47" s="11">
        <f>IF($P47="","",SUMIFS('[1]粘贴_营销活动'!$M$4:$M$3003,'[1]粘贴_营销活动'!$I$4:$I$3003,$D47))</f>
      </c>
      <c r="G47" s="11">
        <f>IF($P47="","",SUMIFS('[1]粘贴_服务费返还'!$M$4:$M$3003,'[1]粘贴_服务费返还'!$I$4:$I$3003,$D47))</f>
      </c>
      <c r="H47" s="10">
        <f>IF($P47="","",COUNTIFS('[1]粘贴_营销活动'!$I$4:$I$3003,$D47)+COUNTIFS('[1]粘贴_服务费返还'!$I$4:$I$3003,$D47))</f>
      </c>
      <c r="I47" s="11">
        <f t="shared" si="2"/>
      </c>
      <c r="J47" s="6">
        <f t="shared" si="4"/>
      </c>
      <c r="P47" s="17">
        <f>IF(A47&gt;$P$30,"",MATCH(A47,'[1]粘贴_账务明细'!$N$4:$N$3003,0))</f>
      </c>
    </row>
    <row r="48">
      <c r="A48" s="10" t="n">
        <v>17</v>
      </c>
      <c r="B48" s="16">
        <f>IF($P48="","",INDEX('[1]粘贴_账务明细'!$H$4:$H$3003,$P48))</f>
      </c>
      <c r="C48" s="6">
        <f>IF($P48="","",INDEX('[1]粘贴_账务明细'!$L$4:$L$3003,$P48))</f>
      </c>
      <c r="D48" s="6">
        <f>IF($P48="","",INDEX('[1]粘贴_账务明细'!$M$4:$M$3003,$P48))</f>
      </c>
      <c r="E48" s="11">
        <f>IF($P48="","",INDEX('[1]粘贴_账务明细'!$K$4:$K$3003,$P48))</f>
      </c>
      <c r="F48" s="11">
        <f>IF($P48="","",SUMIFS('[1]粘贴_营销活动'!$M$4:$M$3003,'[1]粘贴_营销活动'!$I$4:$I$3003,$D48))</f>
      </c>
      <c r="G48" s="11">
        <f>IF($P48="","",SUMIFS('[1]粘贴_服务费返还'!$M$4:$M$3003,'[1]粘贴_服务费返还'!$I$4:$I$3003,$D48))</f>
      </c>
      <c r="H48" s="10">
        <f>IF($P48="","",COUNTIFS('[1]粘贴_营销活动'!$I$4:$I$3003,$D48)+COUNTIFS('[1]粘贴_服务费返还'!$I$4:$I$3003,$D48))</f>
      </c>
      <c r="I48" s="11">
        <f t="shared" si="2"/>
      </c>
      <c r="J48" s="6">
        <f t="shared" si="4"/>
      </c>
      <c r="P48" s="17">
        <f>IF(A48&gt;$P$30,"",MATCH(A48,'[1]粘贴_账务明细'!$N$4:$N$3003,0))</f>
      </c>
    </row>
    <row r="49">
      <c r="A49" s="10" t="n">
        <v>18</v>
      </c>
      <c r="B49" s="16">
        <f>IF($P49="","",INDEX('[1]粘贴_账务明细'!$H$4:$H$3003,$P49))</f>
      </c>
      <c r="C49" s="6">
        <f>IF($P49="","",INDEX('[1]粘贴_账务明细'!$L$4:$L$3003,$P49))</f>
      </c>
      <c r="D49" s="6">
        <f>IF($P49="","",INDEX('[1]粘贴_账务明细'!$M$4:$M$3003,$P49))</f>
      </c>
      <c r="E49" s="11">
        <f>IF($P49="","",INDEX('[1]粘贴_账务明细'!$K$4:$K$3003,$P49))</f>
      </c>
      <c r="F49" s="11">
        <f>IF($P49="","",SUMIFS('[1]粘贴_营销活动'!$M$4:$M$3003,'[1]粘贴_营销活动'!$I$4:$I$3003,$D49))</f>
      </c>
      <c r="G49" s="11">
        <f>IF($P49="","",SUMIFS('[1]粘贴_服务费返还'!$M$4:$M$3003,'[1]粘贴_服务费返还'!$I$4:$I$3003,$D49))</f>
      </c>
      <c r="H49" s="10">
        <f>IF($P49="","",COUNTIFS('[1]粘贴_营销活动'!$I$4:$I$3003,$D49)+COUNTIFS('[1]粘贴_服务费返还'!$I$4:$I$3003,$D49))</f>
      </c>
      <c r="I49" s="11">
        <f t="shared" si="2"/>
      </c>
      <c r="J49" s="6">
        <f t="shared" si="4"/>
      </c>
      <c r="P49" s="17">
        <f>IF(A49&gt;$P$30,"",MATCH(A49,'[1]粘贴_账务明细'!$N$4:$N$3003,0))</f>
      </c>
    </row>
    <row r="50">
      <c r="A50" s="10" t="n">
        <v>19</v>
      </c>
      <c r="B50" s="16">
        <f>IF($P50="","",INDEX('[1]粘贴_账务明细'!$H$4:$H$3003,$P50))</f>
      </c>
      <c r="C50" s="6">
        <f>IF($P50="","",INDEX('[1]粘贴_账务明细'!$L$4:$L$3003,$P50))</f>
      </c>
      <c r="D50" s="6">
        <f>IF($P50="","",INDEX('[1]粘贴_账务明细'!$M$4:$M$3003,$P50))</f>
      </c>
      <c r="E50" s="11">
        <f>IF($P50="","",INDEX('[1]粘贴_账务明细'!$K$4:$K$3003,$P50))</f>
      </c>
      <c r="F50" s="11">
        <f>IF($P50="","",SUMIFS('[1]粘贴_营销活动'!$M$4:$M$3003,'[1]粘贴_营销活动'!$I$4:$I$3003,$D50))</f>
      </c>
      <c r="G50" s="11">
        <f>IF($P50="","",SUMIFS('[1]粘贴_服务费返还'!$M$4:$M$3003,'[1]粘贴_服务费返还'!$I$4:$I$3003,$D50))</f>
      </c>
      <c r="H50" s="10">
        <f>IF($P50="","",COUNTIFS('[1]粘贴_营销活动'!$I$4:$I$3003,$D50)+COUNTIFS('[1]粘贴_服务费返还'!$I$4:$I$3003,$D50))</f>
      </c>
      <c r="I50" s="11">
        <f t="shared" si="2"/>
      </c>
      <c r="J50" s="6">
        <f t="shared" si="4"/>
      </c>
      <c r="P50" s="17">
        <f>IF(A50&gt;$P$30,"",MATCH(A50,'[1]粘贴_账务明细'!$N$4:$N$3003,0))</f>
      </c>
    </row>
    <row r="51">
      <c r="A51" s="10" t="n">
        <v>20</v>
      </c>
      <c r="B51" s="16">
        <f>IF($P51="","",INDEX('[1]粘贴_账务明细'!$H$4:$H$3003,$P51))</f>
      </c>
      <c r="C51" s="6">
        <f>IF($P51="","",INDEX('[1]粘贴_账务明细'!$L$4:$L$3003,$P51))</f>
      </c>
      <c r="D51" s="6">
        <f>IF($P51="","",INDEX('[1]粘贴_账务明细'!$M$4:$M$3003,$P51))</f>
      </c>
      <c r="E51" s="11">
        <f>IF($P51="","",INDEX('[1]粘贴_账务明细'!$K$4:$K$3003,$P51))</f>
      </c>
      <c r="F51" s="11">
        <f>IF($P51="","",SUMIFS('[1]粘贴_营销活动'!$M$4:$M$3003,'[1]粘贴_营销活动'!$I$4:$I$3003,$D51))</f>
      </c>
      <c r="G51" s="11">
        <f>IF($P51="","",SUMIFS('[1]粘贴_服务费返还'!$M$4:$M$3003,'[1]粘贴_服务费返还'!$I$4:$I$3003,$D51))</f>
      </c>
      <c r="H51" s="10">
        <f>IF($P51="","",COUNTIFS('[1]粘贴_营销活动'!$I$4:$I$3003,$D51)+COUNTIFS('[1]粘贴_服务费返还'!$I$4:$I$3003,$D51))</f>
      </c>
      <c r="I51" s="11">
        <f t="shared" si="2"/>
      </c>
      <c r="J51" s="6">
        <f t="shared" si="4"/>
      </c>
      <c r="P51" s="17">
        <f>IF(A51&gt;$P$30,"",MATCH(A51,'[1]粘贴_账务明细'!$N$4:$N$3003,0))</f>
      </c>
    </row>
    <row r="52">
      <c r="A52" s="10" t="n">
        <v>21</v>
      </c>
      <c r="B52" s="16">
        <f>IF($P52="","",INDEX('[1]粘贴_账务明细'!$H$4:$H$3003,$P52))</f>
      </c>
      <c r="C52" s="6">
        <f>IF($P52="","",INDEX('[1]粘贴_账务明细'!$L$4:$L$3003,$P52))</f>
      </c>
      <c r="D52" s="6">
        <f>IF($P52="","",INDEX('[1]粘贴_账务明细'!$M$4:$M$3003,$P52))</f>
      </c>
      <c r="E52" s="11">
        <f>IF($P52="","",INDEX('[1]粘贴_账务明细'!$K$4:$K$3003,$P52))</f>
      </c>
      <c r="F52" s="11">
        <f>IF($P52="","",SUMIFS('[1]粘贴_营销活动'!$M$4:$M$3003,'[1]粘贴_营销活动'!$I$4:$I$3003,$D52))</f>
      </c>
      <c r="G52" s="11">
        <f>IF($P52="","",SUMIFS('[1]粘贴_服务费返还'!$M$4:$M$3003,'[1]粘贴_服务费返还'!$I$4:$I$3003,$D52))</f>
      </c>
      <c r="H52" s="10">
        <f>IF($P52="","",COUNTIFS('[1]粘贴_营销活动'!$I$4:$I$3003,$D52)+COUNTIFS('[1]粘贴_服务费返还'!$I$4:$I$3003,$D52))</f>
      </c>
      <c r="I52" s="11">
        <f t="shared" si="2"/>
      </c>
      <c r="J52" s="6">
        <f t="shared" si="4"/>
      </c>
      <c r="P52" s="17">
        <f>IF(A52&gt;$P$30,"",MATCH(A52,'[1]粘贴_账务明细'!$N$4:$N$3003,0))</f>
      </c>
    </row>
    <row r="53">
      <c r="A53" s="10" t="n">
        <v>22</v>
      </c>
      <c r="B53" s="16">
        <f>IF($P53="","",INDEX('[1]粘贴_账务明细'!$H$4:$H$3003,$P53))</f>
      </c>
      <c r="C53" s="6">
        <f>IF($P53="","",INDEX('[1]粘贴_账务明细'!$L$4:$L$3003,$P53))</f>
      </c>
      <c r="D53" s="6">
        <f>IF($P53="","",INDEX('[1]粘贴_账务明细'!$M$4:$M$3003,$P53))</f>
      </c>
      <c r="E53" s="11">
        <f>IF($P53="","",INDEX('[1]粘贴_账务明细'!$K$4:$K$3003,$P53))</f>
      </c>
      <c r="F53" s="11">
        <f>IF($P53="","",SUMIFS('[1]粘贴_营销活动'!$M$4:$M$3003,'[1]粘贴_营销活动'!$I$4:$I$3003,$D53))</f>
      </c>
      <c r="G53" s="11">
        <f>IF($P53="","",SUMIFS('[1]粘贴_服务费返还'!$M$4:$M$3003,'[1]粘贴_服务费返还'!$I$4:$I$3003,$D53))</f>
      </c>
      <c r="H53" s="10">
        <f>IF($P53="","",COUNTIFS('[1]粘贴_营销活动'!$I$4:$I$3003,$D53)+COUNTIFS('[1]粘贴_服务费返还'!$I$4:$I$3003,$D53))</f>
      </c>
      <c r="I53" s="11">
        <f t="shared" si="2"/>
      </c>
      <c r="J53" s="6">
        <f t="shared" si="4"/>
      </c>
      <c r="P53" s="17">
        <f>IF(A53&gt;$P$30,"",MATCH(A53,'[1]粘贴_账务明细'!$N$4:$N$3003,0))</f>
      </c>
    </row>
    <row r="54">
      <c r="A54" s="10" t="n">
        <v>23</v>
      </c>
      <c r="B54" s="16">
        <f>IF($P54="","",INDEX('[1]粘贴_账务明细'!$H$4:$H$3003,$P54))</f>
      </c>
      <c r="C54" s="6">
        <f>IF($P54="","",INDEX('[1]粘贴_账务明细'!$L$4:$L$3003,$P54))</f>
      </c>
      <c r="D54" s="6">
        <f>IF($P54="","",INDEX('[1]粘贴_账务明细'!$M$4:$M$3003,$P54))</f>
      </c>
      <c r="E54" s="11">
        <f>IF($P54="","",INDEX('[1]粘贴_账务明细'!$K$4:$K$3003,$P54))</f>
      </c>
      <c r="F54" s="11">
        <f>IF($P54="","",SUMIFS('[1]粘贴_营销活动'!$M$4:$M$3003,'[1]粘贴_营销活动'!$I$4:$I$3003,$D54))</f>
      </c>
      <c r="G54" s="11">
        <f>IF($P54="","",SUMIFS('[1]粘贴_服务费返还'!$M$4:$M$3003,'[1]粘贴_服务费返还'!$I$4:$I$3003,$D54))</f>
      </c>
      <c r="H54" s="10">
        <f>IF($P54="","",COUNTIFS('[1]粘贴_营销活动'!$I$4:$I$3003,$D54)+COUNTIFS('[1]粘贴_服务费返还'!$I$4:$I$3003,$D54))</f>
      </c>
      <c r="I54" s="11">
        <f t="shared" si="2"/>
      </c>
      <c r="J54" s="6">
        <f t="shared" si="4"/>
      </c>
      <c r="P54" s="17">
        <f>IF(A54&gt;$P$30,"",MATCH(A54,'[1]粘贴_账务明细'!$N$4:$N$3003,0))</f>
      </c>
    </row>
    <row r="55">
      <c r="A55" s="10" t="n">
        <v>24</v>
      </c>
      <c r="B55" s="16">
        <f>IF($P55="","",INDEX('[1]粘贴_账务明细'!$H$4:$H$3003,$P55))</f>
      </c>
      <c r="C55" s="6">
        <f>IF($P55="","",INDEX('[1]粘贴_账务明细'!$L$4:$L$3003,$P55))</f>
      </c>
      <c r="D55" s="6">
        <f>IF($P55="","",INDEX('[1]粘贴_账务明细'!$M$4:$M$3003,$P55))</f>
      </c>
      <c r="E55" s="11">
        <f>IF($P55="","",INDEX('[1]粘贴_账务明细'!$K$4:$K$3003,$P55))</f>
      </c>
      <c r="F55" s="11">
        <f>IF($P55="","",SUMIFS('[1]粘贴_营销活动'!$M$4:$M$3003,'[1]粘贴_营销活动'!$I$4:$I$3003,$D55))</f>
      </c>
      <c r="G55" s="11">
        <f>IF($P55="","",SUMIFS('[1]粘贴_服务费返还'!$M$4:$M$3003,'[1]粘贴_服务费返还'!$I$4:$I$3003,$D55))</f>
      </c>
      <c r="H55" s="10">
        <f>IF($P55="","",COUNTIFS('[1]粘贴_营销活动'!$I$4:$I$3003,$D55)+COUNTIFS('[1]粘贴_服务费返还'!$I$4:$I$3003,$D55))</f>
      </c>
      <c r="I55" s="11">
        <f t="shared" si="2"/>
      </c>
      <c r="J55" s="6">
        <f t="shared" si="4"/>
      </c>
      <c r="P55" s="17">
        <f>IF(A55&gt;$P$30,"",MATCH(A55,'[1]粘贴_账务明细'!$N$4:$N$3003,0))</f>
      </c>
    </row>
    <row r="56">
      <c r="A56" s="10" t="n">
        <v>25</v>
      </c>
      <c r="B56" s="16">
        <f>IF($P56="","",INDEX('[1]粘贴_账务明细'!$H$4:$H$3003,$P56))</f>
      </c>
      <c r="C56" s="6">
        <f>IF($P56="","",INDEX('[1]粘贴_账务明细'!$L$4:$L$3003,$P56))</f>
      </c>
      <c r="D56" s="6">
        <f>IF($P56="","",INDEX('[1]粘贴_账务明细'!$M$4:$M$3003,$P56))</f>
      </c>
      <c r="E56" s="11">
        <f>IF($P56="","",INDEX('[1]粘贴_账务明细'!$K$4:$K$3003,$P56))</f>
      </c>
      <c r="F56" s="11">
        <f>IF($P56="","",SUMIFS('[1]粘贴_营销活动'!$M$4:$M$3003,'[1]粘贴_营销活动'!$I$4:$I$3003,$D56))</f>
      </c>
      <c r="G56" s="11">
        <f>IF($P56="","",SUMIFS('[1]粘贴_服务费返还'!$M$4:$M$3003,'[1]粘贴_服务费返还'!$I$4:$I$3003,$D56))</f>
      </c>
      <c r="H56" s="10">
        <f>IF($P56="","",COUNTIFS('[1]粘贴_营销活动'!$I$4:$I$3003,$D56)+COUNTIFS('[1]粘贴_服务费返还'!$I$4:$I$3003,$D56))</f>
      </c>
      <c r="I56" s="11">
        <f t="shared" si="2"/>
      </c>
      <c r="J56" s="6">
        <f t="shared" si="4"/>
      </c>
      <c r="P56" s="17">
        <f>IF(A56&gt;$P$30,"",MATCH(A56,'[1]粘贴_账务明细'!$N$4:$N$3003,0))</f>
      </c>
    </row>
    <row r="57">
      <c r="A57" s="10" t="n">
        <v>26</v>
      </c>
      <c r="B57" s="16">
        <f>IF($P57="","",INDEX('[1]粘贴_账务明细'!$H$4:$H$3003,$P57))</f>
      </c>
      <c r="C57" s="6">
        <f>IF($P57="","",INDEX('[1]粘贴_账务明细'!$L$4:$L$3003,$P57))</f>
      </c>
      <c r="D57" s="6">
        <f>IF($P57="","",INDEX('[1]粘贴_账务明细'!$M$4:$M$3003,$P57))</f>
      </c>
      <c r="E57" s="11">
        <f>IF($P57="","",INDEX('[1]粘贴_账务明细'!$K$4:$K$3003,$P57))</f>
      </c>
      <c r="F57" s="11">
        <f>IF($P57="","",SUMIFS('[1]粘贴_营销活动'!$M$4:$M$3003,'[1]粘贴_营销活动'!$I$4:$I$3003,$D57))</f>
      </c>
      <c r="G57" s="11">
        <f>IF($P57="","",SUMIFS('[1]粘贴_服务费返还'!$M$4:$M$3003,'[1]粘贴_服务费返还'!$I$4:$I$3003,$D57))</f>
      </c>
      <c r="H57" s="10">
        <f>IF($P57="","",COUNTIFS('[1]粘贴_营销活动'!$I$4:$I$3003,$D57)+COUNTIFS('[1]粘贴_服务费返还'!$I$4:$I$3003,$D57))</f>
      </c>
      <c r="I57" s="11">
        <f t="shared" si="2"/>
      </c>
      <c r="J57" s="6">
        <f t="shared" si="4"/>
      </c>
      <c r="P57" s="17">
        <f>IF(A57&gt;$P$30,"",MATCH(A57,'[1]粘贴_账务明细'!$N$4:$N$3003,0))</f>
      </c>
    </row>
    <row r="58">
      <c r="A58" s="10" t="n">
        <v>27</v>
      </c>
      <c r="B58" s="16">
        <f>IF($P58="","",INDEX('[1]粘贴_账务明细'!$H$4:$H$3003,$P58))</f>
      </c>
      <c r="C58" s="6">
        <f>IF($P58="","",INDEX('[1]粘贴_账务明细'!$L$4:$L$3003,$P58))</f>
      </c>
      <c r="D58" s="6">
        <f>IF($P58="","",INDEX('[1]粘贴_账务明细'!$M$4:$M$3003,$P58))</f>
      </c>
      <c r="E58" s="11">
        <f>IF($P58="","",INDEX('[1]粘贴_账务明细'!$K$4:$K$3003,$P58))</f>
      </c>
      <c r="F58" s="11">
        <f>IF($P58="","",SUMIFS('[1]粘贴_营销活动'!$M$4:$M$3003,'[1]粘贴_营销活动'!$I$4:$I$3003,$D58))</f>
      </c>
      <c r="G58" s="11">
        <f>IF($P58="","",SUMIFS('[1]粘贴_服务费返还'!$M$4:$M$3003,'[1]粘贴_服务费返还'!$I$4:$I$3003,$D58))</f>
      </c>
      <c r="H58" s="10">
        <f>IF($P58="","",COUNTIFS('[1]粘贴_营销活动'!$I$4:$I$3003,$D58)+COUNTIFS('[1]粘贴_服务费返还'!$I$4:$I$3003,$D58))</f>
      </c>
      <c r="I58" s="11">
        <f t="shared" si="2"/>
      </c>
      <c r="J58" s="6">
        <f t="shared" si="4"/>
      </c>
      <c r="P58" s="17">
        <f>IF(A58&gt;$P$30,"",MATCH(A58,'[1]粘贴_账务明细'!$N$4:$N$3003,0))</f>
      </c>
    </row>
    <row r="59">
      <c r="A59" s="10" t="n">
        <v>28</v>
      </c>
      <c r="B59" s="16">
        <f>IF($P59="","",INDEX('[1]粘贴_账务明细'!$H$4:$H$3003,$P59))</f>
      </c>
      <c r="C59" s="6">
        <f>IF($P59="","",INDEX('[1]粘贴_账务明细'!$L$4:$L$3003,$P59))</f>
      </c>
      <c r="D59" s="6">
        <f>IF($P59="","",INDEX('[1]粘贴_账务明细'!$M$4:$M$3003,$P59))</f>
      </c>
      <c r="E59" s="11">
        <f>IF($P59="","",INDEX('[1]粘贴_账务明细'!$K$4:$K$3003,$P59))</f>
      </c>
      <c r="F59" s="11">
        <f>IF($P59="","",SUMIFS('[1]粘贴_营销活动'!$M$4:$M$3003,'[1]粘贴_营销活动'!$I$4:$I$3003,$D59))</f>
      </c>
      <c r="G59" s="11">
        <f>IF($P59="","",SUMIFS('[1]粘贴_服务费返还'!$M$4:$M$3003,'[1]粘贴_服务费返还'!$I$4:$I$3003,$D59))</f>
      </c>
      <c r="H59" s="10">
        <f>IF($P59="","",COUNTIFS('[1]粘贴_营销活动'!$I$4:$I$3003,$D59)+COUNTIFS('[1]粘贴_服务费返还'!$I$4:$I$3003,$D59))</f>
      </c>
      <c r="I59" s="11">
        <f t="shared" si="2"/>
      </c>
      <c r="J59" s="6">
        <f t="shared" si="4"/>
      </c>
      <c r="P59" s="17">
        <f>IF(A59&gt;$P$30,"",MATCH(A59,'[1]粘贴_账务明细'!$N$4:$N$3003,0))</f>
      </c>
    </row>
    <row r="60">
      <c r="A60" s="10" t="n">
        <v>29</v>
      </c>
      <c r="B60" s="16">
        <f>IF($P60="","",INDEX('[1]粘贴_账务明细'!$H$4:$H$3003,$P60))</f>
      </c>
      <c r="C60" s="6">
        <f>IF($P60="","",INDEX('[1]粘贴_账务明细'!$L$4:$L$3003,$P60))</f>
      </c>
      <c r="D60" s="6">
        <f>IF($P60="","",INDEX('[1]粘贴_账务明细'!$M$4:$M$3003,$P60))</f>
      </c>
      <c r="E60" s="11">
        <f>IF($P60="","",INDEX('[1]粘贴_账务明细'!$K$4:$K$3003,$P60))</f>
      </c>
      <c r="F60" s="11">
        <f>IF($P60="","",SUMIFS('[1]粘贴_营销活动'!$M$4:$M$3003,'[1]粘贴_营销活动'!$I$4:$I$3003,$D60))</f>
      </c>
      <c r="G60" s="11">
        <f>IF($P60="","",SUMIFS('[1]粘贴_服务费返还'!$M$4:$M$3003,'[1]粘贴_服务费返还'!$I$4:$I$3003,$D60))</f>
      </c>
      <c r="H60" s="10">
        <f>IF($P60="","",COUNTIFS('[1]粘贴_营销活动'!$I$4:$I$3003,$D60)+COUNTIFS('[1]粘贴_服务费返还'!$I$4:$I$3003,$D60))</f>
      </c>
      <c r="I60" s="11">
        <f t="shared" si="2"/>
      </c>
      <c r="J60" s="6">
        <f t="shared" si="4"/>
      </c>
      <c r="P60" s="17">
        <f>IF(A60&gt;$P$30,"",MATCH(A60,'[1]粘贴_账务明细'!$N$4:$N$3003,0))</f>
      </c>
    </row>
    <row r="61">
      <c r="A61" s="10" t="n">
        <v>30</v>
      </c>
      <c r="B61" s="16">
        <f>IF($P61="","",INDEX('[1]粘贴_账务明细'!$H$4:$H$3003,$P61))</f>
      </c>
      <c r="C61" s="6">
        <f>IF($P61="","",INDEX('[1]粘贴_账务明细'!$L$4:$L$3003,$P61))</f>
      </c>
      <c r="D61" s="6">
        <f>IF($P61="","",INDEX('[1]粘贴_账务明细'!$M$4:$M$3003,$P61))</f>
      </c>
      <c r="E61" s="11">
        <f>IF($P61="","",INDEX('[1]粘贴_账务明细'!$K$4:$K$3003,$P61))</f>
      </c>
      <c r="F61" s="11">
        <f>IF($P61="","",SUMIFS('[1]粘贴_营销活动'!$M$4:$M$3003,'[1]粘贴_营销活动'!$I$4:$I$3003,$D61))</f>
      </c>
      <c r="G61" s="11">
        <f>IF($P61="","",SUMIFS('[1]粘贴_服务费返还'!$M$4:$M$3003,'[1]粘贴_服务费返还'!$I$4:$I$3003,$D61))</f>
      </c>
      <c r="H61" s="10">
        <f>IF($P61="","",COUNTIFS('[1]粘贴_营销活动'!$I$4:$I$3003,$D61)+COUNTIFS('[1]粘贴_服务费返还'!$I$4:$I$3003,$D61))</f>
      </c>
      <c r="I61" s="11">
        <f t="shared" si="2"/>
      </c>
      <c r="J61" s="6">
        <f t="shared" si="4"/>
      </c>
      <c r="P61" s="17">
        <f>IF(A61&gt;$P$30,"",MATCH(A61,'[1]粘贴_账务明细'!$N$4:$N$3003,0))</f>
      </c>
    </row>
    <row r="62">
      <c r="A62" s="10" t="n">
        <v>31</v>
      </c>
      <c r="B62" s="16">
        <f>IF($P62="","",INDEX('[1]粘贴_账务明细'!$H$4:$H$3003,$P62))</f>
      </c>
      <c r="C62" s="6">
        <f>IF($P62="","",INDEX('[1]粘贴_账务明细'!$L$4:$L$3003,$P62))</f>
      </c>
      <c r="D62" s="6">
        <f>IF($P62="","",INDEX('[1]粘贴_账务明细'!$M$4:$M$3003,$P62))</f>
      </c>
      <c r="E62" s="11">
        <f>IF($P62="","",INDEX('[1]粘贴_账务明细'!$K$4:$K$3003,$P62))</f>
      </c>
      <c r="F62" s="11">
        <f>IF($P62="","",SUMIFS('[1]粘贴_营销活动'!$M$4:$M$3003,'[1]粘贴_营销活动'!$I$4:$I$3003,$D62))</f>
      </c>
      <c r="G62" s="11">
        <f>IF($P62="","",SUMIFS('[1]粘贴_服务费返还'!$M$4:$M$3003,'[1]粘贴_服务费返还'!$I$4:$I$3003,$D62))</f>
      </c>
      <c r="H62" s="10">
        <f>IF($P62="","",COUNTIFS('[1]粘贴_营销活动'!$I$4:$I$3003,$D62)+COUNTIFS('[1]粘贴_服务费返还'!$I$4:$I$3003,$D62))</f>
      </c>
      <c r="I62" s="11">
        <f t="shared" si="2"/>
      </c>
      <c r="J62" s="6">
        <f t="shared" si="4"/>
      </c>
      <c r="P62" s="17">
        <f>IF(A62&gt;$P$30,"",MATCH(A62,'[1]粘贴_账务明细'!$N$4:$N$3003,0))</f>
      </c>
    </row>
    <row r="63">
      <c r="A63" s="10" t="n">
        <v>32</v>
      </c>
      <c r="B63" s="16">
        <f>IF($P63="","",INDEX('[1]粘贴_账务明细'!$H$4:$H$3003,$P63))</f>
      </c>
      <c r="C63" s="6">
        <f>IF($P63="","",INDEX('[1]粘贴_账务明细'!$L$4:$L$3003,$P63))</f>
      </c>
      <c r="D63" s="6">
        <f>IF($P63="","",INDEX('[1]粘贴_账务明细'!$M$4:$M$3003,$P63))</f>
      </c>
      <c r="E63" s="11">
        <f>IF($P63="","",INDEX('[1]粘贴_账务明细'!$K$4:$K$3003,$P63))</f>
      </c>
      <c r="F63" s="11">
        <f>IF($P63="","",SUMIFS('[1]粘贴_营销活动'!$M$4:$M$3003,'[1]粘贴_营销活动'!$I$4:$I$3003,$D63))</f>
      </c>
      <c r="G63" s="11">
        <f>IF($P63="","",SUMIFS('[1]粘贴_服务费返还'!$M$4:$M$3003,'[1]粘贴_服务费返还'!$I$4:$I$3003,$D63))</f>
      </c>
      <c r="H63" s="10">
        <f>IF($P63="","",COUNTIFS('[1]粘贴_营销活动'!$I$4:$I$3003,$D63)+COUNTIFS('[1]粘贴_服务费返还'!$I$4:$I$3003,$D63))</f>
      </c>
      <c r="I63" s="11">
        <f t="shared" si="2"/>
      </c>
      <c r="J63" s="6">
        <f t="shared" si="4"/>
      </c>
      <c r="P63" s="17">
        <f>IF(A63&gt;$P$30,"",MATCH(A63,'[1]粘贴_账务明细'!$N$4:$N$3003,0))</f>
      </c>
    </row>
    <row r="64">
      <c r="A64" s="10" t="n">
        <v>33</v>
      </c>
      <c r="B64" s="16">
        <f>IF($P64="","",INDEX('[1]粘贴_账务明细'!$H$4:$H$3003,$P64))</f>
      </c>
      <c r="C64" s="6">
        <f>IF($P64="","",INDEX('[1]粘贴_账务明细'!$L$4:$L$3003,$P64))</f>
      </c>
      <c r="D64" s="6">
        <f>IF($P64="","",INDEX('[1]粘贴_账务明细'!$M$4:$M$3003,$P64))</f>
      </c>
      <c r="E64" s="11">
        <f>IF($P64="","",INDEX('[1]粘贴_账务明细'!$K$4:$K$3003,$P64))</f>
      </c>
      <c r="F64" s="11">
        <f>IF($P64="","",SUMIFS('[1]粘贴_营销活动'!$M$4:$M$3003,'[1]粘贴_营销活动'!$I$4:$I$3003,$D64))</f>
      </c>
      <c r="G64" s="11">
        <f>IF($P64="","",SUMIFS('[1]粘贴_服务费返还'!$M$4:$M$3003,'[1]粘贴_服务费返还'!$I$4:$I$3003,$D64))</f>
      </c>
      <c r="H64" s="10">
        <f>IF($P64="","",COUNTIFS('[1]粘贴_营销活动'!$I$4:$I$3003,$D64)+COUNTIFS('[1]粘贴_服务费返还'!$I$4:$I$3003,$D64))</f>
      </c>
      <c r="I64" s="11">
        <f t="shared" si="2"/>
      </c>
      <c r="J64" s="6">
        <f t="shared" si="4"/>
      </c>
      <c r="P64" s="17">
        <f>IF(A64&gt;$P$30,"",MATCH(A64,'[1]粘贴_账务明细'!$N$4:$N$3003,0))</f>
      </c>
    </row>
    <row r="65">
      <c r="A65" s="10" t="n">
        <v>34</v>
      </c>
      <c r="B65" s="16">
        <f>IF($P65="","",INDEX('[1]粘贴_账务明细'!$H$4:$H$3003,$P65))</f>
      </c>
      <c r="C65" s="6">
        <f>IF($P65="","",INDEX('[1]粘贴_账务明细'!$L$4:$L$3003,$P65))</f>
      </c>
      <c r="D65" s="6">
        <f>IF($P65="","",INDEX('[1]粘贴_账务明细'!$M$4:$M$3003,$P65))</f>
      </c>
      <c r="E65" s="11">
        <f>IF($P65="","",INDEX('[1]粘贴_账务明细'!$K$4:$K$3003,$P65))</f>
      </c>
      <c r="F65" s="11">
        <f>IF($P65="","",SUMIFS('[1]粘贴_营销活动'!$M$4:$M$3003,'[1]粘贴_营销活动'!$I$4:$I$3003,$D65))</f>
      </c>
      <c r="G65" s="11">
        <f>IF($P65="","",SUMIFS('[1]粘贴_服务费返还'!$M$4:$M$3003,'[1]粘贴_服务费返还'!$I$4:$I$3003,$D65))</f>
      </c>
      <c r="H65" s="10">
        <f>IF($P65="","",COUNTIFS('[1]粘贴_营销活动'!$I$4:$I$3003,$D65)+COUNTIFS('[1]粘贴_服务费返还'!$I$4:$I$3003,$D65))</f>
      </c>
      <c r="I65" s="11">
        <f t="shared" si="2"/>
      </c>
      <c r="J65" s="6">
        <f t="shared" si="4"/>
      </c>
      <c r="P65" s="17">
        <f>IF(A65&gt;$P$30,"",MATCH(A65,'[1]粘贴_账务明细'!$N$4:$N$3003,0))</f>
      </c>
    </row>
    <row r="66">
      <c r="A66" s="10" t="n">
        <v>35</v>
      </c>
      <c r="B66" s="16">
        <f>IF($P66="","",INDEX('[1]粘贴_账务明细'!$H$4:$H$3003,$P66))</f>
      </c>
      <c r="C66" s="6">
        <f>IF($P66="","",INDEX('[1]粘贴_账务明细'!$L$4:$L$3003,$P66))</f>
      </c>
      <c r="D66" s="6">
        <f>IF($P66="","",INDEX('[1]粘贴_账务明细'!$M$4:$M$3003,$P66))</f>
      </c>
      <c r="E66" s="11">
        <f>IF($P66="","",INDEX('[1]粘贴_账务明细'!$K$4:$K$3003,$P66))</f>
      </c>
      <c r="F66" s="11">
        <f>IF($P66="","",SUMIFS('[1]粘贴_营销活动'!$M$4:$M$3003,'[1]粘贴_营销活动'!$I$4:$I$3003,$D66))</f>
      </c>
      <c r="G66" s="11">
        <f>IF($P66="","",SUMIFS('[1]粘贴_服务费返还'!$M$4:$M$3003,'[1]粘贴_服务费返还'!$I$4:$I$3003,$D66))</f>
      </c>
      <c r="H66" s="10">
        <f>IF($P66="","",COUNTIFS('[1]粘贴_营销活动'!$I$4:$I$3003,$D66)+COUNTIFS('[1]粘贴_服务费返还'!$I$4:$I$3003,$D66))</f>
      </c>
      <c r="I66" s="11">
        <f t="shared" si="2"/>
      </c>
      <c r="J66" s="6">
        <f t="shared" si="4"/>
      </c>
      <c r="P66" s="17">
        <f>IF(A66&gt;$P$30,"",MATCH(A66,'[1]粘贴_账务明细'!$N$4:$N$3003,0))</f>
      </c>
    </row>
    <row r="67">
      <c r="A67" s="10" t="n">
        <v>36</v>
      </c>
      <c r="B67" s="16">
        <f>IF($P67="","",INDEX('[1]粘贴_账务明细'!$H$4:$H$3003,$P67))</f>
      </c>
      <c r="C67" s="6">
        <f>IF($P67="","",INDEX('[1]粘贴_账务明细'!$L$4:$L$3003,$P67))</f>
      </c>
      <c r="D67" s="6">
        <f>IF($P67="","",INDEX('[1]粘贴_账务明细'!$M$4:$M$3003,$P67))</f>
      </c>
      <c r="E67" s="11">
        <f>IF($P67="","",INDEX('[1]粘贴_账务明细'!$K$4:$K$3003,$P67))</f>
      </c>
      <c r="F67" s="11">
        <f>IF($P67="","",SUMIFS('[1]粘贴_营销活动'!$M$4:$M$3003,'[1]粘贴_营销活动'!$I$4:$I$3003,$D67))</f>
      </c>
      <c r="G67" s="11">
        <f>IF($P67="","",SUMIFS('[1]粘贴_服务费返还'!$M$4:$M$3003,'[1]粘贴_服务费返还'!$I$4:$I$3003,$D67))</f>
      </c>
      <c r="H67" s="10">
        <f>IF($P67="","",COUNTIFS('[1]粘贴_营销活动'!$I$4:$I$3003,$D67)+COUNTIFS('[1]粘贴_服务费返还'!$I$4:$I$3003,$D67))</f>
      </c>
      <c r="I67" s="11">
        <f t="shared" si="2"/>
      </c>
      <c r="J67" s="6">
        <f t="shared" si="4"/>
      </c>
      <c r="P67" s="17">
        <f>IF(A67&gt;$P$30,"",MATCH(A67,'[1]粘贴_账务明细'!$N$4:$N$3003,0))</f>
      </c>
    </row>
    <row r="68">
      <c r="A68" s="10" t="n">
        <v>37</v>
      </c>
      <c r="B68" s="16">
        <f>IF($P68="","",INDEX('[1]粘贴_账务明细'!$H$4:$H$3003,$P68))</f>
      </c>
      <c r="C68" s="6">
        <f>IF($P68="","",INDEX('[1]粘贴_账务明细'!$L$4:$L$3003,$P68))</f>
      </c>
      <c r="D68" s="6">
        <f>IF($P68="","",INDEX('[1]粘贴_账务明细'!$M$4:$M$3003,$P68))</f>
      </c>
      <c r="E68" s="11">
        <f>IF($P68="","",INDEX('[1]粘贴_账务明细'!$K$4:$K$3003,$P68))</f>
      </c>
      <c r="F68" s="11">
        <f>IF($P68="","",SUMIFS('[1]粘贴_营销活动'!$M$4:$M$3003,'[1]粘贴_营销活动'!$I$4:$I$3003,$D68))</f>
      </c>
      <c r="G68" s="11">
        <f>IF($P68="","",SUMIFS('[1]粘贴_服务费返还'!$M$4:$M$3003,'[1]粘贴_服务费返还'!$I$4:$I$3003,$D68))</f>
      </c>
      <c r="H68" s="10">
        <f>IF($P68="","",COUNTIFS('[1]粘贴_营销活动'!$I$4:$I$3003,$D68)+COUNTIFS('[1]粘贴_服务费返还'!$I$4:$I$3003,$D68))</f>
      </c>
      <c r="I68" s="11">
        <f t="shared" si="2"/>
      </c>
      <c r="J68" s="6">
        <f t="shared" si="4"/>
      </c>
      <c r="P68" s="17">
        <f>IF(A68&gt;$P$30,"",MATCH(A68,'[1]粘贴_账务明细'!$N$4:$N$3003,0))</f>
      </c>
    </row>
    <row r="69">
      <c r="A69" s="10" t="n">
        <v>38</v>
      </c>
      <c r="B69" s="16">
        <f>IF($P69="","",INDEX('[1]粘贴_账务明细'!$H$4:$H$3003,$P69))</f>
      </c>
      <c r="C69" s="6">
        <f>IF($P69="","",INDEX('[1]粘贴_账务明细'!$L$4:$L$3003,$P69))</f>
      </c>
      <c r="D69" s="6">
        <f>IF($P69="","",INDEX('[1]粘贴_账务明细'!$M$4:$M$3003,$P69))</f>
      </c>
      <c r="E69" s="11">
        <f>IF($P69="","",INDEX('[1]粘贴_账务明细'!$K$4:$K$3003,$P69))</f>
      </c>
      <c r="F69" s="11">
        <f>IF($P69="","",SUMIFS('[1]粘贴_营销活动'!$M$4:$M$3003,'[1]粘贴_营销活动'!$I$4:$I$3003,$D69))</f>
      </c>
      <c r="G69" s="11">
        <f>IF($P69="","",SUMIFS('[1]粘贴_服务费返还'!$M$4:$M$3003,'[1]粘贴_服务费返还'!$I$4:$I$3003,$D69))</f>
      </c>
      <c r="H69" s="10">
        <f>IF($P69="","",COUNTIFS('[1]粘贴_营销活动'!$I$4:$I$3003,$D69)+COUNTIFS('[1]粘贴_服务费返还'!$I$4:$I$3003,$D69))</f>
      </c>
      <c r="I69" s="11">
        <f t="shared" si="2"/>
      </c>
      <c r="J69" s="6">
        <f t="shared" si="4"/>
      </c>
      <c r="P69" s="17">
        <f>IF(A69&gt;$P$30,"",MATCH(A69,'[1]粘贴_账务明细'!$N$4:$N$3003,0))</f>
      </c>
    </row>
    <row r="70">
      <c r="A70" s="10" t="n">
        <v>39</v>
      </c>
      <c r="B70" s="16">
        <f>IF($P70="","",INDEX('[1]粘贴_账务明细'!$H$4:$H$3003,$P70))</f>
      </c>
      <c r="C70" s="6">
        <f>IF($P70="","",INDEX('[1]粘贴_账务明细'!$L$4:$L$3003,$P70))</f>
      </c>
      <c r="D70" s="6">
        <f>IF($P70="","",INDEX('[1]粘贴_账务明细'!$M$4:$M$3003,$P70))</f>
      </c>
      <c r="E70" s="11">
        <f>IF($P70="","",INDEX('[1]粘贴_账务明细'!$K$4:$K$3003,$P70))</f>
      </c>
      <c r="F70" s="11">
        <f>IF($P70="","",SUMIFS('[1]粘贴_营销活动'!$M$4:$M$3003,'[1]粘贴_营销活动'!$I$4:$I$3003,$D70))</f>
      </c>
      <c r="G70" s="11">
        <f>IF($P70="","",SUMIFS('[1]粘贴_服务费返还'!$M$4:$M$3003,'[1]粘贴_服务费返还'!$I$4:$I$3003,$D70))</f>
      </c>
      <c r="H70" s="10">
        <f>IF($P70="","",COUNTIFS('[1]粘贴_营销活动'!$I$4:$I$3003,$D70)+COUNTIFS('[1]粘贴_服务费返还'!$I$4:$I$3003,$D70))</f>
      </c>
      <c r="I70" s="11">
        <f t="shared" si="2"/>
      </c>
      <c r="J70" s="6">
        <f t="shared" si="4"/>
      </c>
      <c r="P70" s="17">
        <f>IF(A70&gt;$P$30,"",MATCH(A70,'[1]粘贴_账务明细'!$N$4:$N$3003,0))</f>
      </c>
    </row>
    <row r="71">
      <c r="A71" s="10" t="n">
        <v>40</v>
      </c>
      <c r="B71" s="16">
        <f>IF($P71="","",INDEX('[1]粘贴_账务明细'!$H$4:$H$3003,$P71))</f>
      </c>
      <c r="C71" s="6">
        <f>IF($P71="","",INDEX('[1]粘贴_账务明细'!$L$4:$L$3003,$P71))</f>
      </c>
      <c r="D71" s="6">
        <f>IF($P71="","",INDEX('[1]粘贴_账务明细'!$M$4:$M$3003,$P71))</f>
      </c>
      <c r="E71" s="11">
        <f>IF($P71="","",INDEX('[1]粘贴_账务明细'!$K$4:$K$3003,$P71))</f>
      </c>
      <c r="F71" s="11">
        <f>IF($P71="","",SUMIFS('[1]粘贴_营销活动'!$M$4:$M$3003,'[1]粘贴_营销活动'!$I$4:$I$3003,$D71))</f>
      </c>
      <c r="G71" s="11">
        <f>IF($P71="","",SUMIFS('[1]粘贴_服务费返还'!$M$4:$M$3003,'[1]粘贴_服务费返还'!$I$4:$I$3003,$D71))</f>
      </c>
      <c r="H71" s="10">
        <f>IF($P71="","",COUNTIFS('[1]粘贴_营销活动'!$I$4:$I$3003,$D71)+COUNTIFS('[1]粘贴_服务费返还'!$I$4:$I$3003,$D71))</f>
      </c>
      <c r="I71" s="11">
        <f t="shared" si="2"/>
      </c>
      <c r="J71" s="6">
        <f t="shared" si="4"/>
      </c>
      <c r="P71" s="17">
        <f>IF(A71&gt;$P$30,"",MATCH(A71,'[1]粘贴_账务明细'!$N$4:$N$3003,0))</f>
      </c>
    </row>
    <row r="72">
      <c r="A72" s="10" t="n">
        <v>41</v>
      </c>
      <c r="B72" s="16">
        <f>IF($P72="","",INDEX('[1]粘贴_账务明细'!$H$4:$H$3003,$P72))</f>
      </c>
      <c r="C72" s="6">
        <f>IF($P72="","",INDEX('[1]粘贴_账务明细'!$L$4:$L$3003,$P72))</f>
      </c>
      <c r="D72" s="6">
        <f>IF($P72="","",INDEX('[1]粘贴_账务明细'!$M$4:$M$3003,$P72))</f>
      </c>
      <c r="E72" s="11">
        <f>IF($P72="","",INDEX('[1]粘贴_账务明细'!$K$4:$K$3003,$P72))</f>
      </c>
      <c r="F72" s="11">
        <f>IF($P72="","",SUMIFS('[1]粘贴_营销活动'!$M$4:$M$3003,'[1]粘贴_营销活动'!$I$4:$I$3003,$D72))</f>
      </c>
      <c r="G72" s="11">
        <f>IF($P72="","",SUMIFS('[1]粘贴_服务费返还'!$M$4:$M$3003,'[1]粘贴_服务费返还'!$I$4:$I$3003,$D72))</f>
      </c>
      <c r="H72" s="10">
        <f>IF($P72="","",COUNTIFS('[1]粘贴_营销活动'!$I$4:$I$3003,$D72)+COUNTIFS('[1]粘贴_服务费返还'!$I$4:$I$3003,$D72))</f>
      </c>
      <c r="I72" s="11">
        <f t="shared" si="2"/>
      </c>
      <c r="J72" s="6">
        <f t="shared" si="4"/>
      </c>
      <c r="P72" s="17">
        <f>IF(A72&gt;$P$30,"",MATCH(A72,'[1]粘贴_账务明细'!$N$4:$N$3003,0))</f>
      </c>
    </row>
    <row r="73">
      <c r="A73" s="10" t="n">
        <v>42</v>
      </c>
      <c r="B73" s="16">
        <f>IF($P73="","",INDEX('[1]粘贴_账务明细'!$H$4:$H$3003,$P73))</f>
      </c>
      <c r="C73" s="6">
        <f>IF($P73="","",INDEX('[1]粘贴_账务明细'!$L$4:$L$3003,$P73))</f>
      </c>
      <c r="D73" s="6">
        <f>IF($P73="","",INDEX('[1]粘贴_账务明细'!$M$4:$M$3003,$P73))</f>
      </c>
      <c r="E73" s="11">
        <f>IF($P73="","",INDEX('[1]粘贴_账务明细'!$K$4:$K$3003,$P73))</f>
      </c>
      <c r="F73" s="11">
        <f>IF($P73="","",SUMIFS('[1]粘贴_营销活动'!$M$4:$M$3003,'[1]粘贴_营销活动'!$I$4:$I$3003,$D73))</f>
      </c>
      <c r="G73" s="11">
        <f>IF($P73="","",SUMIFS('[1]粘贴_服务费返还'!$M$4:$M$3003,'[1]粘贴_服务费返还'!$I$4:$I$3003,$D73))</f>
      </c>
      <c r="H73" s="10">
        <f>IF($P73="","",COUNTIFS('[1]粘贴_营销活动'!$I$4:$I$3003,$D73)+COUNTIFS('[1]粘贴_服务费返还'!$I$4:$I$3003,$D73))</f>
      </c>
      <c r="I73" s="11">
        <f t="shared" si="2"/>
      </c>
      <c r="J73" s="6">
        <f t="shared" si="4"/>
      </c>
      <c r="P73" s="17">
        <f>IF(A73&gt;$P$30,"",MATCH(A73,'[1]粘贴_账务明细'!$N$4:$N$3003,0))</f>
      </c>
    </row>
    <row r="74">
      <c r="A74" s="10" t="n">
        <v>43</v>
      </c>
      <c r="B74" s="16">
        <f>IF($P74="","",INDEX('[1]粘贴_账务明细'!$H$4:$H$3003,$P74))</f>
      </c>
      <c r="C74" s="6">
        <f>IF($P74="","",INDEX('[1]粘贴_账务明细'!$L$4:$L$3003,$P74))</f>
      </c>
      <c r="D74" s="6">
        <f>IF($P74="","",INDEX('[1]粘贴_账务明细'!$M$4:$M$3003,$P74))</f>
      </c>
      <c r="E74" s="11">
        <f>IF($P74="","",INDEX('[1]粘贴_账务明细'!$K$4:$K$3003,$P74))</f>
      </c>
      <c r="F74" s="11">
        <f>IF($P74="","",SUMIFS('[1]粘贴_营销活动'!$M$4:$M$3003,'[1]粘贴_营销活动'!$I$4:$I$3003,$D74))</f>
      </c>
      <c r="G74" s="11">
        <f>IF($P74="","",SUMIFS('[1]粘贴_服务费返还'!$M$4:$M$3003,'[1]粘贴_服务费返还'!$I$4:$I$3003,$D74))</f>
      </c>
      <c r="H74" s="10">
        <f>IF($P74="","",COUNTIFS('[1]粘贴_营销活动'!$I$4:$I$3003,$D74)+COUNTIFS('[1]粘贴_服务费返还'!$I$4:$I$3003,$D74))</f>
      </c>
      <c r="I74" s="11">
        <f t="shared" si="2"/>
      </c>
      <c r="J74" s="6">
        <f t="shared" si="4"/>
      </c>
      <c r="P74" s="17">
        <f>IF(A74&gt;$P$30,"",MATCH(A74,'[1]粘贴_账务明细'!$N$4:$N$3003,0))</f>
      </c>
    </row>
    <row r="75">
      <c r="A75" s="10" t="n">
        <v>44</v>
      </c>
      <c r="B75" s="16">
        <f>IF($P75="","",INDEX('[1]粘贴_账务明细'!$H$4:$H$3003,$P75))</f>
      </c>
      <c r="C75" s="6">
        <f>IF($P75="","",INDEX('[1]粘贴_账务明细'!$L$4:$L$3003,$P75))</f>
      </c>
      <c r="D75" s="6">
        <f>IF($P75="","",INDEX('[1]粘贴_账务明细'!$M$4:$M$3003,$P75))</f>
      </c>
      <c r="E75" s="11">
        <f>IF($P75="","",INDEX('[1]粘贴_账务明细'!$K$4:$K$3003,$P75))</f>
      </c>
      <c r="F75" s="11">
        <f>IF($P75="","",SUMIFS('[1]粘贴_营销活动'!$M$4:$M$3003,'[1]粘贴_营销活动'!$I$4:$I$3003,$D75))</f>
      </c>
      <c r="G75" s="11">
        <f>IF($P75="","",SUMIFS('[1]粘贴_服务费返还'!$M$4:$M$3003,'[1]粘贴_服务费返还'!$I$4:$I$3003,$D75))</f>
      </c>
      <c r="H75" s="10">
        <f>IF($P75="","",COUNTIFS('[1]粘贴_营销活动'!$I$4:$I$3003,$D75)+COUNTIFS('[1]粘贴_服务费返还'!$I$4:$I$3003,$D75))</f>
      </c>
      <c r="I75" s="11">
        <f t="shared" si="2"/>
      </c>
      <c r="J75" s="6">
        <f t="shared" si="4"/>
      </c>
      <c r="P75" s="17">
        <f>IF(A75&gt;$P$30,"",MATCH(A75,'[1]粘贴_账务明细'!$N$4:$N$3003,0))</f>
      </c>
    </row>
    <row r="76">
      <c r="A76" s="10" t="n">
        <v>45</v>
      </c>
      <c r="B76" s="16">
        <f>IF($P76="","",INDEX('[1]粘贴_账务明细'!$H$4:$H$3003,$P76))</f>
      </c>
      <c r="C76" s="6">
        <f>IF($P76="","",INDEX('[1]粘贴_账务明细'!$L$4:$L$3003,$P76))</f>
      </c>
      <c r="D76" s="6">
        <f>IF($P76="","",INDEX('[1]粘贴_账务明细'!$M$4:$M$3003,$P76))</f>
      </c>
      <c r="E76" s="11">
        <f>IF($P76="","",INDEX('[1]粘贴_账务明细'!$K$4:$K$3003,$P76))</f>
      </c>
      <c r="F76" s="11">
        <f>IF($P76="","",SUMIFS('[1]粘贴_营销活动'!$M$4:$M$3003,'[1]粘贴_营销活动'!$I$4:$I$3003,$D76))</f>
      </c>
      <c r="G76" s="11">
        <f>IF($P76="","",SUMIFS('[1]粘贴_服务费返还'!$M$4:$M$3003,'[1]粘贴_服务费返还'!$I$4:$I$3003,$D76))</f>
      </c>
      <c r="H76" s="10">
        <f>IF($P76="","",COUNTIFS('[1]粘贴_营销活动'!$I$4:$I$3003,$D76)+COUNTIFS('[1]粘贴_服务费返还'!$I$4:$I$3003,$D76))</f>
      </c>
      <c r="I76" s="11">
        <f t="shared" si="2"/>
      </c>
      <c r="J76" s="6">
        <f t="shared" si="4"/>
      </c>
      <c r="P76" s="17">
        <f>IF(A76&gt;$P$30,"",MATCH(A76,'[1]粘贴_账务明细'!$N$4:$N$3003,0))</f>
      </c>
    </row>
    <row r="77">
      <c r="A77" s="10" t="n">
        <v>46</v>
      </c>
      <c r="B77" s="16">
        <f>IF($P77="","",INDEX('[1]粘贴_账务明细'!$H$4:$H$3003,$P77))</f>
      </c>
      <c r="C77" s="6">
        <f>IF($P77="","",INDEX('[1]粘贴_账务明细'!$L$4:$L$3003,$P77))</f>
      </c>
      <c r="D77" s="6">
        <f>IF($P77="","",INDEX('[1]粘贴_账务明细'!$M$4:$M$3003,$P77))</f>
      </c>
      <c r="E77" s="11">
        <f>IF($P77="","",INDEX('[1]粘贴_账务明细'!$K$4:$K$3003,$P77))</f>
      </c>
      <c r="F77" s="11">
        <f>IF($P77="","",SUMIFS('[1]粘贴_营销活动'!$M$4:$M$3003,'[1]粘贴_营销活动'!$I$4:$I$3003,$D77))</f>
      </c>
      <c r="G77" s="11">
        <f>IF($P77="","",SUMIFS('[1]粘贴_服务费返还'!$M$4:$M$3003,'[1]粘贴_服务费返还'!$I$4:$I$3003,$D77))</f>
      </c>
      <c r="H77" s="10">
        <f>IF($P77="","",COUNTIFS('[1]粘贴_营销活动'!$I$4:$I$3003,$D77)+COUNTIFS('[1]粘贴_服务费返还'!$I$4:$I$3003,$D77))</f>
      </c>
      <c r="I77" s="11">
        <f t="shared" si="2"/>
      </c>
      <c r="J77" s="6">
        <f t="shared" si="4"/>
      </c>
      <c r="P77" s="17">
        <f>IF(A77&gt;$P$30,"",MATCH(A77,'[1]粘贴_账务明细'!$N$4:$N$3003,0))</f>
      </c>
    </row>
    <row r="78">
      <c r="A78" s="10" t="n">
        <v>47</v>
      </c>
      <c r="B78" s="16">
        <f>IF($P78="","",INDEX('[1]粘贴_账务明细'!$H$4:$H$3003,$P78))</f>
      </c>
      <c r="C78" s="6">
        <f>IF($P78="","",INDEX('[1]粘贴_账务明细'!$L$4:$L$3003,$P78))</f>
      </c>
      <c r="D78" s="6">
        <f>IF($P78="","",INDEX('[1]粘贴_账务明细'!$M$4:$M$3003,$P78))</f>
      </c>
      <c r="E78" s="11">
        <f>IF($P78="","",INDEX('[1]粘贴_账务明细'!$K$4:$K$3003,$P78))</f>
      </c>
      <c r="F78" s="11">
        <f>IF($P78="","",SUMIFS('[1]粘贴_营销活动'!$M$4:$M$3003,'[1]粘贴_营销活动'!$I$4:$I$3003,$D78))</f>
      </c>
      <c r="G78" s="11">
        <f>IF($P78="","",SUMIFS('[1]粘贴_服务费返还'!$M$4:$M$3003,'[1]粘贴_服务费返还'!$I$4:$I$3003,$D78))</f>
      </c>
      <c r="H78" s="10">
        <f>IF($P78="","",COUNTIFS('[1]粘贴_营销活动'!$I$4:$I$3003,$D78)+COUNTIFS('[1]粘贴_服务费返还'!$I$4:$I$3003,$D78))</f>
      </c>
      <c r="I78" s="11">
        <f t="shared" si="2"/>
      </c>
      <c r="J78" s="6">
        <f t="shared" si="4"/>
      </c>
      <c r="P78" s="17">
        <f>IF(A78&gt;$P$30,"",MATCH(A78,'[1]粘贴_账务明细'!$N$4:$N$3003,0))</f>
      </c>
    </row>
    <row r="79">
      <c r="A79" s="10" t="n">
        <v>48</v>
      </c>
      <c r="B79" s="16">
        <f>IF($P79="","",INDEX('[1]粘贴_账务明细'!$H$4:$H$3003,$P79))</f>
      </c>
      <c r="C79" s="6">
        <f>IF($P79="","",INDEX('[1]粘贴_账务明细'!$L$4:$L$3003,$P79))</f>
      </c>
      <c r="D79" s="6">
        <f>IF($P79="","",INDEX('[1]粘贴_账务明细'!$M$4:$M$3003,$P79))</f>
      </c>
      <c r="E79" s="11">
        <f>IF($P79="","",INDEX('[1]粘贴_账务明细'!$K$4:$K$3003,$P79))</f>
      </c>
      <c r="F79" s="11">
        <f>IF($P79="","",SUMIFS('[1]粘贴_营销活动'!$M$4:$M$3003,'[1]粘贴_营销活动'!$I$4:$I$3003,$D79))</f>
      </c>
      <c r="G79" s="11">
        <f>IF($P79="","",SUMIFS('[1]粘贴_服务费返还'!$M$4:$M$3003,'[1]粘贴_服务费返还'!$I$4:$I$3003,$D79))</f>
      </c>
      <c r="H79" s="10">
        <f>IF($P79="","",COUNTIFS('[1]粘贴_营销活动'!$I$4:$I$3003,$D79)+COUNTIFS('[1]粘贴_服务费返还'!$I$4:$I$3003,$D79))</f>
      </c>
      <c r="I79" s="11">
        <f t="shared" si="2"/>
      </c>
      <c r="J79" s="6">
        <f t="shared" si="4"/>
      </c>
      <c r="P79" s="17">
        <f>IF(A79&gt;$P$30,"",MATCH(A79,'[1]粘贴_账务明细'!$N$4:$N$3003,0))</f>
      </c>
    </row>
    <row r="80">
      <c r="A80" s="10" t="n">
        <v>49</v>
      </c>
      <c r="B80" s="16">
        <f>IF($P80="","",INDEX('[1]粘贴_账务明细'!$H$4:$H$3003,$P80))</f>
      </c>
      <c r="C80" s="6">
        <f>IF($P80="","",INDEX('[1]粘贴_账务明细'!$L$4:$L$3003,$P80))</f>
      </c>
      <c r="D80" s="6">
        <f>IF($P80="","",INDEX('[1]粘贴_账务明细'!$M$4:$M$3003,$P80))</f>
      </c>
      <c r="E80" s="11">
        <f>IF($P80="","",INDEX('[1]粘贴_账务明细'!$K$4:$K$3003,$P80))</f>
      </c>
      <c r="F80" s="11">
        <f>IF($P80="","",SUMIFS('[1]粘贴_营销活动'!$M$4:$M$3003,'[1]粘贴_营销活动'!$I$4:$I$3003,$D80))</f>
      </c>
      <c r="G80" s="11">
        <f>IF($P80="","",SUMIFS('[1]粘贴_服务费返还'!$M$4:$M$3003,'[1]粘贴_服务费返还'!$I$4:$I$3003,$D80))</f>
      </c>
      <c r="H80" s="10">
        <f>IF($P80="","",COUNTIFS('[1]粘贴_营销活动'!$I$4:$I$3003,$D80)+COUNTIFS('[1]粘贴_服务费返还'!$I$4:$I$3003,$D80))</f>
      </c>
      <c r="I80" s="11">
        <f t="shared" si="2"/>
      </c>
      <c r="J80" s="6">
        <f t="shared" si="4"/>
      </c>
      <c r="P80" s="17">
        <f>IF(A80&gt;$P$30,"",MATCH(A80,'[1]粘贴_账务明细'!$N$4:$N$3003,0))</f>
      </c>
    </row>
    <row r="81">
      <c r="A81" s="10" t="n">
        <v>50</v>
      </c>
      <c r="B81" s="16">
        <f>IF($P81="","",INDEX('[1]粘贴_账务明细'!$H$4:$H$3003,$P81))</f>
      </c>
      <c r="C81" s="6">
        <f>IF($P81="","",INDEX('[1]粘贴_账务明细'!$L$4:$L$3003,$P81))</f>
      </c>
      <c r="D81" s="6">
        <f>IF($P81="","",INDEX('[1]粘贴_账务明细'!$M$4:$M$3003,$P81))</f>
      </c>
      <c r="E81" s="11">
        <f>IF($P81="","",INDEX('[1]粘贴_账务明细'!$K$4:$K$3003,$P81))</f>
      </c>
      <c r="F81" s="11">
        <f>IF($P81="","",SUMIFS('[1]粘贴_营销活动'!$M$4:$M$3003,'[1]粘贴_营销活动'!$I$4:$I$3003,$D81))</f>
      </c>
      <c r="G81" s="11">
        <f>IF($P81="","",SUMIFS('[1]粘贴_服务费返还'!$M$4:$M$3003,'[1]粘贴_服务费返还'!$I$4:$I$3003,$D81))</f>
      </c>
      <c r="H81" s="10">
        <f>IF($P81="","",COUNTIFS('[1]粘贴_营销活动'!$I$4:$I$3003,$D81)+COUNTIFS('[1]粘贴_服务费返还'!$I$4:$I$3003,$D81))</f>
      </c>
      <c r="I81" s="11">
        <f t="shared" si="2"/>
      </c>
      <c r="J81" s="6">
        <f t="shared" si="4"/>
      </c>
      <c r="P81" s="17">
        <f>IF(A81&gt;$P$30,"",MATCH(A81,'[1]粘贴_账务明细'!$N$4:$N$3003,0))</f>
      </c>
    </row>
    <row r="82">
      <c r="A82" s="10" t="n">
        <v>51</v>
      </c>
      <c r="B82" s="16">
        <f>IF($P82="","",INDEX('[1]粘贴_账务明细'!$H$4:$H$3003,$P82))</f>
      </c>
      <c r="C82" s="6">
        <f>IF($P82="","",INDEX('[1]粘贴_账务明细'!$L$4:$L$3003,$P82))</f>
      </c>
      <c r="D82" s="6">
        <f>IF($P82="","",INDEX('[1]粘贴_账务明细'!$M$4:$M$3003,$P82))</f>
      </c>
      <c r="E82" s="11">
        <f>IF($P82="","",INDEX('[1]粘贴_账务明细'!$K$4:$K$3003,$P82))</f>
      </c>
      <c r="F82" s="11">
        <f>IF($P82="","",SUMIFS('[1]粘贴_营销活动'!$M$4:$M$3003,'[1]粘贴_营销活动'!$I$4:$I$3003,$D82))</f>
      </c>
      <c r="G82" s="11">
        <f>IF($P82="","",SUMIFS('[1]粘贴_服务费返还'!$M$4:$M$3003,'[1]粘贴_服务费返还'!$I$4:$I$3003,$D82))</f>
      </c>
      <c r="H82" s="10">
        <f>IF($P82="","",COUNTIFS('[1]粘贴_营销活动'!$I$4:$I$3003,$D82)+COUNTIFS('[1]粘贴_服务费返还'!$I$4:$I$3003,$D82))</f>
      </c>
      <c r="I82" s="11">
        <f t="shared" si="2"/>
      </c>
      <c r="J82" s="6">
        <f t="shared" si="4"/>
      </c>
      <c r="P82" s="17">
        <f>IF(A82&gt;$P$30,"",MATCH(A82,'[1]粘贴_账务明细'!$N$4:$N$3003,0))</f>
      </c>
    </row>
    <row r="83">
      <c r="A83" s="10" t="n">
        <v>52</v>
      </c>
      <c r="B83" s="16">
        <f>IF($P83="","",INDEX('[1]粘贴_账务明细'!$H$4:$H$3003,$P83))</f>
      </c>
      <c r="C83" s="6">
        <f>IF($P83="","",INDEX('[1]粘贴_账务明细'!$L$4:$L$3003,$P83))</f>
      </c>
      <c r="D83" s="6">
        <f>IF($P83="","",INDEX('[1]粘贴_账务明细'!$M$4:$M$3003,$P83))</f>
      </c>
      <c r="E83" s="11">
        <f>IF($P83="","",INDEX('[1]粘贴_账务明细'!$K$4:$K$3003,$P83))</f>
      </c>
      <c r="F83" s="11">
        <f>IF($P83="","",SUMIFS('[1]粘贴_营销活动'!$M$4:$M$3003,'[1]粘贴_营销活动'!$I$4:$I$3003,$D83))</f>
      </c>
      <c r="G83" s="11">
        <f>IF($P83="","",SUMIFS('[1]粘贴_服务费返还'!$M$4:$M$3003,'[1]粘贴_服务费返还'!$I$4:$I$3003,$D83))</f>
      </c>
      <c r="H83" s="10">
        <f>IF($P83="","",COUNTIFS('[1]粘贴_营销活动'!$I$4:$I$3003,$D83)+COUNTIFS('[1]粘贴_服务费返还'!$I$4:$I$3003,$D83))</f>
      </c>
      <c r="I83" s="11">
        <f t="shared" si="2"/>
      </c>
      <c r="J83" s="6">
        <f t="shared" si="4"/>
      </c>
      <c r="P83" s="17">
        <f>IF(A83&gt;$P$30,"",MATCH(A83,'[1]粘贴_账务明细'!$N$4:$N$3003,0))</f>
      </c>
    </row>
    <row r="84">
      <c r="A84" s="10" t="n">
        <v>53</v>
      </c>
      <c r="B84" s="16">
        <f>IF($P84="","",INDEX('[1]粘贴_账务明细'!$H$4:$H$3003,$P84))</f>
      </c>
      <c r="C84" s="6">
        <f>IF($P84="","",INDEX('[1]粘贴_账务明细'!$L$4:$L$3003,$P84))</f>
      </c>
      <c r="D84" s="6">
        <f>IF($P84="","",INDEX('[1]粘贴_账务明细'!$M$4:$M$3003,$P84))</f>
      </c>
      <c r="E84" s="11">
        <f>IF($P84="","",INDEX('[1]粘贴_账务明细'!$K$4:$K$3003,$P84))</f>
      </c>
      <c r="F84" s="11">
        <f>IF($P84="","",SUMIFS('[1]粘贴_营销活动'!$M$4:$M$3003,'[1]粘贴_营销活动'!$I$4:$I$3003,$D84))</f>
      </c>
      <c r="G84" s="11">
        <f>IF($P84="","",SUMIFS('[1]粘贴_服务费返还'!$M$4:$M$3003,'[1]粘贴_服务费返还'!$I$4:$I$3003,$D84))</f>
      </c>
      <c r="H84" s="10">
        <f>IF($P84="","",COUNTIFS('[1]粘贴_营销活动'!$I$4:$I$3003,$D84)+COUNTIFS('[1]粘贴_服务费返还'!$I$4:$I$3003,$D84))</f>
      </c>
      <c r="I84" s="11">
        <f t="shared" si="2"/>
      </c>
      <c r="J84" s="6">
        <f t="shared" si="4"/>
      </c>
      <c r="P84" s="17">
        <f>IF(A84&gt;$P$30,"",MATCH(A84,'[1]粘贴_账务明细'!$N$4:$N$3003,0))</f>
      </c>
    </row>
    <row r="85">
      <c r="A85" s="10" t="n">
        <v>54</v>
      </c>
      <c r="B85" s="16">
        <f>IF($P85="","",INDEX('[1]粘贴_账务明细'!$H$4:$H$3003,$P85))</f>
      </c>
      <c r="C85" s="6">
        <f>IF($P85="","",INDEX('[1]粘贴_账务明细'!$L$4:$L$3003,$P85))</f>
      </c>
      <c r="D85" s="6">
        <f>IF($P85="","",INDEX('[1]粘贴_账务明细'!$M$4:$M$3003,$P85))</f>
      </c>
      <c r="E85" s="11">
        <f>IF($P85="","",INDEX('[1]粘贴_账务明细'!$K$4:$K$3003,$P85))</f>
      </c>
      <c r="F85" s="11">
        <f>IF($P85="","",SUMIFS('[1]粘贴_营销活动'!$M$4:$M$3003,'[1]粘贴_营销活动'!$I$4:$I$3003,$D85))</f>
      </c>
      <c r="G85" s="11">
        <f>IF($P85="","",SUMIFS('[1]粘贴_服务费返还'!$M$4:$M$3003,'[1]粘贴_服务费返还'!$I$4:$I$3003,$D85))</f>
      </c>
      <c r="H85" s="10">
        <f>IF($P85="","",COUNTIFS('[1]粘贴_营销活动'!$I$4:$I$3003,$D85)+COUNTIFS('[1]粘贴_服务费返还'!$I$4:$I$3003,$D85))</f>
      </c>
      <c r="I85" s="11">
        <f t="shared" si="2"/>
      </c>
      <c r="J85" s="6">
        <f t="shared" si="4"/>
      </c>
      <c r="P85" s="17">
        <f>IF(A85&gt;$P$30,"",MATCH(A85,'[1]粘贴_账务明细'!$N$4:$N$3003,0))</f>
      </c>
    </row>
    <row r="86">
      <c r="A86" s="10" t="n">
        <v>55</v>
      </c>
      <c r="B86" s="16">
        <f>IF($P86="","",INDEX('[1]粘贴_账务明细'!$H$4:$H$3003,$P86))</f>
      </c>
      <c r="C86" s="6">
        <f>IF($P86="","",INDEX('[1]粘贴_账务明细'!$L$4:$L$3003,$P86))</f>
      </c>
      <c r="D86" s="6">
        <f>IF($P86="","",INDEX('[1]粘贴_账务明细'!$M$4:$M$3003,$P86))</f>
      </c>
      <c r="E86" s="11">
        <f>IF($P86="","",INDEX('[1]粘贴_账务明细'!$K$4:$K$3003,$P86))</f>
      </c>
      <c r="F86" s="11">
        <f>IF($P86="","",SUMIFS('[1]粘贴_营销活动'!$M$4:$M$3003,'[1]粘贴_营销活动'!$I$4:$I$3003,$D86))</f>
      </c>
      <c r="G86" s="11">
        <f>IF($P86="","",SUMIFS('[1]粘贴_服务费返还'!$M$4:$M$3003,'[1]粘贴_服务费返还'!$I$4:$I$3003,$D86))</f>
      </c>
      <c r="H86" s="10">
        <f>IF($P86="","",COUNTIFS('[1]粘贴_营销活动'!$I$4:$I$3003,$D86)+COUNTIFS('[1]粘贴_服务费返还'!$I$4:$I$3003,$D86))</f>
      </c>
      <c r="I86" s="11">
        <f t="shared" si="2"/>
      </c>
      <c r="J86" s="6">
        <f t="shared" si="4"/>
      </c>
      <c r="P86" s="17">
        <f>IF(A86&gt;$P$30,"",MATCH(A86,'[1]粘贴_账务明细'!$N$4:$N$3003,0))</f>
      </c>
    </row>
    <row r="87">
      <c r="A87" s="10" t="n">
        <v>56</v>
      </c>
      <c r="B87" s="16">
        <f>IF($P87="","",INDEX('[1]粘贴_账务明细'!$H$4:$H$3003,$P87))</f>
      </c>
      <c r="C87" s="6">
        <f>IF($P87="","",INDEX('[1]粘贴_账务明细'!$L$4:$L$3003,$P87))</f>
      </c>
      <c r="D87" s="6">
        <f>IF($P87="","",INDEX('[1]粘贴_账务明细'!$M$4:$M$3003,$P87))</f>
      </c>
      <c r="E87" s="11">
        <f>IF($P87="","",INDEX('[1]粘贴_账务明细'!$K$4:$K$3003,$P87))</f>
      </c>
      <c r="F87" s="11">
        <f>IF($P87="","",SUMIFS('[1]粘贴_营销活动'!$M$4:$M$3003,'[1]粘贴_营销活动'!$I$4:$I$3003,$D87))</f>
      </c>
      <c r="G87" s="11">
        <f>IF($P87="","",SUMIFS('[1]粘贴_服务费返还'!$M$4:$M$3003,'[1]粘贴_服务费返还'!$I$4:$I$3003,$D87))</f>
      </c>
      <c r="H87" s="10">
        <f>IF($P87="","",COUNTIFS('[1]粘贴_营销活动'!$I$4:$I$3003,$D87)+COUNTIFS('[1]粘贴_服务费返还'!$I$4:$I$3003,$D87))</f>
      </c>
      <c r="I87" s="11">
        <f t="shared" si="2"/>
      </c>
      <c r="J87" s="6">
        <f t="shared" si="4"/>
      </c>
      <c r="P87" s="17">
        <f>IF(A87&gt;$P$30,"",MATCH(A87,'[1]粘贴_账务明细'!$N$4:$N$3003,0))</f>
      </c>
    </row>
    <row r="88">
      <c r="A88" s="10" t="n">
        <v>57</v>
      </c>
      <c r="B88" s="16">
        <f>IF($P88="","",INDEX('[1]粘贴_账务明细'!$H$4:$H$3003,$P88))</f>
      </c>
      <c r="C88" s="6">
        <f>IF($P88="","",INDEX('[1]粘贴_账务明细'!$L$4:$L$3003,$P88))</f>
      </c>
      <c r="D88" s="6">
        <f>IF($P88="","",INDEX('[1]粘贴_账务明细'!$M$4:$M$3003,$P88))</f>
      </c>
      <c r="E88" s="11">
        <f>IF($P88="","",INDEX('[1]粘贴_账务明细'!$K$4:$K$3003,$P88))</f>
      </c>
      <c r="F88" s="11">
        <f>IF($P88="","",SUMIFS('[1]粘贴_营销活动'!$M$4:$M$3003,'[1]粘贴_营销活动'!$I$4:$I$3003,$D88))</f>
      </c>
      <c r="G88" s="11">
        <f>IF($P88="","",SUMIFS('[1]粘贴_服务费返还'!$M$4:$M$3003,'[1]粘贴_服务费返还'!$I$4:$I$3003,$D88))</f>
      </c>
      <c r="H88" s="10">
        <f>IF($P88="","",COUNTIFS('[1]粘贴_营销活动'!$I$4:$I$3003,$D88)+COUNTIFS('[1]粘贴_服务费返还'!$I$4:$I$3003,$D88))</f>
      </c>
      <c r="I88" s="11">
        <f t="shared" si="2"/>
      </c>
      <c r="J88" s="6">
        <f t="shared" si="4"/>
      </c>
      <c r="P88" s="17">
        <f>IF(A88&gt;$P$30,"",MATCH(A88,'[1]粘贴_账务明细'!$N$4:$N$3003,0))</f>
      </c>
    </row>
    <row r="89">
      <c r="A89" s="10" t="n">
        <v>58</v>
      </c>
      <c r="B89" s="16">
        <f>IF($P89="","",INDEX('[1]粘贴_账务明细'!$H$4:$H$3003,$P89))</f>
      </c>
      <c r="C89" s="6">
        <f>IF($P89="","",INDEX('[1]粘贴_账务明细'!$L$4:$L$3003,$P89))</f>
      </c>
      <c r="D89" s="6">
        <f>IF($P89="","",INDEX('[1]粘贴_账务明细'!$M$4:$M$3003,$P89))</f>
      </c>
      <c r="E89" s="11">
        <f>IF($P89="","",INDEX('[1]粘贴_账务明细'!$K$4:$K$3003,$P89))</f>
      </c>
      <c r="F89" s="11">
        <f>IF($P89="","",SUMIFS('[1]粘贴_营销活动'!$M$4:$M$3003,'[1]粘贴_营销活动'!$I$4:$I$3003,$D89))</f>
      </c>
      <c r="G89" s="11">
        <f>IF($P89="","",SUMIFS('[1]粘贴_服务费返还'!$M$4:$M$3003,'[1]粘贴_服务费返还'!$I$4:$I$3003,$D89))</f>
      </c>
      <c r="H89" s="10">
        <f>IF($P89="","",COUNTIFS('[1]粘贴_营销活动'!$I$4:$I$3003,$D89)+COUNTIFS('[1]粘贴_服务费返还'!$I$4:$I$3003,$D89))</f>
      </c>
      <c r="I89" s="11">
        <f t="shared" si="2"/>
      </c>
      <c r="J89" s="6">
        <f t="shared" si="4"/>
      </c>
      <c r="P89" s="17">
        <f>IF(A89&gt;$P$30,"",MATCH(A89,'[1]粘贴_账务明细'!$N$4:$N$3003,0))</f>
      </c>
    </row>
    <row r="90">
      <c r="A90" s="10" t="n">
        <v>59</v>
      </c>
      <c r="B90" s="16">
        <f>IF($P90="","",INDEX('[1]粘贴_账务明细'!$H$4:$H$3003,$P90))</f>
      </c>
      <c r="C90" s="6">
        <f>IF($P90="","",INDEX('[1]粘贴_账务明细'!$L$4:$L$3003,$P90))</f>
      </c>
      <c r="D90" s="6">
        <f>IF($P90="","",INDEX('[1]粘贴_账务明细'!$M$4:$M$3003,$P90))</f>
      </c>
      <c r="E90" s="11">
        <f>IF($P90="","",INDEX('[1]粘贴_账务明细'!$K$4:$K$3003,$P90))</f>
      </c>
      <c r="F90" s="11">
        <f>IF($P90="","",SUMIFS('[1]粘贴_营销活动'!$M$4:$M$3003,'[1]粘贴_营销活动'!$I$4:$I$3003,$D90))</f>
      </c>
      <c r="G90" s="11">
        <f>IF($P90="","",SUMIFS('[1]粘贴_服务费返还'!$M$4:$M$3003,'[1]粘贴_服务费返还'!$I$4:$I$3003,$D90))</f>
      </c>
      <c r="H90" s="10">
        <f>IF($P90="","",COUNTIFS('[1]粘贴_营销活动'!$I$4:$I$3003,$D90)+COUNTIFS('[1]粘贴_服务费返还'!$I$4:$I$3003,$D90))</f>
      </c>
      <c r="I90" s="11">
        <f t="shared" si="2"/>
      </c>
      <c r="J90" s="6">
        <f t="shared" si="4"/>
      </c>
      <c r="P90" s="17">
        <f>IF(A90&gt;$P$30,"",MATCH(A90,'[1]粘贴_账务明细'!$N$4:$N$3003,0))</f>
      </c>
    </row>
    <row r="91">
      <c r="A91" s="10" t="n">
        <v>60</v>
      </c>
      <c r="B91" s="16">
        <f>IF($P91="","",INDEX('[1]粘贴_账务明细'!$H$4:$H$3003,$P91))</f>
      </c>
      <c r="C91" s="6">
        <f>IF($P91="","",INDEX('[1]粘贴_账务明细'!$L$4:$L$3003,$P91))</f>
      </c>
      <c r="D91" s="6">
        <f>IF($P91="","",INDEX('[1]粘贴_账务明细'!$M$4:$M$3003,$P91))</f>
      </c>
      <c r="E91" s="11">
        <f>IF($P91="","",INDEX('[1]粘贴_账务明细'!$K$4:$K$3003,$P91))</f>
      </c>
      <c r="F91" s="11">
        <f>IF($P91="","",SUMIFS('[1]粘贴_营销活动'!$M$4:$M$3003,'[1]粘贴_营销活动'!$I$4:$I$3003,$D91))</f>
      </c>
      <c r="G91" s="11">
        <f>IF($P91="","",SUMIFS('[1]粘贴_服务费返还'!$M$4:$M$3003,'[1]粘贴_服务费返还'!$I$4:$I$3003,$D91))</f>
      </c>
      <c r="H91" s="10">
        <f>IF($P91="","",COUNTIFS('[1]粘贴_营销活动'!$I$4:$I$3003,$D91)+COUNTIFS('[1]粘贴_服务费返还'!$I$4:$I$3003,$D91))</f>
      </c>
      <c r="I91" s="11">
        <f t="shared" si="2"/>
      </c>
      <c r="J91" s="6">
        <f t="shared" si="4"/>
      </c>
      <c r="P91" s="17">
        <f>IF(A91&gt;$P$30,"",MATCH(A91,'[1]粘贴_账务明细'!$N$4:$N$3003,0))</f>
      </c>
    </row>
    <row r="92"/>
    <row r="93">
      <c r="A93" s="13" t="inlineStr">
        <is>
          <t>B. 对账单里的批次 → 账务明细里到账了没有</t>
        </is>
      </c>
      <c r="P93" s="10">
        <f>'[1]粘贴_营销活动'!$R$3003</f>
        <v>3</v>
      </c>
      <c r="Q93" s="10">
        <f>'[1]粘贴_服务费返还'!$R$3003</f>
        <v>1</v>
      </c>
      <c r="R93" s="2" t="inlineStr">
        <is>
          <t>← 营销活动批数、服务费返还批数</t>
        </is>
      </c>
    </row>
    <row r="94">
      <c r="A94" s="5" t="inlineStr">
        <is>
          <t>序</t>
        </is>
      </c>
      <c r="B94" s="5" t="inlineStr">
        <is>
          <t>来源</t>
        </is>
      </c>
      <c r="C94" s="5" t="inlineStr">
        <is>
          <t>批次号</t>
        </is>
      </c>
      <c r="D94" s="5" t="inlineStr">
        <is>
          <t>结算时间</t>
        </is>
      </c>
      <c r="E94" s="5" t="inlineStr">
        <is>
          <t>笔数</t>
        </is>
      </c>
      <c r="F94" s="5" t="inlineStr">
        <is>
          <t>对账单合计</t>
        </is>
      </c>
      <c r="G94" s="5" t="inlineStr">
        <is>
          <t>账务明细到账</t>
        </is>
      </c>
      <c r="H94" s="5" t="inlineStr">
        <is>
          <t>差额</t>
        </is>
      </c>
      <c r="I94" s="5" t="inlineStr">
        <is>
          <t>结论</t>
        </is>
      </c>
      <c r="P94" s="5" t="inlineStr">
        <is>
          <t>(位置)</t>
        </is>
      </c>
    </row>
    <row r="95">
      <c r="A95" s="10" t="n">
        <v>1</v>
      </c>
      <c r="B95" s="6" t="str">
        <f t="shared" ref="B95:B134" si="5">IF(A95&lt;=$P$93,"营销活动",IF(A95&lt;=$P$93+$Q$93,"服务费返还",""))</f>
        <v>营销活动</v>
      </c>
      <c r="C95" s="6" t="str">
        <f>IF($P95="","",IF($B95="营销活动",INDEX('[1]粘贴_营销活动'!$I$4:$I$3003,$P95),INDEX('[1]粘贴_服务费返还'!$I$4:$I$3003,$P95)))</f>
        <v>BO260913194135449</v>
      </c>
      <c r="D95" s="6" t="str">
        <f>IF($P95="","",IF($B95="营销活动",INDEX('[1]粘贴_营销活动'!$K$4:$K$3003,$P95),INDEX('[1]粘贴_服务费返还'!$K$4:$K$3003,$P95)))</f>
        <v>2026-10-12 17:10:05</v>
      </c>
      <c r="E95" s="10">
        <f>IF($P95="","",COUNTIFS('[1]粘贴_营销活动'!$I$4:$I$3003,$C95)+COUNTIFS('[1]粘贴_服务费返还'!$I$4:$I$3003,$C95))</f>
        <v>1</v>
      </c>
      <c r="F95" s="11">
        <f>IF($P95="","",SUMIFS('[1]粘贴_营销活动'!$M$4:$M$3003,'[1]粘贴_营销活动'!$I$4:$I$3003,$C95)+SUMIFS('[1]粘贴_服务费返还'!$M$4:$M$3003,'[1]粘贴_服务费返还'!$I$4:$I$3003,$C95))</f>
        <v>110</v>
      </c>
      <c r="G95" s="11">
        <f>IF($P95="","",SUMIFS('[1]粘贴_账务明细'!$K$4:$K$3003,'[1]粘贴_账务明细'!$M$4:$M$3003,$C95))</f>
        <v>0</v>
      </c>
      <c r="H95" s="11">
        <f t="shared" ref="H95:H134" si="1">IF($P95="","",ROUND(G95-F95,2))</f>
        <v>-110</v>
      </c>
      <c r="I95" s="6" t="str">
        <f t="shared" ref="I95:I134" si="3">IF($P95="","",IF(G95=0,"账务明细里还没到账（看结算时间，粘那个月的账务明细）",IF(ABS(H95)&lt;0.01,"对上","差 "&amp;TEXT(H95,"0.00"))))</f>
        <v>账务明细里还没到账（看结算时间，粘那个月的账务明细）</v>
      </c>
      <c r="P95" s="17">
        <f>IF(B95="营销活动",MATCH(A95,'[1]粘贴_营销活动'!$R$4:$R$3003,0),IF(B95="服务费返还",MATCH(A95-$P$93,'[1]粘贴_服务费返还'!$R$4:$R$3003,0),""))</f>
        <v>1</v>
      </c>
    </row>
    <row r="96">
      <c r="A96" s="10" t="n">
        <v>2</v>
      </c>
      <c r="B96" s="6" t="str">
        <f t="shared" si="5"/>
        <v>营销活动</v>
      </c>
      <c r="C96" s="6" t="str">
        <f>IF($P96="","",IF($B96="营销活动",INDEX('[1]粘贴_营销活动'!$I$4:$I$3003,$P96),INDEX('[1]粘贴_服务费返还'!$I$4:$I$3003,$P96)))</f>
        <v>BO260919079963782</v>
      </c>
      <c r="D96" s="6" t="str">
        <f>IF($P96="","",IF($B96="营销活动",INDEX('[1]粘贴_营销活动'!$K$4:$K$3003,$P96),INDEX('[1]粘贴_服务费返还'!$K$4:$K$3003,$P96)))</f>
        <v>2026-10-12 17:07:42</v>
      </c>
      <c r="E96" s="10">
        <f>IF($P96="","",COUNTIFS('[1]粘贴_营销活动'!$I$4:$I$3003,$C96)+COUNTIFS('[1]粘贴_服务费返还'!$I$4:$I$3003,$C96))</f>
        <v>2</v>
      </c>
      <c r="F96" s="11">
        <f>IF($P96="","",SUMIFS('[1]粘贴_营销活动'!$M$4:$M$3003,'[1]粘贴_营销活动'!$I$4:$I$3003,$C96)+SUMIFS('[1]粘贴_服务费返还'!$M$4:$M$3003,'[1]粘贴_服务费返还'!$I$4:$I$3003,$C96))</f>
        <v>560</v>
      </c>
      <c r="G96" s="11">
        <f>IF($P96="","",SUMIFS('[1]粘贴_账务明细'!$K$4:$K$3003,'[1]粘贴_账务明细'!$M$4:$M$3003,$C96))</f>
        <v>0</v>
      </c>
      <c r="H96" s="11">
        <f t="shared" si="1"/>
        <v>-560</v>
      </c>
      <c r="I96" s="6" t="str">
        <f t="shared" si="3"/>
        <v>账务明细里还没到账（看结算时间，粘那个月的账务明细）</v>
      </c>
      <c r="P96" s="17">
        <f>IF(B96="营销活动",MATCH(A96,'[1]粘贴_营销活动'!$R$4:$R$3003,0),IF(B96="服务费返还",MATCH(A96-$P$93,'[1]粘贴_服务费返还'!$R$4:$R$3003,0),""))</f>
        <v>2</v>
      </c>
    </row>
    <row r="97">
      <c r="A97" s="10" t="n">
        <v>3</v>
      </c>
      <c r="B97" s="6" t="str">
        <f t="shared" si="5"/>
        <v>营销活动</v>
      </c>
      <c r="C97" s="6" t="str">
        <f>IF($P97="","",IF($B97="营销活动",INDEX('[1]粘贴_营销活动'!$I$4:$I$3003,$P97),INDEX('[1]粘贴_服务费返还'!$I$4:$I$3003,$P97)))</f>
        <v>BO260925082890891</v>
      </c>
      <c r="D97" s="6" t="str">
        <f>IF($P97="","",IF($B97="营销活动",INDEX('[1]粘贴_营销活动'!$K$4:$K$3003,$P97),INDEX('[1]粘贴_服务费返还'!$K$4:$K$3003,$P97)))</f>
        <v>2026-10-12 17:07:47</v>
      </c>
      <c r="E97" s="10">
        <f>IF($P97="","",COUNTIFS('[1]粘贴_营销活动'!$I$4:$I$3003,$C97)+COUNTIFS('[1]粘贴_服务费返还'!$I$4:$I$3003,$C97))</f>
        <v>1</v>
      </c>
      <c r="F97" s="11">
        <f>IF($P97="","",SUMIFS('[1]粘贴_营销活动'!$M$4:$M$3003,'[1]粘贴_营销活动'!$I$4:$I$3003,$C97)+SUMIFS('[1]粘贴_服务费返还'!$M$4:$M$3003,'[1]粘贴_服务费返还'!$I$4:$I$3003,$C97))</f>
        <v>650</v>
      </c>
      <c r="G97" s="11">
        <f>IF($P97="","",SUMIFS('[1]粘贴_账务明细'!$K$4:$K$3003,'[1]粘贴_账务明细'!$M$4:$M$3003,$C97))</f>
        <v>0</v>
      </c>
      <c r="H97" s="11">
        <f t="shared" si="1"/>
        <v>-650</v>
      </c>
      <c r="I97" s="6" t="str">
        <f t="shared" si="3"/>
        <v>账务明细里还没到账（看结算时间，粘那个月的账务明细）</v>
      </c>
      <c r="P97" s="17">
        <f>IF(B97="营销活动",MATCH(A97,'[1]粘贴_营销活动'!$R$4:$R$3003,0),IF(B97="服务费返还",MATCH(A97-$P$93,'[1]粘贴_服务费返还'!$R$4:$R$3003,0),""))</f>
        <v>4</v>
      </c>
    </row>
    <row r="98">
      <c r="A98" s="10" t="n">
        <v>4</v>
      </c>
      <c r="B98" s="6" t="str">
        <f t="shared" si="5"/>
        <v>服务费返还</v>
      </c>
      <c r="C98" s="6" t="str">
        <f>IF($P98="","",IF($B98="营销活动",INDEX('[1]粘贴_营销活动'!$I$4:$I$3003,$P98),INDEX('[1]粘贴_服务费返还'!$I$4:$I$3003,$P98)))</f>
        <v>BO260915078057502</v>
      </c>
      <c r="D98" s="6" t="str">
        <f>IF($P98="","",IF($B98="营销活动",INDEX('[1]粘贴_营销活动'!$K$4:$K$3003,$P98),INDEX('[1]粘贴_服务费返还'!$K$4:$K$3003,$P98)))</f>
        <v>2026-09-24 08:59:43</v>
      </c>
      <c r="E98" s="10">
        <f>IF($P98="","",COUNTIFS('[1]粘贴_营销活动'!$I$4:$I$3003,$C98)+COUNTIFS('[1]粘贴_服务费返还'!$I$4:$I$3003,$C98))</f>
        <v>65</v>
      </c>
      <c r="F98" s="11">
        <f>IF($P98="","",SUMIFS('[1]粘贴_营销活动'!$M$4:$M$3003,'[1]粘贴_营销活动'!$I$4:$I$3003,$C98)+SUMIFS('[1]粘贴_服务费返还'!$M$4:$M$3003,'[1]粘贴_服务费返还'!$I$4:$I$3003,$C98))</f>
        <v>4586.81</v>
      </c>
      <c r="G98" s="11">
        <f>IF($P98="","",SUMIFS('[1]粘贴_账务明细'!$K$4:$K$3003,'[1]粘贴_账务明细'!$M$4:$M$3003,$C98))</f>
        <v>4586.81</v>
      </c>
      <c r="H98" s="11">
        <f t="shared" si="1"/>
        <v>0</v>
      </c>
      <c r="I98" s="6" t="str">
        <f t="shared" si="3"/>
        <v>对上</v>
      </c>
      <c r="P98" s="17">
        <f>IF(B98="营销活动",MATCH(A98,'[1]粘贴_营销活动'!$R$4:$R$3003,0),IF(B98="服务费返还",MATCH(A98-$P$93,'[1]粘贴_服务费返还'!$R$4:$R$3003,0),""))</f>
        <v>1</v>
      </c>
    </row>
    <row r="99">
      <c r="A99" s="10" t="n">
        <v>5</v>
      </c>
      <c r="B99" s="6">
        <f t="shared" si="5"/>
      </c>
      <c r="C99" s="6">
        <f>IF($P99="","",IF($B99="营销活动",INDEX('[1]粘贴_营销活动'!$I$4:$I$3003,$P99),INDEX('[1]粘贴_服务费返还'!$I$4:$I$3003,$P99)))</f>
      </c>
      <c r="D99" s="6">
        <f>IF($P99="","",IF($B99="营销活动",INDEX('[1]粘贴_营销活动'!$K$4:$K$3003,$P99),INDEX('[1]粘贴_服务费返还'!$K$4:$K$3003,$P99)))</f>
      </c>
      <c r="E99" s="10">
        <f>IF($P99="","",COUNTIFS('[1]粘贴_营销活动'!$I$4:$I$3003,$C99)+COUNTIFS('[1]粘贴_服务费返还'!$I$4:$I$3003,$C99))</f>
      </c>
      <c r="F99" s="11">
        <f>IF($P99="","",SUMIFS('[1]粘贴_营销活动'!$M$4:$M$3003,'[1]粘贴_营销活动'!$I$4:$I$3003,$C99)+SUMIFS('[1]粘贴_服务费返还'!$M$4:$M$3003,'[1]粘贴_服务费返还'!$I$4:$I$3003,$C99))</f>
      </c>
      <c r="G99" s="11">
        <f>IF($P99="","",SUMIFS('[1]粘贴_账务明细'!$K$4:$K$3003,'[1]粘贴_账务明细'!$M$4:$M$3003,$C99))</f>
      </c>
      <c r="H99" s="11">
        <f t="shared" si="1"/>
      </c>
      <c r="I99" s="6">
        <f t="shared" si="3"/>
      </c>
      <c r="P99" s="17">
        <f>IF(B99="营销活动",MATCH(A99,'[1]粘贴_营销活动'!$R$4:$R$3003,0),IF(B99="服务费返还",MATCH(A99-$P$93,'[1]粘贴_服务费返还'!$R$4:$R$3003,0),""))</f>
      </c>
    </row>
    <row r="100">
      <c r="A100" s="10" t="n">
        <v>6</v>
      </c>
      <c r="B100" s="6">
        <f t="shared" si="5"/>
      </c>
      <c r="C100" s="6">
        <f>IF($P100="","",IF($B100="营销活动",INDEX('[1]粘贴_营销活动'!$I$4:$I$3003,$P100),INDEX('[1]粘贴_服务费返还'!$I$4:$I$3003,$P100)))</f>
      </c>
      <c r="D100" s="6">
        <f>IF($P100="","",IF($B100="营销活动",INDEX('[1]粘贴_营销活动'!$K$4:$K$3003,$P100),INDEX('[1]粘贴_服务费返还'!$K$4:$K$3003,$P100)))</f>
      </c>
      <c r="E100" s="10">
        <f>IF($P100="","",COUNTIFS('[1]粘贴_营销活动'!$I$4:$I$3003,$C100)+COUNTIFS('[1]粘贴_服务费返还'!$I$4:$I$3003,$C100))</f>
      </c>
      <c r="F100" s="11">
        <f>IF($P100="","",SUMIFS('[1]粘贴_营销活动'!$M$4:$M$3003,'[1]粘贴_营销活动'!$I$4:$I$3003,$C100)+SUMIFS('[1]粘贴_服务费返还'!$M$4:$M$3003,'[1]粘贴_服务费返还'!$I$4:$I$3003,$C100))</f>
      </c>
      <c r="G100" s="11">
        <f>IF($P100="","",SUMIFS('[1]粘贴_账务明细'!$K$4:$K$3003,'[1]粘贴_账务明细'!$M$4:$M$3003,$C100))</f>
      </c>
      <c r="H100" s="11">
        <f t="shared" si="1"/>
      </c>
      <c r="I100" s="6">
        <f t="shared" si="3"/>
      </c>
      <c r="P100" s="17">
        <f>IF(B100="营销活动",MATCH(A100,'[1]粘贴_营销活动'!$R$4:$R$3003,0),IF(B100="服务费返还",MATCH(A100-$P$93,'[1]粘贴_服务费返还'!$R$4:$R$3003,0),""))</f>
      </c>
    </row>
    <row r="101">
      <c r="A101" s="10" t="n">
        <v>7</v>
      </c>
      <c r="B101" s="6">
        <f t="shared" si="5"/>
      </c>
      <c r="C101" s="6">
        <f>IF($P101="","",IF($B101="营销活动",INDEX('[1]粘贴_营销活动'!$I$4:$I$3003,$P101),INDEX('[1]粘贴_服务费返还'!$I$4:$I$3003,$P101)))</f>
      </c>
      <c r="D101" s="6">
        <f>IF($P101="","",IF($B101="营销活动",INDEX('[1]粘贴_营销活动'!$K$4:$K$3003,$P101),INDEX('[1]粘贴_服务费返还'!$K$4:$K$3003,$P101)))</f>
      </c>
      <c r="E101" s="10">
        <f>IF($P101="","",COUNTIFS('[1]粘贴_营销活动'!$I$4:$I$3003,$C101)+COUNTIFS('[1]粘贴_服务费返还'!$I$4:$I$3003,$C101))</f>
      </c>
      <c r="F101" s="11">
        <f>IF($P101="","",SUMIFS('[1]粘贴_营销活动'!$M$4:$M$3003,'[1]粘贴_营销活动'!$I$4:$I$3003,$C101)+SUMIFS('[1]粘贴_服务费返还'!$M$4:$M$3003,'[1]粘贴_服务费返还'!$I$4:$I$3003,$C101))</f>
      </c>
      <c r="G101" s="11">
        <f>IF($P101="","",SUMIFS('[1]粘贴_账务明细'!$K$4:$K$3003,'[1]粘贴_账务明细'!$M$4:$M$3003,$C101))</f>
      </c>
      <c r="H101" s="11">
        <f t="shared" si="1"/>
      </c>
      <c r="I101" s="6">
        <f t="shared" si="3"/>
      </c>
      <c r="P101" s="17">
        <f>IF(B101="营销活动",MATCH(A101,'[1]粘贴_营销活动'!$R$4:$R$3003,0),IF(B101="服务费返还",MATCH(A101-$P$93,'[1]粘贴_服务费返还'!$R$4:$R$3003,0),""))</f>
      </c>
    </row>
    <row r="102">
      <c r="A102" s="10" t="n">
        <v>8</v>
      </c>
      <c r="B102" s="6">
        <f t="shared" si="5"/>
      </c>
      <c r="C102" s="6">
        <f>IF($P102="","",IF($B102="营销活动",INDEX('[1]粘贴_营销活动'!$I$4:$I$3003,$P102),INDEX('[1]粘贴_服务费返还'!$I$4:$I$3003,$P102)))</f>
      </c>
      <c r="D102" s="6">
        <f>IF($P102="","",IF($B102="营销活动",INDEX('[1]粘贴_营销活动'!$K$4:$K$3003,$P102),INDEX('[1]粘贴_服务费返还'!$K$4:$K$3003,$P102)))</f>
      </c>
      <c r="E102" s="10">
        <f>IF($P102="","",COUNTIFS('[1]粘贴_营销活动'!$I$4:$I$3003,$C102)+COUNTIFS('[1]粘贴_服务费返还'!$I$4:$I$3003,$C102))</f>
      </c>
      <c r="F102" s="11">
        <f>IF($P102="","",SUMIFS('[1]粘贴_营销活动'!$M$4:$M$3003,'[1]粘贴_营销活动'!$I$4:$I$3003,$C102)+SUMIFS('[1]粘贴_服务费返还'!$M$4:$M$3003,'[1]粘贴_服务费返还'!$I$4:$I$3003,$C102))</f>
      </c>
      <c r="G102" s="11">
        <f>IF($P102="","",SUMIFS('[1]粘贴_账务明细'!$K$4:$K$3003,'[1]粘贴_账务明细'!$M$4:$M$3003,$C102))</f>
      </c>
      <c r="H102" s="11">
        <f t="shared" si="1"/>
      </c>
      <c r="I102" s="6">
        <f t="shared" si="3"/>
      </c>
      <c r="P102" s="17">
        <f>IF(B102="营销活动",MATCH(A102,'[1]粘贴_营销活动'!$R$4:$R$3003,0),IF(B102="服务费返还",MATCH(A102-$P$93,'[1]粘贴_服务费返还'!$R$4:$R$3003,0),""))</f>
      </c>
    </row>
    <row r="103">
      <c r="A103" s="10" t="n">
        <v>9</v>
      </c>
      <c r="B103" s="6">
        <f t="shared" si="5"/>
      </c>
      <c r="C103" s="6">
        <f>IF($P103="","",IF($B103="营销活动",INDEX('[1]粘贴_营销活动'!$I$4:$I$3003,$P103),INDEX('[1]粘贴_服务费返还'!$I$4:$I$3003,$P103)))</f>
      </c>
      <c r="D103" s="6">
        <f>IF($P103="","",IF($B103="营销活动",INDEX('[1]粘贴_营销活动'!$K$4:$K$3003,$P103),INDEX('[1]粘贴_服务费返还'!$K$4:$K$3003,$P103)))</f>
      </c>
      <c r="E103" s="10">
        <f>IF($P103="","",COUNTIFS('[1]粘贴_营销活动'!$I$4:$I$3003,$C103)+COUNTIFS('[1]粘贴_服务费返还'!$I$4:$I$3003,$C103))</f>
      </c>
      <c r="F103" s="11">
        <f>IF($P103="","",SUMIFS('[1]粘贴_营销活动'!$M$4:$M$3003,'[1]粘贴_营销活动'!$I$4:$I$3003,$C103)+SUMIFS('[1]粘贴_服务费返还'!$M$4:$M$3003,'[1]粘贴_服务费返还'!$I$4:$I$3003,$C103))</f>
      </c>
      <c r="G103" s="11">
        <f>IF($P103="","",SUMIFS('[1]粘贴_账务明细'!$K$4:$K$3003,'[1]粘贴_账务明细'!$M$4:$M$3003,$C103))</f>
      </c>
      <c r="H103" s="11">
        <f t="shared" si="1"/>
      </c>
      <c r="I103" s="6">
        <f t="shared" si="3"/>
      </c>
      <c r="P103" s="17">
        <f>IF(B103="营销活动",MATCH(A103,'[1]粘贴_营销活动'!$R$4:$R$3003,0),IF(B103="服务费返还",MATCH(A103-$P$93,'[1]粘贴_服务费返还'!$R$4:$R$3003,0),""))</f>
      </c>
    </row>
    <row r="104">
      <c r="A104" s="10" t="n">
        <v>10</v>
      </c>
      <c r="B104" s="6">
        <f t="shared" si="5"/>
      </c>
      <c r="C104" s="6">
        <f>IF($P104="","",IF($B104="营销活动",INDEX('[1]粘贴_营销活动'!$I$4:$I$3003,$P104),INDEX('[1]粘贴_服务费返还'!$I$4:$I$3003,$P104)))</f>
      </c>
      <c r="D104" s="6">
        <f>IF($P104="","",IF($B104="营销活动",INDEX('[1]粘贴_营销活动'!$K$4:$K$3003,$P104),INDEX('[1]粘贴_服务费返还'!$K$4:$K$3003,$P104)))</f>
      </c>
      <c r="E104" s="10">
        <f>IF($P104="","",COUNTIFS('[1]粘贴_营销活动'!$I$4:$I$3003,$C104)+COUNTIFS('[1]粘贴_服务费返还'!$I$4:$I$3003,$C104))</f>
      </c>
      <c r="F104" s="11">
        <f>IF($P104="","",SUMIFS('[1]粘贴_营销活动'!$M$4:$M$3003,'[1]粘贴_营销活动'!$I$4:$I$3003,$C104)+SUMIFS('[1]粘贴_服务费返还'!$M$4:$M$3003,'[1]粘贴_服务费返还'!$I$4:$I$3003,$C104))</f>
      </c>
      <c r="G104" s="11">
        <f>IF($P104="","",SUMIFS('[1]粘贴_账务明细'!$K$4:$K$3003,'[1]粘贴_账务明细'!$M$4:$M$3003,$C104))</f>
      </c>
      <c r="H104" s="11">
        <f t="shared" si="1"/>
      </c>
      <c r="I104" s="6">
        <f t="shared" si="3"/>
      </c>
      <c r="P104" s="17">
        <f>IF(B104="营销活动",MATCH(A104,'[1]粘贴_营销活动'!$R$4:$R$3003,0),IF(B104="服务费返还",MATCH(A104-$P$93,'[1]粘贴_服务费返还'!$R$4:$R$3003,0),""))</f>
      </c>
    </row>
    <row r="105">
      <c r="A105" s="10" t="n">
        <v>11</v>
      </c>
      <c r="B105" s="6">
        <f t="shared" si="5"/>
      </c>
      <c r="C105" s="6">
        <f>IF($P105="","",IF($B105="营销活动",INDEX('[1]粘贴_营销活动'!$I$4:$I$3003,$P105),INDEX('[1]粘贴_服务费返还'!$I$4:$I$3003,$P105)))</f>
      </c>
      <c r="D105" s="6">
        <f>IF($P105="","",IF($B105="营销活动",INDEX('[1]粘贴_营销活动'!$K$4:$K$3003,$P105),INDEX('[1]粘贴_服务费返还'!$K$4:$K$3003,$P105)))</f>
      </c>
      <c r="E105" s="10">
        <f>IF($P105="","",COUNTIFS('[1]粘贴_营销活动'!$I$4:$I$3003,$C105)+COUNTIFS('[1]粘贴_服务费返还'!$I$4:$I$3003,$C105))</f>
      </c>
      <c r="F105" s="11">
        <f>IF($P105="","",SUMIFS('[1]粘贴_营销活动'!$M$4:$M$3003,'[1]粘贴_营销活动'!$I$4:$I$3003,$C105)+SUMIFS('[1]粘贴_服务费返还'!$M$4:$M$3003,'[1]粘贴_服务费返还'!$I$4:$I$3003,$C105))</f>
      </c>
      <c r="G105" s="11">
        <f>IF($P105="","",SUMIFS('[1]粘贴_账务明细'!$K$4:$K$3003,'[1]粘贴_账务明细'!$M$4:$M$3003,$C105))</f>
      </c>
      <c r="H105" s="11">
        <f t="shared" si="1"/>
      </c>
      <c r="I105" s="6">
        <f t="shared" si="3"/>
      </c>
      <c r="P105" s="17">
        <f>IF(B105="营销活动",MATCH(A105,'[1]粘贴_营销活动'!$R$4:$R$3003,0),IF(B105="服务费返还",MATCH(A105-$P$93,'[1]粘贴_服务费返还'!$R$4:$R$3003,0),""))</f>
      </c>
    </row>
    <row r="106">
      <c r="A106" s="10" t="n">
        <v>12</v>
      </c>
      <c r="B106" s="6">
        <f t="shared" si="5"/>
      </c>
      <c r="C106" s="6">
        <f>IF($P106="","",IF($B106="营销活动",INDEX('[1]粘贴_营销活动'!$I$4:$I$3003,$P106),INDEX('[1]粘贴_服务费返还'!$I$4:$I$3003,$P106)))</f>
      </c>
      <c r="D106" s="6">
        <f>IF($P106="","",IF($B106="营销活动",INDEX('[1]粘贴_营销活动'!$K$4:$K$3003,$P106),INDEX('[1]粘贴_服务费返还'!$K$4:$K$3003,$P106)))</f>
      </c>
      <c r="E106" s="10">
        <f>IF($P106="","",COUNTIFS('[1]粘贴_营销活动'!$I$4:$I$3003,$C106)+COUNTIFS('[1]粘贴_服务费返还'!$I$4:$I$3003,$C106))</f>
      </c>
      <c r="F106" s="11">
        <f>IF($P106="","",SUMIFS('[1]粘贴_营销活动'!$M$4:$M$3003,'[1]粘贴_营销活动'!$I$4:$I$3003,$C106)+SUMIFS('[1]粘贴_服务费返还'!$M$4:$M$3003,'[1]粘贴_服务费返还'!$I$4:$I$3003,$C106))</f>
      </c>
      <c r="G106" s="11">
        <f>IF($P106="","",SUMIFS('[1]粘贴_账务明细'!$K$4:$K$3003,'[1]粘贴_账务明细'!$M$4:$M$3003,$C106))</f>
      </c>
      <c r="H106" s="11">
        <f t="shared" si="1"/>
      </c>
      <c r="I106" s="6">
        <f t="shared" si="3"/>
      </c>
      <c r="P106" s="17">
        <f>IF(B106="营销活动",MATCH(A106,'[1]粘贴_营销活动'!$R$4:$R$3003,0),IF(B106="服务费返还",MATCH(A106-$P$93,'[1]粘贴_服务费返还'!$R$4:$R$3003,0),""))</f>
      </c>
    </row>
    <row r="107">
      <c r="A107" s="10" t="n">
        <v>13</v>
      </c>
      <c r="B107" s="6">
        <f t="shared" si="5"/>
      </c>
      <c r="C107" s="6">
        <f>IF($P107="","",IF($B107="营销活动",INDEX('[1]粘贴_营销活动'!$I$4:$I$3003,$P107),INDEX('[1]粘贴_服务费返还'!$I$4:$I$3003,$P107)))</f>
      </c>
      <c r="D107" s="6">
        <f>IF($P107="","",IF($B107="营销活动",INDEX('[1]粘贴_营销活动'!$K$4:$K$3003,$P107),INDEX('[1]粘贴_服务费返还'!$K$4:$K$3003,$P107)))</f>
      </c>
      <c r="E107" s="10">
        <f>IF($P107="","",COUNTIFS('[1]粘贴_营销活动'!$I$4:$I$3003,$C107)+COUNTIFS('[1]粘贴_服务费返还'!$I$4:$I$3003,$C107))</f>
      </c>
      <c r="F107" s="11">
        <f>IF($P107="","",SUMIFS('[1]粘贴_营销活动'!$M$4:$M$3003,'[1]粘贴_营销活动'!$I$4:$I$3003,$C107)+SUMIFS('[1]粘贴_服务费返还'!$M$4:$M$3003,'[1]粘贴_服务费返还'!$I$4:$I$3003,$C107))</f>
      </c>
      <c r="G107" s="11">
        <f>IF($P107="","",SUMIFS('[1]粘贴_账务明细'!$K$4:$K$3003,'[1]粘贴_账务明细'!$M$4:$M$3003,$C107))</f>
      </c>
      <c r="H107" s="11">
        <f t="shared" si="1"/>
      </c>
      <c r="I107" s="6">
        <f t="shared" si="3"/>
      </c>
      <c r="P107" s="17">
        <f>IF(B107="营销活动",MATCH(A107,'[1]粘贴_营销活动'!$R$4:$R$3003,0),IF(B107="服务费返还",MATCH(A107-$P$93,'[1]粘贴_服务费返还'!$R$4:$R$3003,0),""))</f>
      </c>
    </row>
    <row r="108">
      <c r="A108" s="10" t="n">
        <v>14</v>
      </c>
      <c r="B108" s="6">
        <f t="shared" si="5"/>
      </c>
      <c r="C108" s="6">
        <f>IF($P108="","",IF($B108="营销活动",INDEX('[1]粘贴_营销活动'!$I$4:$I$3003,$P108),INDEX('[1]粘贴_服务费返还'!$I$4:$I$3003,$P108)))</f>
      </c>
      <c r="D108" s="6">
        <f>IF($P108="","",IF($B108="营销活动",INDEX('[1]粘贴_营销活动'!$K$4:$K$3003,$P108),INDEX('[1]粘贴_服务费返还'!$K$4:$K$3003,$P108)))</f>
      </c>
      <c r="E108" s="10">
        <f>IF($P108="","",COUNTIFS('[1]粘贴_营销活动'!$I$4:$I$3003,$C108)+COUNTIFS('[1]粘贴_服务费返还'!$I$4:$I$3003,$C108))</f>
      </c>
      <c r="F108" s="11">
        <f>IF($P108="","",SUMIFS('[1]粘贴_营销活动'!$M$4:$M$3003,'[1]粘贴_营销活动'!$I$4:$I$3003,$C108)+SUMIFS('[1]粘贴_服务费返还'!$M$4:$M$3003,'[1]粘贴_服务费返还'!$I$4:$I$3003,$C108))</f>
      </c>
      <c r="G108" s="11">
        <f>IF($P108="","",SUMIFS('[1]粘贴_账务明细'!$K$4:$K$3003,'[1]粘贴_账务明细'!$M$4:$M$3003,$C108))</f>
      </c>
      <c r="H108" s="11">
        <f t="shared" si="1"/>
      </c>
      <c r="I108" s="6">
        <f t="shared" si="3"/>
      </c>
      <c r="P108" s="17">
        <f>IF(B108="营销活动",MATCH(A108,'[1]粘贴_营销活动'!$R$4:$R$3003,0),IF(B108="服务费返还",MATCH(A108-$P$93,'[1]粘贴_服务费返还'!$R$4:$R$3003,0),""))</f>
      </c>
    </row>
    <row r="109">
      <c r="A109" s="10" t="n">
        <v>15</v>
      </c>
      <c r="B109" s="6">
        <f t="shared" si="5"/>
      </c>
      <c r="C109" s="6">
        <f>IF($P109="","",IF($B109="营销活动",INDEX('[1]粘贴_营销活动'!$I$4:$I$3003,$P109),INDEX('[1]粘贴_服务费返还'!$I$4:$I$3003,$P109)))</f>
      </c>
      <c r="D109" s="6">
        <f>IF($P109="","",IF($B109="营销活动",INDEX('[1]粘贴_营销活动'!$K$4:$K$3003,$P109),INDEX('[1]粘贴_服务费返还'!$K$4:$K$3003,$P109)))</f>
      </c>
      <c r="E109" s="10">
        <f>IF($P109="","",COUNTIFS('[1]粘贴_营销活动'!$I$4:$I$3003,$C109)+COUNTIFS('[1]粘贴_服务费返还'!$I$4:$I$3003,$C109))</f>
      </c>
      <c r="F109" s="11">
        <f>IF($P109="","",SUMIFS('[1]粘贴_营销活动'!$M$4:$M$3003,'[1]粘贴_营销活动'!$I$4:$I$3003,$C109)+SUMIFS('[1]粘贴_服务费返还'!$M$4:$M$3003,'[1]粘贴_服务费返还'!$I$4:$I$3003,$C109))</f>
      </c>
      <c r="G109" s="11">
        <f>IF($P109="","",SUMIFS('[1]粘贴_账务明细'!$K$4:$K$3003,'[1]粘贴_账务明细'!$M$4:$M$3003,$C109))</f>
      </c>
      <c r="H109" s="11">
        <f t="shared" si="1"/>
      </c>
      <c r="I109" s="6">
        <f t="shared" si="3"/>
      </c>
      <c r="P109" s="17">
        <f>IF(B109="营销活动",MATCH(A109,'[1]粘贴_营销活动'!$R$4:$R$3003,0),IF(B109="服务费返还",MATCH(A109-$P$93,'[1]粘贴_服务费返还'!$R$4:$R$3003,0),""))</f>
      </c>
    </row>
    <row r="110">
      <c r="A110" s="10" t="n">
        <v>16</v>
      </c>
      <c r="B110" s="6">
        <f t="shared" si="5"/>
      </c>
      <c r="C110" s="6">
        <f>IF($P110="","",IF($B110="营销活动",INDEX('[1]粘贴_营销活动'!$I$4:$I$3003,$P110),INDEX('[1]粘贴_服务费返还'!$I$4:$I$3003,$P110)))</f>
      </c>
      <c r="D110" s="6">
        <f>IF($P110="","",IF($B110="营销活动",INDEX('[1]粘贴_营销活动'!$K$4:$K$3003,$P110),INDEX('[1]粘贴_服务费返还'!$K$4:$K$3003,$P110)))</f>
      </c>
      <c r="E110" s="10">
        <f>IF($P110="","",COUNTIFS('[1]粘贴_营销活动'!$I$4:$I$3003,$C110)+COUNTIFS('[1]粘贴_服务费返还'!$I$4:$I$3003,$C110))</f>
      </c>
      <c r="F110" s="11">
        <f>IF($P110="","",SUMIFS('[1]粘贴_营销活动'!$M$4:$M$3003,'[1]粘贴_营销活动'!$I$4:$I$3003,$C110)+SUMIFS('[1]粘贴_服务费返还'!$M$4:$M$3003,'[1]粘贴_服务费返还'!$I$4:$I$3003,$C110))</f>
      </c>
      <c r="G110" s="11">
        <f>IF($P110="","",SUMIFS('[1]粘贴_账务明细'!$K$4:$K$3003,'[1]粘贴_账务明细'!$M$4:$M$3003,$C110))</f>
      </c>
      <c r="H110" s="11">
        <f t="shared" si="1"/>
      </c>
      <c r="I110" s="6">
        <f t="shared" si="3"/>
      </c>
      <c r="P110" s="17">
        <f>IF(B110="营销活动",MATCH(A110,'[1]粘贴_营销活动'!$R$4:$R$3003,0),IF(B110="服务费返还",MATCH(A110-$P$93,'[1]粘贴_服务费返还'!$R$4:$R$3003,0),""))</f>
      </c>
    </row>
    <row r="111">
      <c r="A111" s="10" t="n">
        <v>17</v>
      </c>
      <c r="B111" s="6">
        <f t="shared" si="5"/>
      </c>
      <c r="C111" s="6">
        <f>IF($P111="","",IF($B111="营销活动",INDEX('[1]粘贴_营销活动'!$I$4:$I$3003,$P111),INDEX('[1]粘贴_服务费返还'!$I$4:$I$3003,$P111)))</f>
      </c>
      <c r="D111" s="6">
        <f>IF($P111="","",IF($B111="营销活动",INDEX('[1]粘贴_营销活动'!$K$4:$K$3003,$P111),INDEX('[1]粘贴_服务费返还'!$K$4:$K$3003,$P111)))</f>
      </c>
      <c r="E111" s="10">
        <f>IF($P111="","",COUNTIFS('[1]粘贴_营销活动'!$I$4:$I$3003,$C111)+COUNTIFS('[1]粘贴_服务费返还'!$I$4:$I$3003,$C111))</f>
      </c>
      <c r="F111" s="11">
        <f>IF($P111="","",SUMIFS('[1]粘贴_营销活动'!$M$4:$M$3003,'[1]粘贴_营销活动'!$I$4:$I$3003,$C111)+SUMIFS('[1]粘贴_服务费返还'!$M$4:$M$3003,'[1]粘贴_服务费返还'!$I$4:$I$3003,$C111))</f>
      </c>
      <c r="G111" s="11">
        <f>IF($P111="","",SUMIFS('[1]粘贴_账务明细'!$K$4:$K$3003,'[1]粘贴_账务明细'!$M$4:$M$3003,$C111))</f>
      </c>
      <c r="H111" s="11">
        <f t="shared" si="1"/>
      </c>
      <c r="I111" s="6">
        <f t="shared" si="3"/>
      </c>
      <c r="P111" s="17">
        <f>IF(B111="营销活动",MATCH(A111,'[1]粘贴_营销活动'!$R$4:$R$3003,0),IF(B111="服务费返还",MATCH(A111-$P$93,'[1]粘贴_服务费返还'!$R$4:$R$3003,0),""))</f>
      </c>
    </row>
    <row r="112">
      <c r="A112" s="10" t="n">
        <v>18</v>
      </c>
      <c r="B112" s="6">
        <f t="shared" si="5"/>
      </c>
      <c r="C112" s="6">
        <f>IF($P112="","",IF($B112="营销活动",INDEX('[1]粘贴_营销活动'!$I$4:$I$3003,$P112),INDEX('[1]粘贴_服务费返还'!$I$4:$I$3003,$P112)))</f>
      </c>
      <c r="D112" s="6">
        <f>IF($P112="","",IF($B112="营销活动",INDEX('[1]粘贴_营销活动'!$K$4:$K$3003,$P112),INDEX('[1]粘贴_服务费返还'!$K$4:$K$3003,$P112)))</f>
      </c>
      <c r="E112" s="10">
        <f>IF($P112="","",COUNTIFS('[1]粘贴_营销活动'!$I$4:$I$3003,$C112)+COUNTIFS('[1]粘贴_服务费返还'!$I$4:$I$3003,$C112))</f>
      </c>
      <c r="F112" s="11">
        <f>IF($P112="","",SUMIFS('[1]粘贴_营销活动'!$M$4:$M$3003,'[1]粘贴_营销活动'!$I$4:$I$3003,$C112)+SUMIFS('[1]粘贴_服务费返还'!$M$4:$M$3003,'[1]粘贴_服务费返还'!$I$4:$I$3003,$C112))</f>
      </c>
      <c r="G112" s="11">
        <f>IF($P112="","",SUMIFS('[1]粘贴_账务明细'!$K$4:$K$3003,'[1]粘贴_账务明细'!$M$4:$M$3003,$C112))</f>
      </c>
      <c r="H112" s="11">
        <f t="shared" si="1"/>
      </c>
      <c r="I112" s="6">
        <f t="shared" si="3"/>
      </c>
      <c r="P112" s="17">
        <f>IF(B112="营销活动",MATCH(A112,'[1]粘贴_营销活动'!$R$4:$R$3003,0),IF(B112="服务费返还",MATCH(A112-$P$93,'[1]粘贴_服务费返还'!$R$4:$R$3003,0),""))</f>
      </c>
    </row>
    <row r="113">
      <c r="A113" s="10" t="n">
        <v>19</v>
      </c>
      <c r="B113" s="6">
        <f t="shared" si="5"/>
      </c>
      <c r="C113" s="6">
        <f>IF($P113="","",IF($B113="营销活动",INDEX('[1]粘贴_营销活动'!$I$4:$I$3003,$P113),INDEX('[1]粘贴_服务费返还'!$I$4:$I$3003,$P113)))</f>
      </c>
      <c r="D113" s="6">
        <f>IF($P113="","",IF($B113="营销活动",INDEX('[1]粘贴_营销活动'!$K$4:$K$3003,$P113),INDEX('[1]粘贴_服务费返还'!$K$4:$K$3003,$P113)))</f>
      </c>
      <c r="E113" s="10">
        <f>IF($P113="","",COUNTIFS('[1]粘贴_营销活动'!$I$4:$I$3003,$C113)+COUNTIFS('[1]粘贴_服务费返还'!$I$4:$I$3003,$C113))</f>
      </c>
      <c r="F113" s="11">
        <f>IF($P113="","",SUMIFS('[1]粘贴_营销活动'!$M$4:$M$3003,'[1]粘贴_营销活动'!$I$4:$I$3003,$C113)+SUMIFS('[1]粘贴_服务费返还'!$M$4:$M$3003,'[1]粘贴_服务费返还'!$I$4:$I$3003,$C113))</f>
      </c>
      <c r="G113" s="11">
        <f>IF($P113="","",SUMIFS('[1]粘贴_账务明细'!$K$4:$K$3003,'[1]粘贴_账务明细'!$M$4:$M$3003,$C113))</f>
      </c>
      <c r="H113" s="11">
        <f t="shared" si="1"/>
      </c>
      <c r="I113" s="6">
        <f t="shared" si="3"/>
      </c>
      <c r="P113" s="17">
        <f>IF(B113="营销活动",MATCH(A113,'[1]粘贴_营销活动'!$R$4:$R$3003,0),IF(B113="服务费返还",MATCH(A113-$P$93,'[1]粘贴_服务费返还'!$R$4:$R$3003,0),""))</f>
      </c>
    </row>
    <row r="114">
      <c r="A114" s="10" t="n">
        <v>20</v>
      </c>
      <c r="B114" s="6">
        <f t="shared" si="5"/>
      </c>
      <c r="C114" s="6">
        <f>IF($P114="","",IF($B114="营销活动",INDEX('[1]粘贴_营销活动'!$I$4:$I$3003,$P114),INDEX('[1]粘贴_服务费返还'!$I$4:$I$3003,$P114)))</f>
      </c>
      <c r="D114" s="6">
        <f>IF($P114="","",IF($B114="营销活动",INDEX('[1]粘贴_营销活动'!$K$4:$K$3003,$P114),INDEX('[1]粘贴_服务费返还'!$K$4:$K$3003,$P114)))</f>
      </c>
      <c r="E114" s="10">
        <f>IF($P114="","",COUNTIFS('[1]粘贴_营销活动'!$I$4:$I$3003,$C114)+COUNTIFS('[1]粘贴_服务费返还'!$I$4:$I$3003,$C114))</f>
      </c>
      <c r="F114" s="11">
        <f>IF($P114="","",SUMIFS('[1]粘贴_营销活动'!$M$4:$M$3003,'[1]粘贴_营销活动'!$I$4:$I$3003,$C114)+SUMIFS('[1]粘贴_服务费返还'!$M$4:$M$3003,'[1]粘贴_服务费返还'!$I$4:$I$3003,$C114))</f>
      </c>
      <c r="G114" s="11">
        <f>IF($P114="","",SUMIFS('[1]粘贴_账务明细'!$K$4:$K$3003,'[1]粘贴_账务明细'!$M$4:$M$3003,$C114))</f>
      </c>
      <c r="H114" s="11">
        <f t="shared" si="1"/>
      </c>
      <c r="I114" s="6">
        <f t="shared" si="3"/>
      </c>
      <c r="P114" s="17">
        <f>IF(B114="营销活动",MATCH(A114,'[1]粘贴_营销活动'!$R$4:$R$3003,0),IF(B114="服务费返还",MATCH(A114-$P$93,'[1]粘贴_服务费返还'!$R$4:$R$3003,0),""))</f>
      </c>
    </row>
    <row r="115">
      <c r="A115" s="10" t="n">
        <v>21</v>
      </c>
      <c r="B115" s="6">
        <f t="shared" si="5"/>
      </c>
      <c r="C115" s="6">
        <f>IF($P115="","",IF($B115="营销活动",INDEX('[1]粘贴_营销活动'!$I$4:$I$3003,$P115),INDEX('[1]粘贴_服务费返还'!$I$4:$I$3003,$P115)))</f>
      </c>
      <c r="D115" s="6">
        <f>IF($P115="","",IF($B115="营销活动",INDEX('[1]粘贴_营销活动'!$K$4:$K$3003,$P115),INDEX('[1]粘贴_服务费返还'!$K$4:$K$3003,$P115)))</f>
      </c>
      <c r="E115" s="10">
        <f>IF($P115="","",COUNTIFS('[1]粘贴_营销活动'!$I$4:$I$3003,$C115)+COUNTIFS('[1]粘贴_服务费返还'!$I$4:$I$3003,$C115))</f>
      </c>
      <c r="F115" s="11">
        <f>IF($P115="","",SUMIFS('[1]粘贴_营销活动'!$M$4:$M$3003,'[1]粘贴_营销活动'!$I$4:$I$3003,$C115)+SUMIFS('[1]粘贴_服务费返还'!$M$4:$M$3003,'[1]粘贴_服务费返还'!$I$4:$I$3003,$C115))</f>
      </c>
      <c r="G115" s="11">
        <f>IF($P115="","",SUMIFS('[1]粘贴_账务明细'!$K$4:$K$3003,'[1]粘贴_账务明细'!$M$4:$M$3003,$C115))</f>
      </c>
      <c r="H115" s="11">
        <f t="shared" si="1"/>
      </c>
      <c r="I115" s="6">
        <f t="shared" si="3"/>
      </c>
      <c r="P115" s="17">
        <f>IF(B115="营销活动",MATCH(A115,'[1]粘贴_营销活动'!$R$4:$R$3003,0),IF(B115="服务费返还",MATCH(A115-$P$93,'[1]粘贴_服务费返还'!$R$4:$R$3003,0),""))</f>
      </c>
    </row>
    <row r="116">
      <c r="A116" s="10" t="n">
        <v>22</v>
      </c>
      <c r="B116" s="6">
        <f t="shared" si="5"/>
      </c>
      <c r="C116" s="6">
        <f>IF($P116="","",IF($B116="营销活动",INDEX('[1]粘贴_营销活动'!$I$4:$I$3003,$P116),INDEX('[1]粘贴_服务费返还'!$I$4:$I$3003,$P116)))</f>
      </c>
      <c r="D116" s="6">
        <f>IF($P116="","",IF($B116="营销活动",INDEX('[1]粘贴_营销活动'!$K$4:$K$3003,$P116),INDEX('[1]粘贴_服务费返还'!$K$4:$K$3003,$P116)))</f>
      </c>
      <c r="E116" s="10">
        <f>IF($P116="","",COUNTIFS('[1]粘贴_营销活动'!$I$4:$I$3003,$C116)+COUNTIFS('[1]粘贴_服务费返还'!$I$4:$I$3003,$C116))</f>
      </c>
      <c r="F116" s="11">
        <f>IF($P116="","",SUMIFS('[1]粘贴_营销活动'!$M$4:$M$3003,'[1]粘贴_营销活动'!$I$4:$I$3003,$C116)+SUMIFS('[1]粘贴_服务费返还'!$M$4:$M$3003,'[1]粘贴_服务费返还'!$I$4:$I$3003,$C116))</f>
      </c>
      <c r="G116" s="11">
        <f>IF($P116="","",SUMIFS('[1]粘贴_账务明细'!$K$4:$K$3003,'[1]粘贴_账务明细'!$M$4:$M$3003,$C116))</f>
      </c>
      <c r="H116" s="11">
        <f t="shared" si="1"/>
      </c>
      <c r="I116" s="6">
        <f t="shared" si="3"/>
      </c>
      <c r="P116" s="17">
        <f>IF(B116="营销活动",MATCH(A116,'[1]粘贴_营销活动'!$R$4:$R$3003,0),IF(B116="服务费返还",MATCH(A116-$P$93,'[1]粘贴_服务费返还'!$R$4:$R$3003,0),""))</f>
      </c>
    </row>
    <row r="117">
      <c r="A117" s="10" t="n">
        <v>23</v>
      </c>
      <c r="B117" s="6">
        <f t="shared" si="5"/>
      </c>
      <c r="C117" s="6">
        <f>IF($P117="","",IF($B117="营销活动",INDEX('[1]粘贴_营销活动'!$I$4:$I$3003,$P117),INDEX('[1]粘贴_服务费返还'!$I$4:$I$3003,$P117)))</f>
      </c>
      <c r="D117" s="6">
        <f>IF($P117="","",IF($B117="营销活动",INDEX('[1]粘贴_营销活动'!$K$4:$K$3003,$P117),INDEX('[1]粘贴_服务费返还'!$K$4:$K$3003,$P117)))</f>
      </c>
      <c r="E117" s="10">
        <f>IF($P117="","",COUNTIFS('[1]粘贴_营销活动'!$I$4:$I$3003,$C117)+COUNTIFS('[1]粘贴_服务费返还'!$I$4:$I$3003,$C117))</f>
      </c>
      <c r="F117" s="11">
        <f>IF($P117="","",SUMIFS('[1]粘贴_营销活动'!$M$4:$M$3003,'[1]粘贴_营销活动'!$I$4:$I$3003,$C117)+SUMIFS('[1]粘贴_服务费返还'!$M$4:$M$3003,'[1]粘贴_服务费返还'!$I$4:$I$3003,$C117))</f>
      </c>
      <c r="G117" s="11">
        <f>IF($P117="","",SUMIFS('[1]粘贴_账务明细'!$K$4:$K$3003,'[1]粘贴_账务明细'!$M$4:$M$3003,$C117))</f>
      </c>
      <c r="H117" s="11">
        <f t="shared" si="1"/>
      </c>
      <c r="I117" s="6">
        <f t="shared" si="3"/>
      </c>
      <c r="P117" s="17">
        <f>IF(B117="营销活动",MATCH(A117,'[1]粘贴_营销活动'!$R$4:$R$3003,0),IF(B117="服务费返还",MATCH(A117-$P$93,'[1]粘贴_服务费返还'!$R$4:$R$3003,0),""))</f>
      </c>
    </row>
    <row r="118">
      <c r="A118" s="10" t="n">
        <v>24</v>
      </c>
      <c r="B118" s="6">
        <f t="shared" si="5"/>
      </c>
      <c r="C118" s="6">
        <f>IF($P118="","",IF($B118="营销活动",INDEX('[1]粘贴_营销活动'!$I$4:$I$3003,$P118),INDEX('[1]粘贴_服务费返还'!$I$4:$I$3003,$P118)))</f>
      </c>
      <c r="D118" s="6">
        <f>IF($P118="","",IF($B118="营销活动",INDEX('[1]粘贴_营销活动'!$K$4:$K$3003,$P118),INDEX('[1]粘贴_服务费返还'!$K$4:$K$3003,$P118)))</f>
      </c>
      <c r="E118" s="10">
        <f>IF($P118="","",COUNTIFS('[1]粘贴_营销活动'!$I$4:$I$3003,$C118)+COUNTIFS('[1]粘贴_服务费返还'!$I$4:$I$3003,$C118))</f>
      </c>
      <c r="F118" s="11">
        <f>IF($P118="","",SUMIFS('[1]粘贴_营销活动'!$M$4:$M$3003,'[1]粘贴_营销活动'!$I$4:$I$3003,$C118)+SUMIFS('[1]粘贴_服务费返还'!$M$4:$M$3003,'[1]粘贴_服务费返还'!$I$4:$I$3003,$C118))</f>
      </c>
      <c r="G118" s="11">
        <f>IF($P118="","",SUMIFS('[1]粘贴_账务明细'!$K$4:$K$3003,'[1]粘贴_账务明细'!$M$4:$M$3003,$C118))</f>
      </c>
      <c r="H118" s="11">
        <f t="shared" si="1"/>
      </c>
      <c r="I118" s="6">
        <f t="shared" si="3"/>
      </c>
      <c r="P118" s="17">
        <f>IF(B118="营销活动",MATCH(A118,'[1]粘贴_营销活动'!$R$4:$R$3003,0),IF(B118="服务费返还",MATCH(A118-$P$93,'[1]粘贴_服务费返还'!$R$4:$R$3003,0),""))</f>
      </c>
    </row>
    <row r="119">
      <c r="A119" s="10" t="n">
        <v>25</v>
      </c>
      <c r="B119" s="6">
        <f t="shared" si="5"/>
      </c>
      <c r="C119" s="6">
        <f>IF($P119="","",IF($B119="营销活动",INDEX('[1]粘贴_营销活动'!$I$4:$I$3003,$P119),INDEX('[1]粘贴_服务费返还'!$I$4:$I$3003,$P119)))</f>
      </c>
      <c r="D119" s="6">
        <f>IF($P119="","",IF($B119="营销活动",INDEX('[1]粘贴_营销活动'!$K$4:$K$3003,$P119),INDEX('[1]粘贴_服务费返还'!$K$4:$K$3003,$P119)))</f>
      </c>
      <c r="E119" s="10">
        <f>IF($P119="","",COUNTIFS('[1]粘贴_营销活动'!$I$4:$I$3003,$C119)+COUNTIFS('[1]粘贴_服务费返还'!$I$4:$I$3003,$C119))</f>
      </c>
      <c r="F119" s="11">
        <f>IF($P119="","",SUMIFS('[1]粘贴_营销活动'!$M$4:$M$3003,'[1]粘贴_营销活动'!$I$4:$I$3003,$C119)+SUMIFS('[1]粘贴_服务费返还'!$M$4:$M$3003,'[1]粘贴_服务费返还'!$I$4:$I$3003,$C119))</f>
      </c>
      <c r="G119" s="11">
        <f>IF($P119="","",SUMIFS('[1]粘贴_账务明细'!$K$4:$K$3003,'[1]粘贴_账务明细'!$M$4:$M$3003,$C119))</f>
      </c>
      <c r="H119" s="11">
        <f t="shared" si="1"/>
      </c>
      <c r="I119" s="6">
        <f t="shared" si="3"/>
      </c>
      <c r="P119" s="17">
        <f>IF(B119="营销活动",MATCH(A119,'[1]粘贴_营销活动'!$R$4:$R$3003,0),IF(B119="服务费返还",MATCH(A119-$P$93,'[1]粘贴_服务费返还'!$R$4:$R$3003,0),""))</f>
      </c>
    </row>
    <row r="120">
      <c r="A120" s="10" t="n">
        <v>26</v>
      </c>
      <c r="B120" s="6">
        <f t="shared" si="5"/>
      </c>
      <c r="C120" s="6">
        <f>IF($P120="","",IF($B120="营销活动",INDEX('[1]粘贴_营销活动'!$I$4:$I$3003,$P120),INDEX('[1]粘贴_服务费返还'!$I$4:$I$3003,$P120)))</f>
      </c>
      <c r="D120" s="6">
        <f>IF($P120="","",IF($B120="营销活动",INDEX('[1]粘贴_营销活动'!$K$4:$K$3003,$P120),INDEX('[1]粘贴_服务费返还'!$K$4:$K$3003,$P120)))</f>
      </c>
      <c r="E120" s="10">
        <f>IF($P120="","",COUNTIFS('[1]粘贴_营销活动'!$I$4:$I$3003,$C120)+COUNTIFS('[1]粘贴_服务费返还'!$I$4:$I$3003,$C120))</f>
      </c>
      <c r="F120" s="11">
        <f>IF($P120="","",SUMIFS('[1]粘贴_营销活动'!$M$4:$M$3003,'[1]粘贴_营销活动'!$I$4:$I$3003,$C120)+SUMIFS('[1]粘贴_服务费返还'!$M$4:$M$3003,'[1]粘贴_服务费返还'!$I$4:$I$3003,$C120))</f>
      </c>
      <c r="G120" s="11">
        <f>IF($P120="","",SUMIFS('[1]粘贴_账务明细'!$K$4:$K$3003,'[1]粘贴_账务明细'!$M$4:$M$3003,$C120))</f>
      </c>
      <c r="H120" s="11">
        <f t="shared" si="1"/>
      </c>
      <c r="I120" s="6">
        <f t="shared" si="3"/>
      </c>
      <c r="P120" s="17">
        <f>IF(B120="营销活动",MATCH(A120,'[1]粘贴_营销活动'!$R$4:$R$3003,0),IF(B120="服务费返还",MATCH(A120-$P$93,'[1]粘贴_服务费返还'!$R$4:$R$3003,0),""))</f>
      </c>
    </row>
    <row r="121">
      <c r="A121" s="10" t="n">
        <v>27</v>
      </c>
      <c r="B121" s="6">
        <f t="shared" si="5"/>
      </c>
      <c r="C121" s="6">
        <f>IF($P121="","",IF($B121="营销活动",INDEX('[1]粘贴_营销活动'!$I$4:$I$3003,$P121),INDEX('[1]粘贴_服务费返还'!$I$4:$I$3003,$P121)))</f>
      </c>
      <c r="D121" s="6">
        <f>IF($P121="","",IF($B121="营销活动",INDEX('[1]粘贴_营销活动'!$K$4:$K$3003,$P121),INDEX('[1]粘贴_服务费返还'!$K$4:$K$3003,$P121)))</f>
      </c>
      <c r="E121" s="10">
        <f>IF($P121="","",COUNTIFS('[1]粘贴_营销活动'!$I$4:$I$3003,$C121)+COUNTIFS('[1]粘贴_服务费返还'!$I$4:$I$3003,$C121))</f>
      </c>
      <c r="F121" s="11">
        <f>IF($P121="","",SUMIFS('[1]粘贴_营销活动'!$M$4:$M$3003,'[1]粘贴_营销活动'!$I$4:$I$3003,$C121)+SUMIFS('[1]粘贴_服务费返还'!$M$4:$M$3003,'[1]粘贴_服务费返还'!$I$4:$I$3003,$C121))</f>
      </c>
      <c r="G121" s="11">
        <f>IF($P121="","",SUMIFS('[1]粘贴_账务明细'!$K$4:$K$3003,'[1]粘贴_账务明细'!$M$4:$M$3003,$C121))</f>
      </c>
      <c r="H121" s="11">
        <f t="shared" si="1"/>
      </c>
      <c r="I121" s="6">
        <f t="shared" si="3"/>
      </c>
      <c r="P121" s="17">
        <f>IF(B121="营销活动",MATCH(A121,'[1]粘贴_营销活动'!$R$4:$R$3003,0),IF(B121="服务费返还",MATCH(A121-$P$93,'[1]粘贴_服务费返还'!$R$4:$R$3003,0),""))</f>
      </c>
    </row>
    <row r="122">
      <c r="A122" s="10" t="n">
        <v>28</v>
      </c>
      <c r="B122" s="6">
        <f t="shared" si="5"/>
      </c>
      <c r="C122" s="6">
        <f>IF($P122="","",IF($B122="营销活动",INDEX('[1]粘贴_营销活动'!$I$4:$I$3003,$P122),INDEX('[1]粘贴_服务费返还'!$I$4:$I$3003,$P122)))</f>
      </c>
      <c r="D122" s="6">
        <f>IF($P122="","",IF($B122="营销活动",INDEX('[1]粘贴_营销活动'!$K$4:$K$3003,$P122),INDEX('[1]粘贴_服务费返还'!$K$4:$K$3003,$P122)))</f>
      </c>
      <c r="E122" s="10">
        <f>IF($P122="","",COUNTIFS('[1]粘贴_营销活动'!$I$4:$I$3003,$C122)+COUNTIFS('[1]粘贴_服务费返还'!$I$4:$I$3003,$C122))</f>
      </c>
      <c r="F122" s="11">
        <f>IF($P122="","",SUMIFS('[1]粘贴_营销活动'!$M$4:$M$3003,'[1]粘贴_营销活动'!$I$4:$I$3003,$C122)+SUMIFS('[1]粘贴_服务费返还'!$M$4:$M$3003,'[1]粘贴_服务费返还'!$I$4:$I$3003,$C122))</f>
      </c>
      <c r="G122" s="11">
        <f>IF($P122="","",SUMIFS('[1]粘贴_账务明细'!$K$4:$K$3003,'[1]粘贴_账务明细'!$M$4:$M$3003,$C122))</f>
      </c>
      <c r="H122" s="11">
        <f t="shared" si="1"/>
      </c>
      <c r="I122" s="6">
        <f t="shared" si="3"/>
      </c>
      <c r="P122" s="17">
        <f>IF(B122="营销活动",MATCH(A122,'[1]粘贴_营销活动'!$R$4:$R$3003,0),IF(B122="服务费返还",MATCH(A122-$P$93,'[1]粘贴_服务费返还'!$R$4:$R$3003,0),""))</f>
      </c>
    </row>
    <row r="123">
      <c r="A123" s="10" t="n">
        <v>29</v>
      </c>
      <c r="B123" s="6">
        <f t="shared" si="5"/>
      </c>
      <c r="C123" s="6">
        <f>IF($P123="","",IF($B123="营销活动",INDEX('[1]粘贴_营销活动'!$I$4:$I$3003,$P123),INDEX('[1]粘贴_服务费返还'!$I$4:$I$3003,$P123)))</f>
      </c>
      <c r="D123" s="6">
        <f>IF($P123="","",IF($B123="营销活动",INDEX('[1]粘贴_营销活动'!$K$4:$K$3003,$P123),INDEX('[1]粘贴_服务费返还'!$K$4:$K$3003,$P123)))</f>
      </c>
      <c r="E123" s="10">
        <f>IF($P123="","",COUNTIFS('[1]粘贴_营销活动'!$I$4:$I$3003,$C123)+COUNTIFS('[1]粘贴_服务费返还'!$I$4:$I$3003,$C123))</f>
      </c>
      <c r="F123" s="11">
        <f>IF($P123="","",SUMIFS('[1]粘贴_营销活动'!$M$4:$M$3003,'[1]粘贴_营销活动'!$I$4:$I$3003,$C123)+SUMIFS('[1]粘贴_服务费返还'!$M$4:$M$3003,'[1]粘贴_服务费返还'!$I$4:$I$3003,$C123))</f>
      </c>
      <c r="G123" s="11">
        <f>IF($P123="","",SUMIFS('[1]粘贴_账务明细'!$K$4:$K$3003,'[1]粘贴_账务明细'!$M$4:$M$3003,$C123))</f>
      </c>
      <c r="H123" s="11">
        <f t="shared" si="1"/>
      </c>
      <c r="I123" s="6">
        <f t="shared" si="3"/>
      </c>
      <c r="P123" s="17">
        <f>IF(B123="营销活动",MATCH(A123,'[1]粘贴_营销活动'!$R$4:$R$3003,0),IF(B123="服务费返还",MATCH(A123-$P$93,'[1]粘贴_服务费返还'!$R$4:$R$3003,0),""))</f>
      </c>
    </row>
    <row r="124">
      <c r="A124" s="10" t="n">
        <v>30</v>
      </c>
      <c r="B124" s="6">
        <f t="shared" si="5"/>
      </c>
      <c r="C124" s="6">
        <f>IF($P124="","",IF($B124="营销活动",INDEX('[1]粘贴_营销活动'!$I$4:$I$3003,$P124),INDEX('[1]粘贴_服务费返还'!$I$4:$I$3003,$P124)))</f>
      </c>
      <c r="D124" s="6">
        <f>IF($P124="","",IF($B124="营销活动",INDEX('[1]粘贴_营销活动'!$K$4:$K$3003,$P124),INDEX('[1]粘贴_服务费返还'!$K$4:$K$3003,$P124)))</f>
      </c>
      <c r="E124" s="10">
        <f>IF($P124="","",COUNTIFS('[1]粘贴_营销活动'!$I$4:$I$3003,$C124)+COUNTIFS('[1]粘贴_服务费返还'!$I$4:$I$3003,$C124))</f>
      </c>
      <c r="F124" s="11">
        <f>IF($P124="","",SUMIFS('[1]粘贴_营销活动'!$M$4:$M$3003,'[1]粘贴_营销活动'!$I$4:$I$3003,$C124)+SUMIFS('[1]粘贴_服务费返还'!$M$4:$M$3003,'[1]粘贴_服务费返还'!$I$4:$I$3003,$C124))</f>
      </c>
      <c r="G124" s="11">
        <f>IF($P124="","",SUMIFS('[1]粘贴_账务明细'!$K$4:$K$3003,'[1]粘贴_账务明细'!$M$4:$M$3003,$C124))</f>
      </c>
      <c r="H124" s="11">
        <f t="shared" si="1"/>
      </c>
      <c r="I124" s="6">
        <f t="shared" si="3"/>
      </c>
      <c r="P124" s="17">
        <f>IF(B124="营销活动",MATCH(A124,'[1]粘贴_营销活动'!$R$4:$R$3003,0),IF(B124="服务费返还",MATCH(A124-$P$93,'[1]粘贴_服务费返还'!$R$4:$R$3003,0),""))</f>
      </c>
    </row>
    <row r="125">
      <c r="A125" s="10" t="n">
        <v>31</v>
      </c>
      <c r="B125" s="6">
        <f t="shared" si="5"/>
      </c>
      <c r="C125" s="6">
        <f>IF($P125="","",IF($B125="营销活动",INDEX('[1]粘贴_营销活动'!$I$4:$I$3003,$P125),INDEX('[1]粘贴_服务费返还'!$I$4:$I$3003,$P125)))</f>
      </c>
      <c r="D125" s="6">
        <f>IF($P125="","",IF($B125="营销活动",INDEX('[1]粘贴_营销活动'!$K$4:$K$3003,$P125),INDEX('[1]粘贴_服务费返还'!$K$4:$K$3003,$P125)))</f>
      </c>
      <c r="E125" s="10">
        <f>IF($P125="","",COUNTIFS('[1]粘贴_营销活动'!$I$4:$I$3003,$C125)+COUNTIFS('[1]粘贴_服务费返还'!$I$4:$I$3003,$C125))</f>
      </c>
      <c r="F125" s="11">
        <f>IF($P125="","",SUMIFS('[1]粘贴_营销活动'!$M$4:$M$3003,'[1]粘贴_营销活动'!$I$4:$I$3003,$C125)+SUMIFS('[1]粘贴_服务费返还'!$M$4:$M$3003,'[1]粘贴_服务费返还'!$I$4:$I$3003,$C125))</f>
      </c>
      <c r="G125" s="11">
        <f>IF($P125="","",SUMIFS('[1]粘贴_账务明细'!$K$4:$K$3003,'[1]粘贴_账务明细'!$M$4:$M$3003,$C125))</f>
      </c>
      <c r="H125" s="11">
        <f t="shared" si="1"/>
      </c>
      <c r="I125" s="6">
        <f t="shared" si="3"/>
      </c>
      <c r="P125" s="17">
        <f>IF(B125="营销活动",MATCH(A125,'[1]粘贴_营销活动'!$R$4:$R$3003,0),IF(B125="服务费返还",MATCH(A125-$P$93,'[1]粘贴_服务费返还'!$R$4:$R$3003,0),""))</f>
      </c>
    </row>
    <row r="126">
      <c r="A126" s="10" t="n">
        <v>32</v>
      </c>
      <c r="B126" s="6">
        <f t="shared" si="5"/>
      </c>
      <c r="C126" s="6">
        <f>IF($P126="","",IF($B126="营销活动",INDEX('[1]粘贴_营销活动'!$I$4:$I$3003,$P126),INDEX('[1]粘贴_服务费返还'!$I$4:$I$3003,$P126)))</f>
      </c>
      <c r="D126" s="6">
        <f>IF($P126="","",IF($B126="营销活动",INDEX('[1]粘贴_营销活动'!$K$4:$K$3003,$P126),INDEX('[1]粘贴_服务费返还'!$K$4:$K$3003,$P126)))</f>
      </c>
      <c r="E126" s="10">
        <f>IF($P126="","",COUNTIFS('[1]粘贴_营销活动'!$I$4:$I$3003,$C126)+COUNTIFS('[1]粘贴_服务费返还'!$I$4:$I$3003,$C126))</f>
      </c>
      <c r="F126" s="11">
        <f>IF($P126="","",SUMIFS('[1]粘贴_营销活动'!$M$4:$M$3003,'[1]粘贴_营销活动'!$I$4:$I$3003,$C126)+SUMIFS('[1]粘贴_服务费返还'!$M$4:$M$3003,'[1]粘贴_服务费返还'!$I$4:$I$3003,$C126))</f>
      </c>
      <c r="G126" s="11">
        <f>IF($P126="","",SUMIFS('[1]粘贴_账务明细'!$K$4:$K$3003,'[1]粘贴_账务明细'!$M$4:$M$3003,$C126))</f>
      </c>
      <c r="H126" s="11">
        <f t="shared" si="1"/>
      </c>
      <c r="I126" s="6">
        <f t="shared" si="3"/>
      </c>
      <c r="P126" s="17">
        <f>IF(B126="营销活动",MATCH(A126,'[1]粘贴_营销活动'!$R$4:$R$3003,0),IF(B126="服务费返还",MATCH(A126-$P$93,'[1]粘贴_服务费返还'!$R$4:$R$3003,0),""))</f>
      </c>
    </row>
    <row r="127">
      <c r="A127" s="10" t="n">
        <v>33</v>
      </c>
      <c r="B127" s="6">
        <f t="shared" si="5"/>
      </c>
      <c r="C127" s="6">
        <f>IF($P127="","",IF($B127="营销活动",INDEX('[1]粘贴_营销活动'!$I$4:$I$3003,$P127),INDEX('[1]粘贴_服务费返还'!$I$4:$I$3003,$P127)))</f>
      </c>
      <c r="D127" s="6">
        <f>IF($P127="","",IF($B127="营销活动",INDEX('[1]粘贴_营销活动'!$K$4:$K$3003,$P127),INDEX('[1]粘贴_服务费返还'!$K$4:$K$3003,$P127)))</f>
      </c>
      <c r="E127" s="10">
        <f>IF($P127="","",COUNTIFS('[1]粘贴_营销活动'!$I$4:$I$3003,$C127)+COUNTIFS('[1]粘贴_服务费返还'!$I$4:$I$3003,$C127))</f>
      </c>
      <c r="F127" s="11">
        <f>IF($P127="","",SUMIFS('[1]粘贴_营销活动'!$M$4:$M$3003,'[1]粘贴_营销活动'!$I$4:$I$3003,$C127)+SUMIFS('[1]粘贴_服务费返还'!$M$4:$M$3003,'[1]粘贴_服务费返还'!$I$4:$I$3003,$C127))</f>
      </c>
      <c r="G127" s="11">
        <f>IF($P127="","",SUMIFS('[1]粘贴_账务明细'!$K$4:$K$3003,'[1]粘贴_账务明细'!$M$4:$M$3003,$C127))</f>
      </c>
      <c r="H127" s="11">
        <f t="shared" si="1"/>
      </c>
      <c r="I127" s="6">
        <f t="shared" si="3"/>
      </c>
      <c r="P127" s="17">
        <f>IF(B127="营销活动",MATCH(A127,'[1]粘贴_营销活动'!$R$4:$R$3003,0),IF(B127="服务费返还",MATCH(A127-$P$93,'[1]粘贴_服务费返还'!$R$4:$R$3003,0),""))</f>
      </c>
    </row>
    <row r="128">
      <c r="A128" s="10" t="n">
        <v>34</v>
      </c>
      <c r="B128" s="6">
        <f t="shared" si="5"/>
      </c>
      <c r="C128" s="6">
        <f>IF($P128="","",IF($B128="营销活动",INDEX('[1]粘贴_营销活动'!$I$4:$I$3003,$P128),INDEX('[1]粘贴_服务费返还'!$I$4:$I$3003,$P128)))</f>
      </c>
      <c r="D128" s="6">
        <f>IF($P128="","",IF($B128="营销活动",INDEX('[1]粘贴_营销活动'!$K$4:$K$3003,$P128),INDEX('[1]粘贴_服务费返还'!$K$4:$K$3003,$P128)))</f>
      </c>
      <c r="E128" s="10">
        <f>IF($P128="","",COUNTIFS('[1]粘贴_营销活动'!$I$4:$I$3003,$C128)+COUNTIFS('[1]粘贴_服务费返还'!$I$4:$I$3003,$C128))</f>
      </c>
      <c r="F128" s="11">
        <f>IF($P128="","",SUMIFS('[1]粘贴_营销活动'!$M$4:$M$3003,'[1]粘贴_营销活动'!$I$4:$I$3003,$C128)+SUMIFS('[1]粘贴_服务费返还'!$M$4:$M$3003,'[1]粘贴_服务费返还'!$I$4:$I$3003,$C128))</f>
      </c>
      <c r="G128" s="11">
        <f>IF($P128="","",SUMIFS('[1]粘贴_账务明细'!$K$4:$K$3003,'[1]粘贴_账务明细'!$M$4:$M$3003,$C128))</f>
      </c>
      <c r="H128" s="11">
        <f t="shared" si="1"/>
      </c>
      <c r="I128" s="6">
        <f t="shared" si="3"/>
      </c>
      <c r="P128" s="17">
        <f>IF(B128="营销活动",MATCH(A128,'[1]粘贴_营销活动'!$R$4:$R$3003,0),IF(B128="服务费返还",MATCH(A128-$P$93,'[1]粘贴_服务费返还'!$R$4:$R$3003,0),""))</f>
      </c>
    </row>
    <row r="129">
      <c r="A129" s="10" t="n">
        <v>35</v>
      </c>
      <c r="B129" s="6">
        <f t="shared" si="5"/>
      </c>
      <c r="C129" s="6">
        <f>IF($P129="","",IF($B129="营销活动",INDEX('[1]粘贴_营销活动'!$I$4:$I$3003,$P129),INDEX('[1]粘贴_服务费返还'!$I$4:$I$3003,$P129)))</f>
      </c>
      <c r="D129" s="6">
        <f>IF($P129="","",IF($B129="营销活动",INDEX('[1]粘贴_营销活动'!$K$4:$K$3003,$P129),INDEX('[1]粘贴_服务费返还'!$K$4:$K$3003,$P129)))</f>
      </c>
      <c r="E129" s="10">
        <f>IF($P129="","",COUNTIFS('[1]粘贴_营销活动'!$I$4:$I$3003,$C129)+COUNTIFS('[1]粘贴_服务费返还'!$I$4:$I$3003,$C129))</f>
      </c>
      <c r="F129" s="11">
        <f>IF($P129="","",SUMIFS('[1]粘贴_营销活动'!$M$4:$M$3003,'[1]粘贴_营销活动'!$I$4:$I$3003,$C129)+SUMIFS('[1]粘贴_服务费返还'!$M$4:$M$3003,'[1]粘贴_服务费返还'!$I$4:$I$3003,$C129))</f>
      </c>
      <c r="G129" s="11">
        <f>IF($P129="","",SUMIFS('[1]粘贴_账务明细'!$K$4:$K$3003,'[1]粘贴_账务明细'!$M$4:$M$3003,$C129))</f>
      </c>
      <c r="H129" s="11">
        <f t="shared" si="1"/>
      </c>
      <c r="I129" s="6">
        <f t="shared" si="3"/>
      </c>
      <c r="P129" s="17">
        <f>IF(B129="营销活动",MATCH(A129,'[1]粘贴_营销活动'!$R$4:$R$3003,0),IF(B129="服务费返还",MATCH(A129-$P$93,'[1]粘贴_服务费返还'!$R$4:$R$3003,0),""))</f>
      </c>
    </row>
    <row r="130">
      <c r="A130" s="10" t="n">
        <v>36</v>
      </c>
      <c r="B130" s="6">
        <f t="shared" si="5"/>
      </c>
      <c r="C130" s="6">
        <f>IF($P130="","",IF($B130="营销活动",INDEX('[1]粘贴_营销活动'!$I$4:$I$3003,$P130),INDEX('[1]粘贴_服务费返还'!$I$4:$I$3003,$P130)))</f>
      </c>
      <c r="D130" s="6">
        <f>IF($P130="","",IF($B130="营销活动",INDEX('[1]粘贴_营销活动'!$K$4:$K$3003,$P130),INDEX('[1]粘贴_服务费返还'!$K$4:$K$3003,$P130)))</f>
      </c>
      <c r="E130" s="10">
        <f>IF($P130="","",COUNTIFS('[1]粘贴_营销活动'!$I$4:$I$3003,$C130)+COUNTIFS('[1]粘贴_服务费返还'!$I$4:$I$3003,$C130))</f>
      </c>
      <c r="F130" s="11">
        <f>IF($P130="","",SUMIFS('[1]粘贴_营销活动'!$M$4:$M$3003,'[1]粘贴_营销活动'!$I$4:$I$3003,$C130)+SUMIFS('[1]粘贴_服务费返还'!$M$4:$M$3003,'[1]粘贴_服务费返还'!$I$4:$I$3003,$C130))</f>
      </c>
      <c r="G130" s="11">
        <f>IF($P130="","",SUMIFS('[1]粘贴_账务明细'!$K$4:$K$3003,'[1]粘贴_账务明细'!$M$4:$M$3003,$C130))</f>
      </c>
      <c r="H130" s="11">
        <f t="shared" si="1"/>
      </c>
      <c r="I130" s="6">
        <f t="shared" si="3"/>
      </c>
      <c r="P130" s="17">
        <f>IF(B130="营销活动",MATCH(A130,'[1]粘贴_营销活动'!$R$4:$R$3003,0),IF(B130="服务费返还",MATCH(A130-$P$93,'[1]粘贴_服务费返还'!$R$4:$R$3003,0),""))</f>
      </c>
    </row>
    <row r="131">
      <c r="A131" s="10" t="n">
        <v>37</v>
      </c>
      <c r="B131" s="6">
        <f t="shared" si="5"/>
      </c>
      <c r="C131" s="6">
        <f>IF($P131="","",IF($B131="营销活动",INDEX('[1]粘贴_营销活动'!$I$4:$I$3003,$P131),INDEX('[1]粘贴_服务费返还'!$I$4:$I$3003,$P131)))</f>
      </c>
      <c r="D131" s="6">
        <f>IF($P131="","",IF($B131="营销活动",INDEX('[1]粘贴_营销活动'!$K$4:$K$3003,$P131),INDEX('[1]粘贴_服务费返还'!$K$4:$K$3003,$P131)))</f>
      </c>
      <c r="E131" s="10">
        <f>IF($P131="","",COUNTIFS('[1]粘贴_营销活动'!$I$4:$I$3003,$C131)+COUNTIFS('[1]粘贴_服务费返还'!$I$4:$I$3003,$C131))</f>
      </c>
      <c r="F131" s="11">
        <f>IF($P131="","",SUMIFS('[1]粘贴_营销活动'!$M$4:$M$3003,'[1]粘贴_营销活动'!$I$4:$I$3003,$C131)+SUMIFS('[1]粘贴_服务费返还'!$M$4:$M$3003,'[1]粘贴_服务费返还'!$I$4:$I$3003,$C131))</f>
      </c>
      <c r="G131" s="11">
        <f>IF($P131="","",SUMIFS('[1]粘贴_账务明细'!$K$4:$K$3003,'[1]粘贴_账务明细'!$M$4:$M$3003,$C131))</f>
      </c>
      <c r="H131" s="11">
        <f t="shared" si="1"/>
      </c>
      <c r="I131" s="6">
        <f t="shared" si="3"/>
      </c>
      <c r="P131" s="17">
        <f>IF(B131="营销活动",MATCH(A131,'[1]粘贴_营销活动'!$R$4:$R$3003,0),IF(B131="服务费返还",MATCH(A131-$P$93,'[1]粘贴_服务费返还'!$R$4:$R$3003,0),""))</f>
      </c>
    </row>
    <row r="132">
      <c r="A132" s="10" t="n">
        <v>38</v>
      </c>
      <c r="B132" s="6">
        <f t="shared" si="5"/>
      </c>
      <c r="C132" s="6">
        <f>IF($P132="","",IF($B132="营销活动",INDEX('[1]粘贴_营销活动'!$I$4:$I$3003,$P132),INDEX('[1]粘贴_服务费返还'!$I$4:$I$3003,$P132)))</f>
      </c>
      <c r="D132" s="6">
        <f>IF($P132="","",IF($B132="营销活动",INDEX('[1]粘贴_营销活动'!$K$4:$K$3003,$P132),INDEX('[1]粘贴_服务费返还'!$K$4:$K$3003,$P132)))</f>
      </c>
      <c r="E132" s="10">
        <f>IF($P132="","",COUNTIFS('[1]粘贴_营销活动'!$I$4:$I$3003,$C132)+COUNTIFS('[1]粘贴_服务费返还'!$I$4:$I$3003,$C132))</f>
      </c>
      <c r="F132" s="11">
        <f>IF($P132="","",SUMIFS('[1]粘贴_营销活动'!$M$4:$M$3003,'[1]粘贴_营销活动'!$I$4:$I$3003,$C132)+SUMIFS('[1]粘贴_服务费返还'!$M$4:$M$3003,'[1]粘贴_服务费返还'!$I$4:$I$3003,$C132))</f>
      </c>
      <c r="G132" s="11">
        <f>IF($P132="","",SUMIFS('[1]粘贴_账务明细'!$K$4:$K$3003,'[1]粘贴_账务明细'!$M$4:$M$3003,$C132))</f>
      </c>
      <c r="H132" s="11">
        <f t="shared" si="1"/>
      </c>
      <c r="I132" s="6">
        <f t="shared" si="3"/>
      </c>
      <c r="P132" s="17">
        <f>IF(B132="营销活动",MATCH(A132,'[1]粘贴_营销活动'!$R$4:$R$3003,0),IF(B132="服务费返还",MATCH(A132-$P$93,'[1]粘贴_服务费返还'!$R$4:$R$3003,0),""))</f>
      </c>
    </row>
    <row r="133">
      <c r="A133" s="10" t="n">
        <v>39</v>
      </c>
      <c r="B133" s="6">
        <f t="shared" si="5"/>
      </c>
      <c r="C133" s="6">
        <f>IF($P133="","",IF($B133="营销活动",INDEX('[1]粘贴_营销活动'!$I$4:$I$3003,$P133),INDEX('[1]粘贴_服务费返还'!$I$4:$I$3003,$P133)))</f>
      </c>
      <c r="D133" s="6">
        <f>IF($P133="","",IF($B133="营销活动",INDEX('[1]粘贴_营销活动'!$K$4:$K$3003,$P133),INDEX('[1]粘贴_服务费返还'!$K$4:$K$3003,$P133)))</f>
      </c>
      <c r="E133" s="10">
        <f>IF($P133="","",COUNTIFS('[1]粘贴_营销活动'!$I$4:$I$3003,$C133)+COUNTIFS('[1]粘贴_服务费返还'!$I$4:$I$3003,$C133))</f>
      </c>
      <c r="F133" s="11">
        <f>IF($P133="","",SUMIFS('[1]粘贴_营销活动'!$M$4:$M$3003,'[1]粘贴_营销活动'!$I$4:$I$3003,$C133)+SUMIFS('[1]粘贴_服务费返还'!$M$4:$M$3003,'[1]粘贴_服务费返还'!$I$4:$I$3003,$C133))</f>
      </c>
      <c r="G133" s="11">
        <f>IF($P133="","",SUMIFS('[1]粘贴_账务明细'!$K$4:$K$3003,'[1]粘贴_账务明细'!$M$4:$M$3003,$C133))</f>
      </c>
      <c r="H133" s="11">
        <f t="shared" si="1"/>
      </c>
      <c r="I133" s="6">
        <f t="shared" si="3"/>
      </c>
      <c r="P133" s="17">
        <f>IF(B133="营销活动",MATCH(A133,'[1]粘贴_营销活动'!$R$4:$R$3003,0),IF(B133="服务费返还",MATCH(A133-$P$93,'[1]粘贴_服务费返还'!$R$4:$R$3003,0),""))</f>
      </c>
    </row>
    <row r="134">
      <c r="A134" s="10" t="n">
        <v>40</v>
      </c>
      <c r="B134" s="6">
        <f t="shared" si="5"/>
      </c>
      <c r="C134" s="6">
        <f>IF($P134="","",IF($B134="营销活动",INDEX('[1]粘贴_营销活动'!$I$4:$I$3003,$P134),INDEX('[1]粘贴_服务费返还'!$I$4:$I$3003,$P134)))</f>
      </c>
      <c r="D134" s="6">
        <f>IF($P134="","",IF($B134="营销活动",INDEX('[1]粘贴_营销活动'!$K$4:$K$3003,$P134),INDEX('[1]粘贴_服务费返还'!$K$4:$K$3003,$P134)))</f>
      </c>
      <c r="E134" s="10">
        <f>IF($P134="","",COUNTIFS('[1]粘贴_营销活动'!$I$4:$I$3003,$C134)+COUNTIFS('[1]粘贴_服务费返还'!$I$4:$I$3003,$C134))</f>
      </c>
      <c r="F134" s="11">
        <f>IF($P134="","",SUMIFS('[1]粘贴_营销活动'!$M$4:$M$3003,'[1]粘贴_营销活动'!$I$4:$I$3003,$C134)+SUMIFS('[1]粘贴_服务费返还'!$M$4:$M$3003,'[1]粘贴_服务费返还'!$I$4:$I$3003,$C134))</f>
      </c>
      <c r="G134" s="11">
        <f>IF($P134="","",SUMIFS('[1]粘贴_账务明细'!$K$4:$K$3003,'[1]粘贴_账务明细'!$M$4:$M$3003,$C134))</f>
      </c>
      <c r="H134" s="11">
        <f t="shared" si="1"/>
      </c>
      <c r="I134" s="6">
        <f t="shared" si="3"/>
      </c>
      <c r="P134" s="17">
        <f>IF(B134="营销活动",MATCH(A134,'[1]粘贴_营销活动'!$R$4:$R$3003,0),IF(B134="服务费返还",MATCH(A134-$P$93,'[1]粘贴_服务费返还'!$R$4:$R$3003,0),""))</f>
      </c>
    </row>
    <row r="135"/>
    <row r="136">
      <c r="A136" s="13" t="inlineStr">
        <is>
          <t>三、营销活动逐单核对：应结＝成本金额（报名价）－商品售价（活动价）＋备注里的补贴优惠券，跟结算总金额比</t>
        </is>
      </c>
    </row>
    <row r="137">
      <c r="A137" s="2" t="inlineStr">
        <is>
          <t>对账单笔数</t>
        </is>
      </c>
      <c r="C137" s="2" t="inlineStr">
        <is>
          <t>应结合计</t>
        </is>
      </c>
      <c r="E137" s="2" t="inlineStr">
        <is>
          <t>结算合计</t>
        </is>
      </c>
      <c r="G137" s="2" t="inlineStr">
        <is>
          <t>补贴券合计</t>
        </is>
      </c>
      <c r="I137" s="2" t="inlineStr">
        <is>
          <t>不一致笔数</t>
        </is>
      </c>
    </row>
    <row r="138">
      <c r="A138" s="10">
        <f>COUNT('[1]粘贴_营销活动'!$M$4:$M$3003)</f>
        <v>4</v>
      </c>
      <c r="C138" s="11">
        <f>SUM('[1]粘贴_营销活动'!$O$4:$O$3003)</f>
        <v>1320</v>
      </c>
      <c r="E138" s="11">
        <f>SUM('[1]粘贴_营销活动'!$M$4:$M$3003)</f>
        <v>1320</v>
      </c>
      <c r="G138" s="11">
        <f>SUM('[1]粘贴_营销活动'!$N$4:$N$3003)</f>
        <v>600</v>
      </c>
      <c r="I138" s="10">
        <f>COUNTIFS('[1]粘贴_营销活动'!$Q$4:$Q$3003,"不一致")</f>
        <v>0</v>
      </c>
    </row>
    <row r="139">
      <c r="A139" s="2" t="inlineStr">
        <is>
          <t>不一致的单（最多列 20 笔，全部的去「粘贴_营销活动」按「结论」筛选）</t>
        </is>
      </c>
    </row>
    <row r="140">
      <c r="A140" s="5" t="inlineStr">
        <is>
          <t>序</t>
        </is>
      </c>
      <c r="B140" s="5" t="inlineStr">
        <is>
          <t>订单号</t>
        </is>
      </c>
      <c r="C140" s="5" t="inlineStr">
        <is>
          <t>商品名称</t>
        </is>
      </c>
      <c r="D140" s="5" t="inlineStr">
        <is>
          <t>活动价</t>
        </is>
      </c>
      <c r="E140" s="5" t="inlineStr">
        <is>
          <t>报名价</t>
        </is>
      </c>
      <c r="F140" s="5" t="inlineStr">
        <is>
          <t>补贴券</t>
        </is>
      </c>
      <c r="G140" s="5" t="inlineStr">
        <is>
          <t>应结</t>
        </is>
      </c>
      <c r="H140" s="5" t="inlineStr">
        <is>
          <t>结算总金额</t>
        </is>
      </c>
      <c r="I140" s="5" t="inlineStr">
        <is>
          <t>差额</t>
        </is>
      </c>
      <c r="J140" s="5" t="inlineStr">
        <is>
          <t>批次号</t>
        </is>
      </c>
      <c r="P140" s="5" t="inlineStr">
        <is>
          <t>(位置)</t>
        </is>
      </c>
    </row>
    <row r="141">
      <c r="A141" s="10" t="n">
        <v>1</v>
      </c>
      <c r="B141" s="6">
        <f>IF($P141="","",INDEX('[1]粘贴_营销活动'!$A$4:$A$3003,$P141))</f>
      </c>
      <c r="C141" s="6">
        <f>IF($P141="","",INDEX('[1]粘贴_营销活动'!$E$4:$E$3003,$P141))</f>
      </c>
      <c r="D141" s="11">
        <f>IF($P141="","",INDEX('[1]粘贴_营销活动'!$F$4:$F$3003,$P141))</f>
      </c>
      <c r="E141" s="11">
        <f>IF($P141="","",INDEX('[1]粘贴_营销活动'!$G$4:$G$3003,$P141))</f>
      </c>
      <c r="F141" s="11">
        <f>IF($P141="","",INDEX('[1]粘贴_营销活动'!$N$4:$N$3003,$P141))</f>
      </c>
      <c r="G141" s="11">
        <f>IF($P141="","",INDEX('[1]粘贴_营销活动'!$O$4:$O$3003,$P141))</f>
      </c>
      <c r="H141" s="11">
        <f>IF($P141="","",INDEX('[1]粘贴_营销活动'!$M$4:$M$3003,$P141))</f>
      </c>
      <c r="I141" s="11">
        <f>IF($P141="","",INDEX('[1]粘贴_营销活动'!$P$4:$P$3003,$P141))</f>
      </c>
      <c r="J141" s="6">
        <f>IF($P141="","",INDEX('[1]粘贴_营销活动'!$I$4:$I$3003,$P141))</f>
      </c>
      <c r="P141" s="17">
        <f>IFERROR(MATCH(A141,'[1]粘贴_营销活动'!$S$4:$S$3003,0),"")</f>
      </c>
    </row>
    <row r="142">
      <c r="A142" s="10" t="n">
        <v>2</v>
      </c>
      <c r="B142" s="6">
        <f>IF($P142="","",INDEX('[1]粘贴_营销活动'!$A$4:$A$3003,$P142))</f>
      </c>
      <c r="C142" s="6">
        <f>IF($P142="","",INDEX('[1]粘贴_营销活动'!$E$4:$E$3003,$P142))</f>
      </c>
      <c r="D142" s="11">
        <f>IF($P142="","",INDEX('[1]粘贴_营销活动'!$F$4:$F$3003,$P142))</f>
      </c>
      <c r="E142" s="11">
        <f>IF($P142="","",INDEX('[1]粘贴_营销活动'!$G$4:$G$3003,$P142))</f>
      </c>
      <c r="F142" s="11">
        <f>IF($P142="","",INDEX('[1]粘贴_营销活动'!$N$4:$N$3003,$P142))</f>
      </c>
      <c r="G142" s="11">
        <f>IF($P142="","",INDEX('[1]粘贴_营销活动'!$O$4:$O$3003,$P142))</f>
      </c>
      <c r="H142" s="11">
        <f>IF($P142="","",INDEX('[1]粘贴_营销活动'!$M$4:$M$3003,$P142))</f>
      </c>
      <c r="I142" s="11">
        <f>IF($P142="","",INDEX('[1]粘贴_营销活动'!$P$4:$P$3003,$P142))</f>
      </c>
      <c r="J142" s="6">
        <f>IF($P142="","",INDEX('[1]粘贴_营销活动'!$I$4:$I$3003,$P142))</f>
      </c>
      <c r="P142" s="17">
        <f>IFERROR(MATCH(A142,'[1]粘贴_营销活动'!$S$4:$S$3003,0),"")</f>
      </c>
    </row>
    <row r="143">
      <c r="A143" s="10" t="n">
        <v>3</v>
      </c>
      <c r="B143" s="6">
        <f>IF($P143="","",INDEX('[1]粘贴_营销活动'!$A$4:$A$3003,$P143))</f>
      </c>
      <c r="C143" s="6">
        <f>IF($P143="","",INDEX('[1]粘贴_营销活动'!$E$4:$E$3003,$P143))</f>
      </c>
      <c r="D143" s="11">
        <f>IF($P143="","",INDEX('[1]粘贴_营销活动'!$F$4:$F$3003,$P143))</f>
      </c>
      <c r="E143" s="11">
        <f>IF($P143="","",INDEX('[1]粘贴_营销活动'!$G$4:$G$3003,$P143))</f>
      </c>
      <c r="F143" s="11">
        <f>IF($P143="","",INDEX('[1]粘贴_营销活动'!$N$4:$N$3003,$P143))</f>
      </c>
      <c r="G143" s="11">
        <f>IF($P143="","",INDEX('[1]粘贴_营销活动'!$O$4:$O$3003,$P143))</f>
      </c>
      <c r="H143" s="11">
        <f>IF($P143="","",INDEX('[1]粘贴_营销活动'!$M$4:$M$3003,$P143))</f>
      </c>
      <c r="I143" s="11">
        <f>IF($P143="","",INDEX('[1]粘贴_营销活动'!$P$4:$P$3003,$P143))</f>
      </c>
      <c r="J143" s="6">
        <f>IF($P143="","",INDEX('[1]粘贴_营销活动'!$I$4:$I$3003,$P143))</f>
      </c>
      <c r="P143" s="17">
        <f>IFERROR(MATCH(A143,'[1]粘贴_营销活动'!$S$4:$S$3003,0),"")</f>
      </c>
    </row>
    <row r="144">
      <c r="A144" s="10" t="n">
        <v>4</v>
      </c>
      <c r="B144" s="6">
        <f>IF($P144="","",INDEX('[1]粘贴_营销活动'!$A$4:$A$3003,$P144))</f>
      </c>
      <c r="C144" s="6">
        <f>IF($P144="","",INDEX('[1]粘贴_营销活动'!$E$4:$E$3003,$P144))</f>
      </c>
      <c r="D144" s="11">
        <f>IF($P144="","",INDEX('[1]粘贴_营销活动'!$F$4:$F$3003,$P144))</f>
      </c>
      <c r="E144" s="11">
        <f>IF($P144="","",INDEX('[1]粘贴_营销活动'!$G$4:$G$3003,$P144))</f>
      </c>
      <c r="F144" s="11">
        <f>IF($P144="","",INDEX('[1]粘贴_营销活动'!$N$4:$N$3003,$P144))</f>
      </c>
      <c r="G144" s="11">
        <f>IF($P144="","",INDEX('[1]粘贴_营销活动'!$O$4:$O$3003,$P144))</f>
      </c>
      <c r="H144" s="11">
        <f>IF($P144="","",INDEX('[1]粘贴_营销活动'!$M$4:$M$3003,$P144))</f>
      </c>
      <c r="I144" s="11">
        <f>IF($P144="","",INDEX('[1]粘贴_营销活动'!$P$4:$P$3003,$P144))</f>
      </c>
      <c r="J144" s="6">
        <f>IF($P144="","",INDEX('[1]粘贴_营销活动'!$I$4:$I$3003,$P144))</f>
      </c>
      <c r="P144" s="17">
        <f>IFERROR(MATCH(A144,'[1]粘贴_营销活动'!$S$4:$S$3003,0),"")</f>
      </c>
    </row>
    <row r="145">
      <c r="A145" s="10" t="n">
        <v>5</v>
      </c>
      <c r="B145" s="6">
        <f>IF($P145="","",INDEX('[1]粘贴_营销活动'!$A$4:$A$3003,$P145))</f>
      </c>
      <c r="C145" s="6">
        <f>IF($P145="","",INDEX('[1]粘贴_营销活动'!$E$4:$E$3003,$P145))</f>
      </c>
      <c r="D145" s="11">
        <f>IF($P145="","",INDEX('[1]粘贴_营销活动'!$F$4:$F$3003,$P145))</f>
      </c>
      <c r="E145" s="11">
        <f>IF($P145="","",INDEX('[1]粘贴_营销活动'!$G$4:$G$3003,$P145))</f>
      </c>
      <c r="F145" s="11">
        <f>IF($P145="","",INDEX('[1]粘贴_营销活动'!$N$4:$N$3003,$P145))</f>
      </c>
      <c r="G145" s="11">
        <f>IF($P145="","",INDEX('[1]粘贴_营销活动'!$O$4:$O$3003,$P145))</f>
      </c>
      <c r="H145" s="11">
        <f>IF($P145="","",INDEX('[1]粘贴_营销活动'!$M$4:$M$3003,$P145))</f>
      </c>
      <c r="I145" s="11">
        <f>IF($P145="","",INDEX('[1]粘贴_营销活动'!$P$4:$P$3003,$P145))</f>
      </c>
      <c r="J145" s="6">
        <f>IF($P145="","",INDEX('[1]粘贴_营销活动'!$I$4:$I$3003,$P145))</f>
      </c>
      <c r="P145" s="17">
        <f>IFERROR(MATCH(A145,'[1]粘贴_营销活动'!$S$4:$S$3003,0),"")</f>
      </c>
    </row>
    <row r="146">
      <c r="A146" s="10" t="n">
        <v>6</v>
      </c>
      <c r="B146" s="6">
        <f>IF($P146="","",INDEX('[1]粘贴_营销活动'!$A$4:$A$3003,$P146))</f>
      </c>
      <c r="C146" s="6">
        <f>IF($P146="","",INDEX('[1]粘贴_营销活动'!$E$4:$E$3003,$P146))</f>
      </c>
      <c r="D146" s="11">
        <f>IF($P146="","",INDEX('[1]粘贴_营销活动'!$F$4:$F$3003,$P146))</f>
      </c>
      <c r="E146" s="11">
        <f>IF($P146="","",INDEX('[1]粘贴_营销活动'!$G$4:$G$3003,$P146))</f>
      </c>
      <c r="F146" s="11">
        <f>IF($P146="","",INDEX('[1]粘贴_营销活动'!$N$4:$N$3003,$P146))</f>
      </c>
      <c r="G146" s="11">
        <f>IF($P146="","",INDEX('[1]粘贴_营销活动'!$O$4:$O$3003,$P146))</f>
      </c>
      <c r="H146" s="11">
        <f>IF($P146="","",INDEX('[1]粘贴_营销活动'!$M$4:$M$3003,$P146))</f>
      </c>
      <c r="I146" s="11">
        <f>IF($P146="","",INDEX('[1]粘贴_营销活动'!$P$4:$P$3003,$P146))</f>
      </c>
      <c r="J146" s="6">
        <f>IF($P146="","",INDEX('[1]粘贴_营销活动'!$I$4:$I$3003,$P146))</f>
      </c>
      <c r="P146" s="17">
        <f>IFERROR(MATCH(A146,'[1]粘贴_营销活动'!$S$4:$S$3003,0),"")</f>
      </c>
    </row>
    <row r="147">
      <c r="A147" s="10" t="n">
        <v>7</v>
      </c>
      <c r="B147" s="6">
        <f>IF($P147="","",INDEX('[1]粘贴_营销活动'!$A$4:$A$3003,$P147))</f>
      </c>
      <c r="C147" s="6">
        <f>IF($P147="","",INDEX('[1]粘贴_营销活动'!$E$4:$E$3003,$P147))</f>
      </c>
      <c r="D147" s="11">
        <f>IF($P147="","",INDEX('[1]粘贴_营销活动'!$F$4:$F$3003,$P147))</f>
      </c>
      <c r="E147" s="11">
        <f>IF($P147="","",INDEX('[1]粘贴_营销活动'!$G$4:$G$3003,$P147))</f>
      </c>
      <c r="F147" s="11">
        <f>IF($P147="","",INDEX('[1]粘贴_营销活动'!$N$4:$N$3003,$P147))</f>
      </c>
      <c r="G147" s="11">
        <f>IF($P147="","",INDEX('[1]粘贴_营销活动'!$O$4:$O$3003,$P147))</f>
      </c>
      <c r="H147" s="11">
        <f>IF($P147="","",INDEX('[1]粘贴_营销活动'!$M$4:$M$3003,$P147))</f>
      </c>
      <c r="I147" s="11">
        <f>IF($P147="","",INDEX('[1]粘贴_营销活动'!$P$4:$P$3003,$P147))</f>
      </c>
      <c r="J147" s="6">
        <f>IF($P147="","",INDEX('[1]粘贴_营销活动'!$I$4:$I$3003,$P147))</f>
      </c>
      <c r="P147" s="17">
        <f>IFERROR(MATCH(A147,'[1]粘贴_营销活动'!$S$4:$S$3003,0),"")</f>
      </c>
    </row>
    <row r="148">
      <c r="A148" s="10" t="n">
        <v>8</v>
      </c>
      <c r="B148" s="6">
        <f>IF($P148="","",INDEX('[1]粘贴_营销活动'!$A$4:$A$3003,$P148))</f>
      </c>
      <c r="C148" s="6">
        <f>IF($P148="","",INDEX('[1]粘贴_营销活动'!$E$4:$E$3003,$P148))</f>
      </c>
      <c r="D148" s="11">
        <f>IF($P148="","",INDEX('[1]粘贴_营销活动'!$F$4:$F$3003,$P148))</f>
      </c>
      <c r="E148" s="11">
        <f>IF($P148="","",INDEX('[1]粘贴_营销活动'!$G$4:$G$3003,$P148))</f>
      </c>
      <c r="F148" s="11">
        <f>IF($P148="","",INDEX('[1]粘贴_营销活动'!$N$4:$N$3003,$P148))</f>
      </c>
      <c r="G148" s="11">
        <f>IF($P148="","",INDEX('[1]粘贴_营销活动'!$O$4:$O$3003,$P148))</f>
      </c>
      <c r="H148" s="11">
        <f>IF($P148="","",INDEX('[1]粘贴_营销活动'!$M$4:$M$3003,$P148))</f>
      </c>
      <c r="I148" s="11">
        <f>IF($P148="","",INDEX('[1]粘贴_营销活动'!$P$4:$P$3003,$P148))</f>
      </c>
      <c r="J148" s="6">
        <f>IF($P148="","",INDEX('[1]粘贴_营销活动'!$I$4:$I$3003,$P148))</f>
      </c>
      <c r="P148" s="17">
        <f>IFERROR(MATCH(A148,'[1]粘贴_营销活动'!$S$4:$S$3003,0),"")</f>
      </c>
    </row>
    <row r="149">
      <c r="A149" s="10" t="n">
        <v>9</v>
      </c>
      <c r="B149" s="6">
        <f>IF($P149="","",INDEX('[1]粘贴_营销活动'!$A$4:$A$3003,$P149))</f>
      </c>
      <c r="C149" s="6">
        <f>IF($P149="","",INDEX('[1]粘贴_营销活动'!$E$4:$E$3003,$P149))</f>
      </c>
      <c r="D149" s="11">
        <f>IF($P149="","",INDEX('[1]粘贴_营销活动'!$F$4:$F$3003,$P149))</f>
      </c>
      <c r="E149" s="11">
        <f>IF($P149="","",INDEX('[1]粘贴_营销活动'!$G$4:$G$3003,$P149))</f>
      </c>
      <c r="F149" s="11">
        <f>IF($P149="","",INDEX('[1]粘贴_营销活动'!$N$4:$N$3003,$P149))</f>
      </c>
      <c r="G149" s="11">
        <f>IF($P149="","",INDEX('[1]粘贴_营销活动'!$O$4:$O$3003,$P149))</f>
      </c>
      <c r="H149" s="11">
        <f>IF($P149="","",INDEX('[1]粘贴_营销活动'!$M$4:$M$3003,$P149))</f>
      </c>
      <c r="I149" s="11">
        <f>IF($P149="","",INDEX('[1]粘贴_营销活动'!$P$4:$P$3003,$P149))</f>
      </c>
      <c r="J149" s="6">
        <f>IF($P149="","",INDEX('[1]粘贴_营销活动'!$I$4:$I$3003,$P149))</f>
      </c>
      <c r="P149" s="17">
        <f>IFERROR(MATCH(A149,'[1]粘贴_营销活动'!$S$4:$S$3003,0),"")</f>
      </c>
    </row>
    <row r="150">
      <c r="A150" s="10" t="n">
        <v>10</v>
      </c>
      <c r="B150" s="6">
        <f>IF($P150="","",INDEX('[1]粘贴_营销活动'!$A$4:$A$3003,$P150))</f>
      </c>
      <c r="C150" s="6">
        <f>IF($P150="","",INDEX('[1]粘贴_营销活动'!$E$4:$E$3003,$P150))</f>
      </c>
      <c r="D150" s="11">
        <f>IF($P150="","",INDEX('[1]粘贴_营销活动'!$F$4:$F$3003,$P150))</f>
      </c>
      <c r="E150" s="11">
        <f>IF($P150="","",INDEX('[1]粘贴_营销活动'!$G$4:$G$3003,$P150))</f>
      </c>
      <c r="F150" s="11">
        <f>IF($P150="","",INDEX('[1]粘贴_营销活动'!$N$4:$N$3003,$P150))</f>
      </c>
      <c r="G150" s="11">
        <f>IF($P150="","",INDEX('[1]粘贴_营销活动'!$O$4:$O$3003,$P150))</f>
      </c>
      <c r="H150" s="11">
        <f>IF($P150="","",INDEX('[1]粘贴_营销活动'!$M$4:$M$3003,$P150))</f>
      </c>
      <c r="I150" s="11">
        <f>IF($P150="","",INDEX('[1]粘贴_营销活动'!$P$4:$P$3003,$P150))</f>
      </c>
      <c r="J150" s="6">
        <f>IF($P150="","",INDEX('[1]粘贴_营销活动'!$I$4:$I$3003,$P150))</f>
      </c>
      <c r="P150" s="17">
        <f>IFERROR(MATCH(A150,'[1]粘贴_营销活动'!$S$4:$S$3003,0),"")</f>
      </c>
    </row>
    <row r="151">
      <c r="A151" s="10" t="n">
        <v>11</v>
      </c>
      <c r="B151" s="6">
        <f>IF($P151="","",INDEX('[1]粘贴_营销活动'!$A$4:$A$3003,$P151))</f>
      </c>
      <c r="C151" s="6">
        <f>IF($P151="","",INDEX('[1]粘贴_营销活动'!$E$4:$E$3003,$P151))</f>
      </c>
      <c r="D151" s="11">
        <f>IF($P151="","",INDEX('[1]粘贴_营销活动'!$F$4:$F$3003,$P151))</f>
      </c>
      <c r="E151" s="11">
        <f>IF($P151="","",INDEX('[1]粘贴_营销活动'!$G$4:$G$3003,$P151))</f>
      </c>
      <c r="F151" s="11">
        <f>IF($P151="","",INDEX('[1]粘贴_营销活动'!$N$4:$N$3003,$P151))</f>
      </c>
      <c r="G151" s="11">
        <f>IF($P151="","",INDEX('[1]粘贴_营销活动'!$O$4:$O$3003,$P151))</f>
      </c>
      <c r="H151" s="11">
        <f>IF($P151="","",INDEX('[1]粘贴_营销活动'!$M$4:$M$3003,$P151))</f>
      </c>
      <c r="I151" s="11">
        <f>IF($P151="","",INDEX('[1]粘贴_营销活动'!$P$4:$P$3003,$P151))</f>
      </c>
      <c r="J151" s="6">
        <f>IF($P151="","",INDEX('[1]粘贴_营销活动'!$I$4:$I$3003,$P151))</f>
      </c>
      <c r="P151" s="17">
        <f>IFERROR(MATCH(A151,'[1]粘贴_营销活动'!$S$4:$S$3003,0),"")</f>
      </c>
    </row>
    <row r="152">
      <c r="A152" s="10" t="n">
        <v>12</v>
      </c>
      <c r="B152" s="6">
        <f>IF($P152="","",INDEX('[1]粘贴_营销活动'!$A$4:$A$3003,$P152))</f>
      </c>
      <c r="C152" s="6">
        <f>IF($P152="","",INDEX('[1]粘贴_营销活动'!$E$4:$E$3003,$P152))</f>
      </c>
      <c r="D152" s="11">
        <f>IF($P152="","",INDEX('[1]粘贴_营销活动'!$F$4:$F$3003,$P152))</f>
      </c>
      <c r="E152" s="11">
        <f>IF($P152="","",INDEX('[1]粘贴_营销活动'!$G$4:$G$3003,$P152))</f>
      </c>
      <c r="F152" s="11">
        <f>IF($P152="","",INDEX('[1]粘贴_营销活动'!$N$4:$N$3003,$P152))</f>
      </c>
      <c r="G152" s="11">
        <f>IF($P152="","",INDEX('[1]粘贴_营销活动'!$O$4:$O$3003,$P152))</f>
      </c>
      <c r="H152" s="11">
        <f>IF($P152="","",INDEX('[1]粘贴_营销活动'!$M$4:$M$3003,$P152))</f>
      </c>
      <c r="I152" s="11">
        <f>IF($P152="","",INDEX('[1]粘贴_营销活动'!$P$4:$P$3003,$P152))</f>
      </c>
      <c r="J152" s="6">
        <f>IF($P152="","",INDEX('[1]粘贴_营销活动'!$I$4:$I$3003,$P152))</f>
      </c>
      <c r="P152" s="17">
        <f>IFERROR(MATCH(A152,'[1]粘贴_营销活动'!$S$4:$S$3003,0),"")</f>
      </c>
    </row>
    <row r="153">
      <c r="A153" s="10" t="n">
        <v>13</v>
      </c>
      <c r="B153" s="6">
        <f>IF($P153="","",INDEX('[1]粘贴_营销活动'!$A$4:$A$3003,$P153))</f>
      </c>
      <c r="C153" s="6">
        <f>IF($P153="","",INDEX('[1]粘贴_营销活动'!$E$4:$E$3003,$P153))</f>
      </c>
      <c r="D153" s="11">
        <f>IF($P153="","",INDEX('[1]粘贴_营销活动'!$F$4:$F$3003,$P153))</f>
      </c>
      <c r="E153" s="11">
        <f>IF($P153="","",INDEX('[1]粘贴_营销活动'!$G$4:$G$3003,$P153))</f>
      </c>
      <c r="F153" s="11">
        <f>IF($P153="","",INDEX('[1]粘贴_营销活动'!$N$4:$N$3003,$P153))</f>
      </c>
      <c r="G153" s="11">
        <f>IF($P153="","",INDEX('[1]粘贴_营销活动'!$O$4:$O$3003,$P153))</f>
      </c>
      <c r="H153" s="11">
        <f>IF($P153="","",INDEX('[1]粘贴_营销活动'!$M$4:$M$3003,$P153))</f>
      </c>
      <c r="I153" s="11">
        <f>IF($P153="","",INDEX('[1]粘贴_营销活动'!$P$4:$P$3003,$P153))</f>
      </c>
      <c r="J153" s="6">
        <f>IF($P153="","",INDEX('[1]粘贴_营销活动'!$I$4:$I$3003,$P153))</f>
      </c>
      <c r="P153" s="17">
        <f>IFERROR(MATCH(A153,'[1]粘贴_营销活动'!$S$4:$S$3003,0),"")</f>
      </c>
    </row>
    <row r="154">
      <c r="A154" s="10" t="n">
        <v>14</v>
      </c>
      <c r="B154" s="6">
        <f>IF($P154="","",INDEX('[1]粘贴_营销活动'!$A$4:$A$3003,$P154))</f>
      </c>
      <c r="C154" s="6">
        <f>IF($P154="","",INDEX('[1]粘贴_营销活动'!$E$4:$E$3003,$P154))</f>
      </c>
      <c r="D154" s="11">
        <f>IF($P154="","",INDEX('[1]粘贴_营销活动'!$F$4:$F$3003,$P154))</f>
      </c>
      <c r="E154" s="11">
        <f>IF($P154="","",INDEX('[1]粘贴_营销活动'!$G$4:$G$3003,$P154))</f>
      </c>
      <c r="F154" s="11">
        <f>IF($P154="","",INDEX('[1]粘贴_营销活动'!$N$4:$N$3003,$P154))</f>
      </c>
      <c r="G154" s="11">
        <f>IF($P154="","",INDEX('[1]粘贴_营销活动'!$O$4:$O$3003,$P154))</f>
      </c>
      <c r="H154" s="11">
        <f>IF($P154="","",INDEX('[1]粘贴_营销活动'!$M$4:$M$3003,$P154))</f>
      </c>
      <c r="I154" s="11">
        <f>IF($P154="","",INDEX('[1]粘贴_营销活动'!$P$4:$P$3003,$P154))</f>
      </c>
      <c r="J154" s="6">
        <f>IF($P154="","",INDEX('[1]粘贴_营销活动'!$I$4:$I$3003,$P154))</f>
      </c>
      <c r="P154" s="17">
        <f>IFERROR(MATCH(A154,'[1]粘贴_营销活动'!$S$4:$S$3003,0),"")</f>
      </c>
    </row>
    <row r="155">
      <c r="A155" s="10" t="n">
        <v>15</v>
      </c>
      <c r="B155" s="6">
        <f>IF($P155="","",INDEX('[1]粘贴_营销活动'!$A$4:$A$3003,$P155))</f>
      </c>
      <c r="C155" s="6">
        <f>IF($P155="","",INDEX('[1]粘贴_营销活动'!$E$4:$E$3003,$P155))</f>
      </c>
      <c r="D155" s="11">
        <f>IF($P155="","",INDEX('[1]粘贴_营销活动'!$F$4:$F$3003,$P155))</f>
      </c>
      <c r="E155" s="11">
        <f>IF($P155="","",INDEX('[1]粘贴_营销活动'!$G$4:$G$3003,$P155))</f>
      </c>
      <c r="F155" s="11">
        <f>IF($P155="","",INDEX('[1]粘贴_营销活动'!$N$4:$N$3003,$P155))</f>
      </c>
      <c r="G155" s="11">
        <f>IF($P155="","",INDEX('[1]粘贴_营销活动'!$O$4:$O$3003,$P155))</f>
      </c>
      <c r="H155" s="11">
        <f>IF($P155="","",INDEX('[1]粘贴_营销活动'!$M$4:$M$3003,$P155))</f>
      </c>
      <c r="I155" s="11">
        <f>IF($P155="","",INDEX('[1]粘贴_营销活动'!$P$4:$P$3003,$P155))</f>
      </c>
      <c r="J155" s="6">
        <f>IF($P155="","",INDEX('[1]粘贴_营销活动'!$I$4:$I$3003,$P155))</f>
      </c>
      <c r="P155" s="17">
        <f>IFERROR(MATCH(A155,'[1]粘贴_营销活动'!$S$4:$S$3003,0),"")</f>
      </c>
    </row>
    <row r="156">
      <c r="A156" s="10" t="n">
        <v>16</v>
      </c>
      <c r="B156" s="6">
        <f>IF($P156="","",INDEX('[1]粘贴_营销活动'!$A$4:$A$3003,$P156))</f>
      </c>
      <c r="C156" s="6">
        <f>IF($P156="","",INDEX('[1]粘贴_营销活动'!$E$4:$E$3003,$P156))</f>
      </c>
      <c r="D156" s="11">
        <f>IF($P156="","",INDEX('[1]粘贴_营销活动'!$F$4:$F$3003,$P156))</f>
      </c>
      <c r="E156" s="11">
        <f>IF($P156="","",INDEX('[1]粘贴_营销活动'!$G$4:$G$3003,$P156))</f>
      </c>
      <c r="F156" s="11">
        <f>IF($P156="","",INDEX('[1]粘贴_营销活动'!$N$4:$N$3003,$P156))</f>
      </c>
      <c r="G156" s="11">
        <f>IF($P156="","",INDEX('[1]粘贴_营销活动'!$O$4:$O$3003,$P156))</f>
      </c>
      <c r="H156" s="11">
        <f>IF($P156="","",INDEX('[1]粘贴_营销活动'!$M$4:$M$3003,$P156))</f>
      </c>
      <c r="I156" s="11">
        <f>IF($P156="","",INDEX('[1]粘贴_营销活动'!$P$4:$P$3003,$P156))</f>
      </c>
      <c r="J156" s="6">
        <f>IF($P156="","",INDEX('[1]粘贴_营销活动'!$I$4:$I$3003,$P156))</f>
      </c>
      <c r="P156" s="17">
        <f>IFERROR(MATCH(A156,'[1]粘贴_营销活动'!$S$4:$S$3003,0),"")</f>
      </c>
    </row>
    <row r="157">
      <c r="A157" s="10" t="n">
        <v>17</v>
      </c>
      <c r="B157" s="6">
        <f>IF($P157="","",INDEX('[1]粘贴_营销活动'!$A$4:$A$3003,$P157))</f>
      </c>
      <c r="C157" s="6">
        <f>IF($P157="","",INDEX('[1]粘贴_营销活动'!$E$4:$E$3003,$P157))</f>
      </c>
      <c r="D157" s="11">
        <f>IF($P157="","",INDEX('[1]粘贴_营销活动'!$F$4:$F$3003,$P157))</f>
      </c>
      <c r="E157" s="11">
        <f>IF($P157="","",INDEX('[1]粘贴_营销活动'!$G$4:$G$3003,$P157))</f>
      </c>
      <c r="F157" s="11">
        <f>IF($P157="","",INDEX('[1]粘贴_营销活动'!$N$4:$N$3003,$P157))</f>
      </c>
      <c r="G157" s="11">
        <f>IF($P157="","",INDEX('[1]粘贴_营销活动'!$O$4:$O$3003,$P157))</f>
      </c>
      <c r="H157" s="11">
        <f>IF($P157="","",INDEX('[1]粘贴_营销活动'!$M$4:$M$3003,$P157))</f>
      </c>
      <c r="I157" s="11">
        <f>IF($P157="","",INDEX('[1]粘贴_营销活动'!$P$4:$P$3003,$P157))</f>
      </c>
      <c r="J157" s="6">
        <f>IF($P157="","",INDEX('[1]粘贴_营销活动'!$I$4:$I$3003,$P157))</f>
      </c>
      <c r="P157" s="17">
        <f>IFERROR(MATCH(A157,'[1]粘贴_营销活动'!$S$4:$S$3003,0),"")</f>
      </c>
    </row>
    <row r="158">
      <c r="A158" s="10" t="n">
        <v>18</v>
      </c>
      <c r="B158" s="6">
        <f>IF($P158="","",INDEX('[1]粘贴_营销活动'!$A$4:$A$3003,$P158))</f>
      </c>
      <c r="C158" s="6">
        <f>IF($P158="","",INDEX('[1]粘贴_营销活动'!$E$4:$E$3003,$P158))</f>
      </c>
      <c r="D158" s="11">
        <f>IF($P158="","",INDEX('[1]粘贴_营销活动'!$F$4:$F$3003,$P158))</f>
      </c>
      <c r="E158" s="11">
        <f>IF($P158="","",INDEX('[1]粘贴_营销活动'!$G$4:$G$3003,$P158))</f>
      </c>
      <c r="F158" s="11">
        <f>IF($P158="","",INDEX('[1]粘贴_营销活动'!$N$4:$N$3003,$P158))</f>
      </c>
      <c r="G158" s="11">
        <f>IF($P158="","",INDEX('[1]粘贴_营销活动'!$O$4:$O$3003,$P158))</f>
      </c>
      <c r="H158" s="11">
        <f>IF($P158="","",INDEX('[1]粘贴_营销活动'!$M$4:$M$3003,$P158))</f>
      </c>
      <c r="I158" s="11">
        <f>IF($P158="","",INDEX('[1]粘贴_营销活动'!$P$4:$P$3003,$P158))</f>
      </c>
      <c r="J158" s="6">
        <f>IF($P158="","",INDEX('[1]粘贴_营销活动'!$I$4:$I$3003,$P158))</f>
      </c>
      <c r="P158" s="17">
        <f>IFERROR(MATCH(A158,'[1]粘贴_营销活动'!$S$4:$S$3003,0),"")</f>
      </c>
    </row>
    <row r="159">
      <c r="A159" s="10" t="n">
        <v>19</v>
      </c>
      <c r="B159" s="6">
        <f>IF($P159="","",INDEX('[1]粘贴_营销活动'!$A$4:$A$3003,$P159))</f>
      </c>
      <c r="C159" s="6">
        <f>IF($P159="","",INDEX('[1]粘贴_营销活动'!$E$4:$E$3003,$P159))</f>
      </c>
      <c r="D159" s="11">
        <f>IF($P159="","",INDEX('[1]粘贴_营销活动'!$F$4:$F$3003,$P159))</f>
      </c>
      <c r="E159" s="11">
        <f>IF($P159="","",INDEX('[1]粘贴_营销活动'!$G$4:$G$3003,$P159))</f>
      </c>
      <c r="F159" s="11">
        <f>IF($P159="","",INDEX('[1]粘贴_营销活动'!$N$4:$N$3003,$P159))</f>
      </c>
      <c r="G159" s="11">
        <f>IF($P159="","",INDEX('[1]粘贴_营销活动'!$O$4:$O$3003,$P159))</f>
      </c>
      <c r="H159" s="11">
        <f>IF($P159="","",INDEX('[1]粘贴_营销活动'!$M$4:$M$3003,$P159))</f>
      </c>
      <c r="I159" s="11">
        <f>IF($P159="","",INDEX('[1]粘贴_营销活动'!$P$4:$P$3003,$P159))</f>
      </c>
      <c r="J159" s="6">
        <f>IF($P159="","",INDEX('[1]粘贴_营销活动'!$I$4:$I$3003,$P159))</f>
      </c>
      <c r="P159" s="17">
        <f>IFERROR(MATCH(A159,'[1]粘贴_营销活动'!$S$4:$S$3003,0),"")</f>
      </c>
    </row>
    <row r="160">
      <c r="A160" s="10" t="n">
        <v>20</v>
      </c>
      <c r="B160" s="6">
        <f>IF($P160="","",INDEX('[1]粘贴_营销活动'!$A$4:$A$3003,$P160))</f>
      </c>
      <c r="C160" s="6">
        <f>IF($P160="","",INDEX('[1]粘贴_营销活动'!$E$4:$E$3003,$P160))</f>
      </c>
      <c r="D160" s="11">
        <f>IF($P160="","",INDEX('[1]粘贴_营销活动'!$F$4:$F$3003,$P160))</f>
      </c>
      <c r="E160" s="11">
        <f>IF($P160="","",INDEX('[1]粘贴_营销活动'!$G$4:$G$3003,$P160))</f>
      </c>
      <c r="F160" s="11">
        <f>IF($P160="","",INDEX('[1]粘贴_营销活动'!$N$4:$N$3003,$P160))</f>
      </c>
      <c r="G160" s="11">
        <f>IF($P160="","",INDEX('[1]粘贴_营销活动'!$O$4:$O$3003,$P160))</f>
      </c>
      <c r="H160" s="11">
        <f>IF($P160="","",INDEX('[1]粘贴_营销活动'!$M$4:$M$3003,$P160))</f>
      </c>
      <c r="I160" s="11">
        <f>IF($P160="","",INDEX('[1]粘贴_营销活动'!$P$4:$P$3003,$P160))</f>
      </c>
      <c r="J160" s="6">
        <f>IF($P160="","",INDEX('[1]粘贴_营销活动'!$I$4:$I$3003,$P160))</f>
      </c>
      <c r="P160" s="17">
        <f>IFERROR(MATCH(A160,'[1]粘贴_营销活动'!$S$4:$S$3003,0),"")</f>
      </c>
    </row>
  </sheetData>
  <mergeCells count="2">
    <mergeCell ref="A1:O1"/>
    <mergeCell ref="A2:O2"/>
  </mergeCells>
  <conditionalFormatting sqref="C24:N24">
    <cfRule type="expression" priority="1" dxfId="0">
      <formula>AND(ISNUMBER(C24),C24&lt;&gt;0)</formula>
    </cfRule>
  </conditionalFormatting>
  <conditionalFormatting sqref="C28:N28">
    <cfRule type="expression" priority="2" dxfId="0">
      <formula>C28&lt;&gt;0</formula>
    </cfRule>
  </conditionalFormatting>
  <conditionalFormatting sqref="J32:J91">
    <cfRule type="expression" priority="3" dxfId="0">
      <formula>AND(J32&lt;&gt;"",J32&lt;&gt;"对上")</formula>
    </cfRule>
    <cfRule type="expression" priority="4" dxfId="1">
      <formula>J32="对上"</formula>
    </cfRule>
  </conditionalFormatting>
  <conditionalFormatting sqref="I95:I134">
    <cfRule type="expression" priority="5" dxfId="0">
      <formula>AND(I95&lt;&gt;"",I95&lt;&gt;"对上")</formula>
    </cfRule>
    <cfRule type="expression" priority="6" dxfId="1">
      <formula>I95="对上"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L428"/>
  <sheetViews>
    <sheetView showGridLines="1" tabSelected="0" workbookViewId="0">
      <pane xSplit="2" ySplit="28" topLeftCell="C2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11" customWidth="1" min="9" max="9"/>
    <col width="30" customWidth="1" min="10" max="10"/>
    <col width="11" customWidth="1" min="11" max="11"/>
    <col width="7" customWidth="1" min="12" max="12"/>
  </cols>
  <sheetData>
    <row r="1" ht="26" customHeight="1">
      <c r="A1" s="1" t="inlineStr">
        <is>
          <t>A076 技术服务费核对（百亿补贴技术服务费 1.4% 返还，逐单）</t>
        </is>
      </c>
    </row>
    <row r="2" ht="48" customHeight="1">
      <c r="A2" s="3" t="inlineStr">
        <is>
          <t>百亿补贴的单，确认收货时账务明细扣「基础技术服务费 0.6%」＋「百亿补贴技术服务费 1.4%」；1.4% 这部分平台过后按批次返还（返还账单一单一行，账务明细里只有一笔批次总额）。下面「三」逐单看：扣了多少、返了多少、有没有返了又扣回（订单号带 -t01）。返还一般晚一个月左右，所以要把扣费那个月和返还那个月的账务明细都粘进录入本。</t>
        </is>
      </c>
    </row>
    <row r="3"/>
    <row r="4">
      <c r="A4" s="13" t="inlineStr">
        <is>
          <t>一、汇总</t>
        </is>
      </c>
    </row>
    <row r="5">
      <c r="B5" s="2" t="inlineStr">
        <is>
          <t>返还账单：返还笔数</t>
        </is>
      </c>
      <c r="C5" s="10">
        <f>COUNTIFS('[1]粘贴_服务费返还'!$O$4:$O$3003,"返还")</f>
        <v>64</v>
      </c>
      <c r="E5" s="2" t="inlineStr">
        <is>
          <t>账务明细：扣了百亿费的订单数</t>
        </is>
      </c>
      <c r="F5" s="18" t="n"/>
      <c r="G5" s="19" t="n"/>
      <c r="H5" s="10">
        <f>'[1]粘贴_账务明细'!$O$3003</f>
        <v>84</v>
      </c>
      <c r="J5" s="2" t="inlineStr">
        <is>
          <t>账务明细最后一天</t>
        </is>
      </c>
    </row>
    <row r="6">
      <c r="B6" s="2" t="inlineStr">
        <is>
          <t>返还合计</t>
        </is>
      </c>
      <c r="C6" s="11">
        <f>SUMIFS('[1]粘贴_服务费返还'!$M$4:$M$3003,'[1]粘贴_服务费返还'!$O$4:$O$3003,"返还")</f>
        <v>4637.2</v>
      </c>
      <c r="E6" s="2" t="inlineStr">
        <is>
          <t>实扣百亿费合计</t>
        </is>
      </c>
      <c r="F6" s="18" t="n"/>
      <c r="G6" s="19" t="n"/>
      <c r="H6" s="11">
        <f>SUM(F29:F428)</f>
        <v>2183.3</v>
      </c>
      <c r="J6" s="16">
        <f>MAX('[1]粘贴_账务明细'!$H$4:$H$3003)</f>
        <v>46295.446388888886</v>
      </c>
    </row>
    <row r="7">
      <c r="B7" s="2" t="inlineStr">
        <is>
          <t>扣回笔数（-t01）</t>
        </is>
      </c>
      <c r="C7" s="10">
        <f>COUNTIFS('[1]粘贴_服务费返还'!$O$4:$O$3003,"扣回")</f>
        <v>1</v>
      </c>
      <c r="E7" s="2" t="inlineStr">
        <is>
          <t>订单已退款、不用返（单）</t>
        </is>
      </c>
      <c r="F7" s="18" t="n"/>
      <c r="G7" s="19" t="n"/>
      <c r="H7" s="10">
        <f>COUNTIF(J29:J428,"订单已退款*")</f>
        <v>44</v>
      </c>
    </row>
    <row r="8">
      <c r="B8" s="2" t="inlineStr">
        <is>
          <t>扣回合计</t>
        </is>
      </c>
      <c r="C8" s="11">
        <f>SUMIFS('[1]粘贴_服务费返还'!$M$4:$M$3003,'[1]粘贴_服务费返还'!$O$4:$O$3003,"扣回")</f>
        <v>-50.39</v>
      </c>
      <c r="E8" s="2" t="inlineStr">
        <is>
          <t>已返还（单）</t>
        </is>
      </c>
      <c r="F8" s="18" t="n"/>
      <c r="G8" s="19" t="n"/>
      <c r="H8" s="10">
        <f>COUNTIF(J29:J428,"已返还")</f>
        <v>0</v>
      </c>
    </row>
    <row r="9">
      <c r="B9" s="2" t="inlineStr">
        <is>
          <t>净返还</t>
        </is>
      </c>
      <c r="C9" s="11">
        <f>C6+C8</f>
        <v>4586.81</v>
      </c>
      <c r="E9" s="2" t="inlineStr">
        <is>
          <t>已返还金额</t>
        </is>
      </c>
      <c r="F9" s="18" t="n"/>
      <c r="G9" s="19" t="n"/>
      <c r="H9" s="11">
        <f>SUMIFS(G29:G428,J29:J428,"已返还")</f>
        <v>0</v>
      </c>
    </row>
    <row r="10">
      <c r="B10" s="2" t="inlineStr">
        <is>
          <t>账务明细里找不到这单（笔）</t>
        </is>
      </c>
      <c r="C10" s="10">
        <f>COUNTIFS('[1]粘贴_服务费返还'!$P$4:$P$3003,"没有",'[1]粘贴_服务费返还'!$O$4:$O$3003,"返还")</f>
        <v>64</v>
      </c>
      <c r="E10" s="2" t="inlineStr">
        <is>
          <t>扣了还没返（单）</t>
        </is>
      </c>
      <c r="F10" s="18" t="n"/>
      <c r="G10" s="19" t="n"/>
      <c r="H10" s="10">
        <f>COUNTIF(J29:J428,"扣了还没返")</f>
        <v>40</v>
      </c>
    </row>
    <row r="11">
      <c r="B11" s="2" t="inlineStr">
        <is>
          <t xml:space="preserve">　金额（扣费在更早月份）</t>
        </is>
      </c>
      <c r="C11" s="11">
        <f>SUMIFS('[1]粘贴_服务费返还'!$M$4:$M$3003,'[1]粘贴_服务费返还'!$P$4:$P$3003,"没有",'[1]粘贴_服务费返还'!$O$4:$O$3003,"返还")</f>
        <v>4637.2</v>
      </c>
      <c r="E11" s="2" t="inlineStr">
        <is>
          <t>扣了还没返金额</t>
        </is>
      </c>
      <c r="F11" s="18" t="n"/>
      <c r="G11" s="19" t="n"/>
      <c r="H11" s="11">
        <f>SUMIFS(I29:I428,J29:J428,"扣了还没返")</f>
        <v>2183.3</v>
      </c>
    </row>
    <row r="12">
      <c r="E12" s="2" t="inlineStr">
        <is>
          <t>少返／返了又扣回（单）</t>
        </is>
      </c>
      <c r="F12" s="18" t="n"/>
      <c r="G12" s="19" t="n"/>
      <c r="H12" s="10">
        <f>COUNTIF(J29:J428,"少返*")+COUNTIF(J29:J428,"返了又扣回*")</f>
        <v>0</v>
      </c>
    </row>
    <row r="13"/>
    <row r="14"/>
    <row r="15">
      <c r="A15" s="13" t="inlineStr">
        <is>
          <t>二、返了又扣回（返还账单里订单号带 -t01 的负数行）</t>
        </is>
      </c>
    </row>
    <row r="16">
      <c r="A16" s="5" t="inlineStr">
        <is>
          <t>序</t>
        </is>
      </c>
      <c r="B16" s="5" t="inlineStr">
        <is>
          <t>账单订单号</t>
        </is>
      </c>
      <c r="C16" s="5" t="inlineStr">
        <is>
          <t>原订单号</t>
        </is>
      </c>
      <c r="D16" s="5" t="inlineStr">
        <is>
          <t>金额</t>
        </is>
      </c>
      <c r="E16" s="5" t="inlineStr">
        <is>
          <t>批次号</t>
        </is>
      </c>
      <c r="F16" s="5" t="inlineStr">
        <is>
          <t>结算时间</t>
        </is>
      </c>
      <c r="L16" s="5" t="inlineStr">
        <is>
          <t>(位置)</t>
        </is>
      </c>
    </row>
    <row r="17">
      <c r="A17" s="10" t="n">
        <v>1</v>
      </c>
      <c r="B17" s="6" t="str">
        <f>IF($L17="","",INDEX('[1]粘贴_服务费返还'!$A$4:$A$3003,$L17))</f>
        <v>260819-158733494712735-t01</v>
      </c>
      <c r="C17" s="6" t="str">
        <f>IF($L17="","",INDEX('[1]粘贴_服务费返还'!$N$4:$N$3003,$L17))</f>
        <v>260819-158733494712735</v>
      </c>
      <c r="D17" s="11">
        <f>IF($L17="","",INDEX('[1]粘贴_服务费返还'!$M$4:$M$3003,$L17))</f>
        <v>-50.39</v>
      </c>
      <c r="E17" s="6" t="str">
        <f>IF($L17="","",INDEX('[1]粘贴_服务费返还'!$I$4:$I$3003,$L17))</f>
        <v>BO260915078057502</v>
      </c>
      <c r="F17" s="6" t="str">
        <f>IF($L17="","",INDEX('[1]粘贴_服务费返还'!$K$4:$K$3003,$L17))</f>
        <v>2026-09-24 08:59:43</v>
      </c>
      <c r="L17" s="17">
        <f>IFERROR(MATCH(A17,'[1]粘贴_服务费返还'!$S$4:$S$3003,0),"")</f>
        <v>35</v>
      </c>
    </row>
    <row r="18">
      <c r="A18" s="10" t="n">
        <v>2</v>
      </c>
      <c r="B18" s="6">
        <f>IF($L18="","",INDEX('[1]粘贴_服务费返还'!$A$4:$A$3003,$L18))</f>
      </c>
      <c r="C18" s="6">
        <f>IF($L18="","",INDEX('[1]粘贴_服务费返还'!$N$4:$N$3003,$L18))</f>
      </c>
      <c r="D18" s="11">
        <f>IF($L18="","",INDEX('[1]粘贴_服务费返还'!$M$4:$M$3003,$L18))</f>
      </c>
      <c r="E18" s="6">
        <f>IF($L18="","",INDEX('[1]粘贴_服务费返还'!$I$4:$I$3003,$L18))</f>
      </c>
      <c r="F18" s="6">
        <f>IF($L18="","",INDEX('[1]粘贴_服务费返还'!$K$4:$K$3003,$L18))</f>
      </c>
      <c r="L18" s="17">
        <f>IFERROR(MATCH(A18,'[1]粘贴_服务费返还'!$S$4:$S$3003,0),"")</f>
      </c>
    </row>
    <row r="19">
      <c r="A19" s="10" t="n">
        <v>3</v>
      </c>
      <c r="B19" s="6">
        <f>IF($L19="","",INDEX('[1]粘贴_服务费返还'!$A$4:$A$3003,$L19))</f>
      </c>
      <c r="C19" s="6">
        <f>IF($L19="","",INDEX('[1]粘贴_服务费返还'!$N$4:$N$3003,$L19))</f>
      </c>
      <c r="D19" s="11">
        <f>IF($L19="","",INDEX('[1]粘贴_服务费返还'!$M$4:$M$3003,$L19))</f>
      </c>
      <c r="E19" s="6">
        <f>IF($L19="","",INDEX('[1]粘贴_服务费返还'!$I$4:$I$3003,$L19))</f>
      </c>
      <c r="F19" s="6">
        <f>IF($L19="","",INDEX('[1]粘贴_服务费返还'!$K$4:$K$3003,$L19))</f>
      </c>
      <c r="L19" s="17">
        <f>IFERROR(MATCH(A19,'[1]粘贴_服务费返还'!$S$4:$S$3003,0),"")</f>
      </c>
    </row>
    <row r="20">
      <c r="A20" s="10" t="n">
        <v>4</v>
      </c>
      <c r="B20" s="6">
        <f>IF($L20="","",INDEX('[1]粘贴_服务费返还'!$A$4:$A$3003,$L20))</f>
      </c>
      <c r="C20" s="6">
        <f>IF($L20="","",INDEX('[1]粘贴_服务费返还'!$N$4:$N$3003,$L20))</f>
      </c>
      <c r="D20" s="11">
        <f>IF($L20="","",INDEX('[1]粘贴_服务费返还'!$M$4:$M$3003,$L20))</f>
      </c>
      <c r="E20" s="6">
        <f>IF($L20="","",INDEX('[1]粘贴_服务费返还'!$I$4:$I$3003,$L20))</f>
      </c>
      <c r="F20" s="6">
        <f>IF($L20="","",INDEX('[1]粘贴_服务费返还'!$K$4:$K$3003,$L20))</f>
      </c>
      <c r="L20" s="17">
        <f>IFERROR(MATCH(A20,'[1]粘贴_服务费返还'!$S$4:$S$3003,0),"")</f>
      </c>
    </row>
    <row r="21">
      <c r="A21" s="10" t="n">
        <v>5</v>
      </c>
      <c r="B21" s="6">
        <f>IF($L21="","",INDEX('[1]粘贴_服务费返还'!$A$4:$A$3003,$L21))</f>
      </c>
      <c r="C21" s="6">
        <f>IF($L21="","",INDEX('[1]粘贴_服务费返还'!$N$4:$N$3003,$L21))</f>
      </c>
      <c r="D21" s="11">
        <f>IF($L21="","",INDEX('[1]粘贴_服务费返还'!$M$4:$M$3003,$L21))</f>
      </c>
      <c r="E21" s="6">
        <f>IF($L21="","",INDEX('[1]粘贴_服务费返还'!$I$4:$I$3003,$L21))</f>
      </c>
      <c r="F21" s="6">
        <f>IF($L21="","",INDEX('[1]粘贴_服务费返还'!$K$4:$K$3003,$L21))</f>
      </c>
      <c r="L21" s="17">
        <f>IFERROR(MATCH(A21,'[1]粘贴_服务费返还'!$S$4:$S$3003,0),"")</f>
      </c>
    </row>
    <row r="22">
      <c r="A22" s="10" t="n">
        <v>6</v>
      </c>
      <c r="B22" s="6">
        <f>IF($L22="","",INDEX('[1]粘贴_服务费返还'!$A$4:$A$3003,$L22))</f>
      </c>
      <c r="C22" s="6">
        <f>IF($L22="","",INDEX('[1]粘贴_服务费返还'!$N$4:$N$3003,$L22))</f>
      </c>
      <c r="D22" s="11">
        <f>IF($L22="","",INDEX('[1]粘贴_服务费返还'!$M$4:$M$3003,$L22))</f>
      </c>
      <c r="E22" s="6">
        <f>IF($L22="","",INDEX('[1]粘贴_服务费返还'!$I$4:$I$3003,$L22))</f>
      </c>
      <c r="F22" s="6">
        <f>IF($L22="","",INDEX('[1]粘贴_服务费返还'!$K$4:$K$3003,$L22))</f>
      </c>
      <c r="L22" s="17">
        <f>IFERROR(MATCH(A22,'[1]粘贴_服务费返还'!$S$4:$S$3003,0),"")</f>
      </c>
    </row>
    <row r="23">
      <c r="A23" s="10" t="n">
        <v>7</v>
      </c>
      <c r="B23" s="6">
        <f>IF($L23="","",INDEX('[1]粘贴_服务费返还'!$A$4:$A$3003,$L23))</f>
      </c>
      <c r="C23" s="6">
        <f>IF($L23="","",INDEX('[1]粘贴_服务费返还'!$N$4:$N$3003,$L23))</f>
      </c>
      <c r="D23" s="11">
        <f>IF($L23="","",INDEX('[1]粘贴_服务费返还'!$M$4:$M$3003,$L23))</f>
      </c>
      <c r="E23" s="6">
        <f>IF($L23="","",INDEX('[1]粘贴_服务费返还'!$I$4:$I$3003,$L23))</f>
      </c>
      <c r="F23" s="6">
        <f>IF($L23="","",INDEX('[1]粘贴_服务费返还'!$K$4:$K$3003,$L23))</f>
      </c>
      <c r="L23" s="17">
        <f>IFERROR(MATCH(A23,'[1]粘贴_服务费返还'!$S$4:$S$3003,0),"")</f>
      </c>
    </row>
    <row r="24">
      <c r="A24" s="10" t="n">
        <v>8</v>
      </c>
      <c r="B24" s="6">
        <f>IF($L24="","",INDEX('[1]粘贴_服务费返还'!$A$4:$A$3003,$L24))</f>
      </c>
      <c r="C24" s="6">
        <f>IF($L24="","",INDEX('[1]粘贴_服务费返还'!$N$4:$N$3003,$L24))</f>
      </c>
      <c r="D24" s="11">
        <f>IF($L24="","",INDEX('[1]粘贴_服务费返还'!$M$4:$M$3003,$L24))</f>
      </c>
      <c r="E24" s="6">
        <f>IF($L24="","",INDEX('[1]粘贴_服务费返还'!$I$4:$I$3003,$L24))</f>
      </c>
      <c r="F24" s="6">
        <f>IF($L24="","",INDEX('[1]粘贴_服务费返还'!$K$4:$K$3003,$L24))</f>
      </c>
      <c r="L24" s="17">
        <f>IFERROR(MATCH(A24,'[1]粘贴_服务费返还'!$S$4:$S$3003,0),"")</f>
      </c>
    </row>
    <row r="25"/>
    <row r="26"/>
    <row r="27">
      <c r="A27" s="13" t="inlineStr">
        <is>
          <t>三、逐单：账务明细里扣了「百亿补贴技术服务费」的订单（最多 400 单）</t>
        </is>
      </c>
    </row>
    <row r="28" ht="30" customHeight="1">
      <c r="A28" s="5" t="inlineStr">
        <is>
          <t>序</t>
        </is>
      </c>
      <c r="B28" s="5" t="inlineStr">
        <is>
          <t>订单号</t>
        </is>
      </c>
      <c r="C28" s="5" t="inlineStr">
        <is>
          <t>扣费时间</t>
        </is>
      </c>
      <c r="D28" s="5" t="inlineStr">
        <is>
          <t>订单价</t>
        </is>
      </c>
      <c r="E28" s="5" t="inlineStr">
        <is>
          <t>应返(1.4%)</t>
        </is>
      </c>
      <c r="F28" s="5" t="inlineStr">
        <is>
          <t>实扣百亿费</t>
        </is>
      </c>
      <c r="G28" s="5" t="inlineStr">
        <is>
          <t>已返还</t>
        </is>
      </c>
      <c r="H28" s="5" t="inlineStr">
        <is>
          <t>扣回</t>
        </is>
      </c>
      <c r="I28" s="5" t="inlineStr">
        <is>
          <t>待返</t>
        </is>
      </c>
      <c r="J28" s="5" t="inlineStr">
        <is>
          <t>状态</t>
        </is>
      </c>
      <c r="K28" s="5" t="inlineStr">
        <is>
          <t>距账务明细
最后一天(天)</t>
        </is>
      </c>
      <c r="L28" s="5" t="inlineStr">
        <is>
          <t>(位置)</t>
        </is>
      </c>
    </row>
    <row r="29">
      <c r="A29" s="10" t="n">
        <v>1</v>
      </c>
      <c r="B29" s="6" t="str">
        <f>IF($L29="","",INDEX('[1]粘贴_账务明细'!$A$4:$A$3003,$L29))</f>
        <v>260925-191061040790069</v>
      </c>
      <c r="C29" s="16">
        <f>IF($L29="","",INDEX('[1]粘贴_账务明细'!$H$4:$H$3003,$L29))</f>
        <v>46294.77144675926</v>
      </c>
      <c r="D29" s="11">
        <f>IF($L29="","",SUMIFS('[1]粘贴_账务明细'!$K$4:$K$3003,'[1]粘贴_账务明细'!$A$4:$A$3003,$B29,'[1]粘贴_账务明细'!$L$4:$L$3003,"订单收入")+SUMIFS('[1]粘贴_账务明细'!$K$4:$K$3003,'[1]粘贴_账务明细'!$A$4:$A$3003,$B29,'[1]粘贴_账务明细'!$L$4:$L$3003,"优惠券结算"))</f>
        <v>3499</v>
      </c>
      <c r="E29" s="11">
        <f t="shared" ref="E29:E428" si="0">IF($L29="","",ROUND(D29*0.014,2))</f>
        <v>48.99</v>
      </c>
      <c r="F29" s="11">
        <f>IF($L29="","",-SUMIFS('[1]粘贴_账务明细'!$K$4:$K$3003,'[1]粘贴_账务明细'!$A$4:$A$3003,$B29,'[1]粘贴_账务明细'!$L$4:$L$3003,"百亿补贴技术服务费"))</f>
        <v>48.99</v>
      </c>
      <c r="G29" s="11">
        <f>IF($L29="","",SUMIFS('[1]粘贴_服务费返还'!$M$4:$M$3003,'[1]粘贴_服务费返还'!$N$4:$N$3003,$B29,'[1]粘贴_服务费返还'!$O$4:$O$3003,"返还"))</f>
        <v>0</v>
      </c>
      <c r="H29" s="11">
        <f>IF($L29="","",SUMIFS('[1]粘贴_服务费返还'!$M$4:$M$3003,'[1]粘贴_服务费返还'!$N$4:$N$3003,$B29,'[1]粘贴_服务费返还'!$O$4:$O$3003,"扣回"))</f>
        <v>0</v>
      </c>
      <c r="I29" s="11">
        <f t="shared" ref="I29:I428" si="1">IF($L29="","",ROUND(F29-G29-H29,2))</f>
        <v>48.99</v>
      </c>
      <c r="J29" s="6" t="str">
        <f t="shared" ref="J29:J428" si="2">IF($L29="","",IF(F29&lt;0.005,"订单已退款，百亿费已原路退回，不用返",IF(G29+H29&gt;=F29-0.01,"已返还",IF(H29&lt;0,"返了又扣回(-t01)，问客服",IF(G29&gt;0,"少返 "&amp;TEXT(I29,"0.00"),"扣了还没返")))))</f>
        <v>扣了还没返</v>
      </c>
      <c r="K29" s="10">
        <f t="shared" ref="K29:K428" si="3">IF($L29="","",INT($J$6)-INT(C29))</f>
        <v>1</v>
      </c>
      <c r="L29" s="17">
        <f>IF(A29&gt;$H$5,"",MATCH(A29,'[1]粘贴_账务明细'!$O$4:$O$3003,0))</f>
        <v>5</v>
      </c>
    </row>
    <row r="30">
      <c r="A30" s="10" t="n">
        <v>2</v>
      </c>
      <c r="B30" s="6" t="str">
        <f>IF($L30="","",INDEX('[1]粘贴_账务明细'!$A$4:$A$3003,$L30))</f>
        <v>260926-409783560592068</v>
      </c>
      <c r="C30" s="16">
        <f>IF($L30="","",INDEX('[1]粘贴_账务明细'!$H$4:$H$3003,$L30))</f>
        <v>46294.70553240741</v>
      </c>
      <c r="D30" s="11">
        <f>IF($L30="","",SUMIFS('[1]粘贴_账务明细'!$K$4:$K$3003,'[1]粘贴_账务明细'!$A$4:$A$3003,$B30,'[1]粘贴_账务明细'!$L$4:$L$3003,"订单收入")+SUMIFS('[1]粘贴_账务明细'!$K$4:$K$3003,'[1]粘贴_账务明细'!$A$4:$A$3003,$B30,'[1]粘贴_账务明细'!$L$4:$L$3003,"优惠券结算"))</f>
        <v>3169</v>
      </c>
      <c r="E30" s="11">
        <f t="shared" si="0"/>
        <v>44.37</v>
      </c>
      <c r="F30" s="11">
        <f>IF($L30="","",-SUMIFS('[1]粘贴_账务明细'!$K$4:$K$3003,'[1]粘贴_账务明细'!$A$4:$A$3003,$B30,'[1]粘贴_账务明细'!$L$4:$L$3003,"百亿补贴技术服务费"))</f>
        <v>44.37</v>
      </c>
      <c r="G30" s="11">
        <f>IF($L30="","",SUMIFS('[1]粘贴_服务费返还'!$M$4:$M$3003,'[1]粘贴_服务费返还'!$N$4:$N$3003,$B30,'[1]粘贴_服务费返还'!$O$4:$O$3003,"返还"))</f>
        <v>0</v>
      </c>
      <c r="H30" s="11">
        <f>IF($L30="","",SUMIFS('[1]粘贴_服务费返还'!$M$4:$M$3003,'[1]粘贴_服务费返还'!$N$4:$N$3003,$B30,'[1]粘贴_服务费返还'!$O$4:$O$3003,"扣回"))</f>
        <v>0</v>
      </c>
      <c r="I30" s="11">
        <f t="shared" si="1"/>
        <v>44.37</v>
      </c>
      <c r="J30" s="6" t="str">
        <f t="shared" si="2"/>
        <v>扣了还没返</v>
      </c>
      <c r="K30" s="10">
        <f t="shared" si="3"/>
        <v>1</v>
      </c>
      <c r="L30" s="17">
        <f>IF(A30&gt;$H$5,"",MATCH(A30,'[1]粘贴_账务明细'!$O$4:$O$3003,0))</f>
        <v>6</v>
      </c>
    </row>
    <row r="31">
      <c r="A31" s="10" t="n">
        <v>3</v>
      </c>
      <c r="B31" s="6" t="str">
        <f>IF($L31="","",INDEX('[1]粘贴_账务明细'!$A$4:$A$3003,$L31))</f>
        <v>260922-289307420991455</v>
      </c>
      <c r="C31" s="16">
        <f>IF($L31="","",INDEX('[1]粘贴_账务明细'!$H$4:$H$3003,$L31))</f>
        <v>46294.67076388889</v>
      </c>
      <c r="D31" s="11">
        <f>IF($L31="","",SUMIFS('[1]粘贴_账务明细'!$K$4:$K$3003,'[1]粘贴_账务明细'!$A$4:$A$3003,$B31,'[1]粘贴_账务明细'!$L$4:$L$3003,"订单收入")+SUMIFS('[1]粘贴_账务明细'!$K$4:$K$3003,'[1]粘贴_账务明细'!$A$4:$A$3003,$B31,'[1]粘贴_账务明细'!$L$4:$L$3003,"优惠券结算"))</f>
        <v>3589</v>
      </c>
      <c r="E31" s="11">
        <f t="shared" si="0"/>
        <v>50.25</v>
      </c>
      <c r="F31" s="11">
        <f>IF($L31="","",-SUMIFS('[1]粘贴_账务明细'!$K$4:$K$3003,'[1]粘贴_账务明细'!$A$4:$A$3003,$B31,'[1]粘贴_账务明细'!$L$4:$L$3003,"百亿补贴技术服务费"))</f>
        <v>50.25</v>
      </c>
      <c r="G31" s="11">
        <f>IF($L31="","",SUMIFS('[1]粘贴_服务费返还'!$M$4:$M$3003,'[1]粘贴_服务费返还'!$N$4:$N$3003,$B31,'[1]粘贴_服务费返还'!$O$4:$O$3003,"返还"))</f>
        <v>0</v>
      </c>
      <c r="H31" s="11">
        <f>IF($L31="","",SUMIFS('[1]粘贴_服务费返还'!$M$4:$M$3003,'[1]粘贴_服务费返还'!$N$4:$N$3003,$B31,'[1]粘贴_服务费返还'!$O$4:$O$3003,"扣回"))</f>
        <v>0</v>
      </c>
      <c r="I31" s="11">
        <f t="shared" si="1"/>
        <v>50.25</v>
      </c>
      <c r="J31" s="6" t="str">
        <f t="shared" si="2"/>
        <v>扣了还没返</v>
      </c>
      <c r="K31" s="10">
        <f t="shared" si="3"/>
        <v>1</v>
      </c>
      <c r="L31" s="17">
        <f>IF(A31&gt;$H$5,"",MATCH(A31,'[1]粘贴_账务明细'!$O$4:$O$3003,0))</f>
        <v>9</v>
      </c>
    </row>
    <row r="32">
      <c r="A32" s="10" t="n">
        <v>4</v>
      </c>
      <c r="B32" s="6" t="str">
        <f>IF($L32="","",INDEX('[1]粘贴_账务明细'!$A$4:$A$3003,$L32))</f>
        <v>260926-467518103081461</v>
      </c>
      <c r="C32" s="16">
        <f>IF($L32="","",INDEX('[1]粘贴_账务明细'!$H$4:$H$3003,$L32))</f>
        <v>46294.434641203705</v>
      </c>
      <c r="D32" s="11">
        <f>IF($L32="","",SUMIFS('[1]粘贴_账务明细'!$K$4:$K$3003,'[1]粘贴_账务明细'!$A$4:$A$3003,$B32,'[1]粘贴_账务明细'!$L$4:$L$3003,"订单收入")+SUMIFS('[1]粘贴_账务明细'!$K$4:$K$3003,'[1]粘贴_账务明细'!$A$4:$A$3003,$B32,'[1]粘贴_账务明细'!$L$4:$L$3003,"优惠券结算"))</f>
        <v>3589</v>
      </c>
      <c r="E32" s="11">
        <f t="shared" si="0"/>
        <v>50.25</v>
      </c>
      <c r="F32" s="11">
        <f>IF($L32="","",-SUMIFS('[1]粘贴_账务明细'!$K$4:$K$3003,'[1]粘贴_账务明细'!$A$4:$A$3003,$B32,'[1]粘贴_账务明细'!$L$4:$L$3003,"百亿补贴技术服务费"))</f>
        <v>50.25</v>
      </c>
      <c r="G32" s="11">
        <f>IF($L32="","",SUMIFS('[1]粘贴_服务费返还'!$M$4:$M$3003,'[1]粘贴_服务费返还'!$N$4:$N$3003,$B32,'[1]粘贴_服务费返还'!$O$4:$O$3003,"返还"))</f>
        <v>0</v>
      </c>
      <c r="H32" s="11">
        <f>IF($L32="","",SUMIFS('[1]粘贴_服务费返还'!$M$4:$M$3003,'[1]粘贴_服务费返还'!$N$4:$N$3003,$B32,'[1]粘贴_服务费返还'!$O$4:$O$3003,"扣回"))</f>
        <v>0</v>
      </c>
      <c r="I32" s="11">
        <f t="shared" si="1"/>
        <v>50.25</v>
      </c>
      <c r="J32" s="6" t="str">
        <f t="shared" si="2"/>
        <v>扣了还没返</v>
      </c>
      <c r="K32" s="10">
        <f t="shared" si="3"/>
        <v>1</v>
      </c>
      <c r="L32" s="17">
        <f>IF(A32&gt;$H$5,"",MATCH(A32,'[1]粘贴_账务明细'!$O$4:$O$3003,0))</f>
        <v>15</v>
      </c>
    </row>
    <row r="33">
      <c r="A33" s="10" t="n">
        <v>5</v>
      </c>
      <c r="B33" s="6" t="str">
        <f>IF($L33="","",INDEX('[1]粘贴_账务明细'!$A$4:$A$3003,$L33))</f>
        <v>260924-421034770800999</v>
      </c>
      <c r="C33" s="16">
        <f>IF($L33="","",INDEX('[1]粘贴_账务明细'!$H$4:$H$3003,$L33))</f>
        <v>46294.020787037036</v>
      </c>
      <c r="D33" s="11">
        <f>IF($L33="","",SUMIFS('[1]粘贴_账务明细'!$K$4:$K$3003,'[1]粘贴_账务明细'!$A$4:$A$3003,$B33,'[1]粘贴_账务明细'!$L$4:$L$3003,"订单收入")+SUMIFS('[1]粘贴_账务明细'!$K$4:$K$3003,'[1]粘贴_账务明细'!$A$4:$A$3003,$B33,'[1]粘贴_账务明细'!$L$4:$L$3003,"优惠券结算"))</f>
        <v>3589</v>
      </c>
      <c r="E33" s="11">
        <f t="shared" si="0"/>
        <v>50.25</v>
      </c>
      <c r="F33" s="11">
        <f>IF($L33="","",-SUMIFS('[1]粘贴_账务明细'!$K$4:$K$3003,'[1]粘贴_账务明细'!$A$4:$A$3003,$B33,'[1]粘贴_账务明细'!$L$4:$L$3003,"百亿补贴技术服务费"))</f>
        <v>50.25</v>
      </c>
      <c r="G33" s="11">
        <f>IF($L33="","",SUMIFS('[1]粘贴_服务费返还'!$M$4:$M$3003,'[1]粘贴_服务费返还'!$N$4:$N$3003,$B33,'[1]粘贴_服务费返还'!$O$4:$O$3003,"返还"))</f>
        <v>0</v>
      </c>
      <c r="H33" s="11">
        <f>IF($L33="","",SUMIFS('[1]粘贴_服务费返还'!$M$4:$M$3003,'[1]粘贴_服务费返还'!$N$4:$N$3003,$B33,'[1]粘贴_服务费返还'!$O$4:$O$3003,"扣回"))</f>
        <v>0</v>
      </c>
      <c r="I33" s="11">
        <f t="shared" si="1"/>
        <v>50.25</v>
      </c>
      <c r="J33" s="6" t="str">
        <f t="shared" si="2"/>
        <v>扣了还没返</v>
      </c>
      <c r="K33" s="10">
        <f t="shared" si="3"/>
        <v>1</v>
      </c>
      <c r="L33" s="17">
        <f>IF(A33&gt;$H$5,"",MATCH(A33,'[1]粘贴_账务明细'!$O$4:$O$3003,0))</f>
        <v>18</v>
      </c>
    </row>
    <row r="34">
      <c r="A34" s="10" t="n">
        <v>6</v>
      </c>
      <c r="B34" s="6" t="str">
        <f>IF($L34="","",INDEX('[1]粘贴_账务明细'!$A$4:$A$3003,$L34))</f>
        <v>260928-546318641462943</v>
      </c>
      <c r="C34" s="16">
        <f>IF($L34="","",INDEX('[1]粘贴_账务明细'!$H$4:$H$3003,$L34))</f>
        <v>46293.691608796296</v>
      </c>
      <c r="D34" s="11">
        <f>IF($L34="","",SUMIFS('[1]粘贴_账务明细'!$K$4:$K$3003,'[1]粘贴_账务明细'!$A$4:$A$3003,$B34,'[1]粘贴_账务明细'!$L$4:$L$3003,"订单收入")+SUMIFS('[1]粘贴_账务明细'!$K$4:$K$3003,'[1]粘贴_账务明细'!$A$4:$A$3003,$B34,'[1]粘贴_账务明细'!$L$4:$L$3003,"优惠券结算"))</f>
        <v>3019</v>
      </c>
      <c r="E34" s="11">
        <f t="shared" si="0"/>
        <v>42.27</v>
      </c>
      <c r="F34" s="11">
        <f>IF($L34="","",-SUMIFS('[1]粘贴_账务明细'!$K$4:$K$3003,'[1]粘贴_账务明细'!$A$4:$A$3003,$B34,'[1]粘贴_账务明细'!$L$4:$L$3003,"百亿补贴技术服务费"))</f>
        <v>0</v>
      </c>
      <c r="G34" s="11">
        <f>IF($L34="","",SUMIFS('[1]粘贴_服务费返还'!$M$4:$M$3003,'[1]粘贴_服务费返还'!$N$4:$N$3003,$B34,'[1]粘贴_服务费返还'!$O$4:$O$3003,"返还"))</f>
        <v>0</v>
      </c>
      <c r="H34" s="11">
        <f>IF($L34="","",SUMIFS('[1]粘贴_服务费返还'!$M$4:$M$3003,'[1]粘贴_服务费返还'!$N$4:$N$3003,$B34,'[1]粘贴_服务费返还'!$O$4:$O$3003,"扣回"))</f>
        <v>0</v>
      </c>
      <c r="I34" s="11">
        <f t="shared" si="1"/>
        <v>0</v>
      </c>
      <c r="J34" s="6" t="str">
        <f t="shared" si="2"/>
        <v>订单已退款，百亿费已原路退回，不用返</v>
      </c>
      <c r="K34" s="10">
        <f t="shared" si="3"/>
        <v>2</v>
      </c>
      <c r="L34" s="17">
        <f>IF(A34&gt;$H$5,"",MATCH(A34,'[1]粘贴_账务明细'!$O$4:$O$3003,0))</f>
        <v>23</v>
      </c>
    </row>
    <row r="35">
      <c r="A35" s="10" t="n">
        <v>7</v>
      </c>
      <c r="B35" s="6" t="str">
        <f>IF($L35="","",INDEX('[1]粘贴_账务明细'!$A$4:$A$3003,$L35))</f>
        <v>260925-504543394092041</v>
      </c>
      <c r="C35" s="16">
        <f>IF($L35="","",INDEX('[1]粘贴_账务明细'!$H$4:$H$3003,$L35))</f>
        <v>46292.545752314814</v>
      </c>
      <c r="D35" s="11">
        <f>IF($L35="","",SUMIFS('[1]粘贴_账务明细'!$K$4:$K$3003,'[1]粘贴_账务明细'!$A$4:$A$3003,$B35,'[1]粘贴_账务明细'!$L$4:$L$3003,"订单收入")+SUMIFS('[1]粘贴_账务明细'!$K$4:$K$3003,'[1]粘贴_账务明细'!$A$4:$A$3003,$B35,'[1]粘贴_账务明细'!$L$4:$L$3003,"优惠券结算"))</f>
        <v>3499</v>
      </c>
      <c r="E35" s="11">
        <f t="shared" si="0"/>
        <v>48.99</v>
      </c>
      <c r="F35" s="11">
        <f>IF($L35="","",-SUMIFS('[1]粘贴_账务明细'!$K$4:$K$3003,'[1]粘贴_账务明细'!$A$4:$A$3003,$B35,'[1]粘贴_账务明细'!$L$4:$L$3003,"百亿补贴技术服务费"))</f>
        <v>48.99</v>
      </c>
      <c r="G35" s="11">
        <f>IF($L35="","",SUMIFS('[1]粘贴_服务费返还'!$M$4:$M$3003,'[1]粘贴_服务费返还'!$N$4:$N$3003,$B35,'[1]粘贴_服务费返还'!$O$4:$O$3003,"返还"))</f>
        <v>0</v>
      </c>
      <c r="H35" s="11">
        <f>IF($L35="","",SUMIFS('[1]粘贴_服务费返还'!$M$4:$M$3003,'[1]粘贴_服务费返还'!$N$4:$N$3003,$B35,'[1]粘贴_服务费返还'!$O$4:$O$3003,"扣回"))</f>
        <v>0</v>
      </c>
      <c r="I35" s="11">
        <f t="shared" si="1"/>
        <v>48.99</v>
      </c>
      <c r="J35" s="6" t="str">
        <f t="shared" si="2"/>
        <v>扣了还没返</v>
      </c>
      <c r="K35" s="10">
        <f t="shared" si="3"/>
        <v>3</v>
      </c>
      <c r="L35" s="17">
        <f>IF(A35&gt;$H$5,"",MATCH(A35,'[1]粘贴_账务明细'!$O$4:$O$3003,0))</f>
        <v>29</v>
      </c>
    </row>
    <row r="36">
      <c r="A36" s="10" t="n">
        <v>8</v>
      </c>
      <c r="B36" s="6" t="str">
        <f>IF($L36="","",INDEX('[1]粘贴_账务明细'!$A$4:$A$3003,$L36))</f>
        <v>260926-645083962921461</v>
      </c>
      <c r="C36" s="16">
        <f>IF($L36="","",INDEX('[1]粘贴_账务明细'!$H$4:$H$3003,$L36))</f>
        <v>46291.82346064815</v>
      </c>
      <c r="D36" s="11">
        <f>IF($L36="","",SUMIFS('[1]粘贴_账务明细'!$K$4:$K$3003,'[1]粘贴_账务明细'!$A$4:$A$3003,$B36,'[1]粘贴_账务明细'!$L$4:$L$3003,"订单收入")+SUMIFS('[1]粘贴_账务明细'!$K$4:$K$3003,'[1]粘贴_账务明细'!$A$4:$A$3003,$B36,'[1]粘贴_账务明细'!$L$4:$L$3003,"优惠券结算"))</f>
        <v>3589</v>
      </c>
      <c r="E36" s="11">
        <f t="shared" si="0"/>
        <v>50.25</v>
      </c>
      <c r="F36" s="11">
        <f>IF($L36="","",-SUMIFS('[1]粘贴_账务明细'!$K$4:$K$3003,'[1]粘贴_账务明细'!$A$4:$A$3003,$B36,'[1]粘贴_账务明细'!$L$4:$L$3003,"百亿补贴技术服务费"))</f>
        <v>0</v>
      </c>
      <c r="G36" s="11">
        <f>IF($L36="","",SUMIFS('[1]粘贴_服务费返还'!$M$4:$M$3003,'[1]粘贴_服务费返还'!$N$4:$N$3003,$B36,'[1]粘贴_服务费返还'!$O$4:$O$3003,"返还"))</f>
        <v>0</v>
      </c>
      <c r="H36" s="11">
        <f>IF($L36="","",SUMIFS('[1]粘贴_服务费返还'!$M$4:$M$3003,'[1]粘贴_服务费返还'!$N$4:$N$3003,$B36,'[1]粘贴_服务费返还'!$O$4:$O$3003,"扣回"))</f>
        <v>0</v>
      </c>
      <c r="I36" s="11">
        <f t="shared" si="1"/>
        <v>0</v>
      </c>
      <c r="J36" s="6" t="str">
        <f t="shared" si="2"/>
        <v>订单已退款，百亿费已原路退回，不用返</v>
      </c>
      <c r="K36" s="10">
        <f t="shared" si="3"/>
        <v>4</v>
      </c>
      <c r="L36" s="17">
        <f>IF(A36&gt;$H$5,"",MATCH(A36,'[1]粘贴_账务明细'!$O$4:$O$3003,0))</f>
        <v>34</v>
      </c>
    </row>
    <row r="37">
      <c r="A37" s="10" t="n">
        <v>9</v>
      </c>
      <c r="B37" s="6" t="str">
        <f>IF($L37="","",INDEX('[1]粘贴_账务明细'!$A$4:$A$3003,$L37))</f>
        <v>260924-102770983250639</v>
      </c>
      <c r="C37" s="16">
        <f>IF($L37="","",INDEX('[1]粘贴_账务明细'!$H$4:$H$3003,$L37))</f>
        <v>46291.80265046296</v>
      </c>
      <c r="D37" s="11">
        <f>IF($L37="","",SUMIFS('[1]粘贴_账务明细'!$K$4:$K$3003,'[1]粘贴_账务明细'!$A$4:$A$3003,$B37,'[1]粘贴_账务明细'!$L$4:$L$3003,"订单收入")+SUMIFS('[1]粘贴_账务明细'!$K$4:$K$3003,'[1]粘贴_账务明细'!$A$4:$A$3003,$B37,'[1]粘贴_账务明细'!$L$4:$L$3003,"优惠券结算"))</f>
        <v>3499</v>
      </c>
      <c r="E37" s="11">
        <f t="shared" si="0"/>
        <v>48.99</v>
      </c>
      <c r="F37" s="11">
        <f>IF($L37="","",-SUMIFS('[1]粘贴_账务明细'!$K$4:$K$3003,'[1]粘贴_账务明细'!$A$4:$A$3003,$B37,'[1]粘贴_账务明细'!$L$4:$L$3003,"百亿补贴技术服务费"))</f>
        <v>48.99</v>
      </c>
      <c r="G37" s="11">
        <f>IF($L37="","",SUMIFS('[1]粘贴_服务费返还'!$M$4:$M$3003,'[1]粘贴_服务费返还'!$N$4:$N$3003,$B37,'[1]粘贴_服务费返还'!$O$4:$O$3003,"返还"))</f>
        <v>0</v>
      </c>
      <c r="H37" s="11">
        <f>IF($L37="","",SUMIFS('[1]粘贴_服务费返还'!$M$4:$M$3003,'[1]粘贴_服务费返还'!$N$4:$N$3003,$B37,'[1]粘贴_服务费返还'!$O$4:$O$3003,"扣回"))</f>
        <v>0</v>
      </c>
      <c r="I37" s="11">
        <f t="shared" si="1"/>
        <v>48.99</v>
      </c>
      <c r="J37" s="6" t="str">
        <f t="shared" si="2"/>
        <v>扣了还没返</v>
      </c>
      <c r="K37" s="10">
        <f t="shared" si="3"/>
        <v>4</v>
      </c>
      <c r="L37" s="17">
        <f>IF(A37&gt;$H$5,"",MATCH(A37,'[1]粘贴_账务明细'!$O$4:$O$3003,0))</f>
        <v>39</v>
      </c>
    </row>
    <row r="38">
      <c r="A38" s="10" t="n">
        <v>10</v>
      </c>
      <c r="B38" s="6" t="str">
        <f>IF($L38="","",INDEX('[1]粘贴_账务明细'!$A$4:$A$3003,$L38))</f>
        <v>260924-347508652384062</v>
      </c>
      <c r="C38" s="16">
        <f>IF($L38="","",INDEX('[1]粘贴_账务明细'!$H$4:$H$3003,$L38))</f>
        <v>46291.69509259259</v>
      </c>
      <c r="D38" s="11">
        <f>IF($L38="","",SUMIFS('[1]粘贴_账务明细'!$K$4:$K$3003,'[1]粘贴_账务明细'!$A$4:$A$3003,$B38,'[1]粘贴_账务明细'!$L$4:$L$3003,"订单收入")+SUMIFS('[1]粘贴_账务明细'!$K$4:$K$3003,'[1]粘贴_账务明细'!$A$4:$A$3003,$B38,'[1]粘贴_账务明细'!$L$4:$L$3003,"优惠券结算"))</f>
        <v>3499</v>
      </c>
      <c r="E38" s="11">
        <f t="shared" si="0"/>
        <v>48.99</v>
      </c>
      <c r="F38" s="11">
        <f>IF($L38="","",-SUMIFS('[1]粘贴_账务明细'!$K$4:$K$3003,'[1]粘贴_账务明细'!$A$4:$A$3003,$B38,'[1]粘贴_账务明细'!$L$4:$L$3003,"百亿补贴技术服务费"))</f>
        <v>48.99</v>
      </c>
      <c r="G38" s="11">
        <f>IF($L38="","",SUMIFS('[1]粘贴_服务费返还'!$M$4:$M$3003,'[1]粘贴_服务费返还'!$N$4:$N$3003,$B38,'[1]粘贴_服务费返还'!$O$4:$O$3003,"返还"))</f>
        <v>0</v>
      </c>
      <c r="H38" s="11">
        <f>IF($L38="","",SUMIFS('[1]粘贴_服务费返还'!$M$4:$M$3003,'[1]粘贴_服务费返还'!$N$4:$N$3003,$B38,'[1]粘贴_服务费返还'!$O$4:$O$3003,"扣回"))</f>
        <v>0</v>
      </c>
      <c r="I38" s="11">
        <f t="shared" si="1"/>
        <v>48.99</v>
      </c>
      <c r="J38" s="6" t="str">
        <f t="shared" si="2"/>
        <v>扣了还没返</v>
      </c>
      <c r="K38" s="10">
        <f t="shared" si="3"/>
        <v>4</v>
      </c>
      <c r="L38" s="17">
        <f>IF(A38&gt;$H$5,"",MATCH(A38,'[1]粘贴_账务明细'!$O$4:$O$3003,0))</f>
        <v>43</v>
      </c>
    </row>
    <row r="39">
      <c r="A39" s="10" t="n">
        <v>11</v>
      </c>
      <c r="B39" s="6" t="str">
        <f>IF($L39="","",INDEX('[1]粘贴_账务明细'!$A$4:$A$3003,$L39))</f>
        <v>260923-040139507320110</v>
      </c>
      <c r="C39" s="16">
        <f>IF($L39="","",INDEX('[1]粘贴_账务明细'!$H$4:$H$3003,$L39))</f>
        <v>46291.52486111111</v>
      </c>
      <c r="D39" s="11">
        <f>IF($L39="","",SUMIFS('[1]粘贴_账务明细'!$K$4:$K$3003,'[1]粘贴_账务明细'!$A$4:$A$3003,$B39,'[1]粘贴_账务明细'!$L$4:$L$3003,"订单收入")+SUMIFS('[1]粘贴_账务明细'!$K$4:$K$3003,'[1]粘贴_账务明细'!$A$4:$A$3003,$B39,'[1]粘贴_账务明细'!$L$4:$L$3003,"优惠券结算"))</f>
        <v>3499</v>
      </c>
      <c r="E39" s="11">
        <f t="shared" si="0"/>
        <v>48.99</v>
      </c>
      <c r="F39" s="11">
        <f>IF($L39="","",-SUMIFS('[1]粘贴_账务明细'!$K$4:$K$3003,'[1]粘贴_账务明细'!$A$4:$A$3003,$B39,'[1]粘贴_账务明细'!$L$4:$L$3003,"百亿补贴技术服务费"))</f>
        <v>0</v>
      </c>
      <c r="G39" s="11">
        <f>IF($L39="","",SUMIFS('[1]粘贴_服务费返还'!$M$4:$M$3003,'[1]粘贴_服务费返还'!$N$4:$N$3003,$B39,'[1]粘贴_服务费返还'!$O$4:$O$3003,"返还"))</f>
        <v>0</v>
      </c>
      <c r="H39" s="11">
        <f>IF($L39="","",SUMIFS('[1]粘贴_服务费返还'!$M$4:$M$3003,'[1]粘贴_服务费返还'!$N$4:$N$3003,$B39,'[1]粘贴_服务费返还'!$O$4:$O$3003,"扣回"))</f>
        <v>0</v>
      </c>
      <c r="I39" s="11">
        <f t="shared" si="1"/>
        <v>0</v>
      </c>
      <c r="J39" s="6" t="str">
        <f t="shared" si="2"/>
        <v>订单已退款，百亿费已原路退回，不用返</v>
      </c>
      <c r="K39" s="10">
        <f t="shared" si="3"/>
        <v>4</v>
      </c>
      <c r="L39" s="17">
        <f>IF(A39&gt;$H$5,"",MATCH(A39,'[1]粘贴_账务明细'!$O$4:$O$3003,0))</f>
        <v>48</v>
      </c>
    </row>
    <row r="40">
      <c r="A40" s="10" t="n">
        <v>12</v>
      </c>
      <c r="B40" s="6" t="str">
        <f>IF($L40="","",INDEX('[1]粘贴_账务明细'!$A$4:$A$3003,$L40))</f>
        <v>260926-177765127802385</v>
      </c>
      <c r="C40" s="16">
        <f>IF($L40="","",INDEX('[1]粘贴_账务明细'!$H$4:$H$3003,$L40))</f>
        <v>46291.100497685184</v>
      </c>
      <c r="D40" s="11">
        <f>IF($L40="","",SUMIFS('[1]粘贴_账务明细'!$K$4:$K$3003,'[1]粘贴_账务明细'!$A$4:$A$3003,$B40,'[1]粘贴_账务明细'!$L$4:$L$3003,"订单收入")+SUMIFS('[1]粘贴_账务明细'!$K$4:$K$3003,'[1]粘贴_账务明细'!$A$4:$A$3003,$B40,'[1]粘贴_账务明细'!$L$4:$L$3003,"优惠券结算"))</f>
        <v>3069</v>
      </c>
      <c r="E40" s="11">
        <f t="shared" si="0"/>
        <v>42.97</v>
      </c>
      <c r="F40" s="11">
        <f>IF($L40="","",-SUMIFS('[1]粘贴_账务明细'!$K$4:$K$3003,'[1]粘贴_账务明细'!$A$4:$A$3003,$B40,'[1]粘贴_账务明细'!$L$4:$L$3003,"百亿补贴技术服务费"))</f>
        <v>0</v>
      </c>
      <c r="G40" s="11">
        <f>IF($L40="","",SUMIFS('[1]粘贴_服务费返还'!$M$4:$M$3003,'[1]粘贴_服务费返还'!$N$4:$N$3003,$B40,'[1]粘贴_服务费返还'!$O$4:$O$3003,"返还"))</f>
        <v>0</v>
      </c>
      <c r="H40" s="11">
        <f>IF($L40="","",SUMIFS('[1]粘贴_服务费返还'!$M$4:$M$3003,'[1]粘贴_服务费返还'!$N$4:$N$3003,$B40,'[1]粘贴_服务费返还'!$O$4:$O$3003,"扣回"))</f>
        <v>0</v>
      </c>
      <c r="I40" s="11">
        <f t="shared" si="1"/>
        <v>0</v>
      </c>
      <c r="J40" s="6" t="str">
        <f t="shared" si="2"/>
        <v>订单已退款，百亿费已原路退回，不用返</v>
      </c>
      <c r="K40" s="10">
        <f t="shared" si="3"/>
        <v>4</v>
      </c>
      <c r="L40" s="17">
        <f>IF(A40&gt;$H$5,"",MATCH(A40,'[1]粘贴_账务明细'!$O$4:$O$3003,0))</f>
        <v>54</v>
      </c>
    </row>
    <row r="41">
      <c r="A41" s="10" t="n">
        <v>13</v>
      </c>
      <c r="B41" s="6" t="str">
        <f>IF($L41="","",INDEX('[1]粘贴_账务明细'!$A$4:$A$3003,$L41))</f>
        <v>260925-545909655180687</v>
      </c>
      <c r="C41" s="16">
        <f>IF($L41="","",INDEX('[1]粘贴_账务明细'!$H$4:$H$3003,$L41))</f>
        <v>46290.78870370371</v>
      </c>
      <c r="D41" s="11">
        <f>IF($L41="","",SUMIFS('[1]粘贴_账务明细'!$K$4:$K$3003,'[1]粘贴_账务明细'!$A$4:$A$3003,$B41,'[1]粘贴_账务明细'!$L$4:$L$3003,"订单收入")+SUMIFS('[1]粘贴_账务明细'!$K$4:$K$3003,'[1]粘贴_账务明细'!$A$4:$A$3003,$B41,'[1]粘贴_账务明细'!$L$4:$L$3003,"优惠券结算"))</f>
        <v>3069</v>
      </c>
      <c r="E41" s="11">
        <f t="shared" si="0"/>
        <v>42.97</v>
      </c>
      <c r="F41" s="11">
        <f>IF($L41="","",-SUMIFS('[1]粘贴_账务明细'!$K$4:$K$3003,'[1]粘贴_账务明细'!$A$4:$A$3003,$B41,'[1]粘贴_账务明细'!$L$4:$L$3003,"百亿补贴技术服务费"))</f>
        <v>0</v>
      </c>
      <c r="G41" s="11">
        <f>IF($L41="","",SUMIFS('[1]粘贴_服务费返还'!$M$4:$M$3003,'[1]粘贴_服务费返还'!$N$4:$N$3003,$B41,'[1]粘贴_服务费返还'!$O$4:$O$3003,"返还"))</f>
        <v>0</v>
      </c>
      <c r="H41" s="11">
        <f>IF($L41="","",SUMIFS('[1]粘贴_服务费返还'!$M$4:$M$3003,'[1]粘贴_服务费返还'!$N$4:$N$3003,$B41,'[1]粘贴_服务费返还'!$O$4:$O$3003,"扣回"))</f>
        <v>0</v>
      </c>
      <c r="I41" s="11">
        <f t="shared" si="1"/>
        <v>0</v>
      </c>
      <c r="J41" s="6" t="str">
        <f t="shared" si="2"/>
        <v>订单已退款，百亿费已原路退回，不用返</v>
      </c>
      <c r="K41" s="10">
        <f t="shared" si="3"/>
        <v>5</v>
      </c>
      <c r="L41" s="17">
        <f>IF(A41&gt;$H$5,"",MATCH(A41,'[1]粘贴_账务明细'!$O$4:$O$3003,0))</f>
        <v>59</v>
      </c>
    </row>
    <row r="42">
      <c r="A42" s="10" t="n">
        <v>14</v>
      </c>
      <c r="B42" s="6" t="str">
        <f>IF($L42="","",INDEX('[1]粘贴_账务明细'!$A$4:$A$3003,$L42))</f>
        <v>260925-567751534922820</v>
      </c>
      <c r="C42" s="16">
        <f>IF($L42="","",INDEX('[1]粘贴_账务明细'!$H$4:$H$3003,$L42))</f>
        <v>46290.54221064815</v>
      </c>
      <c r="D42" s="11">
        <f>IF($L42="","",SUMIFS('[1]粘贴_账务明细'!$K$4:$K$3003,'[1]粘贴_账务明细'!$A$4:$A$3003,$B42,'[1]粘贴_账务明细'!$L$4:$L$3003,"订单收入")+SUMIFS('[1]粘贴_账务明细'!$K$4:$K$3003,'[1]粘贴_账务明细'!$A$4:$A$3003,$B42,'[1]粘贴_账务明细'!$L$4:$L$3003,"优惠券结算"))</f>
        <v>3699</v>
      </c>
      <c r="E42" s="11">
        <f t="shared" si="0"/>
        <v>51.79</v>
      </c>
      <c r="F42" s="11">
        <f>IF($L42="","",-SUMIFS('[1]粘贴_账务明细'!$K$4:$K$3003,'[1]粘贴_账务明细'!$A$4:$A$3003,$B42,'[1]粘贴_账务明细'!$L$4:$L$3003,"百亿补贴技术服务费"))</f>
        <v>0</v>
      </c>
      <c r="G42" s="11">
        <f>IF($L42="","",SUMIFS('[1]粘贴_服务费返还'!$M$4:$M$3003,'[1]粘贴_服务费返还'!$N$4:$N$3003,$B42,'[1]粘贴_服务费返还'!$O$4:$O$3003,"返还"))</f>
        <v>0</v>
      </c>
      <c r="H42" s="11">
        <f>IF($L42="","",SUMIFS('[1]粘贴_服务费返还'!$M$4:$M$3003,'[1]粘贴_服务费返还'!$N$4:$N$3003,$B42,'[1]粘贴_服务费返还'!$O$4:$O$3003,"扣回"))</f>
        <v>0</v>
      </c>
      <c r="I42" s="11">
        <f t="shared" si="1"/>
        <v>0</v>
      </c>
      <c r="J42" s="6" t="str">
        <f t="shared" si="2"/>
        <v>订单已退款，百亿费已原路退回，不用返</v>
      </c>
      <c r="K42" s="10">
        <f t="shared" si="3"/>
        <v>5</v>
      </c>
      <c r="L42" s="17">
        <f>IF(A42&gt;$H$5,"",MATCH(A42,'[1]粘贴_账务明细'!$O$4:$O$3003,0))</f>
        <v>68</v>
      </c>
    </row>
    <row r="43">
      <c r="A43" s="10" t="n">
        <v>15</v>
      </c>
      <c r="B43" s="6" t="str">
        <f>IF($L43="","",INDEX('[1]粘贴_账务明细'!$A$4:$A$3003,$L43))</f>
        <v>260921-224783244803869</v>
      </c>
      <c r="C43" s="16">
        <f>IF($L43="","",INDEX('[1]粘贴_账务明细'!$H$4:$H$3003,$L43))</f>
        <v>46290.01390046296</v>
      </c>
      <c r="D43" s="11">
        <f>IF($L43="","",SUMIFS('[1]粘贴_账务明细'!$K$4:$K$3003,'[1]粘贴_账务明细'!$A$4:$A$3003,$B43,'[1]粘贴_账务明细'!$L$4:$L$3003,"订单收入")+SUMIFS('[1]粘贴_账务明细'!$K$4:$K$3003,'[1]粘贴_账务明细'!$A$4:$A$3003,$B43,'[1]粘贴_账务明细'!$L$4:$L$3003,"优惠券结算"))</f>
        <v>3589</v>
      </c>
      <c r="E43" s="11">
        <f t="shared" si="0"/>
        <v>50.25</v>
      </c>
      <c r="F43" s="11">
        <f>IF($L43="","",-SUMIFS('[1]粘贴_账务明细'!$K$4:$K$3003,'[1]粘贴_账务明细'!$A$4:$A$3003,$B43,'[1]粘贴_账务明细'!$L$4:$L$3003,"百亿补贴技术服务费"))</f>
        <v>50.25</v>
      </c>
      <c r="G43" s="11">
        <f>IF($L43="","",SUMIFS('[1]粘贴_服务费返还'!$M$4:$M$3003,'[1]粘贴_服务费返还'!$N$4:$N$3003,$B43,'[1]粘贴_服务费返还'!$O$4:$O$3003,"返还"))</f>
        <v>0</v>
      </c>
      <c r="H43" s="11">
        <f>IF($L43="","",SUMIFS('[1]粘贴_服务费返还'!$M$4:$M$3003,'[1]粘贴_服务费返还'!$N$4:$N$3003,$B43,'[1]粘贴_服务费返还'!$O$4:$O$3003,"扣回"))</f>
        <v>0</v>
      </c>
      <c r="I43" s="11">
        <f t="shared" si="1"/>
        <v>50.25</v>
      </c>
      <c r="J43" s="6" t="str">
        <f t="shared" si="2"/>
        <v>扣了还没返</v>
      </c>
      <c r="K43" s="10">
        <f t="shared" si="3"/>
        <v>5</v>
      </c>
      <c r="L43" s="17">
        <f>IF(A43&gt;$H$5,"",MATCH(A43,'[1]粘贴_账务明细'!$O$4:$O$3003,0))</f>
        <v>77</v>
      </c>
    </row>
    <row r="44">
      <c r="A44" s="10" t="n">
        <v>16</v>
      </c>
      <c r="B44" s="6" t="str">
        <f>IF($L44="","",INDEX('[1]粘贴_账务明细'!$A$4:$A$3003,$L44))</f>
        <v>260924-065179502202385</v>
      </c>
      <c r="C44" s="16">
        <f>IF($L44="","",INDEX('[1]粘贴_账务明细'!$H$4:$H$3003,$L44))</f>
        <v>46289.92741898148</v>
      </c>
      <c r="D44" s="11">
        <f>IF($L44="","",SUMIFS('[1]粘贴_账务明细'!$K$4:$K$3003,'[1]粘贴_账务明细'!$A$4:$A$3003,$B44,'[1]粘贴_账务明细'!$L$4:$L$3003,"订单收入")+SUMIFS('[1]粘贴_账务明细'!$K$4:$K$3003,'[1]粘贴_账务明细'!$A$4:$A$3003,$B44,'[1]粘贴_账务明细'!$L$4:$L$3003,"优惠券结算"))</f>
        <v>3069</v>
      </c>
      <c r="E44" s="11">
        <f t="shared" si="0"/>
        <v>42.97</v>
      </c>
      <c r="F44" s="11">
        <f>IF($L44="","",-SUMIFS('[1]粘贴_账务明细'!$K$4:$K$3003,'[1]粘贴_账务明细'!$A$4:$A$3003,$B44,'[1]粘贴_账务明细'!$L$4:$L$3003,"百亿补贴技术服务费"))</f>
        <v>0</v>
      </c>
      <c r="G44" s="11">
        <f>IF($L44="","",SUMIFS('[1]粘贴_服务费返还'!$M$4:$M$3003,'[1]粘贴_服务费返还'!$N$4:$N$3003,$B44,'[1]粘贴_服务费返还'!$O$4:$O$3003,"返还"))</f>
        <v>0</v>
      </c>
      <c r="H44" s="11">
        <f>IF($L44="","",SUMIFS('[1]粘贴_服务费返还'!$M$4:$M$3003,'[1]粘贴_服务费返还'!$N$4:$N$3003,$B44,'[1]粘贴_服务费返还'!$O$4:$O$3003,"扣回"))</f>
        <v>0</v>
      </c>
      <c r="I44" s="11">
        <f t="shared" si="1"/>
        <v>0</v>
      </c>
      <c r="J44" s="6" t="str">
        <f t="shared" si="2"/>
        <v>订单已退款，百亿费已原路退回，不用返</v>
      </c>
      <c r="K44" s="10">
        <f t="shared" si="3"/>
        <v>6</v>
      </c>
      <c r="L44" s="17">
        <f>IF(A44&gt;$H$5,"",MATCH(A44,'[1]粘贴_账务明细'!$O$4:$O$3003,0))</f>
        <v>81</v>
      </c>
    </row>
    <row r="45">
      <c r="A45" s="10" t="n">
        <v>17</v>
      </c>
      <c r="B45" s="6" t="str">
        <f>IF($L45="","",INDEX('[1]粘贴_账务明细'!$A$4:$A$3003,$L45))</f>
        <v>260921-311448051233385</v>
      </c>
      <c r="C45" s="16">
        <f>IF($L45="","",INDEX('[1]粘贴_账务明细'!$H$4:$H$3003,$L45))</f>
        <v>46289.55613425926</v>
      </c>
      <c r="D45" s="11">
        <f>IF($L45="","",SUMIFS('[1]粘贴_账务明细'!$K$4:$K$3003,'[1]粘贴_账务明细'!$A$4:$A$3003,$B45,'[1]粘贴_账务明细'!$L$4:$L$3003,"订单收入")+SUMIFS('[1]粘贴_账务明细'!$K$4:$K$3003,'[1]粘贴_账务明细'!$A$4:$A$3003,$B45,'[1]粘贴_账务明细'!$L$4:$L$3003,"优惠券结算"))</f>
        <v>3499</v>
      </c>
      <c r="E45" s="11">
        <f t="shared" si="0"/>
        <v>48.99</v>
      </c>
      <c r="F45" s="11">
        <f>IF($L45="","",-SUMIFS('[1]粘贴_账务明细'!$K$4:$K$3003,'[1]粘贴_账务明细'!$A$4:$A$3003,$B45,'[1]粘贴_账务明细'!$L$4:$L$3003,"百亿补贴技术服务费"))</f>
        <v>48.99</v>
      </c>
      <c r="G45" s="11">
        <f>IF($L45="","",SUMIFS('[1]粘贴_服务费返还'!$M$4:$M$3003,'[1]粘贴_服务费返还'!$N$4:$N$3003,$B45,'[1]粘贴_服务费返还'!$O$4:$O$3003,"返还"))</f>
        <v>0</v>
      </c>
      <c r="H45" s="11">
        <f>IF($L45="","",SUMIFS('[1]粘贴_服务费返还'!$M$4:$M$3003,'[1]粘贴_服务费返还'!$N$4:$N$3003,$B45,'[1]粘贴_服务费返还'!$O$4:$O$3003,"扣回"))</f>
        <v>0</v>
      </c>
      <c r="I45" s="11">
        <f t="shared" si="1"/>
        <v>48.99</v>
      </c>
      <c r="J45" s="6" t="str">
        <f t="shared" si="2"/>
        <v>扣了还没返</v>
      </c>
      <c r="K45" s="10">
        <f t="shared" si="3"/>
        <v>6</v>
      </c>
      <c r="L45" s="17">
        <f>IF(A45&gt;$H$5,"",MATCH(A45,'[1]粘贴_账务明细'!$O$4:$O$3003,0))</f>
        <v>86</v>
      </c>
    </row>
    <row r="46">
      <c r="A46" s="10" t="n">
        <v>18</v>
      </c>
      <c r="B46" s="6" t="str">
        <f>IF($L46="","",INDEX('[1]粘贴_账务明细'!$A$4:$A$3003,$L46))</f>
        <v>260921-649047580173915</v>
      </c>
      <c r="C46" s="16">
        <f>IF($L46="","",INDEX('[1]粘贴_账务明细'!$H$4:$H$3003,$L46))</f>
        <v>46289.38960648148</v>
      </c>
      <c r="D46" s="11">
        <f>IF($L46="","",SUMIFS('[1]粘贴_账务明细'!$K$4:$K$3003,'[1]粘贴_账务明细'!$A$4:$A$3003,$B46,'[1]粘贴_账务明细'!$L$4:$L$3003,"订单收入")+SUMIFS('[1]粘贴_账务明细'!$K$4:$K$3003,'[1]粘贴_账务明细'!$A$4:$A$3003,$B46,'[1]粘贴_账务明细'!$L$4:$L$3003,"优惠券结算"))</f>
        <v>3589</v>
      </c>
      <c r="E46" s="11">
        <f t="shared" si="0"/>
        <v>50.25</v>
      </c>
      <c r="F46" s="11">
        <f>IF($L46="","",-SUMIFS('[1]粘贴_账务明细'!$K$4:$K$3003,'[1]粘贴_账务明细'!$A$4:$A$3003,$B46,'[1]粘贴_账务明细'!$L$4:$L$3003,"百亿补贴技术服务费"))</f>
        <v>50.25</v>
      </c>
      <c r="G46" s="11">
        <f>IF($L46="","",SUMIFS('[1]粘贴_服务费返还'!$M$4:$M$3003,'[1]粘贴_服务费返还'!$N$4:$N$3003,$B46,'[1]粘贴_服务费返还'!$O$4:$O$3003,"返还"))</f>
        <v>0</v>
      </c>
      <c r="H46" s="11">
        <f>IF($L46="","",SUMIFS('[1]粘贴_服务费返还'!$M$4:$M$3003,'[1]粘贴_服务费返还'!$N$4:$N$3003,$B46,'[1]粘贴_服务费返还'!$O$4:$O$3003,"扣回"))</f>
        <v>0</v>
      </c>
      <c r="I46" s="11">
        <f t="shared" si="1"/>
        <v>50.25</v>
      </c>
      <c r="J46" s="6" t="str">
        <f t="shared" si="2"/>
        <v>扣了还没返</v>
      </c>
      <c r="K46" s="10">
        <f t="shared" si="3"/>
        <v>6</v>
      </c>
      <c r="L46" s="17">
        <f>IF(A46&gt;$H$5,"",MATCH(A46,'[1]粘贴_账务明细'!$O$4:$O$3003,0))</f>
        <v>89</v>
      </c>
    </row>
    <row r="47">
      <c r="A47" s="10" t="n">
        <v>19</v>
      </c>
      <c r="B47" s="6" t="str">
        <f>IF($L47="","",INDEX('[1]粘贴_账务明细'!$A$4:$A$3003,$L47))</f>
        <v>260923-037916557611678</v>
      </c>
      <c r="C47" s="16">
        <f>IF($L47="","",INDEX('[1]粘贴_账务明细'!$H$4:$H$3003,$L47))</f>
        <v>46288.570069444446</v>
      </c>
      <c r="D47" s="11">
        <f>IF($L47="","",SUMIFS('[1]粘贴_账务明细'!$K$4:$K$3003,'[1]粘贴_账务明细'!$A$4:$A$3003,$B47,'[1]粘贴_账务明细'!$L$4:$L$3003,"订单收入")+SUMIFS('[1]粘贴_账务明细'!$K$4:$K$3003,'[1]粘贴_账务明细'!$A$4:$A$3003,$B47,'[1]粘贴_账务明细'!$L$4:$L$3003,"优惠券结算"))</f>
        <v>3589</v>
      </c>
      <c r="E47" s="11">
        <f t="shared" si="0"/>
        <v>50.25</v>
      </c>
      <c r="F47" s="11">
        <f>IF($L47="","",-SUMIFS('[1]粘贴_账务明细'!$K$4:$K$3003,'[1]粘贴_账务明细'!$A$4:$A$3003,$B47,'[1]粘贴_账务明细'!$L$4:$L$3003,"百亿补贴技术服务费"))</f>
        <v>0</v>
      </c>
      <c r="G47" s="11">
        <f>IF($L47="","",SUMIFS('[1]粘贴_服务费返还'!$M$4:$M$3003,'[1]粘贴_服务费返还'!$N$4:$N$3003,$B47,'[1]粘贴_服务费返还'!$O$4:$O$3003,"返还"))</f>
        <v>0</v>
      </c>
      <c r="H47" s="11">
        <f>IF($L47="","",SUMIFS('[1]粘贴_服务费返还'!$M$4:$M$3003,'[1]粘贴_服务费返还'!$N$4:$N$3003,$B47,'[1]粘贴_服务费返还'!$O$4:$O$3003,"扣回"))</f>
        <v>0</v>
      </c>
      <c r="I47" s="11">
        <f t="shared" si="1"/>
        <v>0</v>
      </c>
      <c r="J47" s="6" t="str">
        <f t="shared" si="2"/>
        <v>订单已退款，百亿费已原路退回，不用返</v>
      </c>
      <c r="K47" s="10">
        <f t="shared" si="3"/>
        <v>7</v>
      </c>
      <c r="L47" s="17">
        <f>IF(A47&gt;$H$5,"",MATCH(A47,'[1]粘贴_账务明细'!$O$4:$O$3003,0))</f>
        <v>96</v>
      </c>
    </row>
    <row r="48">
      <c r="A48" s="10" t="n">
        <v>20</v>
      </c>
      <c r="B48" s="6" t="str">
        <f>IF($L48="","",INDEX('[1]粘贴_账务明细'!$A$4:$A$3003,$L48))</f>
        <v>260912-197436382781004</v>
      </c>
      <c r="C48" s="16">
        <f>IF($L48="","",INDEX('[1]粘贴_账务明细'!$H$4:$H$3003,$L48))</f>
        <v>46288.417233796295</v>
      </c>
      <c r="D48" s="11">
        <f>IF($L48="","",SUMIFS('[1]粘贴_账务明细'!$K$4:$K$3003,'[1]粘贴_账务明细'!$A$4:$A$3003,$B48,'[1]粘贴_账务明细'!$L$4:$L$3003,"订单收入")+SUMIFS('[1]粘贴_账务明细'!$K$4:$K$3003,'[1]粘贴_账务明细'!$A$4:$A$3003,$B48,'[1]粘贴_账务明细'!$L$4:$L$3003,"优惠券结算"))</f>
        <v>3599</v>
      </c>
      <c r="E48" s="11">
        <f t="shared" si="0"/>
        <v>50.39</v>
      </c>
      <c r="F48" s="11">
        <f>IF($L48="","",-SUMIFS('[1]粘贴_账务明细'!$K$4:$K$3003,'[1]粘贴_账务明细'!$A$4:$A$3003,$B48,'[1]粘贴_账务明细'!$L$4:$L$3003,"百亿补贴技术服务费"))</f>
        <v>50.39</v>
      </c>
      <c r="G48" s="11">
        <f>IF($L48="","",SUMIFS('[1]粘贴_服务费返还'!$M$4:$M$3003,'[1]粘贴_服务费返还'!$N$4:$N$3003,$B48,'[1]粘贴_服务费返还'!$O$4:$O$3003,"返还"))</f>
        <v>0</v>
      </c>
      <c r="H48" s="11">
        <f>IF($L48="","",SUMIFS('[1]粘贴_服务费返还'!$M$4:$M$3003,'[1]粘贴_服务费返还'!$N$4:$N$3003,$B48,'[1]粘贴_服务费返还'!$O$4:$O$3003,"扣回"))</f>
        <v>0</v>
      </c>
      <c r="I48" s="11">
        <f t="shared" si="1"/>
        <v>50.39</v>
      </c>
      <c r="J48" s="6" t="str">
        <f t="shared" si="2"/>
        <v>扣了还没返</v>
      </c>
      <c r="K48" s="10">
        <f t="shared" si="3"/>
        <v>7</v>
      </c>
      <c r="L48" s="17">
        <f>IF(A48&gt;$H$5,"",MATCH(A48,'[1]粘贴_账务明细'!$O$4:$O$3003,0))</f>
        <v>106</v>
      </c>
    </row>
    <row r="49">
      <c r="A49" s="10" t="n">
        <v>21</v>
      </c>
      <c r="B49" s="6" t="str">
        <f>IF($L49="","",INDEX('[1]粘贴_账务明细'!$A$4:$A$3003,$L49))</f>
        <v>260923-462443057451678</v>
      </c>
      <c r="C49" s="16">
        <f>IF($L49="","",INDEX('[1]粘贴_账务明细'!$H$4:$H$3003,$L49))</f>
        <v>46288.37207175926</v>
      </c>
      <c r="D49" s="11">
        <f>IF($L49="","",SUMIFS('[1]粘贴_账务明细'!$K$4:$K$3003,'[1]粘贴_账务明细'!$A$4:$A$3003,$B49,'[1]粘贴_账务明细'!$L$4:$L$3003,"订单收入")+SUMIFS('[1]粘贴_账务明细'!$K$4:$K$3003,'[1]粘贴_账务明细'!$A$4:$A$3003,$B49,'[1]粘贴_账务明细'!$L$4:$L$3003,"优惠券结算"))</f>
        <v>3689</v>
      </c>
      <c r="E49" s="11">
        <f t="shared" si="0"/>
        <v>51.65</v>
      </c>
      <c r="F49" s="11">
        <f>IF($L49="","",-SUMIFS('[1]粘贴_账务明细'!$K$4:$K$3003,'[1]粘贴_账务明细'!$A$4:$A$3003,$B49,'[1]粘贴_账务明细'!$L$4:$L$3003,"百亿补贴技术服务费"))</f>
        <v>0</v>
      </c>
      <c r="G49" s="11">
        <f>IF($L49="","",SUMIFS('[1]粘贴_服务费返还'!$M$4:$M$3003,'[1]粘贴_服务费返还'!$N$4:$N$3003,$B49,'[1]粘贴_服务费返还'!$O$4:$O$3003,"返还"))</f>
        <v>0</v>
      </c>
      <c r="H49" s="11">
        <f>IF($L49="","",SUMIFS('[1]粘贴_服务费返还'!$M$4:$M$3003,'[1]粘贴_服务费返还'!$N$4:$N$3003,$B49,'[1]粘贴_服务费返还'!$O$4:$O$3003,"扣回"))</f>
        <v>0</v>
      </c>
      <c r="I49" s="11">
        <f t="shared" si="1"/>
        <v>0</v>
      </c>
      <c r="J49" s="6" t="str">
        <f t="shared" si="2"/>
        <v>订单已退款，百亿费已原路退回，不用返</v>
      </c>
      <c r="K49" s="10">
        <f t="shared" si="3"/>
        <v>7</v>
      </c>
      <c r="L49" s="17">
        <f>IF(A49&gt;$H$5,"",MATCH(A49,'[1]粘贴_账务明细'!$O$4:$O$3003,0))</f>
        <v>108</v>
      </c>
    </row>
    <row r="50">
      <c r="A50" s="10" t="n">
        <v>22</v>
      </c>
      <c r="B50" s="6" t="str">
        <f>IF($L50="","",INDEX('[1]粘贴_账务明细'!$A$4:$A$3003,$L50))</f>
        <v>260923-268267743522667</v>
      </c>
      <c r="C50" s="16">
        <f>IF($L50="","",INDEX('[1]粘贴_账务明细'!$H$4:$H$3003,$L50))</f>
        <v>46288.11435185185</v>
      </c>
      <c r="D50" s="11">
        <f>IF($L50="","",SUMIFS('[1]粘贴_账务明细'!$K$4:$K$3003,'[1]粘贴_账务明细'!$A$4:$A$3003,$B50,'[1]粘贴_账务明细'!$L$4:$L$3003,"订单收入")+SUMIFS('[1]粘贴_账务明细'!$K$4:$K$3003,'[1]粘贴_账务明细'!$A$4:$A$3003,$B50,'[1]粘贴_账务明细'!$L$4:$L$3003,"优惠券结算"))</f>
        <v>3499</v>
      </c>
      <c r="E50" s="11">
        <f t="shared" si="0"/>
        <v>48.99</v>
      </c>
      <c r="F50" s="11">
        <f>IF($L50="","",-SUMIFS('[1]粘贴_账务明细'!$K$4:$K$3003,'[1]粘贴_账务明细'!$A$4:$A$3003,$B50,'[1]粘贴_账务明细'!$L$4:$L$3003,"百亿补贴技术服务费"))</f>
        <v>0</v>
      </c>
      <c r="G50" s="11">
        <f>IF($L50="","",SUMIFS('[1]粘贴_服务费返还'!$M$4:$M$3003,'[1]粘贴_服务费返还'!$N$4:$N$3003,$B50,'[1]粘贴_服务费返还'!$O$4:$O$3003,"返还"))</f>
        <v>0</v>
      </c>
      <c r="H50" s="11">
        <f>IF($L50="","",SUMIFS('[1]粘贴_服务费返还'!$M$4:$M$3003,'[1]粘贴_服务费返还'!$N$4:$N$3003,$B50,'[1]粘贴_服务费返还'!$O$4:$O$3003,"扣回"))</f>
        <v>0</v>
      </c>
      <c r="I50" s="11">
        <f t="shared" si="1"/>
        <v>0</v>
      </c>
      <c r="J50" s="6" t="str">
        <f t="shared" si="2"/>
        <v>订单已退款，百亿费已原路退回，不用返</v>
      </c>
      <c r="K50" s="10">
        <f t="shared" si="3"/>
        <v>7</v>
      </c>
      <c r="L50" s="17">
        <f>IF(A50&gt;$H$5,"",MATCH(A50,'[1]粘贴_账务明细'!$O$4:$O$3003,0))</f>
        <v>114</v>
      </c>
    </row>
    <row r="51">
      <c r="A51" s="10" t="n">
        <v>23</v>
      </c>
      <c r="B51" s="6" t="str">
        <f>IF($L51="","",INDEX('[1]粘贴_账务明细'!$A$4:$A$3003,$L51))</f>
        <v>260922-410355044671455</v>
      </c>
      <c r="C51" s="16">
        <f>IF($L51="","",INDEX('[1]粘贴_账务明细'!$H$4:$H$3003,$L51))</f>
        <v>46287.923993055556</v>
      </c>
      <c r="D51" s="11">
        <f>IF($L51="","",SUMIFS('[1]粘贴_账务明细'!$K$4:$K$3003,'[1]粘贴_账务明细'!$A$4:$A$3003,$B51,'[1]粘贴_账务明细'!$L$4:$L$3003,"订单收入")+SUMIFS('[1]粘贴_账务明细'!$K$4:$K$3003,'[1]粘贴_账务明细'!$A$4:$A$3003,$B51,'[1]粘贴_账务明细'!$L$4:$L$3003,"优惠券结算"))</f>
        <v>3589</v>
      </c>
      <c r="E51" s="11">
        <f t="shared" si="0"/>
        <v>50.25</v>
      </c>
      <c r="F51" s="11">
        <f>IF($L51="","",-SUMIFS('[1]粘贴_账务明细'!$K$4:$K$3003,'[1]粘贴_账务明细'!$A$4:$A$3003,$B51,'[1]粘贴_账务明细'!$L$4:$L$3003,"百亿补贴技术服务费"))</f>
        <v>0</v>
      </c>
      <c r="G51" s="11">
        <f>IF($L51="","",SUMIFS('[1]粘贴_服务费返还'!$M$4:$M$3003,'[1]粘贴_服务费返还'!$N$4:$N$3003,$B51,'[1]粘贴_服务费返还'!$O$4:$O$3003,"返还"))</f>
        <v>0</v>
      </c>
      <c r="H51" s="11">
        <f>IF($L51="","",SUMIFS('[1]粘贴_服务费返还'!$M$4:$M$3003,'[1]粘贴_服务费返还'!$N$4:$N$3003,$B51,'[1]粘贴_服务费返还'!$O$4:$O$3003,"扣回"))</f>
        <v>0</v>
      </c>
      <c r="I51" s="11">
        <f t="shared" si="1"/>
        <v>0</v>
      </c>
      <c r="J51" s="6" t="str">
        <f t="shared" si="2"/>
        <v>订单已退款，百亿费已原路退回，不用返</v>
      </c>
      <c r="K51" s="10">
        <f t="shared" si="3"/>
        <v>8</v>
      </c>
      <c r="L51" s="17">
        <f>IF(A51&gt;$H$5,"",MATCH(A51,'[1]粘贴_账务明细'!$O$4:$O$3003,0))</f>
        <v>120</v>
      </c>
    </row>
    <row r="52">
      <c r="A52" s="10" t="n">
        <v>24</v>
      </c>
      <c r="B52" s="6" t="str">
        <f>IF($L52="","",INDEX('[1]粘贴_账务明细'!$A$4:$A$3003,$L52))</f>
        <v>260921-445015703913880</v>
      </c>
      <c r="C52" s="16">
        <f>IF($L52="","",INDEX('[1]粘贴_账务明细'!$H$4:$H$3003,$L52))</f>
        <v>46287.85818287037</v>
      </c>
      <c r="D52" s="11">
        <f>IF($L52="","",SUMIFS('[1]粘贴_账务明细'!$K$4:$K$3003,'[1]粘贴_账务明细'!$A$4:$A$3003,$B52,'[1]粘贴_账务明细'!$L$4:$L$3003,"订单收入")+SUMIFS('[1]粘贴_账务明细'!$K$4:$K$3003,'[1]粘贴_账务明细'!$A$4:$A$3003,$B52,'[1]粘贴_账务明细'!$L$4:$L$3003,"优惠券结算"))</f>
        <v>3699</v>
      </c>
      <c r="E52" s="11">
        <f t="shared" si="0"/>
        <v>51.79</v>
      </c>
      <c r="F52" s="11">
        <f>IF($L52="","",-SUMIFS('[1]粘贴_账务明细'!$K$4:$K$3003,'[1]粘贴_账务明细'!$A$4:$A$3003,$B52,'[1]粘贴_账务明细'!$L$4:$L$3003,"百亿补贴技术服务费"))</f>
        <v>51.79</v>
      </c>
      <c r="G52" s="11">
        <f>IF($L52="","",SUMIFS('[1]粘贴_服务费返还'!$M$4:$M$3003,'[1]粘贴_服务费返还'!$N$4:$N$3003,$B52,'[1]粘贴_服务费返还'!$O$4:$O$3003,"返还"))</f>
        <v>0</v>
      </c>
      <c r="H52" s="11">
        <f>IF($L52="","",SUMIFS('[1]粘贴_服务费返还'!$M$4:$M$3003,'[1]粘贴_服务费返还'!$N$4:$N$3003,$B52,'[1]粘贴_服务费返还'!$O$4:$O$3003,"扣回"))</f>
        <v>0</v>
      </c>
      <c r="I52" s="11">
        <f t="shared" si="1"/>
        <v>51.79</v>
      </c>
      <c r="J52" s="6" t="str">
        <f t="shared" si="2"/>
        <v>扣了还没返</v>
      </c>
      <c r="K52" s="10">
        <f t="shared" si="3"/>
        <v>8</v>
      </c>
      <c r="L52" s="17">
        <f>IF(A52&gt;$H$5,"",MATCH(A52,'[1]粘贴_账务明细'!$O$4:$O$3003,0))</f>
        <v>127</v>
      </c>
    </row>
    <row r="53">
      <c r="A53" s="10" t="n">
        <v>25</v>
      </c>
      <c r="B53" s="6" t="str">
        <f>IF($L53="","",INDEX('[1]粘贴_账务明细'!$A$4:$A$3003,$L53))</f>
        <v>260922-542680082753953</v>
      </c>
      <c r="C53" s="16">
        <f>IF($L53="","",INDEX('[1]粘贴_账务明细'!$H$4:$H$3003,$L53))</f>
        <v>46287.66034722222</v>
      </c>
      <c r="D53" s="11">
        <f>IF($L53="","",SUMIFS('[1]粘贴_账务明细'!$K$4:$K$3003,'[1]粘贴_账务明细'!$A$4:$A$3003,$B53,'[1]粘贴_账务明细'!$L$4:$L$3003,"订单收入")+SUMIFS('[1]粘贴_账务明细'!$K$4:$K$3003,'[1]粘贴_账务明细'!$A$4:$A$3003,$B53,'[1]粘贴_账务明细'!$L$4:$L$3003,"优惠券结算"))</f>
        <v>3699</v>
      </c>
      <c r="E53" s="11">
        <f t="shared" si="0"/>
        <v>51.79</v>
      </c>
      <c r="F53" s="11">
        <f>IF($L53="","",-SUMIFS('[1]粘贴_账务明细'!$K$4:$K$3003,'[1]粘贴_账务明细'!$A$4:$A$3003,$B53,'[1]粘贴_账务明细'!$L$4:$L$3003,"百亿补贴技术服务费"))</f>
        <v>0</v>
      </c>
      <c r="G53" s="11">
        <f>IF($L53="","",SUMIFS('[1]粘贴_服务费返还'!$M$4:$M$3003,'[1]粘贴_服务费返还'!$N$4:$N$3003,$B53,'[1]粘贴_服务费返还'!$O$4:$O$3003,"返还"))</f>
        <v>0</v>
      </c>
      <c r="H53" s="11">
        <f>IF($L53="","",SUMIFS('[1]粘贴_服务费返还'!$M$4:$M$3003,'[1]粘贴_服务费返还'!$N$4:$N$3003,$B53,'[1]粘贴_服务费返还'!$O$4:$O$3003,"扣回"))</f>
        <v>0</v>
      </c>
      <c r="I53" s="11">
        <f t="shared" si="1"/>
        <v>0</v>
      </c>
      <c r="J53" s="6" t="str">
        <f t="shared" si="2"/>
        <v>订单已退款，百亿费已原路退回，不用返</v>
      </c>
      <c r="K53" s="10">
        <f t="shared" si="3"/>
        <v>8</v>
      </c>
      <c r="L53" s="17">
        <f>IF(A53&gt;$H$5,"",MATCH(A53,'[1]粘贴_账务明细'!$O$4:$O$3003,0))</f>
        <v>130</v>
      </c>
    </row>
    <row r="54">
      <c r="A54" s="10" t="n">
        <v>26</v>
      </c>
      <c r="B54" s="6" t="str">
        <f>IF($L54="","",INDEX('[1]粘贴_账务明细'!$A$4:$A$3003,$L54))</f>
        <v>260922-046745525873697</v>
      </c>
      <c r="C54" s="16">
        <f>IF($L54="","",INDEX('[1]粘贴_账务明细'!$H$4:$H$3003,$L54))</f>
        <v>46287.42423611111</v>
      </c>
      <c r="D54" s="11">
        <f>IF($L54="","",SUMIFS('[1]粘贴_账务明细'!$K$4:$K$3003,'[1]粘贴_账务明细'!$A$4:$A$3003,$B54,'[1]粘贴_账务明细'!$L$4:$L$3003,"订单收入")+SUMIFS('[1]粘贴_账务明细'!$K$4:$K$3003,'[1]粘贴_账务明细'!$A$4:$A$3003,$B54,'[1]粘贴_账务明细'!$L$4:$L$3003,"优惠券结算"))</f>
        <v>3499</v>
      </c>
      <c r="E54" s="11">
        <f t="shared" si="0"/>
        <v>48.99</v>
      </c>
      <c r="F54" s="11">
        <f>IF($L54="","",-SUMIFS('[1]粘贴_账务明细'!$K$4:$K$3003,'[1]粘贴_账务明细'!$A$4:$A$3003,$B54,'[1]粘贴_账务明细'!$L$4:$L$3003,"百亿补贴技术服务费"))</f>
        <v>0</v>
      </c>
      <c r="G54" s="11">
        <f>IF($L54="","",SUMIFS('[1]粘贴_服务费返还'!$M$4:$M$3003,'[1]粘贴_服务费返还'!$N$4:$N$3003,$B54,'[1]粘贴_服务费返还'!$O$4:$O$3003,"返还"))</f>
        <v>0</v>
      </c>
      <c r="H54" s="11">
        <f>IF($L54="","",SUMIFS('[1]粘贴_服务费返还'!$M$4:$M$3003,'[1]粘贴_服务费返还'!$N$4:$N$3003,$B54,'[1]粘贴_服务费返还'!$O$4:$O$3003,"扣回"))</f>
        <v>0</v>
      </c>
      <c r="I54" s="11">
        <f t="shared" si="1"/>
        <v>0</v>
      </c>
      <c r="J54" s="6" t="str">
        <f t="shared" si="2"/>
        <v>订单已退款，百亿费已原路退回，不用返</v>
      </c>
      <c r="K54" s="10">
        <f t="shared" si="3"/>
        <v>8</v>
      </c>
      <c r="L54" s="17">
        <f>IF(A54&gt;$H$5,"",MATCH(A54,'[1]粘贴_账务明细'!$O$4:$O$3003,0))</f>
        <v>142</v>
      </c>
    </row>
    <row r="55">
      <c r="A55" s="10" t="n">
        <v>27</v>
      </c>
      <c r="B55" s="6" t="str">
        <f>IF($L55="","",INDEX('[1]粘贴_账务明细'!$A$4:$A$3003,$L55))</f>
        <v>260922-204745009482233</v>
      </c>
      <c r="C55" s="16">
        <f>IF($L55="","",INDEX('[1]粘贴_账务明细'!$H$4:$H$3003,$L55))</f>
        <v>46287.42423611111</v>
      </c>
      <c r="D55" s="11">
        <f>IF($L55="","",SUMIFS('[1]粘贴_账务明细'!$K$4:$K$3003,'[1]粘贴_账务明细'!$A$4:$A$3003,$B55,'[1]粘贴_账务明细'!$L$4:$L$3003,"订单收入")+SUMIFS('[1]粘贴_账务明细'!$K$4:$K$3003,'[1]粘贴_账务明细'!$A$4:$A$3003,$B55,'[1]粘贴_账务明细'!$L$4:$L$3003,"优惠券结算"))</f>
        <v>3499</v>
      </c>
      <c r="E55" s="11">
        <f t="shared" si="0"/>
        <v>48.99</v>
      </c>
      <c r="F55" s="11">
        <f>IF($L55="","",-SUMIFS('[1]粘贴_账务明细'!$K$4:$K$3003,'[1]粘贴_账务明细'!$A$4:$A$3003,$B55,'[1]粘贴_账务明细'!$L$4:$L$3003,"百亿补贴技术服务费"))</f>
        <v>0</v>
      </c>
      <c r="G55" s="11">
        <f>IF($L55="","",SUMIFS('[1]粘贴_服务费返还'!$M$4:$M$3003,'[1]粘贴_服务费返还'!$N$4:$N$3003,$B55,'[1]粘贴_服务费返还'!$O$4:$O$3003,"返还"))</f>
        <v>0</v>
      </c>
      <c r="H55" s="11">
        <f>IF($L55="","",SUMIFS('[1]粘贴_服务费返还'!$M$4:$M$3003,'[1]粘贴_服务费返还'!$N$4:$N$3003,$B55,'[1]粘贴_服务费返还'!$O$4:$O$3003,"扣回"))</f>
        <v>0</v>
      </c>
      <c r="I55" s="11">
        <f t="shared" si="1"/>
        <v>0</v>
      </c>
      <c r="J55" s="6" t="str">
        <f t="shared" si="2"/>
        <v>订单已退款，百亿费已原路退回，不用返</v>
      </c>
      <c r="K55" s="10">
        <f t="shared" si="3"/>
        <v>8</v>
      </c>
      <c r="L55" s="17">
        <f>IF(A55&gt;$H$5,"",MATCH(A55,'[1]粘贴_账务明细'!$O$4:$O$3003,0))</f>
        <v>143</v>
      </c>
    </row>
    <row r="56">
      <c r="A56" s="10" t="n">
        <v>28</v>
      </c>
      <c r="B56" s="6" t="str">
        <f>IF($L56="","",INDEX('[1]粘贴_账务明细'!$A$4:$A$3003,$L56))</f>
        <v>260922-328047019633697</v>
      </c>
      <c r="C56" s="16">
        <f>IF($L56="","",INDEX('[1]粘贴_账务明细'!$H$4:$H$3003,$L56))</f>
        <v>46287.39648148148</v>
      </c>
      <c r="D56" s="11">
        <f>IF($L56="","",SUMIFS('[1]粘贴_账务明细'!$K$4:$K$3003,'[1]粘贴_账务明细'!$A$4:$A$3003,$B56,'[1]粘贴_账务明细'!$L$4:$L$3003,"订单收入")+SUMIFS('[1]粘贴_账务明细'!$K$4:$K$3003,'[1]粘贴_账务明细'!$A$4:$A$3003,$B56,'[1]粘贴_账务明细'!$L$4:$L$3003,"优惠券结算"))</f>
        <v>3499</v>
      </c>
      <c r="E56" s="11">
        <f t="shared" si="0"/>
        <v>48.99</v>
      </c>
      <c r="F56" s="11">
        <f>IF($L56="","",-SUMIFS('[1]粘贴_账务明细'!$K$4:$K$3003,'[1]粘贴_账务明细'!$A$4:$A$3003,$B56,'[1]粘贴_账务明细'!$L$4:$L$3003,"百亿补贴技术服务费"))</f>
        <v>0</v>
      </c>
      <c r="G56" s="11">
        <f>IF($L56="","",SUMIFS('[1]粘贴_服务费返还'!$M$4:$M$3003,'[1]粘贴_服务费返还'!$N$4:$N$3003,$B56,'[1]粘贴_服务费返还'!$O$4:$O$3003,"返还"))</f>
        <v>0</v>
      </c>
      <c r="H56" s="11">
        <f>IF($L56="","",SUMIFS('[1]粘贴_服务费返还'!$M$4:$M$3003,'[1]粘贴_服务费返还'!$N$4:$N$3003,$B56,'[1]粘贴_服务费返还'!$O$4:$O$3003,"扣回"))</f>
        <v>0</v>
      </c>
      <c r="I56" s="11">
        <f t="shared" si="1"/>
        <v>0</v>
      </c>
      <c r="J56" s="6" t="str">
        <f t="shared" si="2"/>
        <v>订单已退款，百亿费已原路退回，不用返</v>
      </c>
      <c r="K56" s="10">
        <f t="shared" si="3"/>
        <v>8</v>
      </c>
      <c r="L56" s="17">
        <f>IF(A56&gt;$H$5,"",MATCH(A56,'[1]粘贴_账务明细'!$O$4:$O$3003,0))</f>
        <v>155</v>
      </c>
    </row>
    <row r="57">
      <c r="A57" s="10" t="n">
        <v>29</v>
      </c>
      <c r="B57" s="6" t="str">
        <f>IF($L57="","",INDEX('[1]粘贴_账务明细'!$A$4:$A$3003,$L57))</f>
        <v>260922-619226151250712</v>
      </c>
      <c r="C57" s="16">
        <f>IF($L57="","",INDEX('[1]粘贴_账务明细'!$H$4:$H$3003,$L57))</f>
        <v>46287.298622685186</v>
      </c>
      <c r="D57" s="11">
        <f>IF($L57="","",SUMIFS('[1]粘贴_账务明细'!$K$4:$K$3003,'[1]粘贴_账务明细'!$A$4:$A$3003,$B57,'[1]粘贴_账务明细'!$L$4:$L$3003,"订单收入")+SUMIFS('[1]粘贴_账务明细'!$K$4:$K$3003,'[1]粘贴_账务明细'!$A$4:$A$3003,$B57,'[1]粘贴_账务明细'!$L$4:$L$3003,"优惠券结算"))</f>
        <v>3499</v>
      </c>
      <c r="E57" s="11">
        <f t="shared" si="0"/>
        <v>48.99</v>
      </c>
      <c r="F57" s="11">
        <f>IF($L57="","",-SUMIFS('[1]粘贴_账务明细'!$K$4:$K$3003,'[1]粘贴_账务明细'!$A$4:$A$3003,$B57,'[1]粘贴_账务明细'!$L$4:$L$3003,"百亿补贴技术服务费"))</f>
        <v>0</v>
      </c>
      <c r="G57" s="11">
        <f>IF($L57="","",SUMIFS('[1]粘贴_服务费返还'!$M$4:$M$3003,'[1]粘贴_服务费返还'!$N$4:$N$3003,$B57,'[1]粘贴_服务费返还'!$O$4:$O$3003,"返还"))</f>
        <v>0</v>
      </c>
      <c r="H57" s="11">
        <f>IF($L57="","",SUMIFS('[1]粘贴_服务费返还'!$M$4:$M$3003,'[1]粘贴_服务费返还'!$N$4:$N$3003,$B57,'[1]粘贴_服务费返还'!$O$4:$O$3003,"扣回"))</f>
        <v>0</v>
      </c>
      <c r="I57" s="11">
        <f t="shared" si="1"/>
        <v>0</v>
      </c>
      <c r="J57" s="6" t="str">
        <f t="shared" si="2"/>
        <v>订单已退款，百亿费已原路退回，不用返</v>
      </c>
      <c r="K57" s="10">
        <f t="shared" si="3"/>
        <v>8</v>
      </c>
      <c r="L57" s="17">
        <f>IF(A57&gt;$H$5,"",MATCH(A57,'[1]粘贴_账务明细'!$O$4:$O$3003,0))</f>
        <v>161</v>
      </c>
    </row>
    <row r="58">
      <c r="A58" s="10" t="n">
        <v>30</v>
      </c>
      <c r="B58" s="6" t="str">
        <f>IF($L58="","",INDEX('[1]粘贴_账务明细'!$A$4:$A$3003,$L58))</f>
        <v>260921-081254172290608</v>
      </c>
      <c r="C58" s="16">
        <f>IF($L58="","",INDEX('[1]粘贴_账务明细'!$H$4:$H$3003,$L58))</f>
        <v>46286.93785879629</v>
      </c>
      <c r="D58" s="11">
        <f>IF($L58="","",SUMIFS('[1]粘贴_账务明细'!$K$4:$K$3003,'[1]粘贴_账务明细'!$A$4:$A$3003,$B58,'[1]粘贴_账务明细'!$L$4:$L$3003,"订单收入")+SUMIFS('[1]粘贴_账务明细'!$K$4:$K$3003,'[1]粘贴_账务明细'!$A$4:$A$3003,$B58,'[1]粘贴_账务明细'!$L$4:$L$3003,"优惠券结算"))</f>
        <v>3499</v>
      </c>
      <c r="E58" s="11">
        <f t="shared" si="0"/>
        <v>48.99</v>
      </c>
      <c r="F58" s="11">
        <f>IF($L58="","",-SUMIFS('[1]粘贴_账务明细'!$K$4:$K$3003,'[1]粘贴_账务明细'!$A$4:$A$3003,$B58,'[1]粘贴_账务明细'!$L$4:$L$3003,"百亿补贴技术服务费"))</f>
        <v>0</v>
      </c>
      <c r="G58" s="11">
        <f>IF($L58="","",SUMIFS('[1]粘贴_服务费返还'!$M$4:$M$3003,'[1]粘贴_服务费返还'!$N$4:$N$3003,$B58,'[1]粘贴_服务费返还'!$O$4:$O$3003,"返还"))</f>
        <v>0</v>
      </c>
      <c r="H58" s="11">
        <f>IF($L58="","",SUMIFS('[1]粘贴_服务费返还'!$M$4:$M$3003,'[1]粘贴_服务费返还'!$N$4:$N$3003,$B58,'[1]粘贴_服务费返还'!$O$4:$O$3003,"扣回"))</f>
        <v>0</v>
      </c>
      <c r="I58" s="11">
        <f t="shared" si="1"/>
        <v>0</v>
      </c>
      <c r="J58" s="6" t="str">
        <f t="shared" si="2"/>
        <v>订单已退款，百亿费已原路退回，不用返</v>
      </c>
      <c r="K58" s="10">
        <f t="shared" si="3"/>
        <v>9</v>
      </c>
      <c r="L58" s="17">
        <f>IF(A58&gt;$H$5,"",MATCH(A58,'[1]粘贴_账务明细'!$O$4:$O$3003,0))</f>
        <v>169</v>
      </c>
    </row>
    <row r="59">
      <c r="A59" s="10" t="n">
        <v>31</v>
      </c>
      <c r="B59" s="6" t="str">
        <f>IF($L59="","",INDEX('[1]粘贴_账务明细'!$A$4:$A$3003,$L59))</f>
        <v>260921-349511360061318</v>
      </c>
      <c r="C59" s="16">
        <f>IF($L59="","",INDEX('[1]粘贴_账务明细'!$H$4:$H$3003,$L59))</f>
        <v>46286.552708333336</v>
      </c>
      <c r="D59" s="11">
        <f>IF($L59="","",SUMIFS('[1]粘贴_账务明细'!$K$4:$K$3003,'[1]粘贴_账务明细'!$A$4:$A$3003,$B59,'[1]粘贴_账务明细'!$L$4:$L$3003,"订单收入")+SUMIFS('[1]粘贴_账务明细'!$K$4:$K$3003,'[1]粘贴_账务明细'!$A$4:$A$3003,$B59,'[1]粘贴_账务明细'!$L$4:$L$3003,"优惠券结算"))</f>
        <v>3589</v>
      </c>
      <c r="E59" s="11">
        <f t="shared" si="0"/>
        <v>50.25</v>
      </c>
      <c r="F59" s="11">
        <f>IF($L59="","",-SUMIFS('[1]粘贴_账务明细'!$K$4:$K$3003,'[1]粘贴_账务明细'!$A$4:$A$3003,$B59,'[1]粘贴_账务明细'!$L$4:$L$3003,"百亿补贴技术服务费"))</f>
        <v>0</v>
      </c>
      <c r="G59" s="11">
        <f>IF($L59="","",SUMIFS('[1]粘贴_服务费返还'!$M$4:$M$3003,'[1]粘贴_服务费返还'!$N$4:$N$3003,$B59,'[1]粘贴_服务费返还'!$O$4:$O$3003,"返还"))</f>
        <v>0</v>
      </c>
      <c r="H59" s="11">
        <f>IF($L59="","",SUMIFS('[1]粘贴_服务费返还'!$M$4:$M$3003,'[1]粘贴_服务费返还'!$N$4:$N$3003,$B59,'[1]粘贴_服务费返还'!$O$4:$O$3003,"扣回"))</f>
        <v>0</v>
      </c>
      <c r="I59" s="11">
        <f t="shared" si="1"/>
        <v>0</v>
      </c>
      <c r="J59" s="6" t="str">
        <f t="shared" si="2"/>
        <v>订单已退款，百亿费已原路退回，不用返</v>
      </c>
      <c r="K59" s="10">
        <f t="shared" si="3"/>
        <v>9</v>
      </c>
      <c r="L59" s="17">
        <f>IF(A59&gt;$H$5,"",MATCH(A59,'[1]粘贴_账务明细'!$O$4:$O$3003,0))</f>
        <v>178</v>
      </c>
    </row>
    <row r="60">
      <c r="A60" s="10" t="n">
        <v>32</v>
      </c>
      <c r="B60" s="6" t="str">
        <f>IF($L60="","",INDEX('[1]粘贴_账务明细'!$A$4:$A$3003,$L60))</f>
        <v>260921-676079869501318</v>
      </c>
      <c r="C60" s="16">
        <f>IF($L60="","",INDEX('[1]粘贴_账务明细'!$H$4:$H$3003,$L60))</f>
        <v>46286.54924768519</v>
      </c>
      <c r="D60" s="11">
        <f>IF($L60="","",SUMIFS('[1]粘贴_账务明细'!$K$4:$K$3003,'[1]粘贴_账务明细'!$A$4:$A$3003,$B60,'[1]粘贴_账务明细'!$L$4:$L$3003,"订单收入")+SUMIFS('[1]粘贴_账务明细'!$K$4:$K$3003,'[1]粘贴_账务明细'!$A$4:$A$3003,$B60,'[1]粘贴_账务明细'!$L$4:$L$3003,"优惠券结算"))</f>
        <v>3499</v>
      </c>
      <c r="E60" s="11">
        <f t="shared" si="0"/>
        <v>48.99</v>
      </c>
      <c r="F60" s="11">
        <f>IF($L60="","",-SUMIFS('[1]粘贴_账务明细'!$K$4:$K$3003,'[1]粘贴_账务明细'!$A$4:$A$3003,$B60,'[1]粘贴_账务明细'!$L$4:$L$3003,"百亿补贴技术服务费"))</f>
        <v>0</v>
      </c>
      <c r="G60" s="11">
        <f>IF($L60="","",SUMIFS('[1]粘贴_服务费返还'!$M$4:$M$3003,'[1]粘贴_服务费返还'!$N$4:$N$3003,$B60,'[1]粘贴_服务费返还'!$O$4:$O$3003,"返还"))</f>
        <v>0</v>
      </c>
      <c r="H60" s="11">
        <f>IF($L60="","",SUMIFS('[1]粘贴_服务费返还'!$M$4:$M$3003,'[1]粘贴_服务费返还'!$N$4:$N$3003,$B60,'[1]粘贴_服务费返还'!$O$4:$O$3003,"扣回"))</f>
        <v>0</v>
      </c>
      <c r="I60" s="11">
        <f t="shared" si="1"/>
        <v>0</v>
      </c>
      <c r="J60" s="6" t="str">
        <f t="shared" si="2"/>
        <v>订单已退款，百亿费已原路退回，不用返</v>
      </c>
      <c r="K60" s="10">
        <f t="shared" si="3"/>
        <v>9</v>
      </c>
      <c r="L60" s="17">
        <f>IF(A60&gt;$H$5,"",MATCH(A60,'[1]粘贴_账务明细'!$O$4:$O$3003,0))</f>
        <v>184</v>
      </c>
    </row>
    <row r="61">
      <c r="A61" s="10" t="n">
        <v>33</v>
      </c>
      <c r="B61" s="6" t="str">
        <f>IF($L61="","",INDEX('[1]粘贴_账务明细'!$A$4:$A$3003,$L61))</f>
        <v>260921-333541557881233</v>
      </c>
      <c r="C61" s="16">
        <f>IF($L61="","",INDEX('[1]粘贴_账务明细'!$H$4:$H$3003,$L61))</f>
        <v>46286.53533564815</v>
      </c>
      <c r="D61" s="11">
        <f>IF($L61="","",SUMIFS('[1]粘贴_账务明细'!$K$4:$K$3003,'[1]粘贴_账务明细'!$A$4:$A$3003,$B61,'[1]粘贴_账务明细'!$L$4:$L$3003,"订单收入")+SUMIFS('[1]粘贴_账务明细'!$K$4:$K$3003,'[1]粘贴_账务明细'!$A$4:$A$3003,$B61,'[1]粘贴_账务明细'!$L$4:$L$3003,"优惠券结算"))</f>
        <v>3499</v>
      </c>
      <c r="E61" s="11">
        <f t="shared" si="0"/>
        <v>48.99</v>
      </c>
      <c r="F61" s="11">
        <f>IF($L61="","",-SUMIFS('[1]粘贴_账务明细'!$K$4:$K$3003,'[1]粘贴_账务明细'!$A$4:$A$3003,$B61,'[1]粘贴_账务明细'!$L$4:$L$3003,"百亿补贴技术服务费"))</f>
        <v>0</v>
      </c>
      <c r="G61" s="11">
        <f>IF($L61="","",SUMIFS('[1]粘贴_服务费返还'!$M$4:$M$3003,'[1]粘贴_服务费返还'!$N$4:$N$3003,$B61,'[1]粘贴_服务费返还'!$O$4:$O$3003,"返还"))</f>
        <v>0</v>
      </c>
      <c r="H61" s="11">
        <f>IF($L61="","",SUMIFS('[1]粘贴_服务费返还'!$M$4:$M$3003,'[1]粘贴_服务费返还'!$N$4:$N$3003,$B61,'[1]粘贴_服务费返还'!$O$4:$O$3003,"扣回"))</f>
        <v>0</v>
      </c>
      <c r="I61" s="11">
        <f t="shared" si="1"/>
        <v>0</v>
      </c>
      <c r="J61" s="6" t="str">
        <f t="shared" si="2"/>
        <v>订单已退款，百亿费已原路退回，不用返</v>
      </c>
      <c r="K61" s="10">
        <f t="shared" si="3"/>
        <v>9</v>
      </c>
      <c r="L61" s="17">
        <f>IF(A61&gt;$H$5,"",MATCH(A61,'[1]粘贴_账务明细'!$O$4:$O$3003,0))</f>
        <v>190</v>
      </c>
    </row>
    <row r="62">
      <c r="A62" s="10" t="n">
        <v>34</v>
      </c>
      <c r="B62" s="6" t="str">
        <f>IF($L62="","",INDEX('[1]粘贴_账务明细'!$A$4:$A$3003,$L62))</f>
        <v>260910-161763847790976</v>
      </c>
      <c r="C62" s="16">
        <f>IF($L62="","",INDEX('[1]粘贴_账务明细'!$H$4:$H$3003,$L62))</f>
        <v>46286.42775462963</v>
      </c>
      <c r="D62" s="11">
        <f>IF($L62="","",SUMIFS('[1]粘贴_账务明细'!$K$4:$K$3003,'[1]粘贴_账务明细'!$A$4:$A$3003,$B62,'[1]粘贴_账务明细'!$L$4:$L$3003,"订单收入")+SUMIFS('[1]粘贴_账务明细'!$K$4:$K$3003,'[1]粘贴_账务明细'!$A$4:$A$3003,$B62,'[1]粘贴_账务明细'!$L$4:$L$3003,"优惠券结算"))</f>
        <v>3799</v>
      </c>
      <c r="E62" s="11">
        <f t="shared" si="0"/>
        <v>53.19</v>
      </c>
      <c r="F62" s="11">
        <f>IF($L62="","",-SUMIFS('[1]粘贴_账务明细'!$K$4:$K$3003,'[1]粘贴_账务明细'!$A$4:$A$3003,$B62,'[1]粘贴_账务明细'!$L$4:$L$3003,"百亿补贴技术服务费"))</f>
        <v>53.19</v>
      </c>
      <c r="G62" s="11">
        <f>IF($L62="","",SUMIFS('[1]粘贴_服务费返还'!$M$4:$M$3003,'[1]粘贴_服务费返还'!$N$4:$N$3003,$B62,'[1]粘贴_服务费返还'!$O$4:$O$3003,"返还"))</f>
        <v>0</v>
      </c>
      <c r="H62" s="11">
        <f>IF($L62="","",SUMIFS('[1]粘贴_服务费返还'!$M$4:$M$3003,'[1]粘贴_服务费返还'!$N$4:$N$3003,$B62,'[1]粘贴_服务费返还'!$O$4:$O$3003,"扣回"))</f>
        <v>0</v>
      </c>
      <c r="I62" s="11">
        <f t="shared" si="1"/>
        <v>53.19</v>
      </c>
      <c r="J62" s="6" t="str">
        <f t="shared" si="2"/>
        <v>扣了还没返</v>
      </c>
      <c r="K62" s="10">
        <f t="shared" si="3"/>
        <v>9</v>
      </c>
      <c r="L62" s="17">
        <f>IF(A62&gt;$H$5,"",MATCH(A62,'[1]粘贴_账务明细'!$O$4:$O$3003,0))</f>
        <v>196</v>
      </c>
    </row>
    <row r="63">
      <c r="A63" s="10" t="n">
        <v>35</v>
      </c>
      <c r="B63" s="6" t="str">
        <f>IF($L63="","",INDEX('[1]粘贴_账务明细'!$A$4:$A$3003,$L63))</f>
        <v>260921-569303385613915</v>
      </c>
      <c r="C63" s="16">
        <f>IF($L63="","",INDEX('[1]粘贴_账务明细'!$H$4:$H$3003,$L63))</f>
        <v>46286.100497685184</v>
      </c>
      <c r="D63" s="11">
        <f>IF($L63="","",SUMIFS('[1]粘贴_账务明细'!$K$4:$K$3003,'[1]粘贴_账务明细'!$A$4:$A$3003,$B63,'[1]粘贴_账务明细'!$L$4:$L$3003,"订单收入")+SUMIFS('[1]粘贴_账务明细'!$K$4:$K$3003,'[1]粘贴_账务明细'!$A$4:$A$3003,$B63,'[1]粘贴_账务明细'!$L$4:$L$3003,"优惠券结算"))</f>
        <v>3589</v>
      </c>
      <c r="E63" s="11">
        <f t="shared" si="0"/>
        <v>50.25</v>
      </c>
      <c r="F63" s="11">
        <f>IF($L63="","",-SUMIFS('[1]粘贴_账务明细'!$K$4:$K$3003,'[1]粘贴_账务明细'!$A$4:$A$3003,$B63,'[1]粘贴_账务明细'!$L$4:$L$3003,"百亿补贴技术服务费"))</f>
        <v>0</v>
      </c>
      <c r="G63" s="11">
        <f>IF($L63="","",SUMIFS('[1]粘贴_服务费返还'!$M$4:$M$3003,'[1]粘贴_服务费返还'!$N$4:$N$3003,$B63,'[1]粘贴_服务费返还'!$O$4:$O$3003,"返还"))</f>
        <v>0</v>
      </c>
      <c r="H63" s="11">
        <f>IF($L63="","",SUMIFS('[1]粘贴_服务费返还'!$M$4:$M$3003,'[1]粘贴_服务费返还'!$N$4:$N$3003,$B63,'[1]粘贴_服务费返还'!$O$4:$O$3003,"扣回"))</f>
        <v>0</v>
      </c>
      <c r="I63" s="11">
        <f t="shared" si="1"/>
        <v>0</v>
      </c>
      <c r="J63" s="6" t="str">
        <f t="shared" si="2"/>
        <v>订单已退款，百亿费已原路退回，不用返</v>
      </c>
      <c r="K63" s="10">
        <f t="shared" si="3"/>
        <v>9</v>
      </c>
      <c r="L63" s="17">
        <f>IF(A63&gt;$H$5,"",MATCH(A63,'[1]粘贴_账务明细'!$O$4:$O$3003,0))</f>
        <v>200</v>
      </c>
    </row>
    <row r="64">
      <c r="A64" s="10" t="n">
        <v>36</v>
      </c>
      <c r="B64" s="6" t="str">
        <f>IF($L64="","",INDEX('[1]粘贴_账务明细'!$A$4:$A$3003,$L64))</f>
        <v>260920-453640272162767</v>
      </c>
      <c r="C64" s="16">
        <f>IF($L64="","",INDEX('[1]粘贴_账务明细'!$H$4:$H$3003,$L64))</f>
        <v>46285.96550925926</v>
      </c>
      <c r="D64" s="11">
        <f>IF($L64="","",SUMIFS('[1]粘贴_账务明细'!$K$4:$K$3003,'[1]粘贴_账务明细'!$A$4:$A$3003,$B64,'[1]粘贴_账务明细'!$L$4:$L$3003,"订单收入")+SUMIFS('[1]粘贴_账务明细'!$K$4:$K$3003,'[1]粘贴_账务明细'!$A$4:$A$3003,$B64,'[1]粘贴_账务明细'!$L$4:$L$3003,"优惠券结算"))</f>
        <v>3499</v>
      </c>
      <c r="E64" s="11">
        <f t="shared" si="0"/>
        <v>48.99</v>
      </c>
      <c r="F64" s="11">
        <f>IF($L64="","",-SUMIFS('[1]粘贴_账务明细'!$K$4:$K$3003,'[1]粘贴_账务明细'!$A$4:$A$3003,$B64,'[1]粘贴_账务明细'!$L$4:$L$3003,"百亿补贴技术服务费"))</f>
        <v>0</v>
      </c>
      <c r="G64" s="11">
        <f>IF($L64="","",SUMIFS('[1]粘贴_服务费返还'!$M$4:$M$3003,'[1]粘贴_服务费返还'!$N$4:$N$3003,$B64,'[1]粘贴_服务费返还'!$O$4:$O$3003,"返还"))</f>
        <v>0</v>
      </c>
      <c r="H64" s="11">
        <f>IF($L64="","",SUMIFS('[1]粘贴_服务费返还'!$M$4:$M$3003,'[1]粘贴_服务费返还'!$N$4:$N$3003,$B64,'[1]粘贴_服务费返还'!$O$4:$O$3003,"扣回"))</f>
        <v>0</v>
      </c>
      <c r="I64" s="11">
        <f t="shared" si="1"/>
        <v>0</v>
      </c>
      <c r="J64" s="6" t="str">
        <f t="shared" si="2"/>
        <v>订单已退款，百亿费已原路退回，不用返</v>
      </c>
      <c r="K64" s="10">
        <f t="shared" si="3"/>
        <v>10</v>
      </c>
      <c r="L64" s="17">
        <f>IF(A64&gt;$H$5,"",MATCH(A64,'[1]粘贴_账务明细'!$O$4:$O$3003,0))</f>
        <v>206</v>
      </c>
    </row>
    <row r="65">
      <c r="A65" s="10" t="n">
        <v>37</v>
      </c>
      <c r="B65" s="6" t="str">
        <f>IF($L65="","",INDEX('[1]粘贴_账务明细'!$A$4:$A$3003,$L65))</f>
        <v>260918-097570077082028</v>
      </c>
      <c r="C65" s="16">
        <f>IF($L65="","",INDEX('[1]粘贴_账务明细'!$H$4:$H$3003,$L65))</f>
        <v>46285.691666666666</v>
      </c>
      <c r="D65" s="11">
        <f>IF($L65="","",SUMIFS('[1]粘贴_账务明细'!$K$4:$K$3003,'[1]粘贴_账务明细'!$A$4:$A$3003,$B65,'[1]粘贴_账务明细'!$L$4:$L$3003,"订单收入")+SUMIFS('[1]粘贴_账务明细'!$K$4:$K$3003,'[1]粘贴_账务明细'!$A$4:$A$3003,$B65,'[1]粘贴_账务明细'!$L$4:$L$3003,"优惠券结算"))</f>
        <v>3589</v>
      </c>
      <c r="E65" s="11">
        <f t="shared" si="0"/>
        <v>50.25</v>
      </c>
      <c r="F65" s="11">
        <f>IF($L65="","",-SUMIFS('[1]粘贴_账务明细'!$K$4:$K$3003,'[1]粘贴_账务明细'!$A$4:$A$3003,$B65,'[1]粘贴_账务明细'!$L$4:$L$3003,"百亿补贴技术服务费"))</f>
        <v>50.25</v>
      </c>
      <c r="G65" s="11">
        <f>IF($L65="","",SUMIFS('[1]粘贴_服务费返还'!$M$4:$M$3003,'[1]粘贴_服务费返还'!$N$4:$N$3003,$B65,'[1]粘贴_服务费返还'!$O$4:$O$3003,"返还"))</f>
        <v>0</v>
      </c>
      <c r="H65" s="11">
        <f>IF($L65="","",SUMIFS('[1]粘贴_服务费返还'!$M$4:$M$3003,'[1]粘贴_服务费返还'!$N$4:$N$3003,$B65,'[1]粘贴_服务费返还'!$O$4:$O$3003,"扣回"))</f>
        <v>0</v>
      </c>
      <c r="I65" s="11">
        <f t="shared" si="1"/>
        <v>50.25</v>
      </c>
      <c r="J65" s="6" t="str">
        <f t="shared" si="2"/>
        <v>扣了还没返</v>
      </c>
      <c r="K65" s="10">
        <f t="shared" si="3"/>
        <v>10</v>
      </c>
      <c r="L65" s="17">
        <f>IF(A65&gt;$H$5,"",MATCH(A65,'[1]粘贴_账务明细'!$O$4:$O$3003,0))</f>
        <v>211</v>
      </c>
    </row>
    <row r="66">
      <c r="A66" s="10" t="n">
        <v>38</v>
      </c>
      <c r="B66" s="6" t="str">
        <f>IF($L66="","",INDEX('[1]粘贴_账务明细'!$A$4:$A$3003,$L66))</f>
        <v>260910-136608488990712</v>
      </c>
      <c r="C66" s="16">
        <f>IF($L66="","",INDEX('[1]粘贴_账务明细'!$H$4:$H$3003,$L66))</f>
        <v>46285.4659375</v>
      </c>
      <c r="D66" s="11">
        <f>IF($L66="","",SUMIFS('[1]粘贴_账务明细'!$K$4:$K$3003,'[1]粘贴_账务明细'!$A$4:$A$3003,$B66,'[1]粘贴_账务明细'!$L$4:$L$3003,"订单收入")+SUMIFS('[1]粘贴_账务明细'!$K$4:$K$3003,'[1]粘贴_账务明细'!$A$4:$A$3003,$B66,'[1]粘贴_账务明细'!$L$4:$L$3003,"优惠券结算"))</f>
        <v>3599</v>
      </c>
      <c r="E66" s="11">
        <f t="shared" si="0"/>
        <v>50.39</v>
      </c>
      <c r="F66" s="11">
        <f>IF($L66="","",-SUMIFS('[1]粘贴_账务明细'!$K$4:$K$3003,'[1]粘贴_账务明细'!$A$4:$A$3003,$B66,'[1]粘贴_账务明细'!$L$4:$L$3003,"百亿补贴技术服务费"))</f>
        <v>50.39</v>
      </c>
      <c r="G66" s="11">
        <f>IF($L66="","",SUMIFS('[1]粘贴_服务费返还'!$M$4:$M$3003,'[1]粘贴_服务费返还'!$N$4:$N$3003,$B66,'[1]粘贴_服务费返还'!$O$4:$O$3003,"返还"))</f>
        <v>0</v>
      </c>
      <c r="H66" s="11">
        <f>IF($L66="","",SUMIFS('[1]粘贴_服务费返还'!$M$4:$M$3003,'[1]粘贴_服务费返还'!$N$4:$N$3003,$B66,'[1]粘贴_服务费返还'!$O$4:$O$3003,"扣回"))</f>
        <v>0</v>
      </c>
      <c r="I66" s="11">
        <f t="shared" si="1"/>
        <v>50.39</v>
      </c>
      <c r="J66" s="6" t="str">
        <f t="shared" si="2"/>
        <v>扣了还没返</v>
      </c>
      <c r="K66" s="10">
        <f t="shared" si="3"/>
        <v>10</v>
      </c>
      <c r="L66" s="17">
        <f>IF(A66&gt;$H$5,"",MATCH(A66,'[1]粘贴_账务明细'!$O$4:$O$3003,0))</f>
        <v>216</v>
      </c>
    </row>
    <row r="67">
      <c r="A67" s="10" t="n">
        <v>39</v>
      </c>
      <c r="B67" s="6" t="str">
        <f>IF($L67="","",INDEX('[1]粘贴_账务明细'!$A$4:$A$3003,$L67))</f>
        <v>260917-256985076122028</v>
      </c>
      <c r="C67" s="16">
        <f>IF($L67="","",INDEX('[1]粘贴_账务明细'!$H$4:$H$3003,$L67))</f>
        <v>46282.9896875</v>
      </c>
      <c r="D67" s="11">
        <f>IF($L67="","",SUMIFS('[1]粘贴_账务明细'!$K$4:$K$3003,'[1]粘贴_账务明细'!$A$4:$A$3003,$B67,'[1]粘贴_账务明细'!$L$4:$L$3003,"订单收入")+SUMIFS('[1]粘贴_账务明细'!$K$4:$K$3003,'[1]粘贴_账务明细'!$A$4:$A$3003,$B67,'[1]粘贴_账务明细'!$L$4:$L$3003,"优惠券结算"))</f>
        <v>3589</v>
      </c>
      <c r="E67" s="11">
        <f t="shared" si="0"/>
        <v>50.25</v>
      </c>
      <c r="F67" s="11">
        <f>IF($L67="","",-SUMIFS('[1]粘贴_账务明细'!$K$4:$K$3003,'[1]粘贴_账务明细'!$A$4:$A$3003,$B67,'[1]粘贴_账务明细'!$L$4:$L$3003,"百亿补贴技术服务费"))</f>
        <v>0</v>
      </c>
      <c r="G67" s="11">
        <f>IF($L67="","",SUMIFS('[1]粘贴_服务费返还'!$M$4:$M$3003,'[1]粘贴_服务费返还'!$N$4:$N$3003,$B67,'[1]粘贴_服务费返还'!$O$4:$O$3003,"返还"))</f>
        <v>0</v>
      </c>
      <c r="H67" s="11">
        <f>IF($L67="","",SUMIFS('[1]粘贴_服务费返还'!$M$4:$M$3003,'[1]粘贴_服务费返还'!$N$4:$N$3003,$B67,'[1]粘贴_服务费返还'!$O$4:$O$3003,"扣回"))</f>
        <v>0</v>
      </c>
      <c r="I67" s="11">
        <f t="shared" si="1"/>
        <v>0</v>
      </c>
      <c r="J67" s="6" t="str">
        <f t="shared" si="2"/>
        <v>订单已退款，百亿费已原路退回，不用返</v>
      </c>
      <c r="K67" s="10">
        <f t="shared" si="3"/>
        <v>13</v>
      </c>
      <c r="L67" s="17">
        <f>IF(A67&gt;$H$5,"",MATCH(A67,'[1]粘贴_账务明细'!$O$4:$O$3003,0))</f>
        <v>219</v>
      </c>
    </row>
    <row r="68">
      <c r="A68" s="10" t="n">
        <v>40</v>
      </c>
      <c r="B68" s="6" t="str">
        <f>IF($L68="","",INDEX('[1]粘贴_账务明细'!$A$4:$A$3003,$L68))</f>
        <v>260917-581215219343116</v>
      </c>
      <c r="C68" s="16">
        <f>IF($L68="","",INDEX('[1]粘贴_账务明细'!$H$4:$H$3003,$L68))</f>
        <v>46282.47282407407</v>
      </c>
      <c r="D68" s="11">
        <f>IF($L68="","",SUMIFS('[1]粘贴_账务明细'!$K$4:$K$3003,'[1]粘贴_账务明细'!$A$4:$A$3003,$B68,'[1]粘贴_账务明细'!$L$4:$L$3003,"订单收入")+SUMIFS('[1]粘贴_账务明细'!$K$4:$K$3003,'[1]粘贴_账务明细'!$A$4:$A$3003,$B68,'[1]粘贴_账务明细'!$L$4:$L$3003,"优惠券结算"))</f>
        <v>3599</v>
      </c>
      <c r="E68" s="11">
        <f t="shared" si="0"/>
        <v>50.39</v>
      </c>
      <c r="F68" s="11">
        <f>IF($L68="","",-SUMIFS('[1]粘贴_账务明细'!$K$4:$K$3003,'[1]粘贴_账务明细'!$A$4:$A$3003,$B68,'[1]粘贴_账务明细'!$L$4:$L$3003,"百亿补贴技术服务费"))</f>
        <v>0</v>
      </c>
      <c r="G68" s="11">
        <f>IF($L68="","",SUMIFS('[1]粘贴_服务费返还'!$M$4:$M$3003,'[1]粘贴_服务费返还'!$N$4:$N$3003,$B68,'[1]粘贴_服务费返还'!$O$4:$O$3003,"返还"))</f>
        <v>0</v>
      </c>
      <c r="H68" s="11">
        <f>IF($L68="","",SUMIFS('[1]粘贴_服务费返还'!$M$4:$M$3003,'[1]粘贴_服务费返还'!$N$4:$N$3003,$B68,'[1]粘贴_服务费返还'!$O$4:$O$3003,"扣回"))</f>
        <v>0</v>
      </c>
      <c r="I68" s="11">
        <f t="shared" si="1"/>
        <v>0</v>
      </c>
      <c r="J68" s="6" t="str">
        <f t="shared" si="2"/>
        <v>订单已退款，百亿费已原路退回，不用返</v>
      </c>
      <c r="K68" s="10">
        <f t="shared" si="3"/>
        <v>13</v>
      </c>
      <c r="L68" s="17">
        <f>IF(A68&gt;$H$5,"",MATCH(A68,'[1]粘贴_账务明细'!$O$4:$O$3003,0))</f>
        <v>225</v>
      </c>
    </row>
    <row r="69">
      <c r="A69" s="10" t="n">
        <v>41</v>
      </c>
      <c r="B69" s="6" t="str">
        <f>IF($L69="","",INDEX('[1]粘贴_账务明细'!$A$4:$A$3003,$L69))</f>
        <v>260906-239075335712309</v>
      </c>
      <c r="C69" s="16">
        <f>IF($L69="","",INDEX('[1]粘贴_账务明细'!$H$4:$H$3003,$L69))</f>
        <v>46281.58045138889</v>
      </c>
      <c r="D69" s="11">
        <f>IF($L69="","",SUMIFS('[1]粘贴_账务明细'!$K$4:$K$3003,'[1]粘贴_账务明细'!$A$4:$A$3003,$B69,'[1]粘贴_账务明细'!$L$4:$L$3003,"订单收入")+SUMIFS('[1]粘贴_账务明细'!$K$4:$K$3003,'[1]粘贴_账务明细'!$A$4:$A$3003,$B69,'[1]粘贴_账务明细'!$L$4:$L$3003,"优惠券结算"))</f>
        <v>3599</v>
      </c>
      <c r="E69" s="11">
        <f t="shared" si="0"/>
        <v>50.39</v>
      </c>
      <c r="F69" s="11">
        <f>IF($L69="","",-SUMIFS('[1]粘贴_账务明细'!$K$4:$K$3003,'[1]粘贴_账务明细'!$A$4:$A$3003,$B69,'[1]粘贴_账务明细'!$L$4:$L$3003,"百亿补贴技术服务费"))</f>
        <v>50.39</v>
      </c>
      <c r="G69" s="11">
        <f>IF($L69="","",SUMIFS('[1]粘贴_服务费返还'!$M$4:$M$3003,'[1]粘贴_服务费返还'!$N$4:$N$3003,$B69,'[1]粘贴_服务费返还'!$O$4:$O$3003,"返还"))</f>
        <v>0</v>
      </c>
      <c r="H69" s="11">
        <f>IF($L69="","",SUMIFS('[1]粘贴_服务费返还'!$M$4:$M$3003,'[1]粘贴_服务费返还'!$N$4:$N$3003,$B69,'[1]粘贴_服务费返还'!$O$4:$O$3003,"扣回"))</f>
        <v>0</v>
      </c>
      <c r="I69" s="11">
        <f t="shared" si="1"/>
        <v>50.39</v>
      </c>
      <c r="J69" s="6" t="str">
        <f t="shared" si="2"/>
        <v>扣了还没返</v>
      </c>
      <c r="K69" s="10">
        <f t="shared" si="3"/>
        <v>14</v>
      </c>
      <c r="L69" s="17">
        <f>IF(A69&gt;$H$5,"",MATCH(A69,'[1]粘贴_账务明细'!$O$4:$O$3003,0))</f>
        <v>230</v>
      </c>
    </row>
    <row r="70">
      <c r="A70" s="10" t="n">
        <v>42</v>
      </c>
      <c r="B70" s="6" t="str">
        <f>IF($L70="","",INDEX('[1]粘贴_账务明细'!$A$4:$A$3003,$L70))</f>
        <v>260915-330941141331317</v>
      </c>
      <c r="C70" s="16">
        <f>IF($L70="","",INDEX('[1]粘贴_账务明细'!$H$4:$H$3003,$L70))</f>
        <v>46280.81659722222</v>
      </c>
      <c r="D70" s="11">
        <f>IF($L70="","",SUMIFS('[1]粘贴_账务明细'!$K$4:$K$3003,'[1]粘贴_账务明细'!$A$4:$A$3003,$B70,'[1]粘贴_账务明细'!$L$4:$L$3003,"订单收入")+SUMIFS('[1]粘贴_账务明细'!$K$4:$K$3003,'[1]粘贴_账务明细'!$A$4:$A$3003,$B70,'[1]粘贴_账务明细'!$L$4:$L$3003,"优惠券结算"))</f>
        <v>3599</v>
      </c>
      <c r="E70" s="11">
        <f t="shared" si="0"/>
        <v>50.39</v>
      </c>
      <c r="F70" s="11">
        <f>IF($L70="","",-SUMIFS('[1]粘贴_账务明细'!$K$4:$K$3003,'[1]粘贴_账务明细'!$A$4:$A$3003,$B70,'[1]粘贴_账务明细'!$L$4:$L$3003,"百亿补贴技术服务费"))</f>
        <v>0</v>
      </c>
      <c r="G70" s="11">
        <f>IF($L70="","",SUMIFS('[1]粘贴_服务费返还'!$M$4:$M$3003,'[1]粘贴_服务费返还'!$N$4:$N$3003,$B70,'[1]粘贴_服务费返还'!$O$4:$O$3003,"返还"))</f>
        <v>0</v>
      </c>
      <c r="H70" s="11">
        <f>IF($L70="","",SUMIFS('[1]粘贴_服务费返还'!$M$4:$M$3003,'[1]粘贴_服务费返还'!$N$4:$N$3003,$B70,'[1]粘贴_服务费返还'!$O$4:$O$3003,"扣回"))</f>
        <v>0</v>
      </c>
      <c r="I70" s="11">
        <f t="shared" si="1"/>
        <v>0</v>
      </c>
      <c r="J70" s="6" t="str">
        <f t="shared" si="2"/>
        <v>订单已退款，百亿费已原路退回，不用返</v>
      </c>
      <c r="K70" s="10">
        <f t="shared" si="3"/>
        <v>15</v>
      </c>
      <c r="L70" s="17">
        <f>IF(A70&gt;$H$5,"",MATCH(A70,'[1]粘贴_账务明细'!$O$4:$O$3003,0))</f>
        <v>234</v>
      </c>
    </row>
    <row r="71">
      <c r="A71" s="10" t="n">
        <v>43</v>
      </c>
      <c r="B71" s="6" t="str">
        <f>IF($L71="","",INDEX('[1]粘贴_账务明细'!$A$4:$A$3003,$L71))</f>
        <v>260914-204398979441383</v>
      </c>
      <c r="C71" s="16">
        <f>IF($L71="","",INDEX('[1]粘贴_账务明细'!$H$4:$H$3003,$L71))</f>
        <v>46279.3790625</v>
      </c>
      <c r="D71" s="11">
        <f>IF($L71="","",SUMIFS('[1]粘贴_账务明细'!$K$4:$K$3003,'[1]粘贴_账务明细'!$A$4:$A$3003,$B71,'[1]粘贴_账务明细'!$L$4:$L$3003,"订单收入")+SUMIFS('[1]粘贴_账务明细'!$K$4:$K$3003,'[1]粘贴_账务明细'!$A$4:$A$3003,$B71,'[1]粘贴_账务明细'!$L$4:$L$3003,"优惠券结算"))</f>
        <v>3599</v>
      </c>
      <c r="E71" s="11">
        <f t="shared" si="0"/>
        <v>50.39</v>
      </c>
      <c r="F71" s="11">
        <f>IF($L71="","",-SUMIFS('[1]粘贴_账务明细'!$K$4:$K$3003,'[1]粘贴_账务明细'!$A$4:$A$3003,$B71,'[1]粘贴_账务明细'!$L$4:$L$3003,"百亿补贴技术服务费"))</f>
        <v>0</v>
      </c>
      <c r="G71" s="11">
        <f>IF($L71="","",SUMIFS('[1]粘贴_服务费返还'!$M$4:$M$3003,'[1]粘贴_服务费返还'!$N$4:$N$3003,$B71,'[1]粘贴_服务费返还'!$O$4:$O$3003,"返还"))</f>
        <v>0</v>
      </c>
      <c r="H71" s="11">
        <f>IF($L71="","",SUMIFS('[1]粘贴_服务费返还'!$M$4:$M$3003,'[1]粘贴_服务费返还'!$N$4:$N$3003,$B71,'[1]粘贴_服务费返还'!$O$4:$O$3003,"扣回"))</f>
        <v>0</v>
      </c>
      <c r="I71" s="11">
        <f t="shared" si="1"/>
        <v>0</v>
      </c>
      <c r="J71" s="6" t="str">
        <f t="shared" si="2"/>
        <v>订单已退款，百亿费已原路退回，不用返</v>
      </c>
      <c r="K71" s="10">
        <f t="shared" si="3"/>
        <v>16</v>
      </c>
      <c r="L71" s="17">
        <f>IF(A71&gt;$H$5,"",MATCH(A71,'[1]粘贴_账务明细'!$O$4:$O$3003,0))</f>
        <v>246</v>
      </c>
    </row>
    <row r="72">
      <c r="A72" s="10" t="n">
        <v>44</v>
      </c>
      <c r="B72" s="6" t="str">
        <f>IF($L72="","",INDEX('[1]粘贴_账务明细'!$A$4:$A$3003,$L72))</f>
        <v>260902-023834170953239</v>
      </c>
      <c r="C72" s="16">
        <f>IF($L72="","",INDEX('[1]粘贴_账务明细'!$H$4:$H$3003,$L72))</f>
        <v>46278.44509259259</v>
      </c>
      <c r="D72" s="11">
        <f>IF($L72="","",SUMIFS('[1]粘贴_账务明细'!$K$4:$K$3003,'[1]粘贴_账务明细'!$A$4:$A$3003,$B72,'[1]粘贴_账务明细'!$L$4:$L$3003,"订单收入")+SUMIFS('[1]粘贴_账务明细'!$K$4:$K$3003,'[1]粘贴_账务明细'!$A$4:$A$3003,$B72,'[1]粘贴_账务明细'!$L$4:$L$3003,"优惠券结算"))</f>
        <v>3289</v>
      </c>
      <c r="E72" s="11">
        <f t="shared" si="0"/>
        <v>46.05</v>
      </c>
      <c r="F72" s="11">
        <f>IF($L72="","",-SUMIFS('[1]粘贴_账务明细'!$K$4:$K$3003,'[1]粘贴_账务明细'!$A$4:$A$3003,$B72,'[1]粘贴_账务明细'!$L$4:$L$3003,"百亿补贴技术服务费"))</f>
        <v>46.05</v>
      </c>
      <c r="G72" s="11">
        <f>IF($L72="","",SUMIFS('[1]粘贴_服务费返还'!$M$4:$M$3003,'[1]粘贴_服务费返还'!$N$4:$N$3003,$B72,'[1]粘贴_服务费返还'!$O$4:$O$3003,"返还"))</f>
        <v>0</v>
      </c>
      <c r="H72" s="11">
        <f>IF($L72="","",SUMIFS('[1]粘贴_服务费返还'!$M$4:$M$3003,'[1]粘贴_服务费返还'!$N$4:$N$3003,$B72,'[1]粘贴_服务费返还'!$O$4:$O$3003,"扣回"))</f>
        <v>0</v>
      </c>
      <c r="I72" s="11">
        <f t="shared" si="1"/>
        <v>46.05</v>
      </c>
      <c r="J72" s="6" t="str">
        <f t="shared" si="2"/>
        <v>扣了还没返</v>
      </c>
      <c r="K72" s="10">
        <f t="shared" si="3"/>
        <v>17</v>
      </c>
      <c r="L72" s="17">
        <f>IF(A72&gt;$H$5,"",MATCH(A72,'[1]粘贴_账务明细'!$O$4:$O$3003,0))</f>
        <v>250</v>
      </c>
    </row>
    <row r="73">
      <c r="A73" s="10" t="n">
        <v>45</v>
      </c>
      <c r="B73" s="6" t="str">
        <f>IF($L73="","",INDEX('[1]粘贴_账务明细'!$A$4:$A$3003,$L73))</f>
        <v>260902-301318859091138</v>
      </c>
      <c r="C73" s="16">
        <f>IF($L73="","",INDEX('[1]粘贴_账务明细'!$H$4:$H$3003,$L73))</f>
        <v>46277.795752314814</v>
      </c>
      <c r="D73" s="11">
        <f>IF($L73="","",SUMIFS('[1]粘贴_账务明细'!$K$4:$K$3003,'[1]粘贴_账务明细'!$A$4:$A$3003,$B73,'[1]粘贴_账务明细'!$L$4:$L$3003,"订单收入")+SUMIFS('[1]粘贴_账务明细'!$K$4:$K$3003,'[1]粘贴_账务明细'!$A$4:$A$3003,$B73,'[1]粘贴_账务明细'!$L$4:$L$3003,"优惠券结算"))</f>
        <v>3289</v>
      </c>
      <c r="E73" s="11">
        <f t="shared" si="0"/>
        <v>46.05</v>
      </c>
      <c r="F73" s="11">
        <f>IF($L73="","",-SUMIFS('[1]粘贴_账务明细'!$K$4:$K$3003,'[1]粘贴_账务明细'!$A$4:$A$3003,$B73,'[1]粘贴_账务明细'!$L$4:$L$3003,"百亿补贴技术服务费"))</f>
        <v>46.05</v>
      </c>
      <c r="G73" s="11">
        <f>IF($L73="","",SUMIFS('[1]粘贴_服务费返还'!$M$4:$M$3003,'[1]粘贴_服务费返还'!$N$4:$N$3003,$B73,'[1]粘贴_服务费返还'!$O$4:$O$3003,"返还"))</f>
        <v>0</v>
      </c>
      <c r="H73" s="11">
        <f>IF($L73="","",SUMIFS('[1]粘贴_服务费返还'!$M$4:$M$3003,'[1]粘贴_服务费返还'!$N$4:$N$3003,$B73,'[1]粘贴_服务费返还'!$O$4:$O$3003,"扣回"))</f>
        <v>0</v>
      </c>
      <c r="I73" s="11">
        <f t="shared" si="1"/>
        <v>46.05</v>
      </c>
      <c r="J73" s="6" t="str">
        <f t="shared" si="2"/>
        <v>扣了还没返</v>
      </c>
      <c r="K73" s="10">
        <f t="shared" si="3"/>
        <v>18</v>
      </c>
      <c r="L73" s="17">
        <f>IF(A73&gt;$H$5,"",MATCH(A73,'[1]粘贴_账务明细'!$O$4:$O$3003,0))</f>
        <v>256</v>
      </c>
    </row>
    <row r="74">
      <c r="A74" s="10" t="n">
        <v>46</v>
      </c>
      <c r="B74" s="6" t="str">
        <f>IF($L74="","",INDEX('[1]粘贴_账务明细'!$A$4:$A$3003,$L74))</f>
        <v>260902-032600235543041</v>
      </c>
      <c r="C74" s="16">
        <f>IF($L74="","",INDEX('[1]粘贴_账务明细'!$H$4:$H$3003,$L74))</f>
        <v>46277.44851851852</v>
      </c>
      <c r="D74" s="11">
        <f>IF($L74="","",SUMIFS('[1]粘贴_账务明细'!$K$4:$K$3003,'[1]粘贴_账务明细'!$A$4:$A$3003,$B74,'[1]粘贴_账务明细'!$L$4:$L$3003,"订单收入")+SUMIFS('[1]粘贴_账务明细'!$K$4:$K$3003,'[1]粘贴_账务明细'!$A$4:$A$3003,$B74,'[1]粘贴_账务明细'!$L$4:$L$3003,"优惠券结算"))</f>
        <v>3599</v>
      </c>
      <c r="E74" s="11">
        <f t="shared" si="0"/>
        <v>50.39</v>
      </c>
      <c r="F74" s="11">
        <f>IF($L74="","",-SUMIFS('[1]粘贴_账务明细'!$K$4:$K$3003,'[1]粘贴_账务明细'!$A$4:$A$3003,$B74,'[1]粘贴_账务明细'!$L$4:$L$3003,"百亿补贴技术服务费"))</f>
        <v>50.39</v>
      </c>
      <c r="G74" s="11">
        <f>IF($L74="","",SUMIFS('[1]粘贴_服务费返还'!$M$4:$M$3003,'[1]粘贴_服务费返还'!$N$4:$N$3003,$B74,'[1]粘贴_服务费返还'!$O$4:$O$3003,"返还"))</f>
        <v>0</v>
      </c>
      <c r="H74" s="11">
        <f>IF($L74="","",SUMIFS('[1]粘贴_服务费返还'!$M$4:$M$3003,'[1]粘贴_服务费返还'!$N$4:$N$3003,$B74,'[1]粘贴_服务费返还'!$O$4:$O$3003,"扣回"))</f>
        <v>0</v>
      </c>
      <c r="I74" s="11">
        <f t="shared" si="1"/>
        <v>50.39</v>
      </c>
      <c r="J74" s="6" t="str">
        <f t="shared" si="2"/>
        <v>扣了还没返</v>
      </c>
      <c r="K74" s="10">
        <f t="shared" si="3"/>
        <v>18</v>
      </c>
      <c r="L74" s="17">
        <f>IF(A74&gt;$H$5,"",MATCH(A74,'[1]粘贴_账务明细'!$O$4:$O$3003,0))</f>
        <v>262</v>
      </c>
    </row>
    <row r="75">
      <c r="A75" s="10" t="n">
        <v>47</v>
      </c>
      <c r="B75" s="6" t="str">
        <f>IF($L75="","",INDEX('[1]粘贴_账务明细'!$A$4:$A$3003,$L75))</f>
        <v>260910-121571950960582</v>
      </c>
      <c r="C75" s="16">
        <f>IF($L75="","",INDEX('[1]粘贴_账务明细'!$H$4:$H$3003,$L75))</f>
        <v>46276.75069444445</v>
      </c>
      <c r="D75" s="11">
        <f>IF($L75="","",SUMIFS('[1]粘贴_账务明细'!$K$4:$K$3003,'[1]粘贴_账务明细'!$A$4:$A$3003,$B75,'[1]粘贴_账务明细'!$L$4:$L$3003,"订单收入")+SUMIFS('[1]粘贴_账务明细'!$K$4:$K$3003,'[1]粘贴_账务明细'!$A$4:$A$3003,$B75,'[1]粘贴_账务明细'!$L$4:$L$3003,"优惠券结算"))</f>
        <v>3599</v>
      </c>
      <c r="E75" s="11">
        <f t="shared" si="0"/>
        <v>50.39</v>
      </c>
      <c r="F75" s="11">
        <f>IF($L75="","",-SUMIFS('[1]粘贴_账务明细'!$K$4:$K$3003,'[1]粘贴_账务明细'!$A$4:$A$3003,$B75,'[1]粘贴_账务明细'!$L$4:$L$3003,"百亿补贴技术服务费"))</f>
        <v>50.39</v>
      </c>
      <c r="G75" s="11">
        <f>IF($L75="","",SUMIFS('[1]粘贴_服务费返还'!$M$4:$M$3003,'[1]粘贴_服务费返还'!$N$4:$N$3003,$B75,'[1]粘贴_服务费返还'!$O$4:$O$3003,"返还"))</f>
        <v>0</v>
      </c>
      <c r="H75" s="11">
        <f>IF($L75="","",SUMIFS('[1]粘贴_服务费返还'!$M$4:$M$3003,'[1]粘贴_服务费返还'!$N$4:$N$3003,$B75,'[1]粘贴_服务费返还'!$O$4:$O$3003,"扣回"))</f>
        <v>0</v>
      </c>
      <c r="I75" s="11">
        <f t="shared" si="1"/>
        <v>50.39</v>
      </c>
      <c r="J75" s="6" t="str">
        <f t="shared" si="2"/>
        <v>扣了还没返</v>
      </c>
      <c r="K75" s="10">
        <f t="shared" si="3"/>
        <v>19</v>
      </c>
      <c r="L75" s="17">
        <f>IF(A75&gt;$H$5,"",MATCH(A75,'[1]粘贴_账务明细'!$O$4:$O$3003,0))</f>
        <v>265</v>
      </c>
    </row>
    <row r="76">
      <c r="A76" s="10" t="n">
        <v>48</v>
      </c>
      <c r="B76" s="6" t="str">
        <f>IF($L76="","",INDEX('[1]粘贴_账务明细'!$A$4:$A$3003,$L76))</f>
        <v>260821-292972172870794</v>
      </c>
      <c r="C76" s="16">
        <f>IF($L76="","",INDEX('[1]粘贴_账务明细'!$H$4:$H$3003,$L76))</f>
        <v>46276.68471064815</v>
      </c>
      <c r="D76" s="11">
        <f>IF($L76="","",SUMIFS('[1]粘贴_账务明细'!$K$4:$K$3003,'[1]粘贴_账务明细'!$A$4:$A$3003,$B76,'[1]粘贴_账务明细'!$L$4:$L$3003,"订单收入")+SUMIFS('[1]粘贴_账务明细'!$K$4:$K$3003,'[1]粘贴_账务明细'!$A$4:$A$3003,$B76,'[1]粘贴_账务明细'!$L$4:$L$3003,"优惠券结算"))</f>
        <v>3199</v>
      </c>
      <c r="E76" s="11">
        <f t="shared" si="0"/>
        <v>44.79</v>
      </c>
      <c r="F76" s="11">
        <f>IF($L76="","",-SUMIFS('[1]粘贴_账务明细'!$K$4:$K$3003,'[1]粘贴_账务明细'!$A$4:$A$3003,$B76,'[1]粘贴_账务明细'!$L$4:$L$3003,"百亿补贴技术服务费"))</f>
        <v>44.79</v>
      </c>
      <c r="G76" s="11">
        <f>IF($L76="","",SUMIFS('[1]粘贴_服务费返还'!$M$4:$M$3003,'[1]粘贴_服务费返还'!$N$4:$N$3003,$B76,'[1]粘贴_服务费返还'!$O$4:$O$3003,"返还"))</f>
        <v>0</v>
      </c>
      <c r="H76" s="11">
        <f>IF($L76="","",SUMIFS('[1]粘贴_服务费返还'!$M$4:$M$3003,'[1]粘贴_服务费返还'!$N$4:$N$3003,$B76,'[1]粘贴_服务费返还'!$O$4:$O$3003,"扣回"))</f>
        <v>0</v>
      </c>
      <c r="I76" s="11">
        <f t="shared" si="1"/>
        <v>44.79</v>
      </c>
      <c r="J76" s="6" t="str">
        <f t="shared" si="2"/>
        <v>扣了还没返</v>
      </c>
      <c r="K76" s="10">
        <f t="shared" si="3"/>
        <v>19</v>
      </c>
      <c r="L76" s="17">
        <f>IF(A76&gt;$H$5,"",MATCH(A76,'[1]粘贴_账务明细'!$O$4:$O$3003,0))</f>
        <v>266</v>
      </c>
    </row>
    <row r="77">
      <c r="A77" s="10" t="n">
        <v>49</v>
      </c>
      <c r="B77" s="6" t="str">
        <f>IF($L77="","",INDEX('[1]粘贴_账务明细'!$A$4:$A$3003,$L77))</f>
        <v>260906-100977928533874</v>
      </c>
      <c r="C77" s="16">
        <f>IF($L77="","",INDEX('[1]粘贴_账务明细'!$H$4:$H$3003,$L77))</f>
        <v>46276.43814814815</v>
      </c>
      <c r="D77" s="11">
        <f>IF($L77="","",SUMIFS('[1]粘贴_账务明细'!$K$4:$K$3003,'[1]粘贴_账务明细'!$A$4:$A$3003,$B77,'[1]粘贴_账务明细'!$L$4:$L$3003,"订单收入")+SUMIFS('[1]粘贴_账务明细'!$K$4:$K$3003,'[1]粘贴_账务明细'!$A$4:$A$3003,$B77,'[1]粘贴_账务明细'!$L$4:$L$3003,"优惠券结算"))</f>
        <v>3599</v>
      </c>
      <c r="E77" s="11">
        <f t="shared" si="0"/>
        <v>50.39</v>
      </c>
      <c r="F77" s="11">
        <f>IF($L77="","",-SUMIFS('[1]粘贴_账务明细'!$K$4:$K$3003,'[1]粘贴_账务明细'!$A$4:$A$3003,$B77,'[1]粘贴_账务明细'!$L$4:$L$3003,"百亿补贴技术服务费"))</f>
        <v>0</v>
      </c>
      <c r="G77" s="11">
        <f>IF($L77="","",SUMIFS('[1]粘贴_服务费返还'!$M$4:$M$3003,'[1]粘贴_服务费返还'!$N$4:$N$3003,$B77,'[1]粘贴_服务费返还'!$O$4:$O$3003,"返还"))</f>
        <v>0</v>
      </c>
      <c r="H77" s="11">
        <f>IF($L77="","",SUMIFS('[1]粘贴_服务费返还'!$M$4:$M$3003,'[1]粘贴_服务费返还'!$N$4:$N$3003,$B77,'[1]粘贴_服务费返还'!$O$4:$O$3003,"扣回"))</f>
        <v>0</v>
      </c>
      <c r="I77" s="11">
        <f t="shared" si="1"/>
        <v>0</v>
      </c>
      <c r="J77" s="6" t="str">
        <f t="shared" si="2"/>
        <v>订单已退款，百亿费已原路退回，不用返</v>
      </c>
      <c r="K77" s="10">
        <f t="shared" si="3"/>
        <v>19</v>
      </c>
      <c r="L77" s="17">
        <f>IF(A77&gt;$H$5,"",MATCH(A77,'[1]粘贴_账务明细'!$O$4:$O$3003,0))</f>
        <v>270</v>
      </c>
    </row>
    <row r="78">
      <c r="A78" s="10" t="n">
        <v>50</v>
      </c>
      <c r="B78" s="6" t="str">
        <f>IF($L78="","",INDEX('[1]粘贴_账务明细'!$A$4:$A$3003,$L78))</f>
        <v>260831-567803921921008</v>
      </c>
      <c r="C78" s="16">
        <f>IF($L78="","",INDEX('[1]粘贴_账务明细'!$H$4:$H$3003,$L78))</f>
        <v>46275.47975694444</v>
      </c>
      <c r="D78" s="11">
        <f>IF($L78="","",SUMIFS('[1]粘贴_账务明细'!$K$4:$K$3003,'[1]粘贴_账务明细'!$A$4:$A$3003,$B78,'[1]粘贴_账务明细'!$L$4:$L$3003,"订单收入")+SUMIFS('[1]粘贴_账务明细'!$K$4:$K$3003,'[1]粘贴_账务明细'!$A$4:$A$3003,$B78,'[1]粘贴_账务明细'!$L$4:$L$3003,"优惠券结算"))</f>
        <v>3799</v>
      </c>
      <c r="E78" s="11">
        <f t="shared" si="0"/>
        <v>53.19</v>
      </c>
      <c r="F78" s="11">
        <f>IF($L78="","",-SUMIFS('[1]粘贴_账务明细'!$K$4:$K$3003,'[1]粘贴_账务明细'!$A$4:$A$3003,$B78,'[1]粘贴_账务明细'!$L$4:$L$3003,"百亿补贴技术服务费"))</f>
        <v>53.19</v>
      </c>
      <c r="G78" s="11">
        <f>IF($L78="","",SUMIFS('[1]粘贴_服务费返还'!$M$4:$M$3003,'[1]粘贴_服务费返还'!$N$4:$N$3003,$B78,'[1]粘贴_服务费返还'!$O$4:$O$3003,"返还"))</f>
        <v>0</v>
      </c>
      <c r="H78" s="11">
        <f>IF($L78="","",SUMIFS('[1]粘贴_服务费返还'!$M$4:$M$3003,'[1]粘贴_服务费返还'!$N$4:$N$3003,$B78,'[1]粘贴_服务费返还'!$O$4:$O$3003,"扣回"))</f>
        <v>0</v>
      </c>
      <c r="I78" s="11">
        <f t="shared" si="1"/>
        <v>53.19</v>
      </c>
      <c r="J78" s="6" t="str">
        <f t="shared" si="2"/>
        <v>扣了还没返</v>
      </c>
      <c r="K78" s="10">
        <f t="shared" si="3"/>
        <v>20</v>
      </c>
      <c r="L78" s="17">
        <f>IF(A78&gt;$H$5,"",MATCH(A78,'[1]粘贴_账务明细'!$O$4:$O$3003,0))</f>
        <v>279</v>
      </c>
    </row>
    <row r="79">
      <c r="A79" s="10" t="n">
        <v>51</v>
      </c>
      <c r="B79" s="6" t="str">
        <f>IF($L79="","",INDEX('[1]粘贴_账务明细'!$A$4:$A$3003,$L79))</f>
        <v>260906-513817996803223</v>
      </c>
      <c r="C79" s="16">
        <f>IF($L79="","",INDEX('[1]粘贴_账务明细'!$H$4:$H$3003,$L79))</f>
        <v>46274.54570601852</v>
      </c>
      <c r="D79" s="11">
        <f>IF($L79="","",SUMIFS('[1]粘贴_账务明细'!$K$4:$K$3003,'[1]粘贴_账务明细'!$A$4:$A$3003,$B79,'[1]粘贴_账务明细'!$L$4:$L$3003,"订单收入")+SUMIFS('[1]粘贴_账务明细'!$K$4:$K$3003,'[1]粘贴_账务明细'!$A$4:$A$3003,$B79,'[1]粘贴_账务明细'!$L$4:$L$3003,"优惠券结算"))</f>
        <v>3289</v>
      </c>
      <c r="E79" s="11">
        <f t="shared" si="0"/>
        <v>46.05</v>
      </c>
      <c r="F79" s="11">
        <f>IF($L79="","",-SUMIFS('[1]粘贴_账务明细'!$K$4:$K$3003,'[1]粘贴_账务明细'!$A$4:$A$3003,$B79,'[1]粘贴_账务明细'!$L$4:$L$3003,"百亿补贴技术服务费"))</f>
        <v>46.05</v>
      </c>
      <c r="G79" s="11">
        <f>IF($L79="","",SUMIFS('[1]粘贴_服务费返还'!$M$4:$M$3003,'[1]粘贴_服务费返还'!$N$4:$N$3003,$B79,'[1]粘贴_服务费返还'!$O$4:$O$3003,"返还"))</f>
        <v>0</v>
      </c>
      <c r="H79" s="11">
        <f>IF($L79="","",SUMIFS('[1]粘贴_服务费返还'!$M$4:$M$3003,'[1]粘贴_服务费返还'!$N$4:$N$3003,$B79,'[1]粘贴_服务费返还'!$O$4:$O$3003,"扣回"))</f>
        <v>0</v>
      </c>
      <c r="I79" s="11">
        <f t="shared" si="1"/>
        <v>46.05</v>
      </c>
      <c r="J79" s="6" t="str">
        <f t="shared" si="2"/>
        <v>扣了还没返</v>
      </c>
      <c r="K79" s="10">
        <f t="shared" si="3"/>
        <v>21</v>
      </c>
      <c r="L79" s="17">
        <f>IF(A79&gt;$H$5,"",MATCH(A79,'[1]粘贴_账务明细'!$O$4:$O$3003,0))</f>
        <v>283</v>
      </c>
    </row>
    <row r="80">
      <c r="A80" s="10" t="n">
        <v>52</v>
      </c>
      <c r="B80" s="6" t="str">
        <f>IF($L80="","",INDEX('[1]粘贴_账务明细'!$A$4:$A$3003,$L80))</f>
        <v>260909-571117442591329</v>
      </c>
      <c r="C80" s="16">
        <f>IF($L80="","",INDEX('[1]粘贴_账务明细'!$H$4:$H$3003,$L80))</f>
        <v>46274.42077546296</v>
      </c>
      <c r="D80" s="11">
        <f>IF($L80="","",SUMIFS('[1]粘贴_账务明细'!$K$4:$K$3003,'[1]粘贴_账务明细'!$A$4:$A$3003,$B80,'[1]粘贴_账务明细'!$L$4:$L$3003,"订单收入")+SUMIFS('[1]粘贴_账务明细'!$K$4:$K$3003,'[1]粘贴_账务明细'!$A$4:$A$3003,$B80,'[1]粘贴_账务明细'!$L$4:$L$3003,"优惠券结算"))</f>
        <v>3699</v>
      </c>
      <c r="E80" s="11">
        <f t="shared" si="0"/>
        <v>51.79</v>
      </c>
      <c r="F80" s="11">
        <f>IF($L80="","",-SUMIFS('[1]粘贴_账务明细'!$K$4:$K$3003,'[1]粘贴_账务明细'!$A$4:$A$3003,$B80,'[1]粘贴_账务明细'!$L$4:$L$3003,"百亿补贴技术服务费"))</f>
        <v>0</v>
      </c>
      <c r="G80" s="11">
        <f>IF($L80="","",SUMIFS('[1]粘贴_服务费返还'!$M$4:$M$3003,'[1]粘贴_服务费返还'!$N$4:$N$3003,$B80,'[1]粘贴_服务费返还'!$O$4:$O$3003,"返还"))</f>
        <v>0</v>
      </c>
      <c r="H80" s="11">
        <f>IF($L80="","",SUMIFS('[1]粘贴_服务费返还'!$M$4:$M$3003,'[1]粘贴_服务费返还'!$N$4:$N$3003,$B80,'[1]粘贴_服务费返还'!$O$4:$O$3003,"扣回"))</f>
        <v>0</v>
      </c>
      <c r="I80" s="11">
        <f t="shared" si="1"/>
        <v>0</v>
      </c>
      <c r="J80" s="6" t="str">
        <f t="shared" si="2"/>
        <v>订单已退款，百亿费已原路退回，不用返</v>
      </c>
      <c r="K80" s="10">
        <f t="shared" si="3"/>
        <v>21</v>
      </c>
      <c r="L80" s="17">
        <f>IF(A80&gt;$H$5,"",MATCH(A80,'[1]粘贴_账务明细'!$O$4:$O$3003,0))</f>
        <v>287</v>
      </c>
    </row>
    <row r="81">
      <c r="A81" s="10" t="n">
        <v>53</v>
      </c>
      <c r="B81" s="6" t="str">
        <f>IF($L81="","",INDEX('[1]粘贴_账务明细'!$A$4:$A$3003,$L81))</f>
        <v>260828-195999864430993</v>
      </c>
      <c r="C81" s="16">
        <f>IF($L81="","",INDEX('[1]粘贴_账务明细'!$H$4:$H$3003,$L81))</f>
        <v>46272.72820601852</v>
      </c>
      <c r="D81" s="11">
        <f>IF($L81="","",SUMIFS('[1]粘贴_账务明细'!$K$4:$K$3003,'[1]粘贴_账务明细'!$A$4:$A$3003,$B81,'[1]粘贴_账务明细'!$L$4:$L$3003,"订单收入")+SUMIFS('[1]粘贴_账务明细'!$K$4:$K$3003,'[1]粘贴_账务明细'!$A$4:$A$3003,$B81,'[1]粘贴_账务明细'!$L$4:$L$3003,"优惠券结算"))</f>
        <v>3699</v>
      </c>
      <c r="E81" s="11">
        <f t="shared" si="0"/>
        <v>51.79</v>
      </c>
      <c r="F81" s="11">
        <f>IF($L81="","",-SUMIFS('[1]粘贴_账务明细'!$K$4:$K$3003,'[1]粘贴_账务明细'!$A$4:$A$3003,$B81,'[1]粘贴_账务明细'!$L$4:$L$3003,"百亿补贴技术服务费"))</f>
        <v>51.79</v>
      </c>
      <c r="G81" s="11">
        <f>IF($L81="","",SUMIFS('[1]粘贴_服务费返还'!$M$4:$M$3003,'[1]粘贴_服务费返还'!$N$4:$N$3003,$B81,'[1]粘贴_服务费返还'!$O$4:$O$3003,"返还"))</f>
        <v>0</v>
      </c>
      <c r="H81" s="11">
        <f>IF($L81="","",SUMIFS('[1]粘贴_服务费返还'!$M$4:$M$3003,'[1]粘贴_服务费返还'!$N$4:$N$3003,$B81,'[1]粘贴_服务费返还'!$O$4:$O$3003,"扣回"))</f>
        <v>0</v>
      </c>
      <c r="I81" s="11">
        <f t="shared" si="1"/>
        <v>51.79</v>
      </c>
      <c r="J81" s="6" t="str">
        <f t="shared" si="2"/>
        <v>扣了还没返</v>
      </c>
      <c r="K81" s="10">
        <f t="shared" si="3"/>
        <v>23</v>
      </c>
      <c r="L81" s="17">
        <f>IF(A81&gt;$H$5,"",MATCH(A81,'[1]粘贴_账务明细'!$O$4:$O$3003,0))</f>
        <v>293</v>
      </c>
    </row>
    <row r="82">
      <c r="A82" s="10" t="n">
        <v>54</v>
      </c>
      <c r="B82" s="6" t="str">
        <f>IF($L82="","",INDEX('[1]粘贴_账务明细'!$A$4:$A$3003,$L82))</f>
        <v>260821-096437552701746</v>
      </c>
      <c r="C82" s="16">
        <f>IF($L82="","",INDEX('[1]粘贴_账务明细'!$H$4:$H$3003,$L82))</f>
        <v>46272.59442129629</v>
      </c>
      <c r="D82" s="11">
        <f>IF($L82="","",SUMIFS('[1]粘贴_账务明细'!$K$4:$K$3003,'[1]粘贴_账务明细'!$A$4:$A$3003,$B82,'[1]粘贴_账务明细'!$L$4:$L$3003,"订单收入")+SUMIFS('[1]粘贴_账务明细'!$K$4:$K$3003,'[1]粘贴_账务明细'!$A$4:$A$3003,$B82,'[1]粘贴_账务明细'!$L$4:$L$3003,"优惠券结算"))</f>
        <v>3699</v>
      </c>
      <c r="E82" s="11">
        <f t="shared" si="0"/>
        <v>51.79</v>
      </c>
      <c r="F82" s="11">
        <f>IF($L82="","",-SUMIFS('[1]粘贴_账务明细'!$K$4:$K$3003,'[1]粘贴_账务明细'!$A$4:$A$3003,$B82,'[1]粘贴_账务明细'!$L$4:$L$3003,"百亿补贴技术服务费"))</f>
        <v>51.79</v>
      </c>
      <c r="G82" s="11">
        <f>IF($L82="","",SUMIFS('[1]粘贴_服务费返还'!$M$4:$M$3003,'[1]粘贴_服务费返还'!$N$4:$N$3003,$B82,'[1]粘贴_服务费返还'!$O$4:$O$3003,"返还"))</f>
        <v>0</v>
      </c>
      <c r="H82" s="11">
        <f>IF($L82="","",SUMIFS('[1]粘贴_服务费返还'!$M$4:$M$3003,'[1]粘贴_服务费返还'!$N$4:$N$3003,$B82,'[1]粘贴_服务费返还'!$O$4:$O$3003,"扣回"))</f>
        <v>0</v>
      </c>
      <c r="I82" s="11">
        <f t="shared" si="1"/>
        <v>51.79</v>
      </c>
      <c r="J82" s="6" t="str">
        <f t="shared" si="2"/>
        <v>扣了还没返</v>
      </c>
      <c r="K82" s="10">
        <f t="shared" si="3"/>
        <v>23</v>
      </c>
      <c r="L82" s="17">
        <f>IF(A82&gt;$H$5,"",MATCH(A82,'[1]粘贴_账务明细'!$O$4:$O$3003,0))</f>
        <v>297</v>
      </c>
    </row>
    <row r="83">
      <c r="A83" s="10" t="n">
        <v>55</v>
      </c>
      <c r="B83" s="6" t="str">
        <f>IF($L83="","",INDEX('[1]粘贴_账务明细'!$A$4:$A$3003,$L83))</f>
        <v>260827-236894328472192</v>
      </c>
      <c r="C83" s="16">
        <f>IF($L83="","",INDEX('[1]粘贴_账务明细'!$H$4:$H$3003,$L83))</f>
        <v>46272.465902777774</v>
      </c>
      <c r="D83" s="11">
        <f>IF($L83="","",SUMIFS('[1]粘贴_账务明细'!$K$4:$K$3003,'[1]粘贴_账务明细'!$A$4:$A$3003,$B83,'[1]粘贴_账务明细'!$L$4:$L$3003,"订单收入")+SUMIFS('[1]粘贴_账务明细'!$K$4:$K$3003,'[1]粘贴_账务明细'!$A$4:$A$3003,$B83,'[1]粘贴_账务明细'!$L$4:$L$3003,"优惠券结算"))</f>
        <v>3699</v>
      </c>
      <c r="E83" s="11">
        <f t="shared" si="0"/>
        <v>51.79</v>
      </c>
      <c r="F83" s="11">
        <f>IF($L83="","",-SUMIFS('[1]粘贴_账务明细'!$K$4:$K$3003,'[1]粘贴_账务明细'!$A$4:$A$3003,$B83,'[1]粘贴_账务明细'!$L$4:$L$3003,"百亿补贴技术服务费"))</f>
        <v>51.79</v>
      </c>
      <c r="G83" s="11">
        <f>IF($L83="","",SUMIFS('[1]粘贴_服务费返还'!$M$4:$M$3003,'[1]粘贴_服务费返还'!$N$4:$N$3003,$B83,'[1]粘贴_服务费返还'!$O$4:$O$3003,"返还"))</f>
        <v>0</v>
      </c>
      <c r="H83" s="11">
        <f>IF($L83="","",SUMIFS('[1]粘贴_服务费返还'!$M$4:$M$3003,'[1]粘贴_服务费返还'!$N$4:$N$3003,$B83,'[1]粘贴_服务费返还'!$O$4:$O$3003,"扣回"))</f>
        <v>0</v>
      </c>
      <c r="I83" s="11">
        <f t="shared" si="1"/>
        <v>51.79</v>
      </c>
      <c r="J83" s="6" t="str">
        <f t="shared" si="2"/>
        <v>扣了还没返</v>
      </c>
      <c r="K83" s="10">
        <f t="shared" si="3"/>
        <v>23</v>
      </c>
      <c r="L83" s="17">
        <f>IF(A83&gt;$H$5,"",MATCH(A83,'[1]粘贴_账务明细'!$O$4:$O$3003,0))</f>
        <v>302</v>
      </c>
    </row>
    <row r="84">
      <c r="A84" s="10" t="n">
        <v>56</v>
      </c>
      <c r="B84" s="6" t="str">
        <f>IF($L84="","",INDEX('[1]粘贴_账务明细'!$A$4:$A$3003,$L84))</f>
        <v>260907-510457342393600</v>
      </c>
      <c r="C84" s="16">
        <f>IF($L84="","",INDEX('[1]粘贴_账务明细'!$H$4:$H$3003,$L84))</f>
        <v>46272.2637962963</v>
      </c>
      <c r="D84" s="11">
        <f>IF($L84="","",SUMIFS('[1]粘贴_账务明细'!$K$4:$K$3003,'[1]粘贴_账务明细'!$A$4:$A$3003,$B84,'[1]粘贴_账务明细'!$L$4:$L$3003,"订单收入")+SUMIFS('[1]粘贴_账务明细'!$K$4:$K$3003,'[1]粘贴_账务明细'!$A$4:$A$3003,$B84,'[1]粘贴_账务明细'!$L$4:$L$3003,"优惠券结算"))</f>
        <v>3289</v>
      </c>
      <c r="E84" s="11">
        <f t="shared" si="0"/>
        <v>46.05</v>
      </c>
      <c r="F84" s="11">
        <f>IF($L84="","",-SUMIFS('[1]粘贴_账务明细'!$K$4:$K$3003,'[1]粘贴_账务明细'!$A$4:$A$3003,$B84,'[1]粘贴_账务明细'!$L$4:$L$3003,"百亿补贴技术服务费"))</f>
        <v>0</v>
      </c>
      <c r="G84" s="11">
        <f>IF($L84="","",SUMIFS('[1]粘贴_服务费返还'!$M$4:$M$3003,'[1]粘贴_服务费返还'!$N$4:$N$3003,$B84,'[1]粘贴_服务费返还'!$O$4:$O$3003,"返还"))</f>
        <v>0</v>
      </c>
      <c r="H84" s="11">
        <f>IF($L84="","",SUMIFS('[1]粘贴_服务费返还'!$M$4:$M$3003,'[1]粘贴_服务费返还'!$N$4:$N$3003,$B84,'[1]粘贴_服务费返还'!$O$4:$O$3003,"扣回"))</f>
        <v>0</v>
      </c>
      <c r="I84" s="11">
        <f t="shared" si="1"/>
        <v>0</v>
      </c>
      <c r="J84" s="6" t="str">
        <f t="shared" si="2"/>
        <v>订单已退款，百亿费已原路退回，不用返</v>
      </c>
      <c r="K84" s="10">
        <f t="shared" si="3"/>
        <v>23</v>
      </c>
      <c r="L84" s="17">
        <f>IF(A84&gt;$H$5,"",MATCH(A84,'[1]粘贴_账务明细'!$O$4:$O$3003,0))</f>
        <v>307</v>
      </c>
    </row>
    <row r="85">
      <c r="A85" s="10" t="n">
        <v>57</v>
      </c>
      <c r="B85" s="6" t="str">
        <f>IF($L85="","",INDEX('[1]粘贴_账务明细'!$A$4:$A$3003,$L85))</f>
        <v>260906-441686505913600</v>
      </c>
      <c r="C85" s="16">
        <f>IF($L85="","",INDEX('[1]粘贴_账务明细'!$H$4:$H$3003,$L85))</f>
        <v>46271.941342592596</v>
      </c>
      <c r="D85" s="11">
        <f>IF($L85="","",SUMIFS('[1]粘贴_账务明细'!$K$4:$K$3003,'[1]粘贴_账务明细'!$A$4:$A$3003,$B85,'[1]粘贴_账务明细'!$L$4:$L$3003,"订单收入")+SUMIFS('[1]粘贴_账务明细'!$K$4:$K$3003,'[1]粘贴_账务明细'!$A$4:$A$3003,$B85,'[1]粘贴_账务明细'!$L$4:$L$3003,"优惠券结算"))</f>
        <v>3289</v>
      </c>
      <c r="E85" s="11">
        <f t="shared" si="0"/>
        <v>46.05</v>
      </c>
      <c r="F85" s="11">
        <f>IF($L85="","",-SUMIFS('[1]粘贴_账务明细'!$K$4:$K$3003,'[1]粘贴_账务明细'!$A$4:$A$3003,$B85,'[1]粘贴_账务明细'!$L$4:$L$3003,"百亿补贴技术服务费"))</f>
        <v>0</v>
      </c>
      <c r="G85" s="11">
        <f>IF($L85="","",SUMIFS('[1]粘贴_服务费返还'!$M$4:$M$3003,'[1]粘贴_服务费返还'!$N$4:$N$3003,$B85,'[1]粘贴_服务费返还'!$O$4:$O$3003,"返还"))</f>
        <v>0</v>
      </c>
      <c r="H85" s="11">
        <f>IF($L85="","",SUMIFS('[1]粘贴_服务费返还'!$M$4:$M$3003,'[1]粘贴_服务费返还'!$N$4:$N$3003,$B85,'[1]粘贴_服务费返还'!$O$4:$O$3003,"扣回"))</f>
        <v>0</v>
      </c>
      <c r="I85" s="11">
        <f t="shared" si="1"/>
        <v>0</v>
      </c>
      <c r="J85" s="6" t="str">
        <f t="shared" si="2"/>
        <v>订单已退款，百亿费已原路退回，不用返</v>
      </c>
      <c r="K85" s="10">
        <f t="shared" si="3"/>
        <v>24</v>
      </c>
      <c r="L85" s="17">
        <f>IF(A85&gt;$H$5,"",MATCH(A85,'[1]粘贴_账务明细'!$O$4:$O$3003,0))</f>
        <v>313</v>
      </c>
    </row>
    <row r="86">
      <c r="A86" s="10" t="n">
        <v>58</v>
      </c>
      <c r="B86" s="6" t="str">
        <f>IF($L86="","",INDEX('[1]粘贴_账务明细'!$A$4:$A$3003,$L86))</f>
        <v>260906-316150935080016</v>
      </c>
      <c r="C86" s="16">
        <f>IF($L86="","",INDEX('[1]粘贴_账务明细'!$H$4:$H$3003,$L86))</f>
        <v>46271.75417824074</v>
      </c>
      <c r="D86" s="11">
        <f>IF($L86="","",SUMIFS('[1]粘贴_账务明细'!$K$4:$K$3003,'[1]粘贴_账务明细'!$A$4:$A$3003,$B86,'[1]粘贴_账务明细'!$L$4:$L$3003,"订单收入")+SUMIFS('[1]粘贴_账务明细'!$K$4:$K$3003,'[1]粘贴_账务明细'!$A$4:$A$3003,$B86,'[1]粘贴_账务明细'!$L$4:$L$3003,"优惠券结算"))</f>
        <v>3699</v>
      </c>
      <c r="E86" s="11">
        <f t="shared" si="0"/>
        <v>51.79</v>
      </c>
      <c r="F86" s="11">
        <f>IF($L86="","",-SUMIFS('[1]粘贴_账务明细'!$K$4:$K$3003,'[1]粘贴_账务明细'!$A$4:$A$3003,$B86,'[1]粘贴_账务明细'!$L$4:$L$3003,"百亿补贴技术服务费"))</f>
        <v>0</v>
      </c>
      <c r="G86" s="11">
        <f>IF($L86="","",SUMIFS('[1]粘贴_服务费返还'!$M$4:$M$3003,'[1]粘贴_服务费返还'!$N$4:$N$3003,$B86,'[1]粘贴_服务费返还'!$O$4:$O$3003,"返还"))</f>
        <v>0</v>
      </c>
      <c r="H86" s="11">
        <f>IF($L86="","",SUMIFS('[1]粘贴_服务费返还'!$M$4:$M$3003,'[1]粘贴_服务费返还'!$N$4:$N$3003,$B86,'[1]粘贴_服务费返还'!$O$4:$O$3003,"扣回"))</f>
        <v>0</v>
      </c>
      <c r="I86" s="11">
        <f t="shared" si="1"/>
        <v>0</v>
      </c>
      <c r="J86" s="6" t="str">
        <f t="shared" si="2"/>
        <v>订单已退款，百亿费已原路退回，不用返</v>
      </c>
      <c r="K86" s="10">
        <f t="shared" si="3"/>
        <v>24</v>
      </c>
      <c r="L86" s="17">
        <f>IF(A86&gt;$H$5,"",MATCH(A86,'[1]粘贴_账务明细'!$O$4:$O$3003,0))</f>
        <v>319</v>
      </c>
    </row>
    <row r="87">
      <c r="A87" s="10" t="n">
        <v>59</v>
      </c>
      <c r="B87" s="6" t="str">
        <f>IF($L87="","",INDEX('[1]粘贴_账务明细'!$A$4:$A$3003,$L87))</f>
        <v>260906-128974865960016</v>
      </c>
      <c r="C87" s="16">
        <f>IF($L87="","",INDEX('[1]粘贴_账务明细'!$H$4:$H$3003,$L87))</f>
        <v>46271.577048611114</v>
      </c>
      <c r="D87" s="11">
        <f>IF($L87="","",SUMIFS('[1]粘贴_账务明细'!$K$4:$K$3003,'[1]粘贴_账务明细'!$A$4:$A$3003,$B87,'[1]粘贴_账务明细'!$L$4:$L$3003,"订单收入")+SUMIFS('[1]粘贴_账务明细'!$K$4:$K$3003,'[1]粘贴_账务明细'!$A$4:$A$3003,$B87,'[1]粘贴_账务明细'!$L$4:$L$3003,"优惠券结算"))</f>
        <v>3699</v>
      </c>
      <c r="E87" s="11">
        <f t="shared" si="0"/>
        <v>51.79</v>
      </c>
      <c r="F87" s="11">
        <f>IF($L87="","",-SUMIFS('[1]粘贴_账务明细'!$K$4:$K$3003,'[1]粘贴_账务明细'!$A$4:$A$3003,$B87,'[1]粘贴_账务明细'!$L$4:$L$3003,"百亿补贴技术服务费"))</f>
        <v>0</v>
      </c>
      <c r="G87" s="11">
        <f>IF($L87="","",SUMIFS('[1]粘贴_服务费返还'!$M$4:$M$3003,'[1]粘贴_服务费返还'!$N$4:$N$3003,$B87,'[1]粘贴_服务费返还'!$O$4:$O$3003,"返还"))</f>
        <v>0</v>
      </c>
      <c r="H87" s="11">
        <f>IF($L87="","",SUMIFS('[1]粘贴_服务费返还'!$M$4:$M$3003,'[1]粘贴_服务费返还'!$N$4:$N$3003,$B87,'[1]粘贴_服务费返还'!$O$4:$O$3003,"扣回"))</f>
        <v>0</v>
      </c>
      <c r="I87" s="11">
        <f t="shared" si="1"/>
        <v>0</v>
      </c>
      <c r="J87" s="6" t="str">
        <f t="shared" si="2"/>
        <v>订单已退款，百亿费已原路退回，不用返</v>
      </c>
      <c r="K87" s="10">
        <f t="shared" si="3"/>
        <v>24</v>
      </c>
      <c r="L87" s="17">
        <f>IF(A87&gt;$H$5,"",MATCH(A87,'[1]粘贴_账务明细'!$O$4:$O$3003,0))</f>
        <v>333</v>
      </c>
    </row>
    <row r="88">
      <c r="A88" s="10" t="n">
        <v>60</v>
      </c>
      <c r="B88" s="6" t="str">
        <f>IF($L88="","",INDEX('[1]粘贴_账务明细'!$A$4:$A$3003,$L88))</f>
        <v>260826-514043420202579</v>
      </c>
      <c r="C88" s="16">
        <f>IF($L88="","",INDEX('[1]粘贴_账务明细'!$H$4:$H$3003,$L88))</f>
        <v>46271.45202546296</v>
      </c>
      <c r="D88" s="11">
        <f>IF($L88="","",SUMIFS('[1]粘贴_账务明细'!$K$4:$K$3003,'[1]粘贴_账务明细'!$A$4:$A$3003,$B88,'[1]粘贴_账务明细'!$L$4:$L$3003,"订单收入")+SUMIFS('[1]粘贴_账务明细'!$K$4:$K$3003,'[1]粘贴_账务明细'!$A$4:$A$3003,$B88,'[1]粘贴_账务明细'!$L$4:$L$3003,"优惠券结算"))</f>
        <v>3289</v>
      </c>
      <c r="E88" s="11">
        <f t="shared" si="0"/>
        <v>46.05</v>
      </c>
      <c r="F88" s="11">
        <f>IF($L88="","",-SUMIFS('[1]粘贴_账务明细'!$K$4:$K$3003,'[1]粘贴_账务明细'!$A$4:$A$3003,$B88,'[1]粘贴_账务明细'!$L$4:$L$3003,"百亿补贴技术服务费"))</f>
        <v>46.05</v>
      </c>
      <c r="G88" s="11">
        <f>IF($L88="","",SUMIFS('[1]粘贴_服务费返还'!$M$4:$M$3003,'[1]粘贴_服务费返还'!$N$4:$N$3003,$B88,'[1]粘贴_服务费返还'!$O$4:$O$3003,"返还"))</f>
        <v>0</v>
      </c>
      <c r="H88" s="11">
        <f>IF($L88="","",SUMIFS('[1]粘贴_服务费返还'!$M$4:$M$3003,'[1]粘贴_服务费返还'!$N$4:$N$3003,$B88,'[1]粘贴_服务费返还'!$O$4:$O$3003,"扣回"))</f>
        <v>0</v>
      </c>
      <c r="I88" s="11">
        <f t="shared" si="1"/>
        <v>46.05</v>
      </c>
      <c r="J88" s="6" t="str">
        <f t="shared" si="2"/>
        <v>扣了还没返</v>
      </c>
      <c r="K88" s="10">
        <f t="shared" si="3"/>
        <v>24</v>
      </c>
      <c r="L88" s="17">
        <f>IF(A88&gt;$H$5,"",MATCH(A88,'[1]粘贴_账务明细'!$O$4:$O$3003,0))</f>
        <v>338</v>
      </c>
    </row>
    <row r="89">
      <c r="A89" s="10" t="n">
        <v>61</v>
      </c>
      <c r="B89" s="6" t="str">
        <f>IF($L89="","",INDEX('[1]粘贴_账务明细'!$A$4:$A$3003,$L89))</f>
        <v>260826-272100236850975</v>
      </c>
      <c r="C89" s="16">
        <f>IF($L89="","",INDEX('[1]粘贴_账务明细'!$H$4:$H$3003,$L89))</f>
        <v>46271.44164351852</v>
      </c>
      <c r="D89" s="11">
        <f>IF($L89="","",SUMIFS('[1]粘贴_账务明细'!$K$4:$K$3003,'[1]粘贴_账务明细'!$A$4:$A$3003,$B89,'[1]粘贴_账务明细'!$L$4:$L$3003,"订单收入")+SUMIFS('[1]粘贴_账务明细'!$K$4:$K$3003,'[1]粘贴_账务明细'!$A$4:$A$3003,$B89,'[1]粘贴_账务明细'!$L$4:$L$3003,"优惠券结算"))</f>
        <v>3599</v>
      </c>
      <c r="E89" s="11">
        <f t="shared" si="0"/>
        <v>50.39</v>
      </c>
      <c r="F89" s="11">
        <f>IF($L89="","",-SUMIFS('[1]粘贴_账务明细'!$K$4:$K$3003,'[1]粘贴_账务明细'!$A$4:$A$3003,$B89,'[1]粘贴_账务明细'!$L$4:$L$3003,"百亿补贴技术服务费"))</f>
        <v>50.39</v>
      </c>
      <c r="G89" s="11">
        <f>IF($L89="","",SUMIFS('[1]粘贴_服务费返还'!$M$4:$M$3003,'[1]粘贴_服务费返还'!$N$4:$N$3003,$B89,'[1]粘贴_服务费返还'!$O$4:$O$3003,"返还"))</f>
        <v>0</v>
      </c>
      <c r="H89" s="11">
        <f>IF($L89="","",SUMIFS('[1]粘贴_服务费返还'!$M$4:$M$3003,'[1]粘贴_服务费返还'!$N$4:$N$3003,$B89,'[1]粘贴_服务费返还'!$O$4:$O$3003,"扣回"))</f>
        <v>0</v>
      </c>
      <c r="I89" s="11">
        <f t="shared" si="1"/>
        <v>50.39</v>
      </c>
      <c r="J89" s="6" t="str">
        <f t="shared" si="2"/>
        <v>扣了还没返</v>
      </c>
      <c r="K89" s="10">
        <f t="shared" si="3"/>
        <v>24</v>
      </c>
      <c r="L89" s="17">
        <f>IF(A89&gt;$H$5,"",MATCH(A89,'[1]粘贴_账务明细'!$O$4:$O$3003,0))</f>
        <v>340</v>
      </c>
    </row>
    <row r="90">
      <c r="A90" s="10" t="n">
        <v>62</v>
      </c>
      <c r="B90" s="6" t="str">
        <f>IF($L90="","",INDEX('[1]粘贴_账务明细'!$A$4:$A$3003,$L90))</f>
        <v>260905-329462649191655</v>
      </c>
      <c r="C90" s="16">
        <f>IF($L90="","",INDEX('[1]粘贴_账务明细'!$H$4:$H$3003,$L90))</f>
        <v>46270.9966087963</v>
      </c>
      <c r="D90" s="11">
        <f>IF($L90="","",SUMIFS('[1]粘贴_账务明细'!$K$4:$K$3003,'[1]粘贴_账务明细'!$A$4:$A$3003,$B90,'[1]粘贴_账务明细'!$L$4:$L$3003,"订单收入")+SUMIFS('[1]粘贴_账务明细'!$K$4:$K$3003,'[1]粘贴_账务明细'!$A$4:$A$3003,$B90,'[1]粘贴_账务明细'!$L$4:$L$3003,"优惠券结算"))</f>
        <v>3599</v>
      </c>
      <c r="E90" s="11">
        <f t="shared" si="0"/>
        <v>50.39</v>
      </c>
      <c r="F90" s="11">
        <f>IF($L90="","",-SUMIFS('[1]粘贴_账务明细'!$K$4:$K$3003,'[1]粘贴_账务明细'!$A$4:$A$3003,$B90,'[1]粘贴_账务明细'!$L$4:$L$3003,"百亿补贴技术服务费"))</f>
        <v>0</v>
      </c>
      <c r="G90" s="11">
        <f>IF($L90="","",SUMIFS('[1]粘贴_服务费返还'!$M$4:$M$3003,'[1]粘贴_服务费返还'!$N$4:$N$3003,$B90,'[1]粘贴_服务费返还'!$O$4:$O$3003,"返还"))</f>
        <v>0</v>
      </c>
      <c r="H90" s="11">
        <f>IF($L90="","",SUMIFS('[1]粘贴_服务费返还'!$M$4:$M$3003,'[1]粘贴_服务费返还'!$N$4:$N$3003,$B90,'[1]粘贴_服务费返还'!$O$4:$O$3003,"扣回"))</f>
        <v>0</v>
      </c>
      <c r="I90" s="11">
        <f t="shared" si="1"/>
        <v>0</v>
      </c>
      <c r="J90" s="6" t="str">
        <f t="shared" si="2"/>
        <v>订单已退款，百亿费已原路退回，不用返</v>
      </c>
      <c r="K90" s="10">
        <f t="shared" si="3"/>
        <v>25</v>
      </c>
      <c r="L90" s="17">
        <f>IF(A90&gt;$H$5,"",MATCH(A90,'[1]粘贴_账务明细'!$O$4:$O$3003,0))</f>
        <v>346</v>
      </c>
    </row>
    <row r="91">
      <c r="A91" s="10" t="n">
        <v>63</v>
      </c>
      <c r="B91" s="6" t="str">
        <f>IF($L91="","",INDEX('[1]粘贴_账务明细'!$A$4:$A$3003,$L91))</f>
        <v>260905-594091784582553</v>
      </c>
      <c r="C91" s="16">
        <f>IF($L91="","",INDEX('[1]粘贴_账务明细'!$H$4:$H$3003,$L91))</f>
        <v>46270.79927083333</v>
      </c>
      <c r="D91" s="11">
        <f>IF($L91="","",SUMIFS('[1]粘贴_账务明细'!$K$4:$K$3003,'[1]粘贴_账务明细'!$A$4:$A$3003,$B91,'[1]粘贴_账务明细'!$L$4:$L$3003,"订单收入")+SUMIFS('[1]粘贴_账务明细'!$K$4:$K$3003,'[1]粘贴_账务明细'!$A$4:$A$3003,$B91,'[1]粘贴_账务明细'!$L$4:$L$3003,"优惠券结算"))</f>
        <v>3799</v>
      </c>
      <c r="E91" s="11">
        <f t="shared" si="0"/>
        <v>53.19</v>
      </c>
      <c r="F91" s="11">
        <f>IF($L91="","",-SUMIFS('[1]粘贴_账务明细'!$K$4:$K$3003,'[1]粘贴_账务明细'!$A$4:$A$3003,$B91,'[1]粘贴_账务明细'!$L$4:$L$3003,"百亿补贴技术服务费"))</f>
        <v>0</v>
      </c>
      <c r="G91" s="11">
        <f>IF($L91="","",SUMIFS('[1]粘贴_服务费返还'!$M$4:$M$3003,'[1]粘贴_服务费返还'!$N$4:$N$3003,$B91,'[1]粘贴_服务费返还'!$O$4:$O$3003,"返还"))</f>
        <v>0</v>
      </c>
      <c r="H91" s="11">
        <f>IF($L91="","",SUMIFS('[1]粘贴_服务费返还'!$M$4:$M$3003,'[1]粘贴_服务费返还'!$N$4:$N$3003,$B91,'[1]粘贴_服务费返还'!$O$4:$O$3003,"扣回"))</f>
        <v>0</v>
      </c>
      <c r="I91" s="11">
        <f t="shared" si="1"/>
        <v>0</v>
      </c>
      <c r="J91" s="6" t="str">
        <f t="shared" si="2"/>
        <v>订单已退款，百亿费已原路退回，不用返</v>
      </c>
      <c r="K91" s="10">
        <f t="shared" si="3"/>
        <v>25</v>
      </c>
      <c r="L91" s="17">
        <f>IF(A91&gt;$H$5,"",MATCH(A91,'[1]粘贴_账务明细'!$O$4:$O$3003,0))</f>
        <v>352</v>
      </c>
    </row>
    <row r="92">
      <c r="A92" s="10" t="n">
        <v>64</v>
      </c>
      <c r="B92" s="6" t="str">
        <f>IF($L92="","",INDEX('[1]粘贴_账务明细'!$A$4:$A$3003,$L92))</f>
        <v>260905-489978653001085</v>
      </c>
      <c r="C92" s="16">
        <f>IF($L92="","",INDEX('[1]粘贴_账务明细'!$H$4:$H$3003,$L92))</f>
        <v>46270.736805555556</v>
      </c>
      <c r="D92" s="11">
        <f>IF($L92="","",SUMIFS('[1]粘贴_账务明细'!$K$4:$K$3003,'[1]粘贴_账务明细'!$A$4:$A$3003,$B92,'[1]粘贴_账务明细'!$L$4:$L$3003,"订单收入")+SUMIFS('[1]粘贴_账务明细'!$K$4:$K$3003,'[1]粘贴_账务明细'!$A$4:$A$3003,$B92,'[1]粘贴_账务明细'!$L$4:$L$3003,"优惠券结算"))</f>
        <v>3799</v>
      </c>
      <c r="E92" s="11">
        <f t="shared" si="0"/>
        <v>53.19</v>
      </c>
      <c r="F92" s="11">
        <f>IF($L92="","",-SUMIFS('[1]粘贴_账务明细'!$K$4:$K$3003,'[1]粘贴_账务明细'!$A$4:$A$3003,$B92,'[1]粘贴_账务明细'!$L$4:$L$3003,"百亿补贴技术服务费"))</f>
        <v>0</v>
      </c>
      <c r="G92" s="11">
        <f>IF($L92="","",SUMIFS('[1]粘贴_服务费返还'!$M$4:$M$3003,'[1]粘贴_服务费返还'!$N$4:$N$3003,$B92,'[1]粘贴_服务费返还'!$O$4:$O$3003,"返还"))</f>
        <v>0</v>
      </c>
      <c r="H92" s="11">
        <f>IF($L92="","",SUMIFS('[1]粘贴_服务费返还'!$M$4:$M$3003,'[1]粘贴_服务费返还'!$N$4:$N$3003,$B92,'[1]粘贴_服务费返还'!$O$4:$O$3003,"扣回"))</f>
        <v>0</v>
      </c>
      <c r="I92" s="11">
        <f t="shared" si="1"/>
        <v>0</v>
      </c>
      <c r="J92" s="6" t="str">
        <f t="shared" si="2"/>
        <v>订单已退款，百亿费已原路退回，不用返</v>
      </c>
      <c r="K92" s="10">
        <f t="shared" si="3"/>
        <v>25</v>
      </c>
      <c r="L92" s="17">
        <f>IF(A92&gt;$H$5,"",MATCH(A92,'[1]粘贴_账务明细'!$O$4:$O$3003,0))</f>
        <v>358</v>
      </c>
    </row>
    <row r="93">
      <c r="A93" s="10" t="n">
        <v>65</v>
      </c>
      <c r="B93" s="6" t="str">
        <f>IF($L93="","",INDEX('[1]粘贴_账务明细'!$A$4:$A$3003,$L93))</f>
        <v>260905-148960734810447</v>
      </c>
      <c r="C93" s="16">
        <f>IF($L93="","",INDEX('[1]粘贴_账务明细'!$H$4:$H$3003,$L93))</f>
        <v>46270.726377314815</v>
      </c>
      <c r="D93" s="11">
        <f>IF($L93="","",SUMIFS('[1]粘贴_账务明细'!$K$4:$K$3003,'[1]粘贴_账务明细'!$A$4:$A$3003,$B93,'[1]粘贴_账务明细'!$L$4:$L$3003,"订单收入")+SUMIFS('[1]粘贴_账务明细'!$K$4:$K$3003,'[1]粘贴_账务明细'!$A$4:$A$3003,$B93,'[1]粘贴_账务明细'!$L$4:$L$3003,"优惠券结算"))</f>
        <v>3599</v>
      </c>
      <c r="E93" s="11">
        <f t="shared" si="0"/>
        <v>50.39</v>
      </c>
      <c r="F93" s="11">
        <f>IF($L93="","",-SUMIFS('[1]粘贴_账务明细'!$K$4:$K$3003,'[1]粘贴_账务明细'!$A$4:$A$3003,$B93,'[1]粘贴_账务明细'!$L$4:$L$3003,"百亿补贴技术服务费"))</f>
        <v>0</v>
      </c>
      <c r="G93" s="11">
        <f>IF($L93="","",SUMIFS('[1]粘贴_服务费返还'!$M$4:$M$3003,'[1]粘贴_服务费返还'!$N$4:$N$3003,$B93,'[1]粘贴_服务费返还'!$O$4:$O$3003,"返还"))</f>
        <v>0</v>
      </c>
      <c r="H93" s="11">
        <f>IF($L93="","",SUMIFS('[1]粘贴_服务费返还'!$M$4:$M$3003,'[1]粘贴_服务费返还'!$N$4:$N$3003,$B93,'[1]粘贴_服务费返还'!$O$4:$O$3003,"扣回"))</f>
        <v>0</v>
      </c>
      <c r="I93" s="11">
        <f t="shared" si="1"/>
        <v>0</v>
      </c>
      <c r="J93" s="6" t="str">
        <f t="shared" si="2"/>
        <v>订单已退款，百亿费已原路退回，不用返</v>
      </c>
      <c r="K93" s="10">
        <f t="shared" si="3"/>
        <v>25</v>
      </c>
      <c r="L93" s="17">
        <f>IF(A93&gt;$H$5,"",MATCH(A93,'[1]粘贴_账务明细'!$O$4:$O$3003,0))</f>
        <v>367</v>
      </c>
    </row>
    <row r="94">
      <c r="A94" s="10" t="n">
        <v>66</v>
      </c>
      <c r="B94" s="6" t="str">
        <f>IF($L94="","",INDEX('[1]粘贴_账务明细'!$A$4:$A$3003,$L94))</f>
        <v>260905-575469074750381</v>
      </c>
      <c r="C94" s="16">
        <f>IF($L94="","",INDEX('[1]粘贴_账务明细'!$H$4:$H$3003,$L94))</f>
        <v>46270.660405092596</v>
      </c>
      <c r="D94" s="11">
        <f>IF($L94="","",SUMIFS('[1]粘贴_账务明细'!$K$4:$K$3003,'[1]粘贴_账务明细'!$A$4:$A$3003,$B94,'[1]粘贴_账务明细'!$L$4:$L$3003,"订单收入")+SUMIFS('[1]粘贴_账务明细'!$K$4:$K$3003,'[1]粘贴_账务明细'!$A$4:$A$3003,$B94,'[1]粘贴_账务明细'!$L$4:$L$3003,"优惠券结算"))</f>
        <v>3599</v>
      </c>
      <c r="E94" s="11">
        <f t="shared" si="0"/>
        <v>50.39</v>
      </c>
      <c r="F94" s="11">
        <f>IF($L94="","",-SUMIFS('[1]粘贴_账务明细'!$K$4:$K$3003,'[1]粘贴_账务明细'!$A$4:$A$3003,$B94,'[1]粘贴_账务明细'!$L$4:$L$3003,"百亿补贴技术服务费"))</f>
        <v>0</v>
      </c>
      <c r="G94" s="11">
        <f>IF($L94="","",SUMIFS('[1]粘贴_服务费返还'!$M$4:$M$3003,'[1]粘贴_服务费返还'!$N$4:$N$3003,$B94,'[1]粘贴_服务费返还'!$O$4:$O$3003,"返还"))</f>
        <v>0</v>
      </c>
      <c r="H94" s="11">
        <f>IF($L94="","",SUMIFS('[1]粘贴_服务费返还'!$M$4:$M$3003,'[1]粘贴_服务费返还'!$N$4:$N$3003,$B94,'[1]粘贴_服务费返还'!$O$4:$O$3003,"扣回"))</f>
        <v>0</v>
      </c>
      <c r="I94" s="11">
        <f t="shared" si="1"/>
        <v>0</v>
      </c>
      <c r="J94" s="6" t="str">
        <f t="shared" si="2"/>
        <v>订单已退款，百亿费已原路退回，不用返</v>
      </c>
      <c r="K94" s="10">
        <f t="shared" si="3"/>
        <v>25</v>
      </c>
      <c r="L94" s="17">
        <f>IF(A94&gt;$H$5,"",MATCH(A94,'[1]粘贴_账务明细'!$O$4:$O$3003,0))</f>
        <v>375</v>
      </c>
    </row>
    <row r="95">
      <c r="A95" s="10" t="n">
        <v>67</v>
      </c>
      <c r="B95" s="6" t="str">
        <f>IF($L95="","",INDEX('[1]粘贴_账务明细'!$A$4:$A$3003,$L95))</f>
        <v>260826-680106473883870</v>
      </c>
      <c r="C95" s="16">
        <f>IF($L95="","",INDEX('[1]粘贴_账务明细'!$H$4:$H$3003,$L95))</f>
        <v>46270.60828703704</v>
      </c>
      <c r="D95" s="11">
        <f>IF($L95="","",SUMIFS('[1]粘贴_账务明细'!$K$4:$K$3003,'[1]粘贴_账务明细'!$A$4:$A$3003,$B95,'[1]粘贴_账务明细'!$L$4:$L$3003,"订单收入")+SUMIFS('[1]粘贴_账务明细'!$K$4:$K$3003,'[1]粘贴_账务明细'!$A$4:$A$3003,$B95,'[1]粘贴_账务明细'!$L$4:$L$3003,"优惠券结算"))</f>
        <v>3699</v>
      </c>
      <c r="E95" s="11">
        <f t="shared" si="0"/>
        <v>51.79</v>
      </c>
      <c r="F95" s="11">
        <f>IF($L95="","",-SUMIFS('[1]粘贴_账务明细'!$K$4:$K$3003,'[1]粘贴_账务明细'!$A$4:$A$3003,$B95,'[1]粘贴_账务明细'!$L$4:$L$3003,"百亿补贴技术服务费"))</f>
        <v>51.79</v>
      </c>
      <c r="G95" s="11">
        <f>IF($L95="","",SUMIFS('[1]粘贴_服务费返还'!$M$4:$M$3003,'[1]粘贴_服务费返还'!$N$4:$N$3003,$B95,'[1]粘贴_服务费返还'!$O$4:$O$3003,"返还"))</f>
        <v>0</v>
      </c>
      <c r="H95" s="11">
        <f>IF($L95="","",SUMIFS('[1]粘贴_服务费返还'!$M$4:$M$3003,'[1]粘贴_服务费返还'!$N$4:$N$3003,$B95,'[1]粘贴_服务费返还'!$O$4:$O$3003,"扣回"))</f>
        <v>0</v>
      </c>
      <c r="I95" s="11">
        <f t="shared" si="1"/>
        <v>51.79</v>
      </c>
      <c r="J95" s="6" t="str">
        <f t="shared" si="2"/>
        <v>扣了还没返</v>
      </c>
      <c r="K95" s="10">
        <f t="shared" si="3"/>
        <v>25</v>
      </c>
      <c r="L95" s="17">
        <f>IF(A95&gt;$H$5,"",MATCH(A95,'[1]粘贴_账务明细'!$O$4:$O$3003,0))</f>
        <v>377</v>
      </c>
    </row>
    <row r="96">
      <c r="A96" s="10" t="n">
        <v>68</v>
      </c>
      <c r="B96" s="6" t="str">
        <f>IF($L96="","",INDEX('[1]粘贴_账务明细'!$A$4:$A$3003,$L96))</f>
        <v>260904-018916318842228</v>
      </c>
      <c r="C96" s="16">
        <f>IF($L96="","",INDEX('[1]粘贴_账务明细'!$H$4:$H$3003,$L96))</f>
        <v>46269.889386574076</v>
      </c>
      <c r="D96" s="11">
        <f>IF($L96="","",SUMIFS('[1]粘贴_账务明细'!$K$4:$K$3003,'[1]粘贴_账务明细'!$A$4:$A$3003,$B96,'[1]粘贴_账务明细'!$L$4:$L$3003,"订单收入")+SUMIFS('[1]粘贴_账务明细'!$K$4:$K$3003,'[1]粘贴_账务明细'!$A$4:$A$3003,$B96,'[1]粘贴_账务明细'!$L$4:$L$3003,"优惠券结算"))</f>
        <v>3599</v>
      </c>
      <c r="E96" s="11">
        <f t="shared" si="0"/>
        <v>50.39</v>
      </c>
      <c r="F96" s="11">
        <f>IF($L96="","",-SUMIFS('[1]粘贴_账务明细'!$K$4:$K$3003,'[1]粘贴_账务明细'!$A$4:$A$3003,$B96,'[1]粘贴_账务明细'!$L$4:$L$3003,"百亿补贴技术服务费"))</f>
        <v>0</v>
      </c>
      <c r="G96" s="11">
        <f>IF($L96="","",SUMIFS('[1]粘贴_服务费返还'!$M$4:$M$3003,'[1]粘贴_服务费返还'!$N$4:$N$3003,$B96,'[1]粘贴_服务费返还'!$O$4:$O$3003,"返还"))</f>
        <v>0</v>
      </c>
      <c r="H96" s="11">
        <f>IF($L96="","",SUMIFS('[1]粘贴_服务费返还'!$M$4:$M$3003,'[1]粘贴_服务费返还'!$N$4:$N$3003,$B96,'[1]粘贴_服务费返还'!$O$4:$O$3003,"扣回"))</f>
        <v>0</v>
      </c>
      <c r="I96" s="11">
        <f t="shared" si="1"/>
        <v>0</v>
      </c>
      <c r="J96" s="6" t="str">
        <f t="shared" si="2"/>
        <v>订单已退款，百亿费已原路退回，不用返</v>
      </c>
      <c r="K96" s="10">
        <f t="shared" si="3"/>
        <v>26</v>
      </c>
      <c r="L96" s="17">
        <f>IF(A96&gt;$H$5,"",MATCH(A96,'[1]粘贴_账务明细'!$O$4:$O$3003,0))</f>
        <v>382</v>
      </c>
    </row>
    <row r="97">
      <c r="A97" s="10" t="n">
        <v>69</v>
      </c>
      <c r="B97" s="6" t="str">
        <f>IF($L97="","",INDEX('[1]粘贴_账务明细'!$A$4:$A$3003,$L97))</f>
        <v>260902-665699019102672</v>
      </c>
      <c r="C97" s="16">
        <f>IF($L97="","",INDEX('[1]粘贴_账务明细'!$H$4:$H$3003,$L97))</f>
        <v>46269.80967592593</v>
      </c>
      <c r="D97" s="11">
        <f>IF($L97="","",SUMIFS('[1]粘贴_账务明细'!$K$4:$K$3003,'[1]粘贴_账务明细'!$A$4:$A$3003,$B97,'[1]粘贴_账务明细'!$L$4:$L$3003,"订单收入")+SUMIFS('[1]粘贴_账务明细'!$K$4:$K$3003,'[1]粘贴_账务明细'!$A$4:$A$3003,$B97,'[1]粘贴_账务明细'!$L$4:$L$3003,"优惠券结算"))</f>
        <v>3289</v>
      </c>
      <c r="E97" s="11">
        <f t="shared" si="0"/>
        <v>46.05</v>
      </c>
      <c r="F97" s="11">
        <f>IF($L97="","",-SUMIFS('[1]粘贴_账务明细'!$K$4:$K$3003,'[1]粘贴_账务明细'!$A$4:$A$3003,$B97,'[1]粘贴_账务明细'!$L$4:$L$3003,"百亿补贴技术服务费"))</f>
        <v>46.05</v>
      </c>
      <c r="G97" s="11">
        <f>IF($L97="","",SUMIFS('[1]粘贴_服务费返还'!$M$4:$M$3003,'[1]粘贴_服务费返还'!$N$4:$N$3003,$B97,'[1]粘贴_服务费返还'!$O$4:$O$3003,"返还"))</f>
        <v>0</v>
      </c>
      <c r="H97" s="11">
        <f>IF($L97="","",SUMIFS('[1]粘贴_服务费返还'!$M$4:$M$3003,'[1]粘贴_服务费返还'!$N$4:$N$3003,$B97,'[1]粘贴_服务费返还'!$O$4:$O$3003,"扣回"))</f>
        <v>0</v>
      </c>
      <c r="I97" s="11">
        <f t="shared" si="1"/>
        <v>46.05</v>
      </c>
      <c r="J97" s="6" t="str">
        <f t="shared" si="2"/>
        <v>扣了还没返</v>
      </c>
      <c r="K97" s="10">
        <f t="shared" si="3"/>
        <v>26</v>
      </c>
      <c r="L97" s="17">
        <f>IF(A97&gt;$H$5,"",MATCH(A97,'[1]粘贴_账务明细'!$O$4:$O$3003,0))</f>
        <v>387</v>
      </c>
    </row>
    <row r="98">
      <c r="A98" s="10" t="n">
        <v>70</v>
      </c>
      <c r="B98" s="6" t="str">
        <f>IF($L98="","",INDEX('[1]粘贴_账务明细'!$A$4:$A$3003,$L98))</f>
        <v>260824-149013153371764</v>
      </c>
      <c r="C98" s="16">
        <f>IF($L98="","",INDEX('[1]粘贴_账务明细'!$H$4:$H$3003,$L98))</f>
        <v>46269.761099537034</v>
      </c>
      <c r="D98" s="11">
        <f>IF($L98="","",SUMIFS('[1]粘贴_账务明细'!$K$4:$K$3003,'[1]粘贴_账务明细'!$A$4:$A$3003,$B98,'[1]粘贴_账务明细'!$L$4:$L$3003,"订单收入")+SUMIFS('[1]粘贴_账务明细'!$K$4:$K$3003,'[1]粘贴_账务明细'!$A$4:$A$3003,$B98,'[1]粘贴_账务明细'!$L$4:$L$3003,"优惠券结算"))</f>
        <v>9599</v>
      </c>
      <c r="E98" s="11">
        <f t="shared" si="0"/>
        <v>134.39</v>
      </c>
      <c r="F98" s="11">
        <f>IF($L98="","",-SUMIFS('[1]粘贴_账务明细'!$K$4:$K$3003,'[1]粘贴_账务明细'!$A$4:$A$3003,$B98,'[1]粘贴_账务明细'!$L$4:$L$3003,"百亿补贴技术服务费"))</f>
        <v>134.39</v>
      </c>
      <c r="G98" s="11">
        <f>IF($L98="","",SUMIFS('[1]粘贴_服务费返还'!$M$4:$M$3003,'[1]粘贴_服务费返还'!$N$4:$N$3003,$B98,'[1]粘贴_服务费返还'!$O$4:$O$3003,"返还"))</f>
        <v>0</v>
      </c>
      <c r="H98" s="11">
        <f>IF($L98="","",SUMIFS('[1]粘贴_服务费返还'!$M$4:$M$3003,'[1]粘贴_服务费返还'!$N$4:$N$3003,$B98,'[1]粘贴_服务费返还'!$O$4:$O$3003,"扣回"))</f>
        <v>0</v>
      </c>
      <c r="I98" s="11">
        <f t="shared" si="1"/>
        <v>134.39</v>
      </c>
      <c r="J98" s="6" t="str">
        <f t="shared" si="2"/>
        <v>扣了还没返</v>
      </c>
      <c r="K98" s="10">
        <f t="shared" si="3"/>
        <v>26</v>
      </c>
      <c r="L98" s="17">
        <f>IF(A98&gt;$H$5,"",MATCH(A98,'[1]粘贴_账务明细'!$O$4:$O$3003,0))</f>
        <v>391</v>
      </c>
    </row>
    <row r="99">
      <c r="A99" s="10" t="n">
        <v>71</v>
      </c>
      <c r="B99" s="6" t="str">
        <f>IF($L99="","",INDEX('[1]粘贴_账务明细'!$A$4:$A$3003,$L99))</f>
        <v>260820-316607075930482</v>
      </c>
      <c r="C99" s="16">
        <f>IF($L99="","",INDEX('[1]粘贴_账务明细'!$H$4:$H$3003,$L99))</f>
        <v>46269.260300925926</v>
      </c>
      <c r="D99" s="11">
        <f>IF($L99="","",SUMIFS('[1]粘贴_账务明细'!$K$4:$K$3003,'[1]粘贴_账务明细'!$A$4:$A$3003,$B99,'[1]粘贴_账务明细'!$L$4:$L$3003,"订单收入")+SUMIFS('[1]粘贴_账务明细'!$K$4:$K$3003,'[1]粘贴_账务明细'!$A$4:$A$3003,$B99,'[1]粘贴_账务明细'!$L$4:$L$3003,"优惠券结算"))</f>
        <v>2999</v>
      </c>
      <c r="E99" s="11">
        <f t="shared" si="0"/>
        <v>41.99</v>
      </c>
      <c r="F99" s="11">
        <f>IF($L99="","",-SUMIFS('[1]粘贴_账务明细'!$K$4:$K$3003,'[1]粘贴_账务明细'!$A$4:$A$3003,$B99,'[1]粘贴_账务明细'!$L$4:$L$3003,"百亿补贴技术服务费"))</f>
        <v>41.99</v>
      </c>
      <c r="G99" s="11">
        <f>IF($L99="","",SUMIFS('[1]粘贴_服务费返还'!$M$4:$M$3003,'[1]粘贴_服务费返还'!$N$4:$N$3003,$B99,'[1]粘贴_服务费返还'!$O$4:$O$3003,"返还"))</f>
        <v>0</v>
      </c>
      <c r="H99" s="11">
        <f>IF($L99="","",SUMIFS('[1]粘贴_服务费返还'!$M$4:$M$3003,'[1]粘贴_服务费返还'!$N$4:$N$3003,$B99,'[1]粘贴_服务费返还'!$O$4:$O$3003,"扣回"))</f>
        <v>0</v>
      </c>
      <c r="I99" s="11">
        <f t="shared" si="1"/>
        <v>41.99</v>
      </c>
      <c r="J99" s="6" t="str">
        <f t="shared" si="2"/>
        <v>扣了还没返</v>
      </c>
      <c r="K99" s="10">
        <f t="shared" si="3"/>
        <v>26</v>
      </c>
      <c r="L99" s="17">
        <f>IF(A99&gt;$H$5,"",MATCH(A99,'[1]粘贴_账务明细'!$O$4:$O$3003,0))</f>
        <v>396</v>
      </c>
    </row>
    <row r="100">
      <c r="A100" s="10" t="n">
        <v>72</v>
      </c>
      <c r="B100" s="6" t="str">
        <f>IF($L100="","",INDEX('[1]粘贴_账务明细'!$A$4:$A$3003,$L100))</f>
        <v>260819-321535424863315</v>
      </c>
      <c r="C100" s="16">
        <f>IF($L100="","",INDEX('[1]粘贴_账务明细'!$H$4:$H$3003,$L100))</f>
        <v>46269.19766203704</v>
      </c>
      <c r="D100" s="11">
        <f>IF($L100="","",SUMIFS('[1]粘贴_账务明细'!$K$4:$K$3003,'[1]粘贴_账务明细'!$A$4:$A$3003,$B100,'[1]粘贴_账务明细'!$L$4:$L$3003,"订单收入")+SUMIFS('[1]粘贴_账务明细'!$K$4:$K$3003,'[1]粘贴_账务明细'!$A$4:$A$3003,$B100,'[1]粘贴_账务明细'!$L$4:$L$3003,"优惠券结算"))</f>
        <v>8199</v>
      </c>
      <c r="E100" s="11">
        <f t="shared" si="0"/>
        <v>114.79</v>
      </c>
      <c r="F100" s="11">
        <f>IF($L100="","",-SUMIFS('[1]粘贴_账务明细'!$K$4:$K$3003,'[1]粘贴_账务明细'!$A$4:$A$3003,$B100,'[1]粘贴_账务明细'!$L$4:$L$3003,"百亿补贴技术服务费"))</f>
        <v>114.79</v>
      </c>
      <c r="G100" s="11">
        <f>IF($L100="","",SUMIFS('[1]粘贴_服务费返还'!$M$4:$M$3003,'[1]粘贴_服务费返还'!$N$4:$N$3003,$B100,'[1]粘贴_服务费返还'!$O$4:$O$3003,"返还"))</f>
        <v>0</v>
      </c>
      <c r="H100" s="11">
        <f>IF($L100="","",SUMIFS('[1]粘贴_服务费返还'!$M$4:$M$3003,'[1]粘贴_服务费返还'!$N$4:$N$3003,$B100,'[1]粘贴_服务费返还'!$O$4:$O$3003,"扣回"))</f>
        <v>0</v>
      </c>
      <c r="I100" s="11">
        <f t="shared" si="1"/>
        <v>114.79</v>
      </c>
      <c r="J100" s="6" t="str">
        <f t="shared" si="2"/>
        <v>扣了还没返</v>
      </c>
      <c r="K100" s="10">
        <f t="shared" si="3"/>
        <v>26</v>
      </c>
      <c r="L100" s="17">
        <f>IF(A100&gt;$H$5,"",MATCH(A100,'[1]粘贴_账务明细'!$O$4:$O$3003,0))</f>
        <v>401</v>
      </c>
    </row>
    <row r="101">
      <c r="A101" s="10" t="n">
        <v>73</v>
      </c>
      <c r="B101" s="6" t="str">
        <f>IF($L101="","",INDEX('[1]粘贴_账务明细'!$A$4:$A$3003,$L101))</f>
        <v>260901-505418892803156</v>
      </c>
      <c r="C101" s="16">
        <f>IF($L101="","",INDEX('[1]粘贴_账务明细'!$H$4:$H$3003,$L101))</f>
        <v>46268.8962962963</v>
      </c>
      <c r="D101" s="11">
        <f>IF($L101="","",SUMIFS('[1]粘贴_账务明细'!$K$4:$K$3003,'[1]粘贴_账务明细'!$A$4:$A$3003,$B101,'[1]粘贴_账务明细'!$L$4:$L$3003,"订单收入")+SUMIFS('[1]粘贴_账务明细'!$K$4:$K$3003,'[1]粘贴_账务明细'!$A$4:$A$3003,$B101,'[1]粘贴_账务明细'!$L$4:$L$3003,"优惠券结算"))</f>
        <v>3289</v>
      </c>
      <c r="E101" s="11">
        <f t="shared" si="0"/>
        <v>46.05</v>
      </c>
      <c r="F101" s="11">
        <f>IF($L101="","",-SUMIFS('[1]粘贴_账务明细'!$K$4:$K$3003,'[1]粘贴_账务明细'!$A$4:$A$3003,$B101,'[1]粘贴_账务明细'!$L$4:$L$3003,"百亿补贴技术服务费"))</f>
        <v>46.05</v>
      </c>
      <c r="G101" s="11">
        <f>IF($L101="","",SUMIFS('[1]粘贴_服务费返还'!$M$4:$M$3003,'[1]粘贴_服务费返还'!$N$4:$N$3003,$B101,'[1]粘贴_服务费返还'!$O$4:$O$3003,"返还"))</f>
        <v>0</v>
      </c>
      <c r="H101" s="11">
        <f>IF($L101="","",SUMIFS('[1]粘贴_服务费返还'!$M$4:$M$3003,'[1]粘贴_服务费返还'!$N$4:$N$3003,$B101,'[1]粘贴_服务费返还'!$O$4:$O$3003,"扣回"))</f>
        <v>0</v>
      </c>
      <c r="I101" s="11">
        <f t="shared" si="1"/>
        <v>46.05</v>
      </c>
      <c r="J101" s="6" t="str">
        <f t="shared" si="2"/>
        <v>扣了还没返</v>
      </c>
      <c r="K101" s="10">
        <f t="shared" si="3"/>
        <v>27</v>
      </c>
      <c r="L101" s="17">
        <f>IF(A101&gt;$H$5,"",MATCH(A101,'[1]粘贴_账务明细'!$O$4:$O$3003,0))</f>
        <v>405</v>
      </c>
    </row>
    <row r="102">
      <c r="A102" s="10" t="n">
        <v>74</v>
      </c>
      <c r="B102" s="6" t="str">
        <f>IF($L102="","",INDEX('[1]粘贴_账务明细'!$A$4:$A$3003,$L102))</f>
        <v>260903-051464169812913</v>
      </c>
      <c r="C102" s="16">
        <f>IF($L102="","",INDEX('[1]粘贴_账务明细'!$H$4:$H$3003,$L102))</f>
        <v>46268.702060185184</v>
      </c>
      <c r="D102" s="11">
        <f>IF($L102="","",SUMIFS('[1]粘贴_账务明细'!$K$4:$K$3003,'[1]粘贴_账务明细'!$A$4:$A$3003,$B102,'[1]粘贴_账务明细'!$L$4:$L$3003,"订单收入")+SUMIFS('[1]粘贴_账务明细'!$K$4:$K$3003,'[1]粘贴_账务明细'!$A$4:$A$3003,$B102,'[1]粘贴_账务明细'!$L$4:$L$3003,"优惠券结算"))</f>
        <v>3599</v>
      </c>
      <c r="E102" s="11">
        <f t="shared" si="0"/>
        <v>50.39</v>
      </c>
      <c r="F102" s="11">
        <f>IF($L102="","",-SUMIFS('[1]粘贴_账务明细'!$K$4:$K$3003,'[1]粘贴_账务明细'!$A$4:$A$3003,$B102,'[1]粘贴_账务明细'!$L$4:$L$3003,"百亿补贴技术服务费"))</f>
        <v>0</v>
      </c>
      <c r="G102" s="11">
        <f>IF($L102="","",SUMIFS('[1]粘贴_服务费返还'!$M$4:$M$3003,'[1]粘贴_服务费返还'!$N$4:$N$3003,$B102,'[1]粘贴_服务费返还'!$O$4:$O$3003,"返还"))</f>
        <v>0</v>
      </c>
      <c r="H102" s="11">
        <f>IF($L102="","",SUMIFS('[1]粘贴_服务费返还'!$M$4:$M$3003,'[1]粘贴_服务费返还'!$N$4:$N$3003,$B102,'[1]粘贴_服务费返还'!$O$4:$O$3003,"扣回"))</f>
        <v>0</v>
      </c>
      <c r="I102" s="11">
        <f t="shared" si="1"/>
        <v>0</v>
      </c>
      <c r="J102" s="6" t="str">
        <f t="shared" si="2"/>
        <v>订单已退款，百亿费已原路退回，不用返</v>
      </c>
      <c r="K102" s="10">
        <f t="shared" si="3"/>
        <v>27</v>
      </c>
      <c r="L102" s="17">
        <f>IF(A102&gt;$H$5,"",MATCH(A102,'[1]粘贴_账务明细'!$O$4:$O$3003,0))</f>
        <v>410</v>
      </c>
    </row>
    <row r="103">
      <c r="A103" s="10" t="n">
        <v>75</v>
      </c>
      <c r="B103" s="6" t="str">
        <f>IF($L103="","",INDEX('[1]粘贴_账务明细'!$A$4:$A$3003,$L103))</f>
        <v>260903-310053486891581</v>
      </c>
      <c r="C103" s="16">
        <f>IF($L103="","",INDEX('[1]粘贴_账务明细'!$H$4:$H$3003,$L103))</f>
        <v>46268.46241898148</v>
      </c>
      <c r="D103" s="11">
        <f>IF($L103="","",SUMIFS('[1]粘贴_账务明细'!$K$4:$K$3003,'[1]粘贴_账务明细'!$A$4:$A$3003,$B103,'[1]粘贴_账务明细'!$L$4:$L$3003,"订单收入")+SUMIFS('[1]粘贴_账务明细'!$K$4:$K$3003,'[1]粘贴_账务明细'!$A$4:$A$3003,$B103,'[1]粘贴_账务明细'!$L$4:$L$3003,"优惠券结算"))</f>
        <v>3699</v>
      </c>
      <c r="E103" s="11">
        <f t="shared" si="0"/>
        <v>51.79</v>
      </c>
      <c r="F103" s="11">
        <f>IF($L103="","",-SUMIFS('[1]粘贴_账务明细'!$K$4:$K$3003,'[1]粘贴_账务明细'!$A$4:$A$3003,$B103,'[1]粘贴_账务明细'!$L$4:$L$3003,"百亿补贴技术服务费"))</f>
        <v>0</v>
      </c>
      <c r="G103" s="11">
        <f>IF($L103="","",SUMIFS('[1]粘贴_服务费返还'!$M$4:$M$3003,'[1]粘贴_服务费返还'!$N$4:$N$3003,$B103,'[1]粘贴_服务费返还'!$O$4:$O$3003,"返还"))</f>
        <v>0</v>
      </c>
      <c r="H103" s="11">
        <f>IF($L103="","",SUMIFS('[1]粘贴_服务费返还'!$M$4:$M$3003,'[1]粘贴_服务费返还'!$N$4:$N$3003,$B103,'[1]粘贴_服务费返还'!$O$4:$O$3003,"扣回"))</f>
        <v>0</v>
      </c>
      <c r="I103" s="11">
        <f t="shared" si="1"/>
        <v>0</v>
      </c>
      <c r="J103" s="6" t="str">
        <f t="shared" si="2"/>
        <v>订单已退款，百亿费已原路退回，不用返</v>
      </c>
      <c r="K103" s="10">
        <f t="shared" si="3"/>
        <v>27</v>
      </c>
      <c r="L103" s="17">
        <f>IF(A103&gt;$H$5,"",MATCH(A103,'[1]粘贴_账务明细'!$O$4:$O$3003,0))</f>
        <v>413</v>
      </c>
    </row>
    <row r="104">
      <c r="A104" s="10" t="n">
        <v>76</v>
      </c>
      <c r="B104" s="6" t="str">
        <f>IF($L104="","",INDEX('[1]粘贴_账务明细'!$A$4:$A$3003,$L104))</f>
        <v>260902-672577687940258</v>
      </c>
      <c r="C104" s="16">
        <f>IF($L104="","",INDEX('[1]粘贴_账务明细'!$H$4:$H$3003,$L104))</f>
        <v>46267.04158564815</v>
      </c>
      <c r="D104" s="11">
        <f>IF($L104="","",SUMIFS('[1]粘贴_账务明细'!$K$4:$K$3003,'[1]粘贴_账务明细'!$A$4:$A$3003,$B104,'[1]粘贴_账务明细'!$L$4:$L$3003,"订单收入")+SUMIFS('[1]粘贴_账务明细'!$K$4:$K$3003,'[1]粘贴_账务明细'!$A$4:$A$3003,$B104,'[1]粘贴_账务明细'!$L$4:$L$3003,"优惠券结算"))</f>
        <v>3599</v>
      </c>
      <c r="E104" s="11">
        <f t="shared" si="0"/>
        <v>50.39</v>
      </c>
      <c r="F104" s="11">
        <f>IF($L104="","",-SUMIFS('[1]粘贴_账务明细'!$K$4:$K$3003,'[1]粘贴_账务明细'!$A$4:$A$3003,$B104,'[1]粘贴_账务明细'!$L$4:$L$3003,"百亿补贴技术服务费"))</f>
        <v>0</v>
      </c>
      <c r="G104" s="11">
        <f>IF($L104="","",SUMIFS('[1]粘贴_服务费返还'!$M$4:$M$3003,'[1]粘贴_服务费返还'!$N$4:$N$3003,$B104,'[1]粘贴_服务费返还'!$O$4:$O$3003,"返还"))</f>
        <v>0</v>
      </c>
      <c r="H104" s="11">
        <f>IF($L104="","",SUMIFS('[1]粘贴_服务费返还'!$M$4:$M$3003,'[1]粘贴_服务费返还'!$N$4:$N$3003,$B104,'[1]粘贴_服务费返还'!$O$4:$O$3003,"扣回"))</f>
        <v>0</v>
      </c>
      <c r="I104" s="11">
        <f t="shared" si="1"/>
        <v>0</v>
      </c>
      <c r="J104" s="6" t="str">
        <f t="shared" si="2"/>
        <v>订单已退款，百亿费已原路退回，不用返</v>
      </c>
      <c r="K104" s="10">
        <f t="shared" si="3"/>
        <v>28</v>
      </c>
      <c r="L104" s="17">
        <f>IF(A104&gt;$H$5,"",MATCH(A104,'[1]粘贴_账务明细'!$O$4:$O$3003,0))</f>
        <v>427</v>
      </c>
    </row>
    <row r="105">
      <c r="A105" s="10" t="n">
        <v>77</v>
      </c>
      <c r="B105" s="6" t="str">
        <f>IF($L105="","",INDEX('[1]粘贴_账务明细'!$A$4:$A$3003,$L105))</f>
        <v>260901-322950940160751</v>
      </c>
      <c r="C105" s="16">
        <f>IF($L105="","",INDEX('[1]粘贴_账务明细'!$H$4:$H$3003,$L105))</f>
        <v>46266.99659722222</v>
      </c>
      <c r="D105" s="11">
        <f>IF($L105="","",SUMIFS('[1]粘贴_账务明细'!$K$4:$K$3003,'[1]粘贴_账务明细'!$A$4:$A$3003,$B105,'[1]粘贴_账务明细'!$L$4:$L$3003,"订单收入")+SUMIFS('[1]粘贴_账务明细'!$K$4:$K$3003,'[1]粘贴_账务明细'!$A$4:$A$3003,$B105,'[1]粘贴_账务明细'!$L$4:$L$3003,"优惠券结算"))</f>
        <v>3799</v>
      </c>
      <c r="E105" s="11">
        <f t="shared" si="0"/>
        <v>53.19</v>
      </c>
      <c r="F105" s="11">
        <f>IF($L105="","",-SUMIFS('[1]粘贴_账务明细'!$K$4:$K$3003,'[1]粘贴_账务明细'!$A$4:$A$3003,$B105,'[1]粘贴_账务明细'!$L$4:$L$3003,"百亿补贴技术服务费"))</f>
        <v>0</v>
      </c>
      <c r="G105" s="11">
        <f>IF($L105="","",SUMIFS('[1]粘贴_服务费返还'!$M$4:$M$3003,'[1]粘贴_服务费返还'!$N$4:$N$3003,$B105,'[1]粘贴_服务费返还'!$O$4:$O$3003,"返还"))</f>
        <v>0</v>
      </c>
      <c r="H105" s="11">
        <f>IF($L105="","",SUMIFS('[1]粘贴_服务费返还'!$M$4:$M$3003,'[1]粘贴_服务费返还'!$N$4:$N$3003,$B105,'[1]粘贴_服务费返还'!$O$4:$O$3003,"扣回"))</f>
        <v>0</v>
      </c>
      <c r="I105" s="11">
        <f t="shared" si="1"/>
        <v>0</v>
      </c>
      <c r="J105" s="6" t="str">
        <f t="shared" si="2"/>
        <v>订单已退款，百亿费已原路退回，不用返</v>
      </c>
      <c r="K105" s="10">
        <f t="shared" si="3"/>
        <v>29</v>
      </c>
      <c r="L105" s="17">
        <f>IF(A105&gt;$H$5,"",MATCH(A105,'[1]粘贴_账务明细'!$O$4:$O$3003,0))</f>
        <v>433</v>
      </c>
    </row>
    <row r="106">
      <c r="A106" s="10" t="n">
        <v>78</v>
      </c>
      <c r="B106" s="6" t="str">
        <f>IF($L106="","",INDEX('[1]粘贴_账务明细'!$A$4:$A$3003,$L106))</f>
        <v>260802-569198528023788</v>
      </c>
      <c r="C106" s="16">
        <f>IF($L106="","",INDEX('[1]粘贴_账务明细'!$H$4:$H$3003,$L106))</f>
        <v>46266.71596064815</v>
      </c>
      <c r="D106" s="11">
        <f>IF($L106="","",SUMIFS('[1]粘贴_账务明细'!$K$4:$K$3003,'[1]粘贴_账务明细'!$A$4:$A$3003,$B106,'[1]粘贴_账务明细'!$L$4:$L$3003,"订单收入")+SUMIFS('[1]粘贴_账务明细'!$K$4:$K$3003,'[1]粘贴_账务明细'!$A$4:$A$3003,$B106,'[1]粘贴_账务明细'!$L$4:$L$3003,"优惠券结算"))</f>
        <v>3698</v>
      </c>
      <c r="E106" s="11">
        <f t="shared" si="0"/>
        <v>51.77</v>
      </c>
      <c r="F106" s="11">
        <f>IF($L106="","",-SUMIFS('[1]粘贴_账务明细'!$K$4:$K$3003,'[1]粘贴_账务明细'!$A$4:$A$3003,$B106,'[1]粘贴_账务明细'!$L$4:$L$3003,"百亿补贴技术服务费"))</f>
        <v>51.77</v>
      </c>
      <c r="G106" s="11">
        <f>IF($L106="","",SUMIFS('[1]粘贴_服务费返还'!$M$4:$M$3003,'[1]粘贴_服务费返还'!$N$4:$N$3003,$B106,'[1]粘贴_服务费返还'!$O$4:$O$3003,"返还"))</f>
        <v>0</v>
      </c>
      <c r="H106" s="11">
        <f>IF($L106="","",SUMIFS('[1]粘贴_服务费返还'!$M$4:$M$3003,'[1]粘贴_服务费返还'!$N$4:$N$3003,$B106,'[1]粘贴_服务费返还'!$O$4:$O$3003,"扣回"))</f>
        <v>0</v>
      </c>
      <c r="I106" s="11">
        <f t="shared" si="1"/>
        <v>51.77</v>
      </c>
      <c r="J106" s="6" t="str">
        <f t="shared" si="2"/>
        <v>扣了还没返</v>
      </c>
      <c r="K106" s="10">
        <f t="shared" si="3"/>
        <v>29</v>
      </c>
      <c r="L106" s="17">
        <f>IF(A106&gt;$H$5,"",MATCH(A106,'[1]粘贴_账务明细'!$O$4:$O$3003,0))</f>
        <v>439</v>
      </c>
    </row>
    <row r="107">
      <c r="A107" s="10" t="n">
        <v>79</v>
      </c>
      <c r="B107" s="6" t="str">
        <f>IF($L107="","",INDEX('[1]粘贴_账务明细'!$A$4:$A$3003,$L107))</f>
        <v>260822-644287117651708</v>
      </c>
      <c r="C107" s="16">
        <f>IF($L107="","",INDEX('[1]粘贴_账务明细'!$H$4:$H$3003,$L107))</f>
        <v>46266.55615740741</v>
      </c>
      <c r="D107" s="11">
        <f>IF($L107="","",SUMIFS('[1]粘贴_账务明细'!$K$4:$K$3003,'[1]粘贴_账务明细'!$A$4:$A$3003,$B107,'[1]粘贴_账务明细'!$L$4:$L$3003,"订单收入")+SUMIFS('[1]粘贴_账务明细'!$K$4:$K$3003,'[1]粘贴_账务明细'!$A$4:$A$3003,$B107,'[1]粘贴_账务明细'!$L$4:$L$3003,"优惠券结算"))</f>
        <v>3229</v>
      </c>
      <c r="E107" s="11">
        <f t="shared" si="0"/>
        <v>45.21</v>
      </c>
      <c r="F107" s="11">
        <f>IF($L107="","",-SUMIFS('[1]粘贴_账务明细'!$K$4:$K$3003,'[1]粘贴_账务明细'!$A$4:$A$3003,$B107,'[1]粘贴_账务明细'!$L$4:$L$3003,"百亿补贴技术服务费"))</f>
        <v>45.21</v>
      </c>
      <c r="G107" s="11">
        <f>IF($L107="","",SUMIFS('[1]粘贴_服务费返还'!$M$4:$M$3003,'[1]粘贴_服务费返还'!$N$4:$N$3003,$B107,'[1]粘贴_服务费返还'!$O$4:$O$3003,"返还"))</f>
        <v>0</v>
      </c>
      <c r="H107" s="11">
        <f>IF($L107="","",SUMIFS('[1]粘贴_服务费返还'!$M$4:$M$3003,'[1]粘贴_服务费返还'!$N$4:$N$3003,$B107,'[1]粘贴_服务费返还'!$O$4:$O$3003,"扣回"))</f>
        <v>0</v>
      </c>
      <c r="I107" s="11">
        <f t="shared" si="1"/>
        <v>45.21</v>
      </c>
      <c r="J107" s="6" t="str">
        <f t="shared" si="2"/>
        <v>扣了还没返</v>
      </c>
      <c r="K107" s="10">
        <f t="shared" si="3"/>
        <v>29</v>
      </c>
      <c r="L107" s="17">
        <f>IF(A107&gt;$H$5,"",MATCH(A107,'[1]粘贴_账务明细'!$O$4:$O$3003,0))</f>
        <v>442</v>
      </c>
    </row>
    <row r="108">
      <c r="A108" s="10" t="n">
        <v>80</v>
      </c>
      <c r="B108" s="6" t="str">
        <f>IF($L108="","",INDEX('[1]粘贴_账务明细'!$A$4:$A$3003,$L108))</f>
        <v>260821-152305692230188</v>
      </c>
      <c r="C108" s="16">
        <f>IF($L108="","",INDEX('[1]粘贴_账务明细'!$H$4:$H$3003,$L108))</f>
        <v>46266.45543981482</v>
      </c>
      <c r="D108" s="11">
        <f>IF($L108="","",SUMIFS('[1]粘贴_账务明细'!$K$4:$K$3003,'[1]粘贴_账务明细'!$A$4:$A$3003,$B108,'[1]粘贴_账务明细'!$L$4:$L$3003,"订单收入")+SUMIFS('[1]粘贴_账务明细'!$K$4:$K$3003,'[1]粘贴_账务明细'!$A$4:$A$3003,$B108,'[1]粘贴_账务明细'!$L$4:$L$3003,"优惠券结算"))</f>
        <v>3599</v>
      </c>
      <c r="E108" s="11">
        <f t="shared" si="0"/>
        <v>50.39</v>
      </c>
      <c r="F108" s="11">
        <f>IF($L108="","",-SUMIFS('[1]粘贴_账务明细'!$K$4:$K$3003,'[1]粘贴_账务明细'!$A$4:$A$3003,$B108,'[1]粘贴_账务明细'!$L$4:$L$3003,"百亿补贴技术服务费"))</f>
        <v>50.39</v>
      </c>
      <c r="G108" s="11">
        <f>IF($L108="","",SUMIFS('[1]粘贴_服务费返还'!$M$4:$M$3003,'[1]粘贴_服务费返还'!$N$4:$N$3003,$B108,'[1]粘贴_服务费返还'!$O$4:$O$3003,"返还"))</f>
        <v>0</v>
      </c>
      <c r="H108" s="11">
        <f>IF($L108="","",SUMIFS('[1]粘贴_服务费返还'!$M$4:$M$3003,'[1]粘贴_服务费返还'!$N$4:$N$3003,$B108,'[1]粘贴_服务费返还'!$O$4:$O$3003,"扣回"))</f>
        <v>0</v>
      </c>
      <c r="I108" s="11">
        <f t="shared" si="1"/>
        <v>50.39</v>
      </c>
      <c r="J108" s="6" t="str">
        <f t="shared" si="2"/>
        <v>扣了还没返</v>
      </c>
      <c r="K108" s="10">
        <f t="shared" si="3"/>
        <v>29</v>
      </c>
      <c r="L108" s="17">
        <f>IF(A108&gt;$H$5,"",MATCH(A108,'[1]粘贴_账务明细'!$O$4:$O$3003,0))</f>
        <v>446</v>
      </c>
    </row>
    <row r="109">
      <c r="A109" s="10" t="n">
        <v>81</v>
      </c>
      <c r="B109" s="6" t="str">
        <f>IF($L109="","",INDEX('[1]粘贴_账务明细'!$A$4:$A$3003,$L109))</f>
        <v>260821-384491875851429</v>
      </c>
      <c r="C109" s="16">
        <f>IF($L109="","",INDEX('[1]粘贴_账务明细'!$H$4:$H$3003,$L109))</f>
        <v>46266.45543981482</v>
      </c>
      <c r="D109" s="11">
        <f>IF($L109="","",SUMIFS('[1]粘贴_账务明细'!$K$4:$K$3003,'[1]粘贴_账务明细'!$A$4:$A$3003,$B109,'[1]粘贴_账务明细'!$L$4:$L$3003,"订单收入")+SUMIFS('[1]粘贴_账务明细'!$K$4:$K$3003,'[1]粘贴_账务明细'!$A$4:$A$3003,$B109,'[1]粘贴_账务明细'!$L$4:$L$3003,"优惠券结算"))</f>
        <v>3599</v>
      </c>
      <c r="E109" s="11">
        <f t="shared" si="0"/>
        <v>50.39</v>
      </c>
      <c r="F109" s="11">
        <f>IF($L109="","",-SUMIFS('[1]粘贴_账务明细'!$K$4:$K$3003,'[1]粘贴_账务明细'!$A$4:$A$3003,$B109,'[1]粘贴_账务明细'!$L$4:$L$3003,"百亿补贴技术服务费"))</f>
        <v>50.39</v>
      </c>
      <c r="G109" s="11">
        <f>IF($L109="","",SUMIFS('[1]粘贴_服务费返还'!$M$4:$M$3003,'[1]粘贴_服务费返还'!$N$4:$N$3003,$B109,'[1]粘贴_服务费返还'!$O$4:$O$3003,"返还"))</f>
        <v>0</v>
      </c>
      <c r="H109" s="11">
        <f>IF($L109="","",SUMIFS('[1]粘贴_服务费返还'!$M$4:$M$3003,'[1]粘贴_服务费返还'!$N$4:$N$3003,$B109,'[1]粘贴_服务费返还'!$O$4:$O$3003,"扣回"))</f>
        <v>0</v>
      </c>
      <c r="I109" s="11">
        <f t="shared" si="1"/>
        <v>50.39</v>
      </c>
      <c r="J109" s="6" t="str">
        <f t="shared" si="2"/>
        <v>扣了还没返</v>
      </c>
      <c r="K109" s="10">
        <f t="shared" si="3"/>
        <v>29</v>
      </c>
      <c r="L109" s="17">
        <f>IF(A109&gt;$H$5,"",MATCH(A109,'[1]粘贴_账务明细'!$O$4:$O$3003,0))</f>
        <v>447</v>
      </c>
    </row>
    <row r="110">
      <c r="A110" s="10" t="n">
        <v>82</v>
      </c>
      <c r="B110" s="6" t="str">
        <f>IF($L110="","",INDEX('[1]粘贴_账务明细'!$A$4:$A$3003,$L110))</f>
        <v>260831-252816996641031</v>
      </c>
      <c r="C110" s="16">
        <f>IF($L110="","",INDEX('[1]粘贴_账务明细'!$H$4:$H$3003,$L110))</f>
        <v>46266.38601851852</v>
      </c>
      <c r="D110" s="11">
        <f>IF($L110="","",SUMIFS('[1]粘贴_账务明细'!$K$4:$K$3003,'[1]粘贴_账务明细'!$A$4:$A$3003,$B110,'[1]粘贴_账务明细'!$L$4:$L$3003,"订单收入")+SUMIFS('[1]粘贴_账务明细'!$K$4:$K$3003,'[1]粘贴_账务明细'!$A$4:$A$3003,$B110,'[1]粘贴_账务明细'!$L$4:$L$3003,"优惠券结算"))</f>
        <v>3289</v>
      </c>
      <c r="E110" s="11">
        <f t="shared" si="0"/>
        <v>46.05</v>
      </c>
      <c r="F110" s="11">
        <f>IF($L110="","",-SUMIFS('[1]粘贴_账务明细'!$K$4:$K$3003,'[1]粘贴_账务明细'!$A$4:$A$3003,$B110,'[1]粘贴_账务明细'!$L$4:$L$3003,"百亿补贴技术服务费"))</f>
        <v>0</v>
      </c>
      <c r="G110" s="11">
        <f>IF($L110="","",SUMIFS('[1]粘贴_服务费返还'!$M$4:$M$3003,'[1]粘贴_服务费返还'!$N$4:$N$3003,$B110,'[1]粘贴_服务费返还'!$O$4:$O$3003,"返还"))</f>
        <v>0</v>
      </c>
      <c r="H110" s="11">
        <f>IF($L110="","",SUMIFS('[1]粘贴_服务费返还'!$M$4:$M$3003,'[1]粘贴_服务费返还'!$N$4:$N$3003,$B110,'[1]粘贴_服务费返还'!$O$4:$O$3003,"扣回"))</f>
        <v>0</v>
      </c>
      <c r="I110" s="11">
        <f t="shared" si="1"/>
        <v>0</v>
      </c>
      <c r="J110" s="6" t="str">
        <f t="shared" si="2"/>
        <v>订单已退款，百亿费已原路退回，不用返</v>
      </c>
      <c r="K110" s="10">
        <f t="shared" si="3"/>
        <v>29</v>
      </c>
      <c r="L110" s="17">
        <f>IF(A110&gt;$H$5,"",MATCH(A110,'[1]粘贴_账务明细'!$O$4:$O$3003,0))</f>
        <v>454</v>
      </c>
    </row>
    <row r="111">
      <c r="A111" s="10" t="n">
        <v>83</v>
      </c>
      <c r="B111" s="6" t="str">
        <f>IF($L111="","",INDEX('[1]粘贴_账务明细'!$A$4:$A$3003,$L111))</f>
        <v>260819-217652938392292</v>
      </c>
      <c r="C111" s="16">
        <f>IF($L111="","",INDEX('[1]粘贴_账务明细'!$H$4:$H$3003,$L111))</f>
        <v>46266.375543981485</v>
      </c>
      <c r="D111" s="11">
        <f>IF($L111="","",SUMIFS('[1]粘贴_账务明细'!$K$4:$K$3003,'[1]粘贴_账务明细'!$A$4:$A$3003,$B111,'[1]粘贴_账务明细'!$L$4:$L$3003,"订单收入")+SUMIFS('[1]粘贴_账务明细'!$K$4:$K$3003,'[1]粘贴_账务明细'!$A$4:$A$3003,$B111,'[1]粘贴_账务明细'!$L$4:$L$3003,"优惠券结算"))</f>
        <v>8199</v>
      </c>
      <c r="E111" s="11">
        <f t="shared" si="0"/>
        <v>114.79</v>
      </c>
      <c r="F111" s="11">
        <f>IF($L111="","",-SUMIFS('[1]粘贴_账务明细'!$K$4:$K$3003,'[1]粘贴_账务明细'!$A$4:$A$3003,$B111,'[1]粘贴_账务明细'!$L$4:$L$3003,"百亿补贴技术服务费"))</f>
        <v>114.79</v>
      </c>
      <c r="G111" s="11">
        <f>IF($L111="","",SUMIFS('[1]粘贴_服务费返还'!$M$4:$M$3003,'[1]粘贴_服务费返还'!$N$4:$N$3003,$B111,'[1]粘贴_服务费返还'!$O$4:$O$3003,"返还"))</f>
        <v>0</v>
      </c>
      <c r="H111" s="11">
        <f>IF($L111="","",SUMIFS('[1]粘贴_服务费返还'!$M$4:$M$3003,'[1]粘贴_服务费返还'!$N$4:$N$3003,$B111,'[1]粘贴_服务费返还'!$O$4:$O$3003,"扣回"))</f>
        <v>0</v>
      </c>
      <c r="I111" s="11">
        <f t="shared" si="1"/>
        <v>114.79</v>
      </c>
      <c r="J111" s="6" t="str">
        <f t="shared" si="2"/>
        <v>扣了还没返</v>
      </c>
      <c r="K111" s="10">
        <f t="shared" si="3"/>
        <v>29</v>
      </c>
      <c r="L111" s="17">
        <f>IF(A111&gt;$H$5,"",MATCH(A111,'[1]粘贴_账务明细'!$O$4:$O$3003,0))</f>
        <v>461</v>
      </c>
    </row>
    <row r="112">
      <c r="A112" s="10" t="n">
        <v>84</v>
      </c>
      <c r="B112" s="6" t="str">
        <f>IF($L112="","",INDEX('[1]粘贴_账务明细'!$A$4:$A$3003,$L112))</f>
        <v>260831-137599424033503</v>
      </c>
      <c r="C112" s="16">
        <f>IF($L112="","",INDEX('[1]粘贴_账务明细'!$H$4:$H$3003,$L112))</f>
        <v>46266.0796875</v>
      </c>
      <c r="D112" s="11">
        <f>IF($L112="","",SUMIFS('[1]粘贴_账务明细'!$K$4:$K$3003,'[1]粘贴_账务明细'!$A$4:$A$3003,$B112,'[1]粘贴_账务明细'!$L$4:$L$3003,"订单收入")+SUMIFS('[1]粘贴_账务明细'!$K$4:$K$3003,'[1]粘贴_账务明细'!$A$4:$A$3003,$B112,'[1]粘贴_账务明细'!$L$4:$L$3003,"优惠券结算"))</f>
        <v>3289</v>
      </c>
      <c r="E112" s="11">
        <f t="shared" si="0"/>
        <v>46.05</v>
      </c>
      <c r="F112" s="11">
        <f>IF($L112="","",-SUMIFS('[1]粘贴_账务明细'!$K$4:$K$3003,'[1]粘贴_账务明细'!$A$4:$A$3003,$B112,'[1]粘贴_账务明细'!$L$4:$L$3003,"百亿补贴技术服务费"))</f>
        <v>0</v>
      </c>
      <c r="G112" s="11">
        <f>IF($L112="","",SUMIFS('[1]粘贴_服务费返还'!$M$4:$M$3003,'[1]粘贴_服务费返还'!$N$4:$N$3003,$B112,'[1]粘贴_服务费返还'!$O$4:$O$3003,"返还"))</f>
        <v>0</v>
      </c>
      <c r="H112" s="11">
        <f>IF($L112="","",SUMIFS('[1]粘贴_服务费返还'!$M$4:$M$3003,'[1]粘贴_服务费返还'!$N$4:$N$3003,$B112,'[1]粘贴_服务费返还'!$O$4:$O$3003,"扣回"))</f>
        <v>0</v>
      </c>
      <c r="I112" s="11">
        <f t="shared" si="1"/>
        <v>0</v>
      </c>
      <c r="J112" s="6" t="str">
        <f t="shared" si="2"/>
        <v>订单已退款，百亿费已原路退回，不用返</v>
      </c>
      <c r="K112" s="10">
        <f t="shared" si="3"/>
        <v>29</v>
      </c>
      <c r="L112" s="17">
        <f>IF(A112&gt;$H$5,"",MATCH(A112,'[1]粘贴_账务明细'!$O$4:$O$3003,0))</f>
        <v>466</v>
      </c>
    </row>
    <row r="113">
      <c r="A113" s="10" t="n">
        <v>85</v>
      </c>
      <c r="B113" s="6">
        <f>IF($L113="","",INDEX('[1]粘贴_账务明细'!$A$4:$A$3003,$L113))</f>
      </c>
      <c r="C113" s="16">
        <f>IF($L113="","",INDEX('[1]粘贴_账务明细'!$H$4:$H$3003,$L113))</f>
      </c>
      <c r="D113" s="11">
        <f>IF($L113="","",SUMIFS('[1]粘贴_账务明细'!$K$4:$K$3003,'[1]粘贴_账务明细'!$A$4:$A$3003,$B113,'[1]粘贴_账务明细'!$L$4:$L$3003,"订单收入")+SUMIFS('[1]粘贴_账务明细'!$K$4:$K$3003,'[1]粘贴_账务明细'!$A$4:$A$3003,$B113,'[1]粘贴_账务明细'!$L$4:$L$3003,"优惠券结算"))</f>
      </c>
      <c r="E113" s="11">
        <f t="shared" si="0"/>
      </c>
      <c r="F113" s="11">
        <f>IF($L113="","",-SUMIFS('[1]粘贴_账务明细'!$K$4:$K$3003,'[1]粘贴_账务明细'!$A$4:$A$3003,$B113,'[1]粘贴_账务明细'!$L$4:$L$3003,"百亿补贴技术服务费"))</f>
      </c>
      <c r="G113" s="11">
        <f>IF($L113="","",SUMIFS('[1]粘贴_服务费返还'!$M$4:$M$3003,'[1]粘贴_服务费返还'!$N$4:$N$3003,$B113,'[1]粘贴_服务费返还'!$O$4:$O$3003,"返还"))</f>
      </c>
      <c r="H113" s="11">
        <f>IF($L113="","",SUMIFS('[1]粘贴_服务费返还'!$M$4:$M$3003,'[1]粘贴_服务费返还'!$N$4:$N$3003,$B113,'[1]粘贴_服务费返还'!$O$4:$O$3003,"扣回"))</f>
      </c>
      <c r="I113" s="11">
        <f t="shared" si="1"/>
      </c>
      <c r="J113" s="6">
        <f t="shared" si="2"/>
      </c>
      <c r="K113" s="10">
        <f t="shared" si="3"/>
      </c>
      <c r="L113" s="17">
        <f>IF(A113&gt;$H$5,"",MATCH(A113,'[1]粘贴_账务明细'!$O$4:$O$3003,0))</f>
      </c>
    </row>
    <row r="114">
      <c r="A114" s="10" t="n">
        <v>86</v>
      </c>
      <c r="B114" s="6">
        <f>IF($L114="","",INDEX('[1]粘贴_账务明细'!$A$4:$A$3003,$L114))</f>
      </c>
      <c r="C114" s="16">
        <f>IF($L114="","",INDEX('[1]粘贴_账务明细'!$H$4:$H$3003,$L114))</f>
      </c>
      <c r="D114" s="11">
        <f>IF($L114="","",SUMIFS('[1]粘贴_账务明细'!$K$4:$K$3003,'[1]粘贴_账务明细'!$A$4:$A$3003,$B114,'[1]粘贴_账务明细'!$L$4:$L$3003,"订单收入")+SUMIFS('[1]粘贴_账务明细'!$K$4:$K$3003,'[1]粘贴_账务明细'!$A$4:$A$3003,$B114,'[1]粘贴_账务明细'!$L$4:$L$3003,"优惠券结算"))</f>
      </c>
      <c r="E114" s="11">
        <f t="shared" si="0"/>
      </c>
      <c r="F114" s="11">
        <f>IF($L114="","",-SUMIFS('[1]粘贴_账务明细'!$K$4:$K$3003,'[1]粘贴_账务明细'!$A$4:$A$3003,$B114,'[1]粘贴_账务明细'!$L$4:$L$3003,"百亿补贴技术服务费"))</f>
      </c>
      <c r="G114" s="11">
        <f>IF($L114="","",SUMIFS('[1]粘贴_服务费返还'!$M$4:$M$3003,'[1]粘贴_服务费返还'!$N$4:$N$3003,$B114,'[1]粘贴_服务费返还'!$O$4:$O$3003,"返还"))</f>
      </c>
      <c r="H114" s="11">
        <f>IF($L114="","",SUMIFS('[1]粘贴_服务费返还'!$M$4:$M$3003,'[1]粘贴_服务费返还'!$N$4:$N$3003,$B114,'[1]粘贴_服务费返还'!$O$4:$O$3003,"扣回"))</f>
      </c>
      <c r="I114" s="11">
        <f t="shared" si="1"/>
      </c>
      <c r="J114" s="6">
        <f t="shared" si="2"/>
      </c>
      <c r="K114" s="10">
        <f t="shared" si="3"/>
      </c>
      <c r="L114" s="17">
        <f>IF(A114&gt;$H$5,"",MATCH(A114,'[1]粘贴_账务明细'!$O$4:$O$3003,0))</f>
      </c>
    </row>
    <row r="115">
      <c r="A115" s="10" t="n">
        <v>87</v>
      </c>
      <c r="B115" s="6">
        <f>IF($L115="","",INDEX('[1]粘贴_账务明细'!$A$4:$A$3003,$L115))</f>
      </c>
      <c r="C115" s="16">
        <f>IF($L115="","",INDEX('[1]粘贴_账务明细'!$H$4:$H$3003,$L115))</f>
      </c>
      <c r="D115" s="11">
        <f>IF($L115="","",SUMIFS('[1]粘贴_账务明细'!$K$4:$K$3003,'[1]粘贴_账务明细'!$A$4:$A$3003,$B115,'[1]粘贴_账务明细'!$L$4:$L$3003,"订单收入")+SUMIFS('[1]粘贴_账务明细'!$K$4:$K$3003,'[1]粘贴_账务明细'!$A$4:$A$3003,$B115,'[1]粘贴_账务明细'!$L$4:$L$3003,"优惠券结算"))</f>
      </c>
      <c r="E115" s="11">
        <f t="shared" si="0"/>
      </c>
      <c r="F115" s="11">
        <f>IF($L115="","",-SUMIFS('[1]粘贴_账务明细'!$K$4:$K$3003,'[1]粘贴_账务明细'!$A$4:$A$3003,$B115,'[1]粘贴_账务明细'!$L$4:$L$3003,"百亿补贴技术服务费"))</f>
      </c>
      <c r="G115" s="11">
        <f>IF($L115="","",SUMIFS('[1]粘贴_服务费返还'!$M$4:$M$3003,'[1]粘贴_服务费返还'!$N$4:$N$3003,$B115,'[1]粘贴_服务费返还'!$O$4:$O$3003,"返还"))</f>
      </c>
      <c r="H115" s="11">
        <f>IF($L115="","",SUMIFS('[1]粘贴_服务费返还'!$M$4:$M$3003,'[1]粘贴_服务费返还'!$N$4:$N$3003,$B115,'[1]粘贴_服务费返还'!$O$4:$O$3003,"扣回"))</f>
      </c>
      <c r="I115" s="11">
        <f t="shared" si="1"/>
      </c>
      <c r="J115" s="6">
        <f t="shared" si="2"/>
      </c>
      <c r="K115" s="10">
        <f t="shared" si="3"/>
      </c>
      <c r="L115" s="17">
        <f>IF(A115&gt;$H$5,"",MATCH(A115,'[1]粘贴_账务明细'!$O$4:$O$3003,0))</f>
      </c>
    </row>
    <row r="116">
      <c r="A116" s="10" t="n">
        <v>88</v>
      </c>
      <c r="B116" s="6">
        <f>IF($L116="","",INDEX('[1]粘贴_账务明细'!$A$4:$A$3003,$L116))</f>
      </c>
      <c r="C116" s="16">
        <f>IF($L116="","",INDEX('[1]粘贴_账务明细'!$H$4:$H$3003,$L116))</f>
      </c>
      <c r="D116" s="11">
        <f>IF($L116="","",SUMIFS('[1]粘贴_账务明细'!$K$4:$K$3003,'[1]粘贴_账务明细'!$A$4:$A$3003,$B116,'[1]粘贴_账务明细'!$L$4:$L$3003,"订单收入")+SUMIFS('[1]粘贴_账务明细'!$K$4:$K$3003,'[1]粘贴_账务明细'!$A$4:$A$3003,$B116,'[1]粘贴_账务明细'!$L$4:$L$3003,"优惠券结算"))</f>
      </c>
      <c r="E116" s="11">
        <f t="shared" si="0"/>
      </c>
      <c r="F116" s="11">
        <f>IF($L116="","",-SUMIFS('[1]粘贴_账务明细'!$K$4:$K$3003,'[1]粘贴_账务明细'!$A$4:$A$3003,$B116,'[1]粘贴_账务明细'!$L$4:$L$3003,"百亿补贴技术服务费"))</f>
      </c>
      <c r="G116" s="11">
        <f>IF($L116="","",SUMIFS('[1]粘贴_服务费返还'!$M$4:$M$3003,'[1]粘贴_服务费返还'!$N$4:$N$3003,$B116,'[1]粘贴_服务费返还'!$O$4:$O$3003,"返还"))</f>
      </c>
      <c r="H116" s="11">
        <f>IF($L116="","",SUMIFS('[1]粘贴_服务费返还'!$M$4:$M$3003,'[1]粘贴_服务费返还'!$N$4:$N$3003,$B116,'[1]粘贴_服务费返还'!$O$4:$O$3003,"扣回"))</f>
      </c>
      <c r="I116" s="11">
        <f t="shared" si="1"/>
      </c>
      <c r="J116" s="6">
        <f t="shared" si="2"/>
      </c>
      <c r="K116" s="10">
        <f t="shared" si="3"/>
      </c>
      <c r="L116" s="17">
        <f>IF(A116&gt;$H$5,"",MATCH(A116,'[1]粘贴_账务明细'!$O$4:$O$3003,0))</f>
      </c>
    </row>
    <row r="117">
      <c r="A117" s="10" t="n">
        <v>89</v>
      </c>
      <c r="B117" s="6">
        <f>IF($L117="","",INDEX('[1]粘贴_账务明细'!$A$4:$A$3003,$L117))</f>
      </c>
      <c r="C117" s="16">
        <f>IF($L117="","",INDEX('[1]粘贴_账务明细'!$H$4:$H$3003,$L117))</f>
      </c>
      <c r="D117" s="11">
        <f>IF($L117="","",SUMIFS('[1]粘贴_账务明细'!$K$4:$K$3003,'[1]粘贴_账务明细'!$A$4:$A$3003,$B117,'[1]粘贴_账务明细'!$L$4:$L$3003,"订单收入")+SUMIFS('[1]粘贴_账务明细'!$K$4:$K$3003,'[1]粘贴_账务明细'!$A$4:$A$3003,$B117,'[1]粘贴_账务明细'!$L$4:$L$3003,"优惠券结算"))</f>
      </c>
      <c r="E117" s="11">
        <f t="shared" si="0"/>
      </c>
      <c r="F117" s="11">
        <f>IF($L117="","",-SUMIFS('[1]粘贴_账务明细'!$K$4:$K$3003,'[1]粘贴_账务明细'!$A$4:$A$3003,$B117,'[1]粘贴_账务明细'!$L$4:$L$3003,"百亿补贴技术服务费"))</f>
      </c>
      <c r="G117" s="11">
        <f>IF($L117="","",SUMIFS('[1]粘贴_服务费返还'!$M$4:$M$3003,'[1]粘贴_服务费返还'!$N$4:$N$3003,$B117,'[1]粘贴_服务费返还'!$O$4:$O$3003,"返还"))</f>
      </c>
      <c r="H117" s="11">
        <f>IF($L117="","",SUMIFS('[1]粘贴_服务费返还'!$M$4:$M$3003,'[1]粘贴_服务费返还'!$N$4:$N$3003,$B117,'[1]粘贴_服务费返还'!$O$4:$O$3003,"扣回"))</f>
      </c>
      <c r="I117" s="11">
        <f t="shared" si="1"/>
      </c>
      <c r="J117" s="6">
        <f t="shared" si="2"/>
      </c>
      <c r="K117" s="10">
        <f t="shared" si="3"/>
      </c>
      <c r="L117" s="17">
        <f>IF(A117&gt;$H$5,"",MATCH(A117,'[1]粘贴_账务明细'!$O$4:$O$3003,0))</f>
      </c>
    </row>
    <row r="118">
      <c r="A118" s="10" t="n">
        <v>90</v>
      </c>
      <c r="B118" s="6">
        <f>IF($L118="","",INDEX('[1]粘贴_账务明细'!$A$4:$A$3003,$L118))</f>
      </c>
      <c r="C118" s="16">
        <f>IF($L118="","",INDEX('[1]粘贴_账务明细'!$H$4:$H$3003,$L118))</f>
      </c>
      <c r="D118" s="11">
        <f>IF($L118="","",SUMIFS('[1]粘贴_账务明细'!$K$4:$K$3003,'[1]粘贴_账务明细'!$A$4:$A$3003,$B118,'[1]粘贴_账务明细'!$L$4:$L$3003,"订单收入")+SUMIFS('[1]粘贴_账务明细'!$K$4:$K$3003,'[1]粘贴_账务明细'!$A$4:$A$3003,$B118,'[1]粘贴_账务明细'!$L$4:$L$3003,"优惠券结算"))</f>
      </c>
      <c r="E118" s="11">
        <f t="shared" si="0"/>
      </c>
      <c r="F118" s="11">
        <f>IF($L118="","",-SUMIFS('[1]粘贴_账务明细'!$K$4:$K$3003,'[1]粘贴_账务明细'!$A$4:$A$3003,$B118,'[1]粘贴_账务明细'!$L$4:$L$3003,"百亿补贴技术服务费"))</f>
      </c>
      <c r="G118" s="11">
        <f>IF($L118="","",SUMIFS('[1]粘贴_服务费返还'!$M$4:$M$3003,'[1]粘贴_服务费返还'!$N$4:$N$3003,$B118,'[1]粘贴_服务费返还'!$O$4:$O$3003,"返还"))</f>
      </c>
      <c r="H118" s="11">
        <f>IF($L118="","",SUMIFS('[1]粘贴_服务费返还'!$M$4:$M$3003,'[1]粘贴_服务费返还'!$N$4:$N$3003,$B118,'[1]粘贴_服务费返还'!$O$4:$O$3003,"扣回"))</f>
      </c>
      <c r="I118" s="11">
        <f t="shared" si="1"/>
      </c>
      <c r="J118" s="6">
        <f t="shared" si="2"/>
      </c>
      <c r="K118" s="10">
        <f t="shared" si="3"/>
      </c>
      <c r="L118" s="17">
        <f>IF(A118&gt;$H$5,"",MATCH(A118,'[1]粘贴_账务明细'!$O$4:$O$3003,0))</f>
      </c>
    </row>
    <row r="119">
      <c r="A119" s="10" t="n">
        <v>91</v>
      </c>
      <c r="B119" s="6">
        <f>IF($L119="","",INDEX('[1]粘贴_账务明细'!$A$4:$A$3003,$L119))</f>
      </c>
      <c r="C119" s="16">
        <f>IF($L119="","",INDEX('[1]粘贴_账务明细'!$H$4:$H$3003,$L119))</f>
      </c>
      <c r="D119" s="11">
        <f>IF($L119="","",SUMIFS('[1]粘贴_账务明细'!$K$4:$K$3003,'[1]粘贴_账务明细'!$A$4:$A$3003,$B119,'[1]粘贴_账务明细'!$L$4:$L$3003,"订单收入")+SUMIFS('[1]粘贴_账务明细'!$K$4:$K$3003,'[1]粘贴_账务明细'!$A$4:$A$3003,$B119,'[1]粘贴_账务明细'!$L$4:$L$3003,"优惠券结算"))</f>
      </c>
      <c r="E119" s="11">
        <f t="shared" si="0"/>
      </c>
      <c r="F119" s="11">
        <f>IF($L119="","",-SUMIFS('[1]粘贴_账务明细'!$K$4:$K$3003,'[1]粘贴_账务明细'!$A$4:$A$3003,$B119,'[1]粘贴_账务明细'!$L$4:$L$3003,"百亿补贴技术服务费"))</f>
      </c>
      <c r="G119" s="11">
        <f>IF($L119="","",SUMIFS('[1]粘贴_服务费返还'!$M$4:$M$3003,'[1]粘贴_服务费返还'!$N$4:$N$3003,$B119,'[1]粘贴_服务费返还'!$O$4:$O$3003,"返还"))</f>
      </c>
      <c r="H119" s="11">
        <f>IF($L119="","",SUMIFS('[1]粘贴_服务费返还'!$M$4:$M$3003,'[1]粘贴_服务费返还'!$N$4:$N$3003,$B119,'[1]粘贴_服务费返还'!$O$4:$O$3003,"扣回"))</f>
      </c>
      <c r="I119" s="11">
        <f t="shared" si="1"/>
      </c>
      <c r="J119" s="6">
        <f t="shared" si="2"/>
      </c>
      <c r="K119" s="10">
        <f t="shared" si="3"/>
      </c>
      <c r="L119" s="17">
        <f>IF(A119&gt;$H$5,"",MATCH(A119,'[1]粘贴_账务明细'!$O$4:$O$3003,0))</f>
      </c>
    </row>
    <row r="120">
      <c r="A120" s="10" t="n">
        <v>92</v>
      </c>
      <c r="B120" s="6">
        <f>IF($L120="","",INDEX('[1]粘贴_账务明细'!$A$4:$A$3003,$L120))</f>
      </c>
      <c r="C120" s="16">
        <f>IF($L120="","",INDEX('[1]粘贴_账务明细'!$H$4:$H$3003,$L120))</f>
      </c>
      <c r="D120" s="11">
        <f>IF($L120="","",SUMIFS('[1]粘贴_账务明细'!$K$4:$K$3003,'[1]粘贴_账务明细'!$A$4:$A$3003,$B120,'[1]粘贴_账务明细'!$L$4:$L$3003,"订单收入")+SUMIFS('[1]粘贴_账务明细'!$K$4:$K$3003,'[1]粘贴_账务明细'!$A$4:$A$3003,$B120,'[1]粘贴_账务明细'!$L$4:$L$3003,"优惠券结算"))</f>
      </c>
      <c r="E120" s="11">
        <f t="shared" si="0"/>
      </c>
      <c r="F120" s="11">
        <f>IF($L120="","",-SUMIFS('[1]粘贴_账务明细'!$K$4:$K$3003,'[1]粘贴_账务明细'!$A$4:$A$3003,$B120,'[1]粘贴_账务明细'!$L$4:$L$3003,"百亿补贴技术服务费"))</f>
      </c>
      <c r="G120" s="11">
        <f>IF($L120="","",SUMIFS('[1]粘贴_服务费返还'!$M$4:$M$3003,'[1]粘贴_服务费返还'!$N$4:$N$3003,$B120,'[1]粘贴_服务费返还'!$O$4:$O$3003,"返还"))</f>
      </c>
      <c r="H120" s="11">
        <f>IF($L120="","",SUMIFS('[1]粘贴_服务费返还'!$M$4:$M$3003,'[1]粘贴_服务费返还'!$N$4:$N$3003,$B120,'[1]粘贴_服务费返还'!$O$4:$O$3003,"扣回"))</f>
      </c>
      <c r="I120" s="11">
        <f t="shared" si="1"/>
      </c>
      <c r="J120" s="6">
        <f t="shared" si="2"/>
      </c>
      <c r="K120" s="10">
        <f t="shared" si="3"/>
      </c>
      <c r="L120" s="17">
        <f>IF(A120&gt;$H$5,"",MATCH(A120,'[1]粘贴_账务明细'!$O$4:$O$3003,0))</f>
      </c>
    </row>
    <row r="121">
      <c r="A121" s="10" t="n">
        <v>93</v>
      </c>
      <c r="B121" s="6">
        <f>IF($L121="","",INDEX('[1]粘贴_账务明细'!$A$4:$A$3003,$L121))</f>
      </c>
      <c r="C121" s="16">
        <f>IF($L121="","",INDEX('[1]粘贴_账务明细'!$H$4:$H$3003,$L121))</f>
      </c>
      <c r="D121" s="11">
        <f>IF($L121="","",SUMIFS('[1]粘贴_账务明细'!$K$4:$K$3003,'[1]粘贴_账务明细'!$A$4:$A$3003,$B121,'[1]粘贴_账务明细'!$L$4:$L$3003,"订单收入")+SUMIFS('[1]粘贴_账务明细'!$K$4:$K$3003,'[1]粘贴_账务明细'!$A$4:$A$3003,$B121,'[1]粘贴_账务明细'!$L$4:$L$3003,"优惠券结算"))</f>
      </c>
      <c r="E121" s="11">
        <f t="shared" si="0"/>
      </c>
      <c r="F121" s="11">
        <f>IF($L121="","",-SUMIFS('[1]粘贴_账务明细'!$K$4:$K$3003,'[1]粘贴_账务明细'!$A$4:$A$3003,$B121,'[1]粘贴_账务明细'!$L$4:$L$3003,"百亿补贴技术服务费"))</f>
      </c>
      <c r="G121" s="11">
        <f>IF($L121="","",SUMIFS('[1]粘贴_服务费返还'!$M$4:$M$3003,'[1]粘贴_服务费返还'!$N$4:$N$3003,$B121,'[1]粘贴_服务费返还'!$O$4:$O$3003,"返还"))</f>
      </c>
      <c r="H121" s="11">
        <f>IF($L121="","",SUMIFS('[1]粘贴_服务费返还'!$M$4:$M$3003,'[1]粘贴_服务费返还'!$N$4:$N$3003,$B121,'[1]粘贴_服务费返还'!$O$4:$O$3003,"扣回"))</f>
      </c>
      <c r="I121" s="11">
        <f t="shared" si="1"/>
      </c>
      <c r="J121" s="6">
        <f t="shared" si="2"/>
      </c>
      <c r="K121" s="10">
        <f t="shared" si="3"/>
      </c>
      <c r="L121" s="17">
        <f>IF(A121&gt;$H$5,"",MATCH(A121,'[1]粘贴_账务明细'!$O$4:$O$3003,0))</f>
      </c>
    </row>
    <row r="122">
      <c r="A122" s="10" t="n">
        <v>94</v>
      </c>
      <c r="B122" s="6">
        <f>IF($L122="","",INDEX('[1]粘贴_账务明细'!$A$4:$A$3003,$L122))</f>
      </c>
      <c r="C122" s="16">
        <f>IF($L122="","",INDEX('[1]粘贴_账务明细'!$H$4:$H$3003,$L122))</f>
      </c>
      <c r="D122" s="11">
        <f>IF($L122="","",SUMIFS('[1]粘贴_账务明细'!$K$4:$K$3003,'[1]粘贴_账务明细'!$A$4:$A$3003,$B122,'[1]粘贴_账务明细'!$L$4:$L$3003,"订单收入")+SUMIFS('[1]粘贴_账务明细'!$K$4:$K$3003,'[1]粘贴_账务明细'!$A$4:$A$3003,$B122,'[1]粘贴_账务明细'!$L$4:$L$3003,"优惠券结算"))</f>
      </c>
      <c r="E122" s="11">
        <f t="shared" si="0"/>
      </c>
      <c r="F122" s="11">
        <f>IF($L122="","",-SUMIFS('[1]粘贴_账务明细'!$K$4:$K$3003,'[1]粘贴_账务明细'!$A$4:$A$3003,$B122,'[1]粘贴_账务明细'!$L$4:$L$3003,"百亿补贴技术服务费"))</f>
      </c>
      <c r="G122" s="11">
        <f>IF($L122="","",SUMIFS('[1]粘贴_服务费返还'!$M$4:$M$3003,'[1]粘贴_服务费返还'!$N$4:$N$3003,$B122,'[1]粘贴_服务费返还'!$O$4:$O$3003,"返还"))</f>
      </c>
      <c r="H122" s="11">
        <f>IF($L122="","",SUMIFS('[1]粘贴_服务费返还'!$M$4:$M$3003,'[1]粘贴_服务费返还'!$N$4:$N$3003,$B122,'[1]粘贴_服务费返还'!$O$4:$O$3003,"扣回"))</f>
      </c>
      <c r="I122" s="11">
        <f t="shared" si="1"/>
      </c>
      <c r="J122" s="6">
        <f t="shared" si="2"/>
      </c>
      <c r="K122" s="10">
        <f t="shared" si="3"/>
      </c>
      <c r="L122" s="17">
        <f>IF(A122&gt;$H$5,"",MATCH(A122,'[1]粘贴_账务明细'!$O$4:$O$3003,0))</f>
      </c>
    </row>
    <row r="123">
      <c r="A123" s="10" t="n">
        <v>95</v>
      </c>
      <c r="B123" s="6">
        <f>IF($L123="","",INDEX('[1]粘贴_账务明细'!$A$4:$A$3003,$L123))</f>
      </c>
      <c r="C123" s="16">
        <f>IF($L123="","",INDEX('[1]粘贴_账务明细'!$H$4:$H$3003,$L123))</f>
      </c>
      <c r="D123" s="11">
        <f>IF($L123="","",SUMIFS('[1]粘贴_账务明细'!$K$4:$K$3003,'[1]粘贴_账务明细'!$A$4:$A$3003,$B123,'[1]粘贴_账务明细'!$L$4:$L$3003,"订单收入")+SUMIFS('[1]粘贴_账务明细'!$K$4:$K$3003,'[1]粘贴_账务明细'!$A$4:$A$3003,$B123,'[1]粘贴_账务明细'!$L$4:$L$3003,"优惠券结算"))</f>
      </c>
      <c r="E123" s="11">
        <f t="shared" si="0"/>
      </c>
      <c r="F123" s="11">
        <f>IF($L123="","",-SUMIFS('[1]粘贴_账务明细'!$K$4:$K$3003,'[1]粘贴_账务明细'!$A$4:$A$3003,$B123,'[1]粘贴_账务明细'!$L$4:$L$3003,"百亿补贴技术服务费"))</f>
      </c>
      <c r="G123" s="11">
        <f>IF($L123="","",SUMIFS('[1]粘贴_服务费返还'!$M$4:$M$3003,'[1]粘贴_服务费返还'!$N$4:$N$3003,$B123,'[1]粘贴_服务费返还'!$O$4:$O$3003,"返还"))</f>
      </c>
      <c r="H123" s="11">
        <f>IF($L123="","",SUMIFS('[1]粘贴_服务费返还'!$M$4:$M$3003,'[1]粘贴_服务费返还'!$N$4:$N$3003,$B123,'[1]粘贴_服务费返还'!$O$4:$O$3003,"扣回"))</f>
      </c>
      <c r="I123" s="11">
        <f t="shared" si="1"/>
      </c>
      <c r="J123" s="6">
        <f t="shared" si="2"/>
      </c>
      <c r="K123" s="10">
        <f t="shared" si="3"/>
      </c>
      <c r="L123" s="17">
        <f>IF(A123&gt;$H$5,"",MATCH(A123,'[1]粘贴_账务明细'!$O$4:$O$3003,0))</f>
      </c>
    </row>
    <row r="124">
      <c r="A124" s="10" t="n">
        <v>96</v>
      </c>
      <c r="B124" s="6">
        <f>IF($L124="","",INDEX('[1]粘贴_账务明细'!$A$4:$A$3003,$L124))</f>
      </c>
      <c r="C124" s="16">
        <f>IF($L124="","",INDEX('[1]粘贴_账务明细'!$H$4:$H$3003,$L124))</f>
      </c>
      <c r="D124" s="11">
        <f>IF($L124="","",SUMIFS('[1]粘贴_账务明细'!$K$4:$K$3003,'[1]粘贴_账务明细'!$A$4:$A$3003,$B124,'[1]粘贴_账务明细'!$L$4:$L$3003,"订单收入")+SUMIFS('[1]粘贴_账务明细'!$K$4:$K$3003,'[1]粘贴_账务明细'!$A$4:$A$3003,$B124,'[1]粘贴_账务明细'!$L$4:$L$3003,"优惠券结算"))</f>
      </c>
      <c r="E124" s="11">
        <f t="shared" si="0"/>
      </c>
      <c r="F124" s="11">
        <f>IF($L124="","",-SUMIFS('[1]粘贴_账务明细'!$K$4:$K$3003,'[1]粘贴_账务明细'!$A$4:$A$3003,$B124,'[1]粘贴_账务明细'!$L$4:$L$3003,"百亿补贴技术服务费"))</f>
      </c>
      <c r="G124" s="11">
        <f>IF($L124="","",SUMIFS('[1]粘贴_服务费返还'!$M$4:$M$3003,'[1]粘贴_服务费返还'!$N$4:$N$3003,$B124,'[1]粘贴_服务费返还'!$O$4:$O$3003,"返还"))</f>
      </c>
      <c r="H124" s="11">
        <f>IF($L124="","",SUMIFS('[1]粘贴_服务费返还'!$M$4:$M$3003,'[1]粘贴_服务费返还'!$N$4:$N$3003,$B124,'[1]粘贴_服务费返还'!$O$4:$O$3003,"扣回"))</f>
      </c>
      <c r="I124" s="11">
        <f t="shared" si="1"/>
      </c>
      <c r="J124" s="6">
        <f t="shared" si="2"/>
      </c>
      <c r="K124" s="10">
        <f t="shared" si="3"/>
      </c>
      <c r="L124" s="17">
        <f>IF(A124&gt;$H$5,"",MATCH(A124,'[1]粘贴_账务明细'!$O$4:$O$3003,0))</f>
      </c>
    </row>
    <row r="125">
      <c r="A125" s="10" t="n">
        <v>97</v>
      </c>
      <c r="B125" s="6">
        <f>IF($L125="","",INDEX('[1]粘贴_账务明细'!$A$4:$A$3003,$L125))</f>
      </c>
      <c r="C125" s="16">
        <f>IF($L125="","",INDEX('[1]粘贴_账务明细'!$H$4:$H$3003,$L125))</f>
      </c>
      <c r="D125" s="11">
        <f>IF($L125="","",SUMIFS('[1]粘贴_账务明细'!$K$4:$K$3003,'[1]粘贴_账务明细'!$A$4:$A$3003,$B125,'[1]粘贴_账务明细'!$L$4:$L$3003,"订单收入")+SUMIFS('[1]粘贴_账务明细'!$K$4:$K$3003,'[1]粘贴_账务明细'!$A$4:$A$3003,$B125,'[1]粘贴_账务明细'!$L$4:$L$3003,"优惠券结算"))</f>
      </c>
      <c r="E125" s="11">
        <f t="shared" si="0"/>
      </c>
      <c r="F125" s="11">
        <f>IF($L125="","",-SUMIFS('[1]粘贴_账务明细'!$K$4:$K$3003,'[1]粘贴_账务明细'!$A$4:$A$3003,$B125,'[1]粘贴_账务明细'!$L$4:$L$3003,"百亿补贴技术服务费"))</f>
      </c>
      <c r="G125" s="11">
        <f>IF($L125="","",SUMIFS('[1]粘贴_服务费返还'!$M$4:$M$3003,'[1]粘贴_服务费返还'!$N$4:$N$3003,$B125,'[1]粘贴_服务费返还'!$O$4:$O$3003,"返还"))</f>
      </c>
      <c r="H125" s="11">
        <f>IF($L125="","",SUMIFS('[1]粘贴_服务费返还'!$M$4:$M$3003,'[1]粘贴_服务费返还'!$N$4:$N$3003,$B125,'[1]粘贴_服务费返还'!$O$4:$O$3003,"扣回"))</f>
      </c>
      <c r="I125" s="11">
        <f t="shared" si="1"/>
      </c>
      <c r="J125" s="6">
        <f t="shared" si="2"/>
      </c>
      <c r="K125" s="10">
        <f t="shared" si="3"/>
      </c>
      <c r="L125" s="17">
        <f>IF(A125&gt;$H$5,"",MATCH(A125,'[1]粘贴_账务明细'!$O$4:$O$3003,0))</f>
      </c>
    </row>
    <row r="126">
      <c r="A126" s="10" t="n">
        <v>98</v>
      </c>
      <c r="B126" s="6">
        <f>IF($L126="","",INDEX('[1]粘贴_账务明细'!$A$4:$A$3003,$L126))</f>
      </c>
      <c r="C126" s="16">
        <f>IF($L126="","",INDEX('[1]粘贴_账务明细'!$H$4:$H$3003,$L126))</f>
      </c>
      <c r="D126" s="11">
        <f>IF($L126="","",SUMIFS('[1]粘贴_账务明细'!$K$4:$K$3003,'[1]粘贴_账务明细'!$A$4:$A$3003,$B126,'[1]粘贴_账务明细'!$L$4:$L$3003,"订单收入")+SUMIFS('[1]粘贴_账务明细'!$K$4:$K$3003,'[1]粘贴_账务明细'!$A$4:$A$3003,$B126,'[1]粘贴_账务明细'!$L$4:$L$3003,"优惠券结算"))</f>
      </c>
      <c r="E126" s="11">
        <f t="shared" si="0"/>
      </c>
      <c r="F126" s="11">
        <f>IF($L126="","",-SUMIFS('[1]粘贴_账务明细'!$K$4:$K$3003,'[1]粘贴_账务明细'!$A$4:$A$3003,$B126,'[1]粘贴_账务明细'!$L$4:$L$3003,"百亿补贴技术服务费"))</f>
      </c>
      <c r="G126" s="11">
        <f>IF($L126="","",SUMIFS('[1]粘贴_服务费返还'!$M$4:$M$3003,'[1]粘贴_服务费返还'!$N$4:$N$3003,$B126,'[1]粘贴_服务费返还'!$O$4:$O$3003,"返还"))</f>
      </c>
      <c r="H126" s="11">
        <f>IF($L126="","",SUMIFS('[1]粘贴_服务费返还'!$M$4:$M$3003,'[1]粘贴_服务费返还'!$N$4:$N$3003,$B126,'[1]粘贴_服务费返还'!$O$4:$O$3003,"扣回"))</f>
      </c>
      <c r="I126" s="11">
        <f t="shared" si="1"/>
      </c>
      <c r="J126" s="6">
        <f t="shared" si="2"/>
      </c>
      <c r="K126" s="10">
        <f t="shared" si="3"/>
      </c>
      <c r="L126" s="17">
        <f>IF(A126&gt;$H$5,"",MATCH(A126,'[1]粘贴_账务明细'!$O$4:$O$3003,0))</f>
      </c>
    </row>
    <row r="127">
      <c r="A127" s="10" t="n">
        <v>99</v>
      </c>
      <c r="B127" s="6">
        <f>IF($L127="","",INDEX('[1]粘贴_账务明细'!$A$4:$A$3003,$L127))</f>
      </c>
      <c r="C127" s="16">
        <f>IF($L127="","",INDEX('[1]粘贴_账务明细'!$H$4:$H$3003,$L127))</f>
      </c>
      <c r="D127" s="11">
        <f>IF($L127="","",SUMIFS('[1]粘贴_账务明细'!$K$4:$K$3003,'[1]粘贴_账务明细'!$A$4:$A$3003,$B127,'[1]粘贴_账务明细'!$L$4:$L$3003,"订单收入")+SUMIFS('[1]粘贴_账务明细'!$K$4:$K$3003,'[1]粘贴_账务明细'!$A$4:$A$3003,$B127,'[1]粘贴_账务明细'!$L$4:$L$3003,"优惠券结算"))</f>
      </c>
      <c r="E127" s="11">
        <f t="shared" si="0"/>
      </c>
      <c r="F127" s="11">
        <f>IF($L127="","",-SUMIFS('[1]粘贴_账务明细'!$K$4:$K$3003,'[1]粘贴_账务明细'!$A$4:$A$3003,$B127,'[1]粘贴_账务明细'!$L$4:$L$3003,"百亿补贴技术服务费"))</f>
      </c>
      <c r="G127" s="11">
        <f>IF($L127="","",SUMIFS('[1]粘贴_服务费返还'!$M$4:$M$3003,'[1]粘贴_服务费返还'!$N$4:$N$3003,$B127,'[1]粘贴_服务费返还'!$O$4:$O$3003,"返还"))</f>
      </c>
      <c r="H127" s="11">
        <f>IF($L127="","",SUMIFS('[1]粘贴_服务费返还'!$M$4:$M$3003,'[1]粘贴_服务费返还'!$N$4:$N$3003,$B127,'[1]粘贴_服务费返还'!$O$4:$O$3003,"扣回"))</f>
      </c>
      <c r="I127" s="11">
        <f t="shared" si="1"/>
      </c>
      <c r="J127" s="6">
        <f t="shared" si="2"/>
      </c>
      <c r="K127" s="10">
        <f t="shared" si="3"/>
      </c>
      <c r="L127" s="17">
        <f>IF(A127&gt;$H$5,"",MATCH(A127,'[1]粘贴_账务明细'!$O$4:$O$3003,0))</f>
      </c>
    </row>
    <row r="128">
      <c r="A128" s="10" t="n">
        <v>100</v>
      </c>
      <c r="B128" s="6">
        <f>IF($L128="","",INDEX('[1]粘贴_账务明细'!$A$4:$A$3003,$L128))</f>
      </c>
      <c r="C128" s="16">
        <f>IF($L128="","",INDEX('[1]粘贴_账务明细'!$H$4:$H$3003,$L128))</f>
      </c>
      <c r="D128" s="11">
        <f>IF($L128="","",SUMIFS('[1]粘贴_账务明细'!$K$4:$K$3003,'[1]粘贴_账务明细'!$A$4:$A$3003,$B128,'[1]粘贴_账务明细'!$L$4:$L$3003,"订单收入")+SUMIFS('[1]粘贴_账务明细'!$K$4:$K$3003,'[1]粘贴_账务明细'!$A$4:$A$3003,$B128,'[1]粘贴_账务明细'!$L$4:$L$3003,"优惠券结算"))</f>
      </c>
      <c r="E128" s="11">
        <f t="shared" si="0"/>
      </c>
      <c r="F128" s="11">
        <f>IF($L128="","",-SUMIFS('[1]粘贴_账务明细'!$K$4:$K$3003,'[1]粘贴_账务明细'!$A$4:$A$3003,$B128,'[1]粘贴_账务明细'!$L$4:$L$3003,"百亿补贴技术服务费"))</f>
      </c>
      <c r="G128" s="11">
        <f>IF($L128="","",SUMIFS('[1]粘贴_服务费返还'!$M$4:$M$3003,'[1]粘贴_服务费返还'!$N$4:$N$3003,$B128,'[1]粘贴_服务费返还'!$O$4:$O$3003,"返还"))</f>
      </c>
      <c r="H128" s="11">
        <f>IF($L128="","",SUMIFS('[1]粘贴_服务费返还'!$M$4:$M$3003,'[1]粘贴_服务费返还'!$N$4:$N$3003,$B128,'[1]粘贴_服务费返还'!$O$4:$O$3003,"扣回"))</f>
      </c>
      <c r="I128" s="11">
        <f t="shared" si="1"/>
      </c>
      <c r="J128" s="6">
        <f t="shared" si="2"/>
      </c>
      <c r="K128" s="10">
        <f t="shared" si="3"/>
      </c>
      <c r="L128" s="17">
        <f>IF(A128&gt;$H$5,"",MATCH(A128,'[1]粘贴_账务明细'!$O$4:$O$3003,0))</f>
      </c>
    </row>
    <row r="129">
      <c r="A129" s="10" t="n">
        <v>101</v>
      </c>
      <c r="B129" s="6">
        <f>IF($L129="","",INDEX('[1]粘贴_账务明细'!$A$4:$A$3003,$L129))</f>
      </c>
      <c r="C129" s="16">
        <f>IF($L129="","",INDEX('[1]粘贴_账务明细'!$H$4:$H$3003,$L129))</f>
      </c>
      <c r="D129" s="11">
        <f>IF($L129="","",SUMIFS('[1]粘贴_账务明细'!$K$4:$K$3003,'[1]粘贴_账务明细'!$A$4:$A$3003,$B129,'[1]粘贴_账务明细'!$L$4:$L$3003,"订单收入")+SUMIFS('[1]粘贴_账务明细'!$K$4:$K$3003,'[1]粘贴_账务明细'!$A$4:$A$3003,$B129,'[1]粘贴_账务明细'!$L$4:$L$3003,"优惠券结算"))</f>
      </c>
      <c r="E129" s="11">
        <f t="shared" si="0"/>
      </c>
      <c r="F129" s="11">
        <f>IF($L129="","",-SUMIFS('[1]粘贴_账务明细'!$K$4:$K$3003,'[1]粘贴_账务明细'!$A$4:$A$3003,$B129,'[1]粘贴_账务明细'!$L$4:$L$3003,"百亿补贴技术服务费"))</f>
      </c>
      <c r="G129" s="11">
        <f>IF($L129="","",SUMIFS('[1]粘贴_服务费返还'!$M$4:$M$3003,'[1]粘贴_服务费返还'!$N$4:$N$3003,$B129,'[1]粘贴_服务费返还'!$O$4:$O$3003,"返还"))</f>
      </c>
      <c r="H129" s="11">
        <f>IF($L129="","",SUMIFS('[1]粘贴_服务费返还'!$M$4:$M$3003,'[1]粘贴_服务费返还'!$N$4:$N$3003,$B129,'[1]粘贴_服务费返还'!$O$4:$O$3003,"扣回"))</f>
      </c>
      <c r="I129" s="11">
        <f t="shared" si="1"/>
      </c>
      <c r="J129" s="6">
        <f t="shared" si="2"/>
      </c>
      <c r="K129" s="10">
        <f t="shared" si="3"/>
      </c>
      <c r="L129" s="17">
        <f>IF(A129&gt;$H$5,"",MATCH(A129,'[1]粘贴_账务明细'!$O$4:$O$3003,0))</f>
      </c>
    </row>
    <row r="130">
      <c r="A130" s="10" t="n">
        <v>102</v>
      </c>
      <c r="B130" s="6">
        <f>IF($L130="","",INDEX('[1]粘贴_账务明细'!$A$4:$A$3003,$L130))</f>
      </c>
      <c r="C130" s="16">
        <f>IF($L130="","",INDEX('[1]粘贴_账务明细'!$H$4:$H$3003,$L130))</f>
      </c>
      <c r="D130" s="11">
        <f>IF($L130="","",SUMIFS('[1]粘贴_账务明细'!$K$4:$K$3003,'[1]粘贴_账务明细'!$A$4:$A$3003,$B130,'[1]粘贴_账务明细'!$L$4:$L$3003,"订单收入")+SUMIFS('[1]粘贴_账务明细'!$K$4:$K$3003,'[1]粘贴_账务明细'!$A$4:$A$3003,$B130,'[1]粘贴_账务明细'!$L$4:$L$3003,"优惠券结算"))</f>
      </c>
      <c r="E130" s="11">
        <f t="shared" si="0"/>
      </c>
      <c r="F130" s="11">
        <f>IF($L130="","",-SUMIFS('[1]粘贴_账务明细'!$K$4:$K$3003,'[1]粘贴_账务明细'!$A$4:$A$3003,$B130,'[1]粘贴_账务明细'!$L$4:$L$3003,"百亿补贴技术服务费"))</f>
      </c>
      <c r="G130" s="11">
        <f>IF($L130="","",SUMIFS('[1]粘贴_服务费返还'!$M$4:$M$3003,'[1]粘贴_服务费返还'!$N$4:$N$3003,$B130,'[1]粘贴_服务费返还'!$O$4:$O$3003,"返还"))</f>
      </c>
      <c r="H130" s="11">
        <f>IF($L130="","",SUMIFS('[1]粘贴_服务费返还'!$M$4:$M$3003,'[1]粘贴_服务费返还'!$N$4:$N$3003,$B130,'[1]粘贴_服务费返还'!$O$4:$O$3003,"扣回"))</f>
      </c>
      <c r="I130" s="11">
        <f t="shared" si="1"/>
      </c>
      <c r="J130" s="6">
        <f t="shared" si="2"/>
      </c>
      <c r="K130" s="10">
        <f t="shared" si="3"/>
      </c>
      <c r="L130" s="17">
        <f>IF(A130&gt;$H$5,"",MATCH(A130,'[1]粘贴_账务明细'!$O$4:$O$3003,0))</f>
      </c>
    </row>
    <row r="131">
      <c r="A131" s="10" t="n">
        <v>103</v>
      </c>
      <c r="B131" s="6">
        <f>IF($L131="","",INDEX('[1]粘贴_账务明细'!$A$4:$A$3003,$L131))</f>
      </c>
      <c r="C131" s="16">
        <f>IF($L131="","",INDEX('[1]粘贴_账务明细'!$H$4:$H$3003,$L131))</f>
      </c>
      <c r="D131" s="11">
        <f>IF($L131="","",SUMIFS('[1]粘贴_账务明细'!$K$4:$K$3003,'[1]粘贴_账务明细'!$A$4:$A$3003,$B131,'[1]粘贴_账务明细'!$L$4:$L$3003,"订单收入")+SUMIFS('[1]粘贴_账务明细'!$K$4:$K$3003,'[1]粘贴_账务明细'!$A$4:$A$3003,$B131,'[1]粘贴_账务明细'!$L$4:$L$3003,"优惠券结算"))</f>
      </c>
      <c r="E131" s="11">
        <f t="shared" si="0"/>
      </c>
      <c r="F131" s="11">
        <f>IF($L131="","",-SUMIFS('[1]粘贴_账务明细'!$K$4:$K$3003,'[1]粘贴_账务明细'!$A$4:$A$3003,$B131,'[1]粘贴_账务明细'!$L$4:$L$3003,"百亿补贴技术服务费"))</f>
      </c>
      <c r="G131" s="11">
        <f>IF($L131="","",SUMIFS('[1]粘贴_服务费返还'!$M$4:$M$3003,'[1]粘贴_服务费返还'!$N$4:$N$3003,$B131,'[1]粘贴_服务费返还'!$O$4:$O$3003,"返还"))</f>
      </c>
      <c r="H131" s="11">
        <f>IF($L131="","",SUMIFS('[1]粘贴_服务费返还'!$M$4:$M$3003,'[1]粘贴_服务费返还'!$N$4:$N$3003,$B131,'[1]粘贴_服务费返还'!$O$4:$O$3003,"扣回"))</f>
      </c>
      <c r="I131" s="11">
        <f t="shared" si="1"/>
      </c>
      <c r="J131" s="6">
        <f t="shared" si="2"/>
      </c>
      <c r="K131" s="10">
        <f t="shared" si="3"/>
      </c>
      <c r="L131" s="17">
        <f>IF(A131&gt;$H$5,"",MATCH(A131,'[1]粘贴_账务明细'!$O$4:$O$3003,0))</f>
      </c>
    </row>
    <row r="132">
      <c r="A132" s="10" t="n">
        <v>104</v>
      </c>
      <c r="B132" s="6">
        <f>IF($L132="","",INDEX('[1]粘贴_账务明细'!$A$4:$A$3003,$L132))</f>
      </c>
      <c r="C132" s="16">
        <f>IF($L132="","",INDEX('[1]粘贴_账务明细'!$H$4:$H$3003,$L132))</f>
      </c>
      <c r="D132" s="11">
        <f>IF($L132="","",SUMIFS('[1]粘贴_账务明细'!$K$4:$K$3003,'[1]粘贴_账务明细'!$A$4:$A$3003,$B132,'[1]粘贴_账务明细'!$L$4:$L$3003,"订单收入")+SUMIFS('[1]粘贴_账务明细'!$K$4:$K$3003,'[1]粘贴_账务明细'!$A$4:$A$3003,$B132,'[1]粘贴_账务明细'!$L$4:$L$3003,"优惠券结算"))</f>
      </c>
      <c r="E132" s="11">
        <f t="shared" si="0"/>
      </c>
      <c r="F132" s="11">
        <f>IF($L132="","",-SUMIFS('[1]粘贴_账务明细'!$K$4:$K$3003,'[1]粘贴_账务明细'!$A$4:$A$3003,$B132,'[1]粘贴_账务明细'!$L$4:$L$3003,"百亿补贴技术服务费"))</f>
      </c>
      <c r="G132" s="11">
        <f>IF($L132="","",SUMIFS('[1]粘贴_服务费返还'!$M$4:$M$3003,'[1]粘贴_服务费返还'!$N$4:$N$3003,$B132,'[1]粘贴_服务费返还'!$O$4:$O$3003,"返还"))</f>
      </c>
      <c r="H132" s="11">
        <f>IF($L132="","",SUMIFS('[1]粘贴_服务费返还'!$M$4:$M$3003,'[1]粘贴_服务费返还'!$N$4:$N$3003,$B132,'[1]粘贴_服务费返还'!$O$4:$O$3003,"扣回"))</f>
      </c>
      <c r="I132" s="11">
        <f t="shared" si="1"/>
      </c>
      <c r="J132" s="6">
        <f t="shared" si="2"/>
      </c>
      <c r="K132" s="10">
        <f t="shared" si="3"/>
      </c>
      <c r="L132" s="17">
        <f>IF(A132&gt;$H$5,"",MATCH(A132,'[1]粘贴_账务明细'!$O$4:$O$3003,0))</f>
      </c>
    </row>
    <row r="133">
      <c r="A133" s="10" t="n">
        <v>105</v>
      </c>
      <c r="B133" s="6">
        <f>IF($L133="","",INDEX('[1]粘贴_账务明细'!$A$4:$A$3003,$L133))</f>
      </c>
      <c r="C133" s="16">
        <f>IF($L133="","",INDEX('[1]粘贴_账务明细'!$H$4:$H$3003,$L133))</f>
      </c>
      <c r="D133" s="11">
        <f>IF($L133="","",SUMIFS('[1]粘贴_账务明细'!$K$4:$K$3003,'[1]粘贴_账务明细'!$A$4:$A$3003,$B133,'[1]粘贴_账务明细'!$L$4:$L$3003,"订单收入")+SUMIFS('[1]粘贴_账务明细'!$K$4:$K$3003,'[1]粘贴_账务明细'!$A$4:$A$3003,$B133,'[1]粘贴_账务明细'!$L$4:$L$3003,"优惠券结算"))</f>
      </c>
      <c r="E133" s="11">
        <f t="shared" si="0"/>
      </c>
      <c r="F133" s="11">
        <f>IF($L133="","",-SUMIFS('[1]粘贴_账务明细'!$K$4:$K$3003,'[1]粘贴_账务明细'!$A$4:$A$3003,$B133,'[1]粘贴_账务明细'!$L$4:$L$3003,"百亿补贴技术服务费"))</f>
      </c>
      <c r="G133" s="11">
        <f>IF($L133="","",SUMIFS('[1]粘贴_服务费返还'!$M$4:$M$3003,'[1]粘贴_服务费返还'!$N$4:$N$3003,$B133,'[1]粘贴_服务费返还'!$O$4:$O$3003,"返还"))</f>
      </c>
      <c r="H133" s="11">
        <f>IF($L133="","",SUMIFS('[1]粘贴_服务费返还'!$M$4:$M$3003,'[1]粘贴_服务费返还'!$N$4:$N$3003,$B133,'[1]粘贴_服务费返还'!$O$4:$O$3003,"扣回"))</f>
      </c>
      <c r="I133" s="11">
        <f t="shared" si="1"/>
      </c>
      <c r="J133" s="6">
        <f t="shared" si="2"/>
      </c>
      <c r="K133" s="10">
        <f t="shared" si="3"/>
      </c>
      <c r="L133" s="17">
        <f>IF(A133&gt;$H$5,"",MATCH(A133,'[1]粘贴_账务明细'!$O$4:$O$3003,0))</f>
      </c>
    </row>
    <row r="134">
      <c r="A134" s="10" t="n">
        <v>106</v>
      </c>
      <c r="B134" s="6">
        <f>IF($L134="","",INDEX('[1]粘贴_账务明细'!$A$4:$A$3003,$L134))</f>
      </c>
      <c r="C134" s="16">
        <f>IF($L134="","",INDEX('[1]粘贴_账务明细'!$H$4:$H$3003,$L134))</f>
      </c>
      <c r="D134" s="11">
        <f>IF($L134="","",SUMIFS('[1]粘贴_账务明细'!$K$4:$K$3003,'[1]粘贴_账务明细'!$A$4:$A$3003,$B134,'[1]粘贴_账务明细'!$L$4:$L$3003,"订单收入")+SUMIFS('[1]粘贴_账务明细'!$K$4:$K$3003,'[1]粘贴_账务明细'!$A$4:$A$3003,$B134,'[1]粘贴_账务明细'!$L$4:$L$3003,"优惠券结算"))</f>
      </c>
      <c r="E134" s="11">
        <f t="shared" si="0"/>
      </c>
      <c r="F134" s="11">
        <f>IF($L134="","",-SUMIFS('[1]粘贴_账务明细'!$K$4:$K$3003,'[1]粘贴_账务明细'!$A$4:$A$3003,$B134,'[1]粘贴_账务明细'!$L$4:$L$3003,"百亿补贴技术服务费"))</f>
      </c>
      <c r="G134" s="11">
        <f>IF($L134="","",SUMIFS('[1]粘贴_服务费返还'!$M$4:$M$3003,'[1]粘贴_服务费返还'!$N$4:$N$3003,$B134,'[1]粘贴_服务费返还'!$O$4:$O$3003,"返还"))</f>
      </c>
      <c r="H134" s="11">
        <f>IF($L134="","",SUMIFS('[1]粘贴_服务费返还'!$M$4:$M$3003,'[1]粘贴_服务费返还'!$N$4:$N$3003,$B134,'[1]粘贴_服务费返还'!$O$4:$O$3003,"扣回"))</f>
      </c>
      <c r="I134" s="11">
        <f t="shared" si="1"/>
      </c>
      <c r="J134" s="6">
        <f t="shared" si="2"/>
      </c>
      <c r="K134" s="10">
        <f t="shared" si="3"/>
      </c>
      <c r="L134" s="17">
        <f>IF(A134&gt;$H$5,"",MATCH(A134,'[1]粘贴_账务明细'!$O$4:$O$3003,0))</f>
      </c>
    </row>
    <row r="135">
      <c r="A135" s="10" t="n">
        <v>107</v>
      </c>
      <c r="B135" s="6">
        <f>IF($L135="","",INDEX('[1]粘贴_账务明细'!$A$4:$A$3003,$L135))</f>
      </c>
      <c r="C135" s="16">
        <f>IF($L135="","",INDEX('[1]粘贴_账务明细'!$H$4:$H$3003,$L135))</f>
      </c>
      <c r="D135" s="11">
        <f>IF($L135="","",SUMIFS('[1]粘贴_账务明细'!$K$4:$K$3003,'[1]粘贴_账务明细'!$A$4:$A$3003,$B135,'[1]粘贴_账务明细'!$L$4:$L$3003,"订单收入")+SUMIFS('[1]粘贴_账务明细'!$K$4:$K$3003,'[1]粘贴_账务明细'!$A$4:$A$3003,$B135,'[1]粘贴_账务明细'!$L$4:$L$3003,"优惠券结算"))</f>
      </c>
      <c r="E135" s="11">
        <f t="shared" si="0"/>
      </c>
      <c r="F135" s="11">
        <f>IF($L135="","",-SUMIFS('[1]粘贴_账务明细'!$K$4:$K$3003,'[1]粘贴_账务明细'!$A$4:$A$3003,$B135,'[1]粘贴_账务明细'!$L$4:$L$3003,"百亿补贴技术服务费"))</f>
      </c>
      <c r="G135" s="11">
        <f>IF($L135="","",SUMIFS('[1]粘贴_服务费返还'!$M$4:$M$3003,'[1]粘贴_服务费返还'!$N$4:$N$3003,$B135,'[1]粘贴_服务费返还'!$O$4:$O$3003,"返还"))</f>
      </c>
      <c r="H135" s="11">
        <f>IF($L135="","",SUMIFS('[1]粘贴_服务费返还'!$M$4:$M$3003,'[1]粘贴_服务费返还'!$N$4:$N$3003,$B135,'[1]粘贴_服务费返还'!$O$4:$O$3003,"扣回"))</f>
      </c>
      <c r="I135" s="11">
        <f t="shared" si="1"/>
      </c>
      <c r="J135" s="6">
        <f t="shared" si="2"/>
      </c>
      <c r="K135" s="10">
        <f t="shared" si="3"/>
      </c>
      <c r="L135" s="17">
        <f>IF(A135&gt;$H$5,"",MATCH(A135,'[1]粘贴_账务明细'!$O$4:$O$3003,0))</f>
      </c>
    </row>
    <row r="136">
      <c r="A136" s="10" t="n">
        <v>108</v>
      </c>
      <c r="B136" s="6">
        <f>IF($L136="","",INDEX('[1]粘贴_账务明细'!$A$4:$A$3003,$L136))</f>
      </c>
      <c r="C136" s="16">
        <f>IF($L136="","",INDEX('[1]粘贴_账务明细'!$H$4:$H$3003,$L136))</f>
      </c>
      <c r="D136" s="11">
        <f>IF($L136="","",SUMIFS('[1]粘贴_账务明细'!$K$4:$K$3003,'[1]粘贴_账务明细'!$A$4:$A$3003,$B136,'[1]粘贴_账务明细'!$L$4:$L$3003,"订单收入")+SUMIFS('[1]粘贴_账务明细'!$K$4:$K$3003,'[1]粘贴_账务明细'!$A$4:$A$3003,$B136,'[1]粘贴_账务明细'!$L$4:$L$3003,"优惠券结算"))</f>
      </c>
      <c r="E136" s="11">
        <f t="shared" si="0"/>
      </c>
      <c r="F136" s="11">
        <f>IF($L136="","",-SUMIFS('[1]粘贴_账务明细'!$K$4:$K$3003,'[1]粘贴_账务明细'!$A$4:$A$3003,$B136,'[1]粘贴_账务明细'!$L$4:$L$3003,"百亿补贴技术服务费"))</f>
      </c>
      <c r="G136" s="11">
        <f>IF($L136="","",SUMIFS('[1]粘贴_服务费返还'!$M$4:$M$3003,'[1]粘贴_服务费返还'!$N$4:$N$3003,$B136,'[1]粘贴_服务费返还'!$O$4:$O$3003,"返还"))</f>
      </c>
      <c r="H136" s="11">
        <f>IF($L136="","",SUMIFS('[1]粘贴_服务费返还'!$M$4:$M$3003,'[1]粘贴_服务费返还'!$N$4:$N$3003,$B136,'[1]粘贴_服务费返还'!$O$4:$O$3003,"扣回"))</f>
      </c>
      <c r="I136" s="11">
        <f t="shared" si="1"/>
      </c>
      <c r="J136" s="6">
        <f t="shared" si="2"/>
      </c>
      <c r="K136" s="10">
        <f t="shared" si="3"/>
      </c>
      <c r="L136" s="17">
        <f>IF(A136&gt;$H$5,"",MATCH(A136,'[1]粘贴_账务明细'!$O$4:$O$3003,0))</f>
      </c>
    </row>
    <row r="137">
      <c r="A137" s="10" t="n">
        <v>109</v>
      </c>
      <c r="B137" s="6">
        <f>IF($L137="","",INDEX('[1]粘贴_账务明细'!$A$4:$A$3003,$L137))</f>
      </c>
      <c r="C137" s="16">
        <f>IF($L137="","",INDEX('[1]粘贴_账务明细'!$H$4:$H$3003,$L137))</f>
      </c>
      <c r="D137" s="11">
        <f>IF($L137="","",SUMIFS('[1]粘贴_账务明细'!$K$4:$K$3003,'[1]粘贴_账务明细'!$A$4:$A$3003,$B137,'[1]粘贴_账务明细'!$L$4:$L$3003,"订单收入")+SUMIFS('[1]粘贴_账务明细'!$K$4:$K$3003,'[1]粘贴_账务明细'!$A$4:$A$3003,$B137,'[1]粘贴_账务明细'!$L$4:$L$3003,"优惠券结算"))</f>
      </c>
      <c r="E137" s="11">
        <f t="shared" si="0"/>
      </c>
      <c r="F137" s="11">
        <f>IF($L137="","",-SUMIFS('[1]粘贴_账务明细'!$K$4:$K$3003,'[1]粘贴_账务明细'!$A$4:$A$3003,$B137,'[1]粘贴_账务明细'!$L$4:$L$3003,"百亿补贴技术服务费"))</f>
      </c>
      <c r="G137" s="11">
        <f>IF($L137="","",SUMIFS('[1]粘贴_服务费返还'!$M$4:$M$3003,'[1]粘贴_服务费返还'!$N$4:$N$3003,$B137,'[1]粘贴_服务费返还'!$O$4:$O$3003,"返还"))</f>
      </c>
      <c r="H137" s="11">
        <f>IF($L137="","",SUMIFS('[1]粘贴_服务费返还'!$M$4:$M$3003,'[1]粘贴_服务费返还'!$N$4:$N$3003,$B137,'[1]粘贴_服务费返还'!$O$4:$O$3003,"扣回"))</f>
      </c>
      <c r="I137" s="11">
        <f t="shared" si="1"/>
      </c>
      <c r="J137" s="6">
        <f t="shared" si="2"/>
      </c>
      <c r="K137" s="10">
        <f t="shared" si="3"/>
      </c>
      <c r="L137" s="17">
        <f>IF(A137&gt;$H$5,"",MATCH(A137,'[1]粘贴_账务明细'!$O$4:$O$3003,0))</f>
      </c>
    </row>
    <row r="138">
      <c r="A138" s="10" t="n">
        <v>110</v>
      </c>
      <c r="B138" s="6">
        <f>IF($L138="","",INDEX('[1]粘贴_账务明细'!$A$4:$A$3003,$L138))</f>
      </c>
      <c r="C138" s="16">
        <f>IF($L138="","",INDEX('[1]粘贴_账务明细'!$H$4:$H$3003,$L138))</f>
      </c>
      <c r="D138" s="11">
        <f>IF($L138="","",SUMIFS('[1]粘贴_账务明细'!$K$4:$K$3003,'[1]粘贴_账务明细'!$A$4:$A$3003,$B138,'[1]粘贴_账务明细'!$L$4:$L$3003,"订单收入")+SUMIFS('[1]粘贴_账务明细'!$K$4:$K$3003,'[1]粘贴_账务明细'!$A$4:$A$3003,$B138,'[1]粘贴_账务明细'!$L$4:$L$3003,"优惠券结算"))</f>
      </c>
      <c r="E138" s="11">
        <f t="shared" si="0"/>
      </c>
      <c r="F138" s="11">
        <f>IF($L138="","",-SUMIFS('[1]粘贴_账务明细'!$K$4:$K$3003,'[1]粘贴_账务明细'!$A$4:$A$3003,$B138,'[1]粘贴_账务明细'!$L$4:$L$3003,"百亿补贴技术服务费"))</f>
      </c>
      <c r="G138" s="11">
        <f>IF($L138="","",SUMIFS('[1]粘贴_服务费返还'!$M$4:$M$3003,'[1]粘贴_服务费返还'!$N$4:$N$3003,$B138,'[1]粘贴_服务费返还'!$O$4:$O$3003,"返还"))</f>
      </c>
      <c r="H138" s="11">
        <f>IF($L138="","",SUMIFS('[1]粘贴_服务费返还'!$M$4:$M$3003,'[1]粘贴_服务费返还'!$N$4:$N$3003,$B138,'[1]粘贴_服务费返还'!$O$4:$O$3003,"扣回"))</f>
      </c>
      <c r="I138" s="11">
        <f t="shared" si="1"/>
      </c>
      <c r="J138" s="6">
        <f t="shared" si="2"/>
      </c>
      <c r="K138" s="10">
        <f t="shared" si="3"/>
      </c>
      <c r="L138" s="17">
        <f>IF(A138&gt;$H$5,"",MATCH(A138,'[1]粘贴_账务明细'!$O$4:$O$3003,0))</f>
      </c>
    </row>
    <row r="139">
      <c r="A139" s="10" t="n">
        <v>111</v>
      </c>
      <c r="B139" s="6">
        <f>IF($L139="","",INDEX('[1]粘贴_账务明细'!$A$4:$A$3003,$L139))</f>
      </c>
      <c r="C139" s="16">
        <f>IF($L139="","",INDEX('[1]粘贴_账务明细'!$H$4:$H$3003,$L139))</f>
      </c>
      <c r="D139" s="11">
        <f>IF($L139="","",SUMIFS('[1]粘贴_账务明细'!$K$4:$K$3003,'[1]粘贴_账务明细'!$A$4:$A$3003,$B139,'[1]粘贴_账务明细'!$L$4:$L$3003,"订单收入")+SUMIFS('[1]粘贴_账务明细'!$K$4:$K$3003,'[1]粘贴_账务明细'!$A$4:$A$3003,$B139,'[1]粘贴_账务明细'!$L$4:$L$3003,"优惠券结算"))</f>
      </c>
      <c r="E139" s="11">
        <f t="shared" si="0"/>
      </c>
      <c r="F139" s="11">
        <f>IF($L139="","",-SUMIFS('[1]粘贴_账务明细'!$K$4:$K$3003,'[1]粘贴_账务明细'!$A$4:$A$3003,$B139,'[1]粘贴_账务明细'!$L$4:$L$3003,"百亿补贴技术服务费"))</f>
      </c>
      <c r="G139" s="11">
        <f>IF($L139="","",SUMIFS('[1]粘贴_服务费返还'!$M$4:$M$3003,'[1]粘贴_服务费返还'!$N$4:$N$3003,$B139,'[1]粘贴_服务费返还'!$O$4:$O$3003,"返还"))</f>
      </c>
      <c r="H139" s="11">
        <f>IF($L139="","",SUMIFS('[1]粘贴_服务费返还'!$M$4:$M$3003,'[1]粘贴_服务费返还'!$N$4:$N$3003,$B139,'[1]粘贴_服务费返还'!$O$4:$O$3003,"扣回"))</f>
      </c>
      <c r="I139" s="11">
        <f t="shared" si="1"/>
      </c>
      <c r="J139" s="6">
        <f t="shared" si="2"/>
      </c>
      <c r="K139" s="10">
        <f t="shared" si="3"/>
      </c>
      <c r="L139" s="17">
        <f>IF(A139&gt;$H$5,"",MATCH(A139,'[1]粘贴_账务明细'!$O$4:$O$3003,0))</f>
      </c>
    </row>
    <row r="140">
      <c r="A140" s="10" t="n">
        <v>112</v>
      </c>
      <c r="B140" s="6">
        <f>IF($L140="","",INDEX('[1]粘贴_账务明细'!$A$4:$A$3003,$L140))</f>
      </c>
      <c r="C140" s="16">
        <f>IF($L140="","",INDEX('[1]粘贴_账务明细'!$H$4:$H$3003,$L140))</f>
      </c>
      <c r="D140" s="11">
        <f>IF($L140="","",SUMIFS('[1]粘贴_账务明细'!$K$4:$K$3003,'[1]粘贴_账务明细'!$A$4:$A$3003,$B140,'[1]粘贴_账务明细'!$L$4:$L$3003,"订单收入")+SUMIFS('[1]粘贴_账务明细'!$K$4:$K$3003,'[1]粘贴_账务明细'!$A$4:$A$3003,$B140,'[1]粘贴_账务明细'!$L$4:$L$3003,"优惠券结算"))</f>
      </c>
      <c r="E140" s="11">
        <f t="shared" si="0"/>
      </c>
      <c r="F140" s="11">
        <f>IF($L140="","",-SUMIFS('[1]粘贴_账务明细'!$K$4:$K$3003,'[1]粘贴_账务明细'!$A$4:$A$3003,$B140,'[1]粘贴_账务明细'!$L$4:$L$3003,"百亿补贴技术服务费"))</f>
      </c>
      <c r="G140" s="11">
        <f>IF($L140="","",SUMIFS('[1]粘贴_服务费返还'!$M$4:$M$3003,'[1]粘贴_服务费返还'!$N$4:$N$3003,$B140,'[1]粘贴_服务费返还'!$O$4:$O$3003,"返还"))</f>
      </c>
      <c r="H140" s="11">
        <f>IF($L140="","",SUMIFS('[1]粘贴_服务费返还'!$M$4:$M$3003,'[1]粘贴_服务费返还'!$N$4:$N$3003,$B140,'[1]粘贴_服务费返还'!$O$4:$O$3003,"扣回"))</f>
      </c>
      <c r="I140" s="11">
        <f t="shared" si="1"/>
      </c>
      <c r="J140" s="6">
        <f t="shared" si="2"/>
      </c>
      <c r="K140" s="10">
        <f t="shared" si="3"/>
      </c>
      <c r="L140" s="17">
        <f>IF(A140&gt;$H$5,"",MATCH(A140,'[1]粘贴_账务明细'!$O$4:$O$3003,0))</f>
      </c>
    </row>
    <row r="141">
      <c r="A141" s="10" t="n">
        <v>113</v>
      </c>
      <c r="B141" s="6">
        <f>IF($L141="","",INDEX('[1]粘贴_账务明细'!$A$4:$A$3003,$L141))</f>
      </c>
      <c r="C141" s="16">
        <f>IF($L141="","",INDEX('[1]粘贴_账务明细'!$H$4:$H$3003,$L141))</f>
      </c>
      <c r="D141" s="11">
        <f>IF($L141="","",SUMIFS('[1]粘贴_账务明细'!$K$4:$K$3003,'[1]粘贴_账务明细'!$A$4:$A$3003,$B141,'[1]粘贴_账务明细'!$L$4:$L$3003,"订单收入")+SUMIFS('[1]粘贴_账务明细'!$K$4:$K$3003,'[1]粘贴_账务明细'!$A$4:$A$3003,$B141,'[1]粘贴_账务明细'!$L$4:$L$3003,"优惠券结算"))</f>
      </c>
      <c r="E141" s="11">
        <f t="shared" si="0"/>
      </c>
      <c r="F141" s="11">
        <f>IF($L141="","",-SUMIFS('[1]粘贴_账务明细'!$K$4:$K$3003,'[1]粘贴_账务明细'!$A$4:$A$3003,$B141,'[1]粘贴_账务明细'!$L$4:$L$3003,"百亿补贴技术服务费"))</f>
      </c>
      <c r="G141" s="11">
        <f>IF($L141="","",SUMIFS('[1]粘贴_服务费返还'!$M$4:$M$3003,'[1]粘贴_服务费返还'!$N$4:$N$3003,$B141,'[1]粘贴_服务费返还'!$O$4:$O$3003,"返还"))</f>
      </c>
      <c r="H141" s="11">
        <f>IF($L141="","",SUMIFS('[1]粘贴_服务费返还'!$M$4:$M$3003,'[1]粘贴_服务费返还'!$N$4:$N$3003,$B141,'[1]粘贴_服务费返还'!$O$4:$O$3003,"扣回"))</f>
      </c>
      <c r="I141" s="11">
        <f t="shared" si="1"/>
      </c>
      <c r="J141" s="6">
        <f t="shared" si="2"/>
      </c>
      <c r="K141" s="10">
        <f t="shared" si="3"/>
      </c>
      <c r="L141" s="17">
        <f>IF(A141&gt;$H$5,"",MATCH(A141,'[1]粘贴_账务明细'!$O$4:$O$3003,0))</f>
      </c>
    </row>
    <row r="142">
      <c r="A142" s="10" t="n">
        <v>114</v>
      </c>
      <c r="B142" s="6">
        <f>IF($L142="","",INDEX('[1]粘贴_账务明细'!$A$4:$A$3003,$L142))</f>
      </c>
      <c r="C142" s="16">
        <f>IF($L142="","",INDEX('[1]粘贴_账务明细'!$H$4:$H$3003,$L142))</f>
      </c>
      <c r="D142" s="11">
        <f>IF($L142="","",SUMIFS('[1]粘贴_账务明细'!$K$4:$K$3003,'[1]粘贴_账务明细'!$A$4:$A$3003,$B142,'[1]粘贴_账务明细'!$L$4:$L$3003,"订单收入")+SUMIFS('[1]粘贴_账务明细'!$K$4:$K$3003,'[1]粘贴_账务明细'!$A$4:$A$3003,$B142,'[1]粘贴_账务明细'!$L$4:$L$3003,"优惠券结算"))</f>
      </c>
      <c r="E142" s="11">
        <f t="shared" si="0"/>
      </c>
      <c r="F142" s="11">
        <f>IF($L142="","",-SUMIFS('[1]粘贴_账务明细'!$K$4:$K$3003,'[1]粘贴_账务明细'!$A$4:$A$3003,$B142,'[1]粘贴_账务明细'!$L$4:$L$3003,"百亿补贴技术服务费"))</f>
      </c>
      <c r="G142" s="11">
        <f>IF($L142="","",SUMIFS('[1]粘贴_服务费返还'!$M$4:$M$3003,'[1]粘贴_服务费返还'!$N$4:$N$3003,$B142,'[1]粘贴_服务费返还'!$O$4:$O$3003,"返还"))</f>
      </c>
      <c r="H142" s="11">
        <f>IF($L142="","",SUMIFS('[1]粘贴_服务费返还'!$M$4:$M$3003,'[1]粘贴_服务费返还'!$N$4:$N$3003,$B142,'[1]粘贴_服务费返还'!$O$4:$O$3003,"扣回"))</f>
      </c>
      <c r="I142" s="11">
        <f t="shared" si="1"/>
      </c>
      <c r="J142" s="6">
        <f t="shared" si="2"/>
      </c>
      <c r="K142" s="10">
        <f t="shared" si="3"/>
      </c>
      <c r="L142" s="17">
        <f>IF(A142&gt;$H$5,"",MATCH(A142,'[1]粘贴_账务明细'!$O$4:$O$3003,0))</f>
      </c>
    </row>
    <row r="143">
      <c r="A143" s="10" t="n">
        <v>115</v>
      </c>
      <c r="B143" s="6">
        <f>IF($L143="","",INDEX('[1]粘贴_账务明细'!$A$4:$A$3003,$L143))</f>
      </c>
      <c r="C143" s="16">
        <f>IF($L143="","",INDEX('[1]粘贴_账务明细'!$H$4:$H$3003,$L143))</f>
      </c>
      <c r="D143" s="11">
        <f>IF($L143="","",SUMIFS('[1]粘贴_账务明细'!$K$4:$K$3003,'[1]粘贴_账务明细'!$A$4:$A$3003,$B143,'[1]粘贴_账务明细'!$L$4:$L$3003,"订单收入")+SUMIFS('[1]粘贴_账务明细'!$K$4:$K$3003,'[1]粘贴_账务明细'!$A$4:$A$3003,$B143,'[1]粘贴_账务明细'!$L$4:$L$3003,"优惠券结算"))</f>
      </c>
      <c r="E143" s="11">
        <f t="shared" si="0"/>
      </c>
      <c r="F143" s="11">
        <f>IF($L143="","",-SUMIFS('[1]粘贴_账务明细'!$K$4:$K$3003,'[1]粘贴_账务明细'!$A$4:$A$3003,$B143,'[1]粘贴_账务明细'!$L$4:$L$3003,"百亿补贴技术服务费"))</f>
      </c>
      <c r="G143" s="11">
        <f>IF($L143="","",SUMIFS('[1]粘贴_服务费返还'!$M$4:$M$3003,'[1]粘贴_服务费返还'!$N$4:$N$3003,$B143,'[1]粘贴_服务费返还'!$O$4:$O$3003,"返还"))</f>
      </c>
      <c r="H143" s="11">
        <f>IF($L143="","",SUMIFS('[1]粘贴_服务费返还'!$M$4:$M$3003,'[1]粘贴_服务费返还'!$N$4:$N$3003,$B143,'[1]粘贴_服务费返还'!$O$4:$O$3003,"扣回"))</f>
      </c>
      <c r="I143" s="11">
        <f t="shared" si="1"/>
      </c>
      <c r="J143" s="6">
        <f t="shared" si="2"/>
      </c>
      <c r="K143" s="10">
        <f t="shared" si="3"/>
      </c>
      <c r="L143" s="17">
        <f>IF(A143&gt;$H$5,"",MATCH(A143,'[1]粘贴_账务明细'!$O$4:$O$3003,0))</f>
      </c>
    </row>
    <row r="144">
      <c r="A144" s="10" t="n">
        <v>116</v>
      </c>
      <c r="B144" s="6">
        <f>IF($L144="","",INDEX('[1]粘贴_账务明细'!$A$4:$A$3003,$L144))</f>
      </c>
      <c r="C144" s="16">
        <f>IF($L144="","",INDEX('[1]粘贴_账务明细'!$H$4:$H$3003,$L144))</f>
      </c>
      <c r="D144" s="11">
        <f>IF($L144="","",SUMIFS('[1]粘贴_账务明细'!$K$4:$K$3003,'[1]粘贴_账务明细'!$A$4:$A$3003,$B144,'[1]粘贴_账务明细'!$L$4:$L$3003,"订单收入")+SUMIFS('[1]粘贴_账务明细'!$K$4:$K$3003,'[1]粘贴_账务明细'!$A$4:$A$3003,$B144,'[1]粘贴_账务明细'!$L$4:$L$3003,"优惠券结算"))</f>
      </c>
      <c r="E144" s="11">
        <f t="shared" si="0"/>
      </c>
      <c r="F144" s="11">
        <f>IF($L144="","",-SUMIFS('[1]粘贴_账务明细'!$K$4:$K$3003,'[1]粘贴_账务明细'!$A$4:$A$3003,$B144,'[1]粘贴_账务明细'!$L$4:$L$3003,"百亿补贴技术服务费"))</f>
      </c>
      <c r="G144" s="11">
        <f>IF($L144="","",SUMIFS('[1]粘贴_服务费返还'!$M$4:$M$3003,'[1]粘贴_服务费返还'!$N$4:$N$3003,$B144,'[1]粘贴_服务费返还'!$O$4:$O$3003,"返还"))</f>
      </c>
      <c r="H144" s="11">
        <f>IF($L144="","",SUMIFS('[1]粘贴_服务费返还'!$M$4:$M$3003,'[1]粘贴_服务费返还'!$N$4:$N$3003,$B144,'[1]粘贴_服务费返还'!$O$4:$O$3003,"扣回"))</f>
      </c>
      <c r="I144" s="11">
        <f t="shared" si="1"/>
      </c>
      <c r="J144" s="6">
        <f t="shared" si="2"/>
      </c>
      <c r="K144" s="10">
        <f t="shared" si="3"/>
      </c>
      <c r="L144" s="17">
        <f>IF(A144&gt;$H$5,"",MATCH(A144,'[1]粘贴_账务明细'!$O$4:$O$3003,0))</f>
      </c>
    </row>
    <row r="145">
      <c r="A145" s="10" t="n">
        <v>117</v>
      </c>
      <c r="B145" s="6">
        <f>IF($L145="","",INDEX('[1]粘贴_账务明细'!$A$4:$A$3003,$L145))</f>
      </c>
      <c r="C145" s="16">
        <f>IF($L145="","",INDEX('[1]粘贴_账务明细'!$H$4:$H$3003,$L145))</f>
      </c>
      <c r="D145" s="11">
        <f>IF($L145="","",SUMIFS('[1]粘贴_账务明细'!$K$4:$K$3003,'[1]粘贴_账务明细'!$A$4:$A$3003,$B145,'[1]粘贴_账务明细'!$L$4:$L$3003,"订单收入")+SUMIFS('[1]粘贴_账务明细'!$K$4:$K$3003,'[1]粘贴_账务明细'!$A$4:$A$3003,$B145,'[1]粘贴_账务明细'!$L$4:$L$3003,"优惠券结算"))</f>
      </c>
      <c r="E145" s="11">
        <f t="shared" si="0"/>
      </c>
      <c r="F145" s="11">
        <f>IF($L145="","",-SUMIFS('[1]粘贴_账务明细'!$K$4:$K$3003,'[1]粘贴_账务明细'!$A$4:$A$3003,$B145,'[1]粘贴_账务明细'!$L$4:$L$3003,"百亿补贴技术服务费"))</f>
      </c>
      <c r="G145" s="11">
        <f>IF($L145="","",SUMIFS('[1]粘贴_服务费返还'!$M$4:$M$3003,'[1]粘贴_服务费返还'!$N$4:$N$3003,$B145,'[1]粘贴_服务费返还'!$O$4:$O$3003,"返还"))</f>
      </c>
      <c r="H145" s="11">
        <f>IF($L145="","",SUMIFS('[1]粘贴_服务费返还'!$M$4:$M$3003,'[1]粘贴_服务费返还'!$N$4:$N$3003,$B145,'[1]粘贴_服务费返还'!$O$4:$O$3003,"扣回"))</f>
      </c>
      <c r="I145" s="11">
        <f t="shared" si="1"/>
      </c>
      <c r="J145" s="6">
        <f t="shared" si="2"/>
      </c>
      <c r="K145" s="10">
        <f t="shared" si="3"/>
      </c>
      <c r="L145" s="17">
        <f>IF(A145&gt;$H$5,"",MATCH(A145,'[1]粘贴_账务明细'!$O$4:$O$3003,0))</f>
      </c>
    </row>
    <row r="146">
      <c r="A146" s="10" t="n">
        <v>118</v>
      </c>
      <c r="B146" s="6">
        <f>IF($L146="","",INDEX('[1]粘贴_账务明细'!$A$4:$A$3003,$L146))</f>
      </c>
      <c r="C146" s="16">
        <f>IF($L146="","",INDEX('[1]粘贴_账务明细'!$H$4:$H$3003,$L146))</f>
      </c>
      <c r="D146" s="11">
        <f>IF($L146="","",SUMIFS('[1]粘贴_账务明细'!$K$4:$K$3003,'[1]粘贴_账务明细'!$A$4:$A$3003,$B146,'[1]粘贴_账务明细'!$L$4:$L$3003,"订单收入")+SUMIFS('[1]粘贴_账务明细'!$K$4:$K$3003,'[1]粘贴_账务明细'!$A$4:$A$3003,$B146,'[1]粘贴_账务明细'!$L$4:$L$3003,"优惠券结算"))</f>
      </c>
      <c r="E146" s="11">
        <f t="shared" si="0"/>
      </c>
      <c r="F146" s="11">
        <f>IF($L146="","",-SUMIFS('[1]粘贴_账务明细'!$K$4:$K$3003,'[1]粘贴_账务明细'!$A$4:$A$3003,$B146,'[1]粘贴_账务明细'!$L$4:$L$3003,"百亿补贴技术服务费"))</f>
      </c>
      <c r="G146" s="11">
        <f>IF($L146="","",SUMIFS('[1]粘贴_服务费返还'!$M$4:$M$3003,'[1]粘贴_服务费返还'!$N$4:$N$3003,$B146,'[1]粘贴_服务费返还'!$O$4:$O$3003,"返还"))</f>
      </c>
      <c r="H146" s="11">
        <f>IF($L146="","",SUMIFS('[1]粘贴_服务费返还'!$M$4:$M$3003,'[1]粘贴_服务费返还'!$N$4:$N$3003,$B146,'[1]粘贴_服务费返还'!$O$4:$O$3003,"扣回"))</f>
      </c>
      <c r="I146" s="11">
        <f t="shared" si="1"/>
      </c>
      <c r="J146" s="6">
        <f t="shared" si="2"/>
      </c>
      <c r="K146" s="10">
        <f t="shared" si="3"/>
      </c>
      <c r="L146" s="17">
        <f>IF(A146&gt;$H$5,"",MATCH(A146,'[1]粘贴_账务明细'!$O$4:$O$3003,0))</f>
      </c>
    </row>
    <row r="147">
      <c r="A147" s="10" t="n">
        <v>119</v>
      </c>
      <c r="B147" s="6">
        <f>IF($L147="","",INDEX('[1]粘贴_账务明细'!$A$4:$A$3003,$L147))</f>
      </c>
      <c r="C147" s="16">
        <f>IF($L147="","",INDEX('[1]粘贴_账务明细'!$H$4:$H$3003,$L147))</f>
      </c>
      <c r="D147" s="11">
        <f>IF($L147="","",SUMIFS('[1]粘贴_账务明细'!$K$4:$K$3003,'[1]粘贴_账务明细'!$A$4:$A$3003,$B147,'[1]粘贴_账务明细'!$L$4:$L$3003,"订单收入")+SUMIFS('[1]粘贴_账务明细'!$K$4:$K$3003,'[1]粘贴_账务明细'!$A$4:$A$3003,$B147,'[1]粘贴_账务明细'!$L$4:$L$3003,"优惠券结算"))</f>
      </c>
      <c r="E147" s="11">
        <f t="shared" si="0"/>
      </c>
      <c r="F147" s="11">
        <f>IF($L147="","",-SUMIFS('[1]粘贴_账务明细'!$K$4:$K$3003,'[1]粘贴_账务明细'!$A$4:$A$3003,$B147,'[1]粘贴_账务明细'!$L$4:$L$3003,"百亿补贴技术服务费"))</f>
      </c>
      <c r="G147" s="11">
        <f>IF($L147="","",SUMIFS('[1]粘贴_服务费返还'!$M$4:$M$3003,'[1]粘贴_服务费返还'!$N$4:$N$3003,$B147,'[1]粘贴_服务费返还'!$O$4:$O$3003,"返还"))</f>
      </c>
      <c r="H147" s="11">
        <f>IF($L147="","",SUMIFS('[1]粘贴_服务费返还'!$M$4:$M$3003,'[1]粘贴_服务费返还'!$N$4:$N$3003,$B147,'[1]粘贴_服务费返还'!$O$4:$O$3003,"扣回"))</f>
      </c>
      <c r="I147" s="11">
        <f t="shared" si="1"/>
      </c>
      <c r="J147" s="6">
        <f t="shared" si="2"/>
      </c>
      <c r="K147" s="10">
        <f t="shared" si="3"/>
      </c>
      <c r="L147" s="17">
        <f>IF(A147&gt;$H$5,"",MATCH(A147,'[1]粘贴_账务明细'!$O$4:$O$3003,0))</f>
      </c>
    </row>
    <row r="148">
      <c r="A148" s="10" t="n">
        <v>120</v>
      </c>
      <c r="B148" s="6">
        <f>IF($L148="","",INDEX('[1]粘贴_账务明细'!$A$4:$A$3003,$L148))</f>
      </c>
      <c r="C148" s="16">
        <f>IF($L148="","",INDEX('[1]粘贴_账务明细'!$H$4:$H$3003,$L148))</f>
      </c>
      <c r="D148" s="11">
        <f>IF($L148="","",SUMIFS('[1]粘贴_账务明细'!$K$4:$K$3003,'[1]粘贴_账务明细'!$A$4:$A$3003,$B148,'[1]粘贴_账务明细'!$L$4:$L$3003,"订单收入")+SUMIFS('[1]粘贴_账务明细'!$K$4:$K$3003,'[1]粘贴_账务明细'!$A$4:$A$3003,$B148,'[1]粘贴_账务明细'!$L$4:$L$3003,"优惠券结算"))</f>
      </c>
      <c r="E148" s="11">
        <f t="shared" si="0"/>
      </c>
      <c r="F148" s="11">
        <f>IF($L148="","",-SUMIFS('[1]粘贴_账务明细'!$K$4:$K$3003,'[1]粘贴_账务明细'!$A$4:$A$3003,$B148,'[1]粘贴_账务明细'!$L$4:$L$3003,"百亿补贴技术服务费"))</f>
      </c>
      <c r="G148" s="11">
        <f>IF($L148="","",SUMIFS('[1]粘贴_服务费返还'!$M$4:$M$3003,'[1]粘贴_服务费返还'!$N$4:$N$3003,$B148,'[1]粘贴_服务费返还'!$O$4:$O$3003,"返还"))</f>
      </c>
      <c r="H148" s="11">
        <f>IF($L148="","",SUMIFS('[1]粘贴_服务费返还'!$M$4:$M$3003,'[1]粘贴_服务费返还'!$N$4:$N$3003,$B148,'[1]粘贴_服务费返还'!$O$4:$O$3003,"扣回"))</f>
      </c>
      <c r="I148" s="11">
        <f t="shared" si="1"/>
      </c>
      <c r="J148" s="6">
        <f t="shared" si="2"/>
      </c>
      <c r="K148" s="10">
        <f t="shared" si="3"/>
      </c>
      <c r="L148" s="17">
        <f>IF(A148&gt;$H$5,"",MATCH(A148,'[1]粘贴_账务明细'!$O$4:$O$3003,0))</f>
      </c>
    </row>
    <row r="149">
      <c r="A149" s="10" t="n">
        <v>121</v>
      </c>
      <c r="B149" s="6">
        <f>IF($L149="","",INDEX('[1]粘贴_账务明细'!$A$4:$A$3003,$L149))</f>
      </c>
      <c r="C149" s="16">
        <f>IF($L149="","",INDEX('[1]粘贴_账务明细'!$H$4:$H$3003,$L149))</f>
      </c>
      <c r="D149" s="11">
        <f>IF($L149="","",SUMIFS('[1]粘贴_账务明细'!$K$4:$K$3003,'[1]粘贴_账务明细'!$A$4:$A$3003,$B149,'[1]粘贴_账务明细'!$L$4:$L$3003,"订单收入")+SUMIFS('[1]粘贴_账务明细'!$K$4:$K$3003,'[1]粘贴_账务明细'!$A$4:$A$3003,$B149,'[1]粘贴_账务明细'!$L$4:$L$3003,"优惠券结算"))</f>
      </c>
      <c r="E149" s="11">
        <f t="shared" si="0"/>
      </c>
      <c r="F149" s="11">
        <f>IF($L149="","",-SUMIFS('[1]粘贴_账务明细'!$K$4:$K$3003,'[1]粘贴_账务明细'!$A$4:$A$3003,$B149,'[1]粘贴_账务明细'!$L$4:$L$3003,"百亿补贴技术服务费"))</f>
      </c>
      <c r="G149" s="11">
        <f>IF($L149="","",SUMIFS('[1]粘贴_服务费返还'!$M$4:$M$3003,'[1]粘贴_服务费返还'!$N$4:$N$3003,$B149,'[1]粘贴_服务费返还'!$O$4:$O$3003,"返还"))</f>
      </c>
      <c r="H149" s="11">
        <f>IF($L149="","",SUMIFS('[1]粘贴_服务费返还'!$M$4:$M$3003,'[1]粘贴_服务费返还'!$N$4:$N$3003,$B149,'[1]粘贴_服务费返还'!$O$4:$O$3003,"扣回"))</f>
      </c>
      <c r="I149" s="11">
        <f t="shared" si="1"/>
      </c>
      <c r="J149" s="6">
        <f t="shared" si="2"/>
      </c>
      <c r="K149" s="10">
        <f t="shared" si="3"/>
      </c>
      <c r="L149" s="17">
        <f>IF(A149&gt;$H$5,"",MATCH(A149,'[1]粘贴_账务明细'!$O$4:$O$3003,0))</f>
      </c>
    </row>
    <row r="150">
      <c r="A150" s="10" t="n">
        <v>122</v>
      </c>
      <c r="B150" s="6">
        <f>IF($L150="","",INDEX('[1]粘贴_账务明细'!$A$4:$A$3003,$L150))</f>
      </c>
      <c r="C150" s="16">
        <f>IF($L150="","",INDEX('[1]粘贴_账务明细'!$H$4:$H$3003,$L150))</f>
      </c>
      <c r="D150" s="11">
        <f>IF($L150="","",SUMIFS('[1]粘贴_账务明细'!$K$4:$K$3003,'[1]粘贴_账务明细'!$A$4:$A$3003,$B150,'[1]粘贴_账务明细'!$L$4:$L$3003,"订单收入")+SUMIFS('[1]粘贴_账务明细'!$K$4:$K$3003,'[1]粘贴_账务明细'!$A$4:$A$3003,$B150,'[1]粘贴_账务明细'!$L$4:$L$3003,"优惠券结算"))</f>
      </c>
      <c r="E150" s="11">
        <f t="shared" si="0"/>
      </c>
      <c r="F150" s="11">
        <f>IF($L150="","",-SUMIFS('[1]粘贴_账务明细'!$K$4:$K$3003,'[1]粘贴_账务明细'!$A$4:$A$3003,$B150,'[1]粘贴_账务明细'!$L$4:$L$3003,"百亿补贴技术服务费"))</f>
      </c>
      <c r="G150" s="11">
        <f>IF($L150="","",SUMIFS('[1]粘贴_服务费返还'!$M$4:$M$3003,'[1]粘贴_服务费返还'!$N$4:$N$3003,$B150,'[1]粘贴_服务费返还'!$O$4:$O$3003,"返还"))</f>
      </c>
      <c r="H150" s="11">
        <f>IF($L150="","",SUMIFS('[1]粘贴_服务费返还'!$M$4:$M$3003,'[1]粘贴_服务费返还'!$N$4:$N$3003,$B150,'[1]粘贴_服务费返还'!$O$4:$O$3003,"扣回"))</f>
      </c>
      <c r="I150" s="11">
        <f t="shared" si="1"/>
      </c>
      <c r="J150" s="6">
        <f t="shared" si="2"/>
      </c>
      <c r="K150" s="10">
        <f t="shared" si="3"/>
      </c>
      <c r="L150" s="17">
        <f>IF(A150&gt;$H$5,"",MATCH(A150,'[1]粘贴_账务明细'!$O$4:$O$3003,0))</f>
      </c>
    </row>
    <row r="151">
      <c r="A151" s="10" t="n">
        <v>123</v>
      </c>
      <c r="B151" s="6">
        <f>IF($L151="","",INDEX('[1]粘贴_账务明细'!$A$4:$A$3003,$L151))</f>
      </c>
      <c r="C151" s="16">
        <f>IF($L151="","",INDEX('[1]粘贴_账务明细'!$H$4:$H$3003,$L151))</f>
      </c>
      <c r="D151" s="11">
        <f>IF($L151="","",SUMIFS('[1]粘贴_账务明细'!$K$4:$K$3003,'[1]粘贴_账务明细'!$A$4:$A$3003,$B151,'[1]粘贴_账务明细'!$L$4:$L$3003,"订单收入")+SUMIFS('[1]粘贴_账务明细'!$K$4:$K$3003,'[1]粘贴_账务明细'!$A$4:$A$3003,$B151,'[1]粘贴_账务明细'!$L$4:$L$3003,"优惠券结算"))</f>
      </c>
      <c r="E151" s="11">
        <f t="shared" si="0"/>
      </c>
      <c r="F151" s="11">
        <f>IF($L151="","",-SUMIFS('[1]粘贴_账务明细'!$K$4:$K$3003,'[1]粘贴_账务明细'!$A$4:$A$3003,$B151,'[1]粘贴_账务明细'!$L$4:$L$3003,"百亿补贴技术服务费"))</f>
      </c>
      <c r="G151" s="11">
        <f>IF($L151="","",SUMIFS('[1]粘贴_服务费返还'!$M$4:$M$3003,'[1]粘贴_服务费返还'!$N$4:$N$3003,$B151,'[1]粘贴_服务费返还'!$O$4:$O$3003,"返还"))</f>
      </c>
      <c r="H151" s="11">
        <f>IF($L151="","",SUMIFS('[1]粘贴_服务费返还'!$M$4:$M$3003,'[1]粘贴_服务费返还'!$N$4:$N$3003,$B151,'[1]粘贴_服务费返还'!$O$4:$O$3003,"扣回"))</f>
      </c>
      <c r="I151" s="11">
        <f t="shared" si="1"/>
      </c>
      <c r="J151" s="6">
        <f t="shared" si="2"/>
      </c>
      <c r="K151" s="10">
        <f t="shared" si="3"/>
      </c>
      <c r="L151" s="17">
        <f>IF(A151&gt;$H$5,"",MATCH(A151,'[1]粘贴_账务明细'!$O$4:$O$3003,0))</f>
      </c>
    </row>
    <row r="152">
      <c r="A152" s="10" t="n">
        <v>124</v>
      </c>
      <c r="B152" s="6">
        <f>IF($L152="","",INDEX('[1]粘贴_账务明细'!$A$4:$A$3003,$L152))</f>
      </c>
      <c r="C152" s="16">
        <f>IF($L152="","",INDEX('[1]粘贴_账务明细'!$H$4:$H$3003,$L152))</f>
      </c>
      <c r="D152" s="11">
        <f>IF($L152="","",SUMIFS('[1]粘贴_账务明细'!$K$4:$K$3003,'[1]粘贴_账务明细'!$A$4:$A$3003,$B152,'[1]粘贴_账务明细'!$L$4:$L$3003,"订单收入")+SUMIFS('[1]粘贴_账务明细'!$K$4:$K$3003,'[1]粘贴_账务明细'!$A$4:$A$3003,$B152,'[1]粘贴_账务明细'!$L$4:$L$3003,"优惠券结算"))</f>
      </c>
      <c r="E152" s="11">
        <f t="shared" si="0"/>
      </c>
      <c r="F152" s="11">
        <f>IF($L152="","",-SUMIFS('[1]粘贴_账务明细'!$K$4:$K$3003,'[1]粘贴_账务明细'!$A$4:$A$3003,$B152,'[1]粘贴_账务明细'!$L$4:$L$3003,"百亿补贴技术服务费"))</f>
      </c>
      <c r="G152" s="11">
        <f>IF($L152="","",SUMIFS('[1]粘贴_服务费返还'!$M$4:$M$3003,'[1]粘贴_服务费返还'!$N$4:$N$3003,$B152,'[1]粘贴_服务费返还'!$O$4:$O$3003,"返还"))</f>
      </c>
      <c r="H152" s="11">
        <f>IF($L152="","",SUMIFS('[1]粘贴_服务费返还'!$M$4:$M$3003,'[1]粘贴_服务费返还'!$N$4:$N$3003,$B152,'[1]粘贴_服务费返还'!$O$4:$O$3003,"扣回"))</f>
      </c>
      <c r="I152" s="11">
        <f t="shared" si="1"/>
      </c>
      <c r="J152" s="6">
        <f t="shared" si="2"/>
      </c>
      <c r="K152" s="10">
        <f t="shared" si="3"/>
      </c>
      <c r="L152" s="17">
        <f>IF(A152&gt;$H$5,"",MATCH(A152,'[1]粘贴_账务明细'!$O$4:$O$3003,0))</f>
      </c>
    </row>
    <row r="153">
      <c r="A153" s="10" t="n">
        <v>125</v>
      </c>
      <c r="B153" s="6">
        <f>IF($L153="","",INDEX('[1]粘贴_账务明细'!$A$4:$A$3003,$L153))</f>
      </c>
      <c r="C153" s="16">
        <f>IF($L153="","",INDEX('[1]粘贴_账务明细'!$H$4:$H$3003,$L153))</f>
      </c>
      <c r="D153" s="11">
        <f>IF($L153="","",SUMIFS('[1]粘贴_账务明细'!$K$4:$K$3003,'[1]粘贴_账务明细'!$A$4:$A$3003,$B153,'[1]粘贴_账务明细'!$L$4:$L$3003,"订单收入")+SUMIFS('[1]粘贴_账务明细'!$K$4:$K$3003,'[1]粘贴_账务明细'!$A$4:$A$3003,$B153,'[1]粘贴_账务明细'!$L$4:$L$3003,"优惠券结算"))</f>
      </c>
      <c r="E153" s="11">
        <f t="shared" si="0"/>
      </c>
      <c r="F153" s="11">
        <f>IF($L153="","",-SUMIFS('[1]粘贴_账务明细'!$K$4:$K$3003,'[1]粘贴_账务明细'!$A$4:$A$3003,$B153,'[1]粘贴_账务明细'!$L$4:$L$3003,"百亿补贴技术服务费"))</f>
      </c>
      <c r="G153" s="11">
        <f>IF($L153="","",SUMIFS('[1]粘贴_服务费返还'!$M$4:$M$3003,'[1]粘贴_服务费返还'!$N$4:$N$3003,$B153,'[1]粘贴_服务费返还'!$O$4:$O$3003,"返还"))</f>
      </c>
      <c r="H153" s="11">
        <f>IF($L153="","",SUMIFS('[1]粘贴_服务费返还'!$M$4:$M$3003,'[1]粘贴_服务费返还'!$N$4:$N$3003,$B153,'[1]粘贴_服务费返还'!$O$4:$O$3003,"扣回"))</f>
      </c>
      <c r="I153" s="11">
        <f t="shared" si="1"/>
      </c>
      <c r="J153" s="6">
        <f t="shared" si="2"/>
      </c>
      <c r="K153" s="10">
        <f t="shared" si="3"/>
      </c>
      <c r="L153" s="17">
        <f>IF(A153&gt;$H$5,"",MATCH(A153,'[1]粘贴_账务明细'!$O$4:$O$3003,0))</f>
      </c>
    </row>
    <row r="154">
      <c r="A154" s="10" t="n">
        <v>126</v>
      </c>
      <c r="B154" s="6">
        <f>IF($L154="","",INDEX('[1]粘贴_账务明细'!$A$4:$A$3003,$L154))</f>
      </c>
      <c r="C154" s="16">
        <f>IF($L154="","",INDEX('[1]粘贴_账务明细'!$H$4:$H$3003,$L154))</f>
      </c>
      <c r="D154" s="11">
        <f>IF($L154="","",SUMIFS('[1]粘贴_账务明细'!$K$4:$K$3003,'[1]粘贴_账务明细'!$A$4:$A$3003,$B154,'[1]粘贴_账务明细'!$L$4:$L$3003,"订单收入")+SUMIFS('[1]粘贴_账务明细'!$K$4:$K$3003,'[1]粘贴_账务明细'!$A$4:$A$3003,$B154,'[1]粘贴_账务明细'!$L$4:$L$3003,"优惠券结算"))</f>
      </c>
      <c r="E154" s="11">
        <f t="shared" si="0"/>
      </c>
      <c r="F154" s="11">
        <f>IF($L154="","",-SUMIFS('[1]粘贴_账务明细'!$K$4:$K$3003,'[1]粘贴_账务明细'!$A$4:$A$3003,$B154,'[1]粘贴_账务明细'!$L$4:$L$3003,"百亿补贴技术服务费"))</f>
      </c>
      <c r="G154" s="11">
        <f>IF($L154="","",SUMIFS('[1]粘贴_服务费返还'!$M$4:$M$3003,'[1]粘贴_服务费返还'!$N$4:$N$3003,$B154,'[1]粘贴_服务费返还'!$O$4:$O$3003,"返还"))</f>
      </c>
      <c r="H154" s="11">
        <f>IF($L154="","",SUMIFS('[1]粘贴_服务费返还'!$M$4:$M$3003,'[1]粘贴_服务费返还'!$N$4:$N$3003,$B154,'[1]粘贴_服务费返还'!$O$4:$O$3003,"扣回"))</f>
      </c>
      <c r="I154" s="11">
        <f t="shared" si="1"/>
      </c>
      <c r="J154" s="6">
        <f t="shared" si="2"/>
      </c>
      <c r="K154" s="10">
        <f t="shared" si="3"/>
      </c>
      <c r="L154" s="17">
        <f>IF(A154&gt;$H$5,"",MATCH(A154,'[1]粘贴_账务明细'!$O$4:$O$3003,0))</f>
      </c>
    </row>
    <row r="155">
      <c r="A155" s="10" t="n">
        <v>127</v>
      </c>
      <c r="B155" s="6">
        <f>IF($L155="","",INDEX('[1]粘贴_账务明细'!$A$4:$A$3003,$L155))</f>
      </c>
      <c r="C155" s="16">
        <f>IF($L155="","",INDEX('[1]粘贴_账务明细'!$H$4:$H$3003,$L155))</f>
      </c>
      <c r="D155" s="11">
        <f>IF($L155="","",SUMIFS('[1]粘贴_账务明细'!$K$4:$K$3003,'[1]粘贴_账务明细'!$A$4:$A$3003,$B155,'[1]粘贴_账务明细'!$L$4:$L$3003,"订单收入")+SUMIFS('[1]粘贴_账务明细'!$K$4:$K$3003,'[1]粘贴_账务明细'!$A$4:$A$3003,$B155,'[1]粘贴_账务明细'!$L$4:$L$3003,"优惠券结算"))</f>
      </c>
      <c r="E155" s="11">
        <f t="shared" si="0"/>
      </c>
      <c r="F155" s="11">
        <f>IF($L155="","",-SUMIFS('[1]粘贴_账务明细'!$K$4:$K$3003,'[1]粘贴_账务明细'!$A$4:$A$3003,$B155,'[1]粘贴_账务明细'!$L$4:$L$3003,"百亿补贴技术服务费"))</f>
      </c>
      <c r="G155" s="11">
        <f>IF($L155="","",SUMIFS('[1]粘贴_服务费返还'!$M$4:$M$3003,'[1]粘贴_服务费返还'!$N$4:$N$3003,$B155,'[1]粘贴_服务费返还'!$O$4:$O$3003,"返还"))</f>
      </c>
      <c r="H155" s="11">
        <f>IF($L155="","",SUMIFS('[1]粘贴_服务费返还'!$M$4:$M$3003,'[1]粘贴_服务费返还'!$N$4:$N$3003,$B155,'[1]粘贴_服务费返还'!$O$4:$O$3003,"扣回"))</f>
      </c>
      <c r="I155" s="11">
        <f t="shared" si="1"/>
      </c>
      <c r="J155" s="6">
        <f t="shared" si="2"/>
      </c>
      <c r="K155" s="10">
        <f t="shared" si="3"/>
      </c>
      <c r="L155" s="17">
        <f>IF(A155&gt;$H$5,"",MATCH(A155,'[1]粘贴_账务明细'!$O$4:$O$3003,0))</f>
      </c>
    </row>
    <row r="156">
      <c r="A156" s="10" t="n">
        <v>128</v>
      </c>
      <c r="B156" s="6">
        <f>IF($L156="","",INDEX('[1]粘贴_账务明细'!$A$4:$A$3003,$L156))</f>
      </c>
      <c r="C156" s="16">
        <f>IF($L156="","",INDEX('[1]粘贴_账务明细'!$H$4:$H$3003,$L156))</f>
      </c>
      <c r="D156" s="11">
        <f>IF($L156="","",SUMIFS('[1]粘贴_账务明细'!$K$4:$K$3003,'[1]粘贴_账务明细'!$A$4:$A$3003,$B156,'[1]粘贴_账务明细'!$L$4:$L$3003,"订单收入")+SUMIFS('[1]粘贴_账务明细'!$K$4:$K$3003,'[1]粘贴_账务明细'!$A$4:$A$3003,$B156,'[1]粘贴_账务明细'!$L$4:$L$3003,"优惠券结算"))</f>
      </c>
      <c r="E156" s="11">
        <f t="shared" si="0"/>
      </c>
      <c r="F156" s="11">
        <f>IF($L156="","",-SUMIFS('[1]粘贴_账务明细'!$K$4:$K$3003,'[1]粘贴_账务明细'!$A$4:$A$3003,$B156,'[1]粘贴_账务明细'!$L$4:$L$3003,"百亿补贴技术服务费"))</f>
      </c>
      <c r="G156" s="11">
        <f>IF($L156="","",SUMIFS('[1]粘贴_服务费返还'!$M$4:$M$3003,'[1]粘贴_服务费返还'!$N$4:$N$3003,$B156,'[1]粘贴_服务费返还'!$O$4:$O$3003,"返还"))</f>
      </c>
      <c r="H156" s="11">
        <f>IF($L156="","",SUMIFS('[1]粘贴_服务费返还'!$M$4:$M$3003,'[1]粘贴_服务费返还'!$N$4:$N$3003,$B156,'[1]粘贴_服务费返还'!$O$4:$O$3003,"扣回"))</f>
      </c>
      <c r="I156" s="11">
        <f t="shared" si="1"/>
      </c>
      <c r="J156" s="6">
        <f t="shared" si="2"/>
      </c>
      <c r="K156" s="10">
        <f t="shared" si="3"/>
      </c>
      <c r="L156" s="17">
        <f>IF(A156&gt;$H$5,"",MATCH(A156,'[1]粘贴_账务明细'!$O$4:$O$3003,0))</f>
      </c>
    </row>
    <row r="157">
      <c r="A157" s="10" t="n">
        <v>129</v>
      </c>
      <c r="B157" s="6">
        <f>IF($L157="","",INDEX('[1]粘贴_账务明细'!$A$4:$A$3003,$L157))</f>
      </c>
      <c r="C157" s="16">
        <f>IF($L157="","",INDEX('[1]粘贴_账务明细'!$H$4:$H$3003,$L157))</f>
      </c>
      <c r="D157" s="11">
        <f>IF($L157="","",SUMIFS('[1]粘贴_账务明细'!$K$4:$K$3003,'[1]粘贴_账务明细'!$A$4:$A$3003,$B157,'[1]粘贴_账务明细'!$L$4:$L$3003,"订单收入")+SUMIFS('[1]粘贴_账务明细'!$K$4:$K$3003,'[1]粘贴_账务明细'!$A$4:$A$3003,$B157,'[1]粘贴_账务明细'!$L$4:$L$3003,"优惠券结算"))</f>
      </c>
      <c r="E157" s="11">
        <f t="shared" si="0"/>
      </c>
      <c r="F157" s="11">
        <f>IF($L157="","",-SUMIFS('[1]粘贴_账务明细'!$K$4:$K$3003,'[1]粘贴_账务明细'!$A$4:$A$3003,$B157,'[1]粘贴_账务明细'!$L$4:$L$3003,"百亿补贴技术服务费"))</f>
      </c>
      <c r="G157" s="11">
        <f>IF($L157="","",SUMIFS('[1]粘贴_服务费返还'!$M$4:$M$3003,'[1]粘贴_服务费返还'!$N$4:$N$3003,$B157,'[1]粘贴_服务费返还'!$O$4:$O$3003,"返还"))</f>
      </c>
      <c r="H157" s="11">
        <f>IF($L157="","",SUMIFS('[1]粘贴_服务费返还'!$M$4:$M$3003,'[1]粘贴_服务费返还'!$N$4:$N$3003,$B157,'[1]粘贴_服务费返还'!$O$4:$O$3003,"扣回"))</f>
      </c>
      <c r="I157" s="11">
        <f t="shared" si="1"/>
      </c>
      <c r="J157" s="6">
        <f t="shared" si="2"/>
      </c>
      <c r="K157" s="10">
        <f t="shared" si="3"/>
      </c>
      <c r="L157" s="17">
        <f>IF(A157&gt;$H$5,"",MATCH(A157,'[1]粘贴_账务明细'!$O$4:$O$3003,0))</f>
      </c>
    </row>
    <row r="158">
      <c r="A158" s="10" t="n">
        <v>130</v>
      </c>
      <c r="B158" s="6">
        <f>IF($L158="","",INDEX('[1]粘贴_账务明细'!$A$4:$A$3003,$L158))</f>
      </c>
      <c r="C158" s="16">
        <f>IF($L158="","",INDEX('[1]粘贴_账务明细'!$H$4:$H$3003,$L158))</f>
      </c>
      <c r="D158" s="11">
        <f>IF($L158="","",SUMIFS('[1]粘贴_账务明细'!$K$4:$K$3003,'[1]粘贴_账务明细'!$A$4:$A$3003,$B158,'[1]粘贴_账务明细'!$L$4:$L$3003,"订单收入")+SUMIFS('[1]粘贴_账务明细'!$K$4:$K$3003,'[1]粘贴_账务明细'!$A$4:$A$3003,$B158,'[1]粘贴_账务明细'!$L$4:$L$3003,"优惠券结算"))</f>
      </c>
      <c r="E158" s="11">
        <f t="shared" si="0"/>
      </c>
      <c r="F158" s="11">
        <f>IF($L158="","",-SUMIFS('[1]粘贴_账务明细'!$K$4:$K$3003,'[1]粘贴_账务明细'!$A$4:$A$3003,$B158,'[1]粘贴_账务明细'!$L$4:$L$3003,"百亿补贴技术服务费"))</f>
      </c>
      <c r="G158" s="11">
        <f>IF($L158="","",SUMIFS('[1]粘贴_服务费返还'!$M$4:$M$3003,'[1]粘贴_服务费返还'!$N$4:$N$3003,$B158,'[1]粘贴_服务费返还'!$O$4:$O$3003,"返还"))</f>
      </c>
      <c r="H158" s="11">
        <f>IF($L158="","",SUMIFS('[1]粘贴_服务费返还'!$M$4:$M$3003,'[1]粘贴_服务费返还'!$N$4:$N$3003,$B158,'[1]粘贴_服务费返还'!$O$4:$O$3003,"扣回"))</f>
      </c>
      <c r="I158" s="11">
        <f t="shared" si="1"/>
      </c>
      <c r="J158" s="6">
        <f t="shared" si="2"/>
      </c>
      <c r="K158" s="10">
        <f t="shared" si="3"/>
      </c>
      <c r="L158" s="17">
        <f>IF(A158&gt;$H$5,"",MATCH(A158,'[1]粘贴_账务明细'!$O$4:$O$3003,0))</f>
      </c>
    </row>
    <row r="159">
      <c r="A159" s="10" t="n">
        <v>131</v>
      </c>
      <c r="B159" s="6">
        <f>IF($L159="","",INDEX('[1]粘贴_账务明细'!$A$4:$A$3003,$L159))</f>
      </c>
      <c r="C159" s="16">
        <f>IF($L159="","",INDEX('[1]粘贴_账务明细'!$H$4:$H$3003,$L159))</f>
      </c>
      <c r="D159" s="11">
        <f>IF($L159="","",SUMIFS('[1]粘贴_账务明细'!$K$4:$K$3003,'[1]粘贴_账务明细'!$A$4:$A$3003,$B159,'[1]粘贴_账务明细'!$L$4:$L$3003,"订单收入")+SUMIFS('[1]粘贴_账务明细'!$K$4:$K$3003,'[1]粘贴_账务明细'!$A$4:$A$3003,$B159,'[1]粘贴_账务明细'!$L$4:$L$3003,"优惠券结算"))</f>
      </c>
      <c r="E159" s="11">
        <f t="shared" si="0"/>
      </c>
      <c r="F159" s="11">
        <f>IF($L159="","",-SUMIFS('[1]粘贴_账务明细'!$K$4:$K$3003,'[1]粘贴_账务明细'!$A$4:$A$3003,$B159,'[1]粘贴_账务明细'!$L$4:$L$3003,"百亿补贴技术服务费"))</f>
      </c>
      <c r="G159" s="11">
        <f>IF($L159="","",SUMIFS('[1]粘贴_服务费返还'!$M$4:$M$3003,'[1]粘贴_服务费返还'!$N$4:$N$3003,$B159,'[1]粘贴_服务费返还'!$O$4:$O$3003,"返还"))</f>
      </c>
      <c r="H159" s="11">
        <f>IF($L159="","",SUMIFS('[1]粘贴_服务费返还'!$M$4:$M$3003,'[1]粘贴_服务费返还'!$N$4:$N$3003,$B159,'[1]粘贴_服务费返还'!$O$4:$O$3003,"扣回"))</f>
      </c>
      <c r="I159" s="11">
        <f t="shared" si="1"/>
      </c>
      <c r="J159" s="6">
        <f t="shared" si="2"/>
      </c>
      <c r="K159" s="10">
        <f t="shared" si="3"/>
      </c>
      <c r="L159" s="17">
        <f>IF(A159&gt;$H$5,"",MATCH(A159,'[1]粘贴_账务明细'!$O$4:$O$3003,0))</f>
      </c>
    </row>
    <row r="160">
      <c r="A160" s="10" t="n">
        <v>132</v>
      </c>
      <c r="B160" s="6">
        <f>IF($L160="","",INDEX('[1]粘贴_账务明细'!$A$4:$A$3003,$L160))</f>
      </c>
      <c r="C160" s="16">
        <f>IF($L160="","",INDEX('[1]粘贴_账务明细'!$H$4:$H$3003,$L160))</f>
      </c>
      <c r="D160" s="11">
        <f>IF($L160="","",SUMIFS('[1]粘贴_账务明细'!$K$4:$K$3003,'[1]粘贴_账务明细'!$A$4:$A$3003,$B160,'[1]粘贴_账务明细'!$L$4:$L$3003,"订单收入")+SUMIFS('[1]粘贴_账务明细'!$K$4:$K$3003,'[1]粘贴_账务明细'!$A$4:$A$3003,$B160,'[1]粘贴_账务明细'!$L$4:$L$3003,"优惠券结算"))</f>
      </c>
      <c r="E160" s="11">
        <f t="shared" si="0"/>
      </c>
      <c r="F160" s="11">
        <f>IF($L160="","",-SUMIFS('[1]粘贴_账务明细'!$K$4:$K$3003,'[1]粘贴_账务明细'!$A$4:$A$3003,$B160,'[1]粘贴_账务明细'!$L$4:$L$3003,"百亿补贴技术服务费"))</f>
      </c>
      <c r="G160" s="11">
        <f>IF($L160="","",SUMIFS('[1]粘贴_服务费返还'!$M$4:$M$3003,'[1]粘贴_服务费返还'!$N$4:$N$3003,$B160,'[1]粘贴_服务费返还'!$O$4:$O$3003,"返还"))</f>
      </c>
      <c r="H160" s="11">
        <f>IF($L160="","",SUMIFS('[1]粘贴_服务费返还'!$M$4:$M$3003,'[1]粘贴_服务费返还'!$N$4:$N$3003,$B160,'[1]粘贴_服务费返还'!$O$4:$O$3003,"扣回"))</f>
      </c>
      <c r="I160" s="11">
        <f t="shared" si="1"/>
      </c>
      <c r="J160" s="6">
        <f t="shared" si="2"/>
      </c>
      <c r="K160" s="10">
        <f t="shared" si="3"/>
      </c>
      <c r="L160" s="17">
        <f>IF(A160&gt;$H$5,"",MATCH(A160,'[1]粘贴_账务明细'!$O$4:$O$3003,0))</f>
      </c>
    </row>
    <row r="161">
      <c r="A161" s="10" t="n">
        <v>133</v>
      </c>
      <c r="B161" s="6">
        <f>IF($L161="","",INDEX('[1]粘贴_账务明细'!$A$4:$A$3003,$L161))</f>
      </c>
      <c r="C161" s="16">
        <f>IF($L161="","",INDEX('[1]粘贴_账务明细'!$H$4:$H$3003,$L161))</f>
      </c>
      <c r="D161" s="11">
        <f>IF($L161="","",SUMIFS('[1]粘贴_账务明细'!$K$4:$K$3003,'[1]粘贴_账务明细'!$A$4:$A$3003,$B161,'[1]粘贴_账务明细'!$L$4:$L$3003,"订单收入")+SUMIFS('[1]粘贴_账务明细'!$K$4:$K$3003,'[1]粘贴_账务明细'!$A$4:$A$3003,$B161,'[1]粘贴_账务明细'!$L$4:$L$3003,"优惠券结算"))</f>
      </c>
      <c r="E161" s="11">
        <f t="shared" si="0"/>
      </c>
      <c r="F161" s="11">
        <f>IF($L161="","",-SUMIFS('[1]粘贴_账务明细'!$K$4:$K$3003,'[1]粘贴_账务明细'!$A$4:$A$3003,$B161,'[1]粘贴_账务明细'!$L$4:$L$3003,"百亿补贴技术服务费"))</f>
      </c>
      <c r="G161" s="11">
        <f>IF($L161="","",SUMIFS('[1]粘贴_服务费返还'!$M$4:$M$3003,'[1]粘贴_服务费返还'!$N$4:$N$3003,$B161,'[1]粘贴_服务费返还'!$O$4:$O$3003,"返还"))</f>
      </c>
      <c r="H161" s="11">
        <f>IF($L161="","",SUMIFS('[1]粘贴_服务费返还'!$M$4:$M$3003,'[1]粘贴_服务费返还'!$N$4:$N$3003,$B161,'[1]粘贴_服务费返还'!$O$4:$O$3003,"扣回"))</f>
      </c>
      <c r="I161" s="11">
        <f t="shared" si="1"/>
      </c>
      <c r="J161" s="6">
        <f t="shared" si="2"/>
      </c>
      <c r="K161" s="10">
        <f t="shared" si="3"/>
      </c>
      <c r="L161" s="17">
        <f>IF(A161&gt;$H$5,"",MATCH(A161,'[1]粘贴_账务明细'!$O$4:$O$3003,0))</f>
      </c>
    </row>
    <row r="162">
      <c r="A162" s="10" t="n">
        <v>134</v>
      </c>
      <c r="B162" s="6">
        <f>IF($L162="","",INDEX('[1]粘贴_账务明细'!$A$4:$A$3003,$L162))</f>
      </c>
      <c r="C162" s="16">
        <f>IF($L162="","",INDEX('[1]粘贴_账务明细'!$H$4:$H$3003,$L162))</f>
      </c>
      <c r="D162" s="11">
        <f>IF($L162="","",SUMIFS('[1]粘贴_账务明细'!$K$4:$K$3003,'[1]粘贴_账务明细'!$A$4:$A$3003,$B162,'[1]粘贴_账务明细'!$L$4:$L$3003,"订单收入")+SUMIFS('[1]粘贴_账务明细'!$K$4:$K$3003,'[1]粘贴_账务明细'!$A$4:$A$3003,$B162,'[1]粘贴_账务明细'!$L$4:$L$3003,"优惠券结算"))</f>
      </c>
      <c r="E162" s="11">
        <f t="shared" si="0"/>
      </c>
      <c r="F162" s="11">
        <f>IF($L162="","",-SUMIFS('[1]粘贴_账务明细'!$K$4:$K$3003,'[1]粘贴_账务明细'!$A$4:$A$3003,$B162,'[1]粘贴_账务明细'!$L$4:$L$3003,"百亿补贴技术服务费"))</f>
      </c>
      <c r="G162" s="11">
        <f>IF($L162="","",SUMIFS('[1]粘贴_服务费返还'!$M$4:$M$3003,'[1]粘贴_服务费返还'!$N$4:$N$3003,$B162,'[1]粘贴_服务费返还'!$O$4:$O$3003,"返还"))</f>
      </c>
      <c r="H162" s="11">
        <f>IF($L162="","",SUMIFS('[1]粘贴_服务费返还'!$M$4:$M$3003,'[1]粘贴_服务费返还'!$N$4:$N$3003,$B162,'[1]粘贴_服务费返还'!$O$4:$O$3003,"扣回"))</f>
      </c>
      <c r="I162" s="11">
        <f t="shared" si="1"/>
      </c>
      <c r="J162" s="6">
        <f t="shared" si="2"/>
      </c>
      <c r="K162" s="10">
        <f t="shared" si="3"/>
      </c>
      <c r="L162" s="17">
        <f>IF(A162&gt;$H$5,"",MATCH(A162,'[1]粘贴_账务明细'!$O$4:$O$3003,0))</f>
      </c>
    </row>
    <row r="163">
      <c r="A163" s="10" t="n">
        <v>135</v>
      </c>
      <c r="B163" s="6">
        <f>IF($L163="","",INDEX('[1]粘贴_账务明细'!$A$4:$A$3003,$L163))</f>
      </c>
      <c r="C163" s="16">
        <f>IF($L163="","",INDEX('[1]粘贴_账务明细'!$H$4:$H$3003,$L163))</f>
      </c>
      <c r="D163" s="11">
        <f>IF($L163="","",SUMIFS('[1]粘贴_账务明细'!$K$4:$K$3003,'[1]粘贴_账务明细'!$A$4:$A$3003,$B163,'[1]粘贴_账务明细'!$L$4:$L$3003,"订单收入")+SUMIFS('[1]粘贴_账务明细'!$K$4:$K$3003,'[1]粘贴_账务明细'!$A$4:$A$3003,$B163,'[1]粘贴_账务明细'!$L$4:$L$3003,"优惠券结算"))</f>
      </c>
      <c r="E163" s="11">
        <f t="shared" si="0"/>
      </c>
      <c r="F163" s="11">
        <f>IF($L163="","",-SUMIFS('[1]粘贴_账务明细'!$K$4:$K$3003,'[1]粘贴_账务明细'!$A$4:$A$3003,$B163,'[1]粘贴_账务明细'!$L$4:$L$3003,"百亿补贴技术服务费"))</f>
      </c>
      <c r="G163" s="11">
        <f>IF($L163="","",SUMIFS('[1]粘贴_服务费返还'!$M$4:$M$3003,'[1]粘贴_服务费返还'!$N$4:$N$3003,$B163,'[1]粘贴_服务费返还'!$O$4:$O$3003,"返还"))</f>
      </c>
      <c r="H163" s="11">
        <f>IF($L163="","",SUMIFS('[1]粘贴_服务费返还'!$M$4:$M$3003,'[1]粘贴_服务费返还'!$N$4:$N$3003,$B163,'[1]粘贴_服务费返还'!$O$4:$O$3003,"扣回"))</f>
      </c>
      <c r="I163" s="11">
        <f t="shared" si="1"/>
      </c>
      <c r="J163" s="6">
        <f t="shared" si="2"/>
      </c>
      <c r="K163" s="10">
        <f t="shared" si="3"/>
      </c>
      <c r="L163" s="17">
        <f>IF(A163&gt;$H$5,"",MATCH(A163,'[1]粘贴_账务明细'!$O$4:$O$3003,0))</f>
      </c>
    </row>
    <row r="164">
      <c r="A164" s="10" t="n">
        <v>136</v>
      </c>
      <c r="B164" s="6">
        <f>IF($L164="","",INDEX('[1]粘贴_账务明细'!$A$4:$A$3003,$L164))</f>
      </c>
      <c r="C164" s="16">
        <f>IF($L164="","",INDEX('[1]粘贴_账务明细'!$H$4:$H$3003,$L164))</f>
      </c>
      <c r="D164" s="11">
        <f>IF($L164="","",SUMIFS('[1]粘贴_账务明细'!$K$4:$K$3003,'[1]粘贴_账务明细'!$A$4:$A$3003,$B164,'[1]粘贴_账务明细'!$L$4:$L$3003,"订单收入")+SUMIFS('[1]粘贴_账务明细'!$K$4:$K$3003,'[1]粘贴_账务明细'!$A$4:$A$3003,$B164,'[1]粘贴_账务明细'!$L$4:$L$3003,"优惠券结算"))</f>
      </c>
      <c r="E164" s="11">
        <f t="shared" si="0"/>
      </c>
      <c r="F164" s="11">
        <f>IF($L164="","",-SUMIFS('[1]粘贴_账务明细'!$K$4:$K$3003,'[1]粘贴_账务明细'!$A$4:$A$3003,$B164,'[1]粘贴_账务明细'!$L$4:$L$3003,"百亿补贴技术服务费"))</f>
      </c>
      <c r="G164" s="11">
        <f>IF($L164="","",SUMIFS('[1]粘贴_服务费返还'!$M$4:$M$3003,'[1]粘贴_服务费返还'!$N$4:$N$3003,$B164,'[1]粘贴_服务费返还'!$O$4:$O$3003,"返还"))</f>
      </c>
      <c r="H164" s="11">
        <f>IF($L164="","",SUMIFS('[1]粘贴_服务费返还'!$M$4:$M$3003,'[1]粘贴_服务费返还'!$N$4:$N$3003,$B164,'[1]粘贴_服务费返还'!$O$4:$O$3003,"扣回"))</f>
      </c>
      <c r="I164" s="11">
        <f t="shared" si="1"/>
      </c>
      <c r="J164" s="6">
        <f t="shared" si="2"/>
      </c>
      <c r="K164" s="10">
        <f t="shared" si="3"/>
      </c>
      <c r="L164" s="17">
        <f>IF(A164&gt;$H$5,"",MATCH(A164,'[1]粘贴_账务明细'!$O$4:$O$3003,0))</f>
      </c>
    </row>
    <row r="165">
      <c r="A165" s="10" t="n">
        <v>137</v>
      </c>
      <c r="B165" s="6">
        <f>IF($L165="","",INDEX('[1]粘贴_账务明细'!$A$4:$A$3003,$L165))</f>
      </c>
      <c r="C165" s="16">
        <f>IF($L165="","",INDEX('[1]粘贴_账务明细'!$H$4:$H$3003,$L165))</f>
      </c>
      <c r="D165" s="11">
        <f>IF($L165="","",SUMIFS('[1]粘贴_账务明细'!$K$4:$K$3003,'[1]粘贴_账务明细'!$A$4:$A$3003,$B165,'[1]粘贴_账务明细'!$L$4:$L$3003,"订单收入")+SUMIFS('[1]粘贴_账务明细'!$K$4:$K$3003,'[1]粘贴_账务明细'!$A$4:$A$3003,$B165,'[1]粘贴_账务明细'!$L$4:$L$3003,"优惠券结算"))</f>
      </c>
      <c r="E165" s="11">
        <f t="shared" si="0"/>
      </c>
      <c r="F165" s="11">
        <f>IF($L165="","",-SUMIFS('[1]粘贴_账务明细'!$K$4:$K$3003,'[1]粘贴_账务明细'!$A$4:$A$3003,$B165,'[1]粘贴_账务明细'!$L$4:$L$3003,"百亿补贴技术服务费"))</f>
      </c>
      <c r="G165" s="11">
        <f>IF($L165="","",SUMIFS('[1]粘贴_服务费返还'!$M$4:$M$3003,'[1]粘贴_服务费返还'!$N$4:$N$3003,$B165,'[1]粘贴_服务费返还'!$O$4:$O$3003,"返还"))</f>
      </c>
      <c r="H165" s="11">
        <f>IF($L165="","",SUMIFS('[1]粘贴_服务费返还'!$M$4:$M$3003,'[1]粘贴_服务费返还'!$N$4:$N$3003,$B165,'[1]粘贴_服务费返还'!$O$4:$O$3003,"扣回"))</f>
      </c>
      <c r="I165" s="11">
        <f t="shared" si="1"/>
      </c>
      <c r="J165" s="6">
        <f t="shared" si="2"/>
      </c>
      <c r="K165" s="10">
        <f t="shared" si="3"/>
      </c>
      <c r="L165" s="17">
        <f>IF(A165&gt;$H$5,"",MATCH(A165,'[1]粘贴_账务明细'!$O$4:$O$3003,0))</f>
      </c>
    </row>
    <row r="166">
      <c r="A166" s="10" t="n">
        <v>138</v>
      </c>
      <c r="B166" s="6">
        <f>IF($L166="","",INDEX('[1]粘贴_账务明细'!$A$4:$A$3003,$L166))</f>
      </c>
      <c r="C166" s="16">
        <f>IF($L166="","",INDEX('[1]粘贴_账务明细'!$H$4:$H$3003,$L166))</f>
      </c>
      <c r="D166" s="11">
        <f>IF($L166="","",SUMIFS('[1]粘贴_账务明细'!$K$4:$K$3003,'[1]粘贴_账务明细'!$A$4:$A$3003,$B166,'[1]粘贴_账务明细'!$L$4:$L$3003,"订单收入")+SUMIFS('[1]粘贴_账务明细'!$K$4:$K$3003,'[1]粘贴_账务明细'!$A$4:$A$3003,$B166,'[1]粘贴_账务明细'!$L$4:$L$3003,"优惠券结算"))</f>
      </c>
      <c r="E166" s="11">
        <f t="shared" si="0"/>
      </c>
      <c r="F166" s="11">
        <f>IF($L166="","",-SUMIFS('[1]粘贴_账务明细'!$K$4:$K$3003,'[1]粘贴_账务明细'!$A$4:$A$3003,$B166,'[1]粘贴_账务明细'!$L$4:$L$3003,"百亿补贴技术服务费"))</f>
      </c>
      <c r="G166" s="11">
        <f>IF($L166="","",SUMIFS('[1]粘贴_服务费返还'!$M$4:$M$3003,'[1]粘贴_服务费返还'!$N$4:$N$3003,$B166,'[1]粘贴_服务费返还'!$O$4:$O$3003,"返还"))</f>
      </c>
      <c r="H166" s="11">
        <f>IF($L166="","",SUMIFS('[1]粘贴_服务费返还'!$M$4:$M$3003,'[1]粘贴_服务费返还'!$N$4:$N$3003,$B166,'[1]粘贴_服务费返还'!$O$4:$O$3003,"扣回"))</f>
      </c>
      <c r="I166" s="11">
        <f t="shared" si="1"/>
      </c>
      <c r="J166" s="6">
        <f t="shared" si="2"/>
      </c>
      <c r="K166" s="10">
        <f t="shared" si="3"/>
      </c>
      <c r="L166" s="17">
        <f>IF(A166&gt;$H$5,"",MATCH(A166,'[1]粘贴_账务明细'!$O$4:$O$3003,0))</f>
      </c>
    </row>
    <row r="167">
      <c r="A167" s="10" t="n">
        <v>139</v>
      </c>
      <c r="B167" s="6">
        <f>IF($L167="","",INDEX('[1]粘贴_账务明细'!$A$4:$A$3003,$L167))</f>
      </c>
      <c r="C167" s="16">
        <f>IF($L167="","",INDEX('[1]粘贴_账务明细'!$H$4:$H$3003,$L167))</f>
      </c>
      <c r="D167" s="11">
        <f>IF($L167="","",SUMIFS('[1]粘贴_账务明细'!$K$4:$K$3003,'[1]粘贴_账务明细'!$A$4:$A$3003,$B167,'[1]粘贴_账务明细'!$L$4:$L$3003,"订单收入")+SUMIFS('[1]粘贴_账务明细'!$K$4:$K$3003,'[1]粘贴_账务明细'!$A$4:$A$3003,$B167,'[1]粘贴_账务明细'!$L$4:$L$3003,"优惠券结算"))</f>
      </c>
      <c r="E167" s="11">
        <f t="shared" si="0"/>
      </c>
      <c r="F167" s="11">
        <f>IF($L167="","",-SUMIFS('[1]粘贴_账务明细'!$K$4:$K$3003,'[1]粘贴_账务明细'!$A$4:$A$3003,$B167,'[1]粘贴_账务明细'!$L$4:$L$3003,"百亿补贴技术服务费"))</f>
      </c>
      <c r="G167" s="11">
        <f>IF($L167="","",SUMIFS('[1]粘贴_服务费返还'!$M$4:$M$3003,'[1]粘贴_服务费返还'!$N$4:$N$3003,$B167,'[1]粘贴_服务费返还'!$O$4:$O$3003,"返还"))</f>
      </c>
      <c r="H167" s="11">
        <f>IF($L167="","",SUMIFS('[1]粘贴_服务费返还'!$M$4:$M$3003,'[1]粘贴_服务费返还'!$N$4:$N$3003,$B167,'[1]粘贴_服务费返还'!$O$4:$O$3003,"扣回"))</f>
      </c>
      <c r="I167" s="11">
        <f t="shared" si="1"/>
      </c>
      <c r="J167" s="6">
        <f t="shared" si="2"/>
      </c>
      <c r="K167" s="10">
        <f t="shared" si="3"/>
      </c>
      <c r="L167" s="17">
        <f>IF(A167&gt;$H$5,"",MATCH(A167,'[1]粘贴_账务明细'!$O$4:$O$3003,0))</f>
      </c>
    </row>
    <row r="168">
      <c r="A168" s="10" t="n">
        <v>140</v>
      </c>
      <c r="B168" s="6">
        <f>IF($L168="","",INDEX('[1]粘贴_账务明细'!$A$4:$A$3003,$L168))</f>
      </c>
      <c r="C168" s="16">
        <f>IF($L168="","",INDEX('[1]粘贴_账务明细'!$H$4:$H$3003,$L168))</f>
      </c>
      <c r="D168" s="11">
        <f>IF($L168="","",SUMIFS('[1]粘贴_账务明细'!$K$4:$K$3003,'[1]粘贴_账务明细'!$A$4:$A$3003,$B168,'[1]粘贴_账务明细'!$L$4:$L$3003,"订单收入")+SUMIFS('[1]粘贴_账务明细'!$K$4:$K$3003,'[1]粘贴_账务明细'!$A$4:$A$3003,$B168,'[1]粘贴_账务明细'!$L$4:$L$3003,"优惠券结算"))</f>
      </c>
      <c r="E168" s="11">
        <f t="shared" si="0"/>
      </c>
      <c r="F168" s="11">
        <f>IF($L168="","",-SUMIFS('[1]粘贴_账务明细'!$K$4:$K$3003,'[1]粘贴_账务明细'!$A$4:$A$3003,$B168,'[1]粘贴_账务明细'!$L$4:$L$3003,"百亿补贴技术服务费"))</f>
      </c>
      <c r="G168" s="11">
        <f>IF($L168="","",SUMIFS('[1]粘贴_服务费返还'!$M$4:$M$3003,'[1]粘贴_服务费返还'!$N$4:$N$3003,$B168,'[1]粘贴_服务费返还'!$O$4:$O$3003,"返还"))</f>
      </c>
      <c r="H168" s="11">
        <f>IF($L168="","",SUMIFS('[1]粘贴_服务费返还'!$M$4:$M$3003,'[1]粘贴_服务费返还'!$N$4:$N$3003,$B168,'[1]粘贴_服务费返还'!$O$4:$O$3003,"扣回"))</f>
      </c>
      <c r="I168" s="11">
        <f t="shared" si="1"/>
      </c>
      <c r="J168" s="6">
        <f t="shared" si="2"/>
      </c>
      <c r="K168" s="10">
        <f t="shared" si="3"/>
      </c>
      <c r="L168" s="17">
        <f>IF(A168&gt;$H$5,"",MATCH(A168,'[1]粘贴_账务明细'!$O$4:$O$3003,0))</f>
      </c>
    </row>
    <row r="169">
      <c r="A169" s="10" t="n">
        <v>141</v>
      </c>
      <c r="B169" s="6">
        <f>IF($L169="","",INDEX('[1]粘贴_账务明细'!$A$4:$A$3003,$L169))</f>
      </c>
      <c r="C169" s="16">
        <f>IF($L169="","",INDEX('[1]粘贴_账务明细'!$H$4:$H$3003,$L169))</f>
      </c>
      <c r="D169" s="11">
        <f>IF($L169="","",SUMIFS('[1]粘贴_账务明细'!$K$4:$K$3003,'[1]粘贴_账务明细'!$A$4:$A$3003,$B169,'[1]粘贴_账务明细'!$L$4:$L$3003,"订单收入")+SUMIFS('[1]粘贴_账务明细'!$K$4:$K$3003,'[1]粘贴_账务明细'!$A$4:$A$3003,$B169,'[1]粘贴_账务明细'!$L$4:$L$3003,"优惠券结算"))</f>
      </c>
      <c r="E169" s="11">
        <f t="shared" si="0"/>
      </c>
      <c r="F169" s="11">
        <f>IF($L169="","",-SUMIFS('[1]粘贴_账务明细'!$K$4:$K$3003,'[1]粘贴_账务明细'!$A$4:$A$3003,$B169,'[1]粘贴_账务明细'!$L$4:$L$3003,"百亿补贴技术服务费"))</f>
      </c>
      <c r="G169" s="11">
        <f>IF($L169="","",SUMIFS('[1]粘贴_服务费返还'!$M$4:$M$3003,'[1]粘贴_服务费返还'!$N$4:$N$3003,$B169,'[1]粘贴_服务费返还'!$O$4:$O$3003,"返还"))</f>
      </c>
      <c r="H169" s="11">
        <f>IF($L169="","",SUMIFS('[1]粘贴_服务费返还'!$M$4:$M$3003,'[1]粘贴_服务费返还'!$N$4:$N$3003,$B169,'[1]粘贴_服务费返还'!$O$4:$O$3003,"扣回"))</f>
      </c>
      <c r="I169" s="11">
        <f t="shared" si="1"/>
      </c>
      <c r="J169" s="6">
        <f t="shared" si="2"/>
      </c>
      <c r="K169" s="10">
        <f t="shared" si="3"/>
      </c>
      <c r="L169" s="17">
        <f>IF(A169&gt;$H$5,"",MATCH(A169,'[1]粘贴_账务明细'!$O$4:$O$3003,0))</f>
      </c>
    </row>
    <row r="170">
      <c r="A170" s="10" t="n">
        <v>142</v>
      </c>
      <c r="B170" s="6">
        <f>IF($L170="","",INDEX('[1]粘贴_账务明细'!$A$4:$A$3003,$L170))</f>
      </c>
      <c r="C170" s="16">
        <f>IF($L170="","",INDEX('[1]粘贴_账务明细'!$H$4:$H$3003,$L170))</f>
      </c>
      <c r="D170" s="11">
        <f>IF($L170="","",SUMIFS('[1]粘贴_账务明细'!$K$4:$K$3003,'[1]粘贴_账务明细'!$A$4:$A$3003,$B170,'[1]粘贴_账务明细'!$L$4:$L$3003,"订单收入")+SUMIFS('[1]粘贴_账务明细'!$K$4:$K$3003,'[1]粘贴_账务明细'!$A$4:$A$3003,$B170,'[1]粘贴_账务明细'!$L$4:$L$3003,"优惠券结算"))</f>
      </c>
      <c r="E170" s="11">
        <f t="shared" si="0"/>
      </c>
      <c r="F170" s="11">
        <f>IF($L170="","",-SUMIFS('[1]粘贴_账务明细'!$K$4:$K$3003,'[1]粘贴_账务明细'!$A$4:$A$3003,$B170,'[1]粘贴_账务明细'!$L$4:$L$3003,"百亿补贴技术服务费"))</f>
      </c>
      <c r="G170" s="11">
        <f>IF($L170="","",SUMIFS('[1]粘贴_服务费返还'!$M$4:$M$3003,'[1]粘贴_服务费返还'!$N$4:$N$3003,$B170,'[1]粘贴_服务费返还'!$O$4:$O$3003,"返还"))</f>
      </c>
      <c r="H170" s="11">
        <f>IF($L170="","",SUMIFS('[1]粘贴_服务费返还'!$M$4:$M$3003,'[1]粘贴_服务费返还'!$N$4:$N$3003,$B170,'[1]粘贴_服务费返还'!$O$4:$O$3003,"扣回"))</f>
      </c>
      <c r="I170" s="11">
        <f t="shared" si="1"/>
      </c>
      <c r="J170" s="6">
        <f t="shared" si="2"/>
      </c>
      <c r="K170" s="10">
        <f t="shared" si="3"/>
      </c>
      <c r="L170" s="17">
        <f>IF(A170&gt;$H$5,"",MATCH(A170,'[1]粘贴_账务明细'!$O$4:$O$3003,0))</f>
      </c>
    </row>
    <row r="171">
      <c r="A171" s="10" t="n">
        <v>143</v>
      </c>
      <c r="B171" s="6">
        <f>IF($L171="","",INDEX('[1]粘贴_账务明细'!$A$4:$A$3003,$L171))</f>
      </c>
      <c r="C171" s="16">
        <f>IF($L171="","",INDEX('[1]粘贴_账务明细'!$H$4:$H$3003,$L171))</f>
      </c>
      <c r="D171" s="11">
        <f>IF($L171="","",SUMIFS('[1]粘贴_账务明细'!$K$4:$K$3003,'[1]粘贴_账务明细'!$A$4:$A$3003,$B171,'[1]粘贴_账务明细'!$L$4:$L$3003,"订单收入")+SUMIFS('[1]粘贴_账务明细'!$K$4:$K$3003,'[1]粘贴_账务明细'!$A$4:$A$3003,$B171,'[1]粘贴_账务明细'!$L$4:$L$3003,"优惠券结算"))</f>
      </c>
      <c r="E171" s="11">
        <f t="shared" si="0"/>
      </c>
      <c r="F171" s="11">
        <f>IF($L171="","",-SUMIFS('[1]粘贴_账务明细'!$K$4:$K$3003,'[1]粘贴_账务明细'!$A$4:$A$3003,$B171,'[1]粘贴_账务明细'!$L$4:$L$3003,"百亿补贴技术服务费"))</f>
      </c>
      <c r="G171" s="11">
        <f>IF($L171="","",SUMIFS('[1]粘贴_服务费返还'!$M$4:$M$3003,'[1]粘贴_服务费返还'!$N$4:$N$3003,$B171,'[1]粘贴_服务费返还'!$O$4:$O$3003,"返还"))</f>
      </c>
      <c r="H171" s="11">
        <f>IF($L171="","",SUMIFS('[1]粘贴_服务费返还'!$M$4:$M$3003,'[1]粘贴_服务费返还'!$N$4:$N$3003,$B171,'[1]粘贴_服务费返还'!$O$4:$O$3003,"扣回"))</f>
      </c>
      <c r="I171" s="11">
        <f t="shared" si="1"/>
      </c>
      <c r="J171" s="6">
        <f t="shared" si="2"/>
      </c>
      <c r="K171" s="10">
        <f t="shared" si="3"/>
      </c>
      <c r="L171" s="17">
        <f>IF(A171&gt;$H$5,"",MATCH(A171,'[1]粘贴_账务明细'!$O$4:$O$3003,0))</f>
      </c>
    </row>
    <row r="172">
      <c r="A172" s="10" t="n">
        <v>144</v>
      </c>
      <c r="B172" s="6">
        <f>IF($L172="","",INDEX('[1]粘贴_账务明细'!$A$4:$A$3003,$L172))</f>
      </c>
      <c r="C172" s="16">
        <f>IF($L172="","",INDEX('[1]粘贴_账务明细'!$H$4:$H$3003,$L172))</f>
      </c>
      <c r="D172" s="11">
        <f>IF($L172="","",SUMIFS('[1]粘贴_账务明细'!$K$4:$K$3003,'[1]粘贴_账务明细'!$A$4:$A$3003,$B172,'[1]粘贴_账务明细'!$L$4:$L$3003,"订单收入")+SUMIFS('[1]粘贴_账务明细'!$K$4:$K$3003,'[1]粘贴_账务明细'!$A$4:$A$3003,$B172,'[1]粘贴_账务明细'!$L$4:$L$3003,"优惠券结算"))</f>
      </c>
      <c r="E172" s="11">
        <f t="shared" si="0"/>
      </c>
      <c r="F172" s="11">
        <f>IF($L172="","",-SUMIFS('[1]粘贴_账务明细'!$K$4:$K$3003,'[1]粘贴_账务明细'!$A$4:$A$3003,$B172,'[1]粘贴_账务明细'!$L$4:$L$3003,"百亿补贴技术服务费"))</f>
      </c>
      <c r="G172" s="11">
        <f>IF($L172="","",SUMIFS('[1]粘贴_服务费返还'!$M$4:$M$3003,'[1]粘贴_服务费返还'!$N$4:$N$3003,$B172,'[1]粘贴_服务费返还'!$O$4:$O$3003,"返还"))</f>
      </c>
      <c r="H172" s="11">
        <f>IF($L172="","",SUMIFS('[1]粘贴_服务费返还'!$M$4:$M$3003,'[1]粘贴_服务费返还'!$N$4:$N$3003,$B172,'[1]粘贴_服务费返还'!$O$4:$O$3003,"扣回"))</f>
      </c>
      <c r="I172" s="11">
        <f t="shared" si="1"/>
      </c>
      <c r="J172" s="6">
        <f t="shared" si="2"/>
      </c>
      <c r="K172" s="10">
        <f t="shared" si="3"/>
      </c>
      <c r="L172" s="17">
        <f>IF(A172&gt;$H$5,"",MATCH(A172,'[1]粘贴_账务明细'!$O$4:$O$3003,0))</f>
      </c>
    </row>
    <row r="173">
      <c r="A173" s="10" t="n">
        <v>145</v>
      </c>
      <c r="B173" s="6">
        <f>IF($L173="","",INDEX('[1]粘贴_账务明细'!$A$4:$A$3003,$L173))</f>
      </c>
      <c r="C173" s="16">
        <f>IF($L173="","",INDEX('[1]粘贴_账务明细'!$H$4:$H$3003,$L173))</f>
      </c>
      <c r="D173" s="11">
        <f>IF($L173="","",SUMIFS('[1]粘贴_账务明细'!$K$4:$K$3003,'[1]粘贴_账务明细'!$A$4:$A$3003,$B173,'[1]粘贴_账务明细'!$L$4:$L$3003,"订单收入")+SUMIFS('[1]粘贴_账务明细'!$K$4:$K$3003,'[1]粘贴_账务明细'!$A$4:$A$3003,$B173,'[1]粘贴_账务明细'!$L$4:$L$3003,"优惠券结算"))</f>
      </c>
      <c r="E173" s="11">
        <f t="shared" si="0"/>
      </c>
      <c r="F173" s="11">
        <f>IF($L173="","",-SUMIFS('[1]粘贴_账务明细'!$K$4:$K$3003,'[1]粘贴_账务明细'!$A$4:$A$3003,$B173,'[1]粘贴_账务明细'!$L$4:$L$3003,"百亿补贴技术服务费"))</f>
      </c>
      <c r="G173" s="11">
        <f>IF($L173="","",SUMIFS('[1]粘贴_服务费返还'!$M$4:$M$3003,'[1]粘贴_服务费返还'!$N$4:$N$3003,$B173,'[1]粘贴_服务费返还'!$O$4:$O$3003,"返还"))</f>
      </c>
      <c r="H173" s="11">
        <f>IF($L173="","",SUMIFS('[1]粘贴_服务费返还'!$M$4:$M$3003,'[1]粘贴_服务费返还'!$N$4:$N$3003,$B173,'[1]粘贴_服务费返还'!$O$4:$O$3003,"扣回"))</f>
      </c>
      <c r="I173" s="11">
        <f t="shared" si="1"/>
      </c>
      <c r="J173" s="6">
        <f t="shared" si="2"/>
      </c>
      <c r="K173" s="10">
        <f t="shared" si="3"/>
      </c>
      <c r="L173" s="17">
        <f>IF(A173&gt;$H$5,"",MATCH(A173,'[1]粘贴_账务明细'!$O$4:$O$3003,0))</f>
      </c>
    </row>
    <row r="174">
      <c r="A174" s="10" t="n">
        <v>146</v>
      </c>
      <c r="B174" s="6">
        <f>IF($L174="","",INDEX('[1]粘贴_账务明细'!$A$4:$A$3003,$L174))</f>
      </c>
      <c r="C174" s="16">
        <f>IF($L174="","",INDEX('[1]粘贴_账务明细'!$H$4:$H$3003,$L174))</f>
      </c>
      <c r="D174" s="11">
        <f>IF($L174="","",SUMIFS('[1]粘贴_账务明细'!$K$4:$K$3003,'[1]粘贴_账务明细'!$A$4:$A$3003,$B174,'[1]粘贴_账务明细'!$L$4:$L$3003,"订单收入")+SUMIFS('[1]粘贴_账务明细'!$K$4:$K$3003,'[1]粘贴_账务明细'!$A$4:$A$3003,$B174,'[1]粘贴_账务明细'!$L$4:$L$3003,"优惠券结算"))</f>
      </c>
      <c r="E174" s="11">
        <f t="shared" si="0"/>
      </c>
      <c r="F174" s="11">
        <f>IF($L174="","",-SUMIFS('[1]粘贴_账务明细'!$K$4:$K$3003,'[1]粘贴_账务明细'!$A$4:$A$3003,$B174,'[1]粘贴_账务明细'!$L$4:$L$3003,"百亿补贴技术服务费"))</f>
      </c>
      <c r="G174" s="11">
        <f>IF($L174="","",SUMIFS('[1]粘贴_服务费返还'!$M$4:$M$3003,'[1]粘贴_服务费返还'!$N$4:$N$3003,$B174,'[1]粘贴_服务费返还'!$O$4:$O$3003,"返还"))</f>
      </c>
      <c r="H174" s="11">
        <f>IF($L174="","",SUMIFS('[1]粘贴_服务费返还'!$M$4:$M$3003,'[1]粘贴_服务费返还'!$N$4:$N$3003,$B174,'[1]粘贴_服务费返还'!$O$4:$O$3003,"扣回"))</f>
      </c>
      <c r="I174" s="11">
        <f t="shared" si="1"/>
      </c>
      <c r="J174" s="6">
        <f t="shared" si="2"/>
      </c>
      <c r="K174" s="10">
        <f t="shared" si="3"/>
      </c>
      <c r="L174" s="17">
        <f>IF(A174&gt;$H$5,"",MATCH(A174,'[1]粘贴_账务明细'!$O$4:$O$3003,0))</f>
      </c>
    </row>
    <row r="175">
      <c r="A175" s="10" t="n">
        <v>147</v>
      </c>
      <c r="B175" s="6">
        <f>IF($L175="","",INDEX('[1]粘贴_账务明细'!$A$4:$A$3003,$L175))</f>
      </c>
      <c r="C175" s="16">
        <f>IF($L175="","",INDEX('[1]粘贴_账务明细'!$H$4:$H$3003,$L175))</f>
      </c>
      <c r="D175" s="11">
        <f>IF($L175="","",SUMIFS('[1]粘贴_账务明细'!$K$4:$K$3003,'[1]粘贴_账务明细'!$A$4:$A$3003,$B175,'[1]粘贴_账务明细'!$L$4:$L$3003,"订单收入")+SUMIFS('[1]粘贴_账务明细'!$K$4:$K$3003,'[1]粘贴_账务明细'!$A$4:$A$3003,$B175,'[1]粘贴_账务明细'!$L$4:$L$3003,"优惠券结算"))</f>
      </c>
      <c r="E175" s="11">
        <f t="shared" si="0"/>
      </c>
      <c r="F175" s="11">
        <f>IF($L175="","",-SUMIFS('[1]粘贴_账务明细'!$K$4:$K$3003,'[1]粘贴_账务明细'!$A$4:$A$3003,$B175,'[1]粘贴_账务明细'!$L$4:$L$3003,"百亿补贴技术服务费"))</f>
      </c>
      <c r="G175" s="11">
        <f>IF($L175="","",SUMIFS('[1]粘贴_服务费返还'!$M$4:$M$3003,'[1]粘贴_服务费返还'!$N$4:$N$3003,$B175,'[1]粘贴_服务费返还'!$O$4:$O$3003,"返还"))</f>
      </c>
      <c r="H175" s="11">
        <f>IF($L175="","",SUMIFS('[1]粘贴_服务费返还'!$M$4:$M$3003,'[1]粘贴_服务费返还'!$N$4:$N$3003,$B175,'[1]粘贴_服务费返还'!$O$4:$O$3003,"扣回"))</f>
      </c>
      <c r="I175" s="11">
        <f t="shared" si="1"/>
      </c>
      <c r="J175" s="6">
        <f t="shared" si="2"/>
      </c>
      <c r="K175" s="10">
        <f t="shared" si="3"/>
      </c>
      <c r="L175" s="17">
        <f>IF(A175&gt;$H$5,"",MATCH(A175,'[1]粘贴_账务明细'!$O$4:$O$3003,0))</f>
      </c>
    </row>
    <row r="176">
      <c r="A176" s="10" t="n">
        <v>148</v>
      </c>
      <c r="B176" s="6">
        <f>IF($L176="","",INDEX('[1]粘贴_账务明细'!$A$4:$A$3003,$L176))</f>
      </c>
      <c r="C176" s="16">
        <f>IF($L176="","",INDEX('[1]粘贴_账务明细'!$H$4:$H$3003,$L176))</f>
      </c>
      <c r="D176" s="11">
        <f>IF($L176="","",SUMIFS('[1]粘贴_账务明细'!$K$4:$K$3003,'[1]粘贴_账务明细'!$A$4:$A$3003,$B176,'[1]粘贴_账务明细'!$L$4:$L$3003,"订单收入")+SUMIFS('[1]粘贴_账务明细'!$K$4:$K$3003,'[1]粘贴_账务明细'!$A$4:$A$3003,$B176,'[1]粘贴_账务明细'!$L$4:$L$3003,"优惠券结算"))</f>
      </c>
      <c r="E176" s="11">
        <f t="shared" si="0"/>
      </c>
      <c r="F176" s="11">
        <f>IF($L176="","",-SUMIFS('[1]粘贴_账务明细'!$K$4:$K$3003,'[1]粘贴_账务明细'!$A$4:$A$3003,$B176,'[1]粘贴_账务明细'!$L$4:$L$3003,"百亿补贴技术服务费"))</f>
      </c>
      <c r="G176" s="11">
        <f>IF($L176="","",SUMIFS('[1]粘贴_服务费返还'!$M$4:$M$3003,'[1]粘贴_服务费返还'!$N$4:$N$3003,$B176,'[1]粘贴_服务费返还'!$O$4:$O$3003,"返还"))</f>
      </c>
      <c r="H176" s="11">
        <f>IF($L176="","",SUMIFS('[1]粘贴_服务费返还'!$M$4:$M$3003,'[1]粘贴_服务费返还'!$N$4:$N$3003,$B176,'[1]粘贴_服务费返还'!$O$4:$O$3003,"扣回"))</f>
      </c>
      <c r="I176" s="11">
        <f t="shared" si="1"/>
      </c>
      <c r="J176" s="6">
        <f t="shared" si="2"/>
      </c>
      <c r="K176" s="10">
        <f t="shared" si="3"/>
      </c>
      <c r="L176" s="17">
        <f>IF(A176&gt;$H$5,"",MATCH(A176,'[1]粘贴_账务明细'!$O$4:$O$3003,0))</f>
      </c>
    </row>
    <row r="177">
      <c r="A177" s="10" t="n">
        <v>149</v>
      </c>
      <c r="B177" s="6">
        <f>IF($L177="","",INDEX('[1]粘贴_账务明细'!$A$4:$A$3003,$L177))</f>
      </c>
      <c r="C177" s="16">
        <f>IF($L177="","",INDEX('[1]粘贴_账务明细'!$H$4:$H$3003,$L177))</f>
      </c>
      <c r="D177" s="11">
        <f>IF($L177="","",SUMIFS('[1]粘贴_账务明细'!$K$4:$K$3003,'[1]粘贴_账务明细'!$A$4:$A$3003,$B177,'[1]粘贴_账务明细'!$L$4:$L$3003,"订单收入")+SUMIFS('[1]粘贴_账务明细'!$K$4:$K$3003,'[1]粘贴_账务明细'!$A$4:$A$3003,$B177,'[1]粘贴_账务明细'!$L$4:$L$3003,"优惠券结算"))</f>
      </c>
      <c r="E177" s="11">
        <f t="shared" si="0"/>
      </c>
      <c r="F177" s="11">
        <f>IF($L177="","",-SUMIFS('[1]粘贴_账务明细'!$K$4:$K$3003,'[1]粘贴_账务明细'!$A$4:$A$3003,$B177,'[1]粘贴_账务明细'!$L$4:$L$3003,"百亿补贴技术服务费"))</f>
      </c>
      <c r="G177" s="11">
        <f>IF($L177="","",SUMIFS('[1]粘贴_服务费返还'!$M$4:$M$3003,'[1]粘贴_服务费返还'!$N$4:$N$3003,$B177,'[1]粘贴_服务费返还'!$O$4:$O$3003,"返还"))</f>
      </c>
      <c r="H177" s="11">
        <f>IF($L177="","",SUMIFS('[1]粘贴_服务费返还'!$M$4:$M$3003,'[1]粘贴_服务费返还'!$N$4:$N$3003,$B177,'[1]粘贴_服务费返还'!$O$4:$O$3003,"扣回"))</f>
      </c>
      <c r="I177" s="11">
        <f t="shared" si="1"/>
      </c>
      <c r="J177" s="6">
        <f t="shared" si="2"/>
      </c>
      <c r="K177" s="10">
        <f t="shared" si="3"/>
      </c>
      <c r="L177" s="17">
        <f>IF(A177&gt;$H$5,"",MATCH(A177,'[1]粘贴_账务明细'!$O$4:$O$3003,0))</f>
      </c>
    </row>
    <row r="178">
      <c r="A178" s="10" t="n">
        <v>150</v>
      </c>
      <c r="B178" s="6">
        <f>IF($L178="","",INDEX('[1]粘贴_账务明细'!$A$4:$A$3003,$L178))</f>
      </c>
      <c r="C178" s="16">
        <f>IF($L178="","",INDEX('[1]粘贴_账务明细'!$H$4:$H$3003,$L178))</f>
      </c>
      <c r="D178" s="11">
        <f>IF($L178="","",SUMIFS('[1]粘贴_账务明细'!$K$4:$K$3003,'[1]粘贴_账务明细'!$A$4:$A$3003,$B178,'[1]粘贴_账务明细'!$L$4:$L$3003,"订单收入")+SUMIFS('[1]粘贴_账务明细'!$K$4:$K$3003,'[1]粘贴_账务明细'!$A$4:$A$3003,$B178,'[1]粘贴_账务明细'!$L$4:$L$3003,"优惠券结算"))</f>
      </c>
      <c r="E178" s="11">
        <f t="shared" si="0"/>
      </c>
      <c r="F178" s="11">
        <f>IF($L178="","",-SUMIFS('[1]粘贴_账务明细'!$K$4:$K$3003,'[1]粘贴_账务明细'!$A$4:$A$3003,$B178,'[1]粘贴_账务明细'!$L$4:$L$3003,"百亿补贴技术服务费"))</f>
      </c>
      <c r="G178" s="11">
        <f>IF($L178="","",SUMIFS('[1]粘贴_服务费返还'!$M$4:$M$3003,'[1]粘贴_服务费返还'!$N$4:$N$3003,$B178,'[1]粘贴_服务费返还'!$O$4:$O$3003,"返还"))</f>
      </c>
      <c r="H178" s="11">
        <f>IF($L178="","",SUMIFS('[1]粘贴_服务费返还'!$M$4:$M$3003,'[1]粘贴_服务费返还'!$N$4:$N$3003,$B178,'[1]粘贴_服务费返还'!$O$4:$O$3003,"扣回"))</f>
      </c>
      <c r="I178" s="11">
        <f t="shared" si="1"/>
      </c>
      <c r="J178" s="6">
        <f t="shared" si="2"/>
      </c>
      <c r="K178" s="10">
        <f t="shared" si="3"/>
      </c>
      <c r="L178" s="17">
        <f>IF(A178&gt;$H$5,"",MATCH(A178,'[1]粘贴_账务明细'!$O$4:$O$3003,0))</f>
      </c>
    </row>
    <row r="179">
      <c r="A179" s="10" t="n">
        <v>151</v>
      </c>
      <c r="B179" s="6">
        <f>IF($L179="","",INDEX('[1]粘贴_账务明细'!$A$4:$A$3003,$L179))</f>
      </c>
      <c r="C179" s="16">
        <f>IF($L179="","",INDEX('[1]粘贴_账务明细'!$H$4:$H$3003,$L179))</f>
      </c>
      <c r="D179" s="11">
        <f>IF($L179="","",SUMIFS('[1]粘贴_账务明细'!$K$4:$K$3003,'[1]粘贴_账务明细'!$A$4:$A$3003,$B179,'[1]粘贴_账务明细'!$L$4:$L$3003,"订单收入")+SUMIFS('[1]粘贴_账务明细'!$K$4:$K$3003,'[1]粘贴_账务明细'!$A$4:$A$3003,$B179,'[1]粘贴_账务明细'!$L$4:$L$3003,"优惠券结算"))</f>
      </c>
      <c r="E179" s="11">
        <f t="shared" si="0"/>
      </c>
      <c r="F179" s="11">
        <f>IF($L179="","",-SUMIFS('[1]粘贴_账务明细'!$K$4:$K$3003,'[1]粘贴_账务明细'!$A$4:$A$3003,$B179,'[1]粘贴_账务明细'!$L$4:$L$3003,"百亿补贴技术服务费"))</f>
      </c>
      <c r="G179" s="11">
        <f>IF($L179="","",SUMIFS('[1]粘贴_服务费返还'!$M$4:$M$3003,'[1]粘贴_服务费返还'!$N$4:$N$3003,$B179,'[1]粘贴_服务费返还'!$O$4:$O$3003,"返还"))</f>
      </c>
      <c r="H179" s="11">
        <f>IF($L179="","",SUMIFS('[1]粘贴_服务费返还'!$M$4:$M$3003,'[1]粘贴_服务费返还'!$N$4:$N$3003,$B179,'[1]粘贴_服务费返还'!$O$4:$O$3003,"扣回"))</f>
      </c>
      <c r="I179" s="11">
        <f t="shared" si="1"/>
      </c>
      <c r="J179" s="6">
        <f t="shared" si="2"/>
      </c>
      <c r="K179" s="10">
        <f t="shared" si="3"/>
      </c>
      <c r="L179" s="17">
        <f>IF(A179&gt;$H$5,"",MATCH(A179,'[1]粘贴_账务明细'!$O$4:$O$3003,0))</f>
      </c>
    </row>
    <row r="180">
      <c r="A180" s="10" t="n">
        <v>152</v>
      </c>
      <c r="B180" s="6">
        <f>IF($L180="","",INDEX('[1]粘贴_账务明细'!$A$4:$A$3003,$L180))</f>
      </c>
      <c r="C180" s="16">
        <f>IF($L180="","",INDEX('[1]粘贴_账务明细'!$H$4:$H$3003,$L180))</f>
      </c>
      <c r="D180" s="11">
        <f>IF($L180="","",SUMIFS('[1]粘贴_账务明细'!$K$4:$K$3003,'[1]粘贴_账务明细'!$A$4:$A$3003,$B180,'[1]粘贴_账务明细'!$L$4:$L$3003,"订单收入")+SUMIFS('[1]粘贴_账务明细'!$K$4:$K$3003,'[1]粘贴_账务明细'!$A$4:$A$3003,$B180,'[1]粘贴_账务明细'!$L$4:$L$3003,"优惠券结算"))</f>
      </c>
      <c r="E180" s="11">
        <f t="shared" si="0"/>
      </c>
      <c r="F180" s="11">
        <f>IF($L180="","",-SUMIFS('[1]粘贴_账务明细'!$K$4:$K$3003,'[1]粘贴_账务明细'!$A$4:$A$3003,$B180,'[1]粘贴_账务明细'!$L$4:$L$3003,"百亿补贴技术服务费"))</f>
      </c>
      <c r="G180" s="11">
        <f>IF($L180="","",SUMIFS('[1]粘贴_服务费返还'!$M$4:$M$3003,'[1]粘贴_服务费返还'!$N$4:$N$3003,$B180,'[1]粘贴_服务费返还'!$O$4:$O$3003,"返还"))</f>
      </c>
      <c r="H180" s="11">
        <f>IF($L180="","",SUMIFS('[1]粘贴_服务费返还'!$M$4:$M$3003,'[1]粘贴_服务费返还'!$N$4:$N$3003,$B180,'[1]粘贴_服务费返还'!$O$4:$O$3003,"扣回"))</f>
      </c>
      <c r="I180" s="11">
        <f t="shared" si="1"/>
      </c>
      <c r="J180" s="6">
        <f t="shared" si="2"/>
      </c>
      <c r="K180" s="10">
        <f t="shared" si="3"/>
      </c>
      <c r="L180" s="17">
        <f>IF(A180&gt;$H$5,"",MATCH(A180,'[1]粘贴_账务明细'!$O$4:$O$3003,0))</f>
      </c>
    </row>
    <row r="181">
      <c r="A181" s="10" t="n">
        <v>153</v>
      </c>
      <c r="B181" s="6">
        <f>IF($L181="","",INDEX('[1]粘贴_账务明细'!$A$4:$A$3003,$L181))</f>
      </c>
      <c r="C181" s="16">
        <f>IF($L181="","",INDEX('[1]粘贴_账务明细'!$H$4:$H$3003,$L181))</f>
      </c>
      <c r="D181" s="11">
        <f>IF($L181="","",SUMIFS('[1]粘贴_账务明细'!$K$4:$K$3003,'[1]粘贴_账务明细'!$A$4:$A$3003,$B181,'[1]粘贴_账务明细'!$L$4:$L$3003,"订单收入")+SUMIFS('[1]粘贴_账务明细'!$K$4:$K$3003,'[1]粘贴_账务明细'!$A$4:$A$3003,$B181,'[1]粘贴_账务明细'!$L$4:$L$3003,"优惠券结算"))</f>
      </c>
      <c r="E181" s="11">
        <f t="shared" si="0"/>
      </c>
      <c r="F181" s="11">
        <f>IF($L181="","",-SUMIFS('[1]粘贴_账务明细'!$K$4:$K$3003,'[1]粘贴_账务明细'!$A$4:$A$3003,$B181,'[1]粘贴_账务明细'!$L$4:$L$3003,"百亿补贴技术服务费"))</f>
      </c>
      <c r="G181" s="11">
        <f>IF($L181="","",SUMIFS('[1]粘贴_服务费返还'!$M$4:$M$3003,'[1]粘贴_服务费返还'!$N$4:$N$3003,$B181,'[1]粘贴_服务费返还'!$O$4:$O$3003,"返还"))</f>
      </c>
      <c r="H181" s="11">
        <f>IF($L181="","",SUMIFS('[1]粘贴_服务费返还'!$M$4:$M$3003,'[1]粘贴_服务费返还'!$N$4:$N$3003,$B181,'[1]粘贴_服务费返还'!$O$4:$O$3003,"扣回"))</f>
      </c>
      <c r="I181" s="11">
        <f t="shared" si="1"/>
      </c>
      <c r="J181" s="6">
        <f t="shared" si="2"/>
      </c>
      <c r="K181" s="10">
        <f t="shared" si="3"/>
      </c>
      <c r="L181" s="17">
        <f>IF(A181&gt;$H$5,"",MATCH(A181,'[1]粘贴_账务明细'!$O$4:$O$3003,0))</f>
      </c>
    </row>
    <row r="182">
      <c r="A182" s="10" t="n">
        <v>154</v>
      </c>
      <c r="B182" s="6">
        <f>IF($L182="","",INDEX('[1]粘贴_账务明细'!$A$4:$A$3003,$L182))</f>
      </c>
      <c r="C182" s="16">
        <f>IF($L182="","",INDEX('[1]粘贴_账务明细'!$H$4:$H$3003,$L182))</f>
      </c>
      <c r="D182" s="11">
        <f>IF($L182="","",SUMIFS('[1]粘贴_账务明细'!$K$4:$K$3003,'[1]粘贴_账务明细'!$A$4:$A$3003,$B182,'[1]粘贴_账务明细'!$L$4:$L$3003,"订单收入")+SUMIFS('[1]粘贴_账务明细'!$K$4:$K$3003,'[1]粘贴_账务明细'!$A$4:$A$3003,$B182,'[1]粘贴_账务明细'!$L$4:$L$3003,"优惠券结算"))</f>
      </c>
      <c r="E182" s="11">
        <f t="shared" si="0"/>
      </c>
      <c r="F182" s="11">
        <f>IF($L182="","",-SUMIFS('[1]粘贴_账务明细'!$K$4:$K$3003,'[1]粘贴_账务明细'!$A$4:$A$3003,$B182,'[1]粘贴_账务明细'!$L$4:$L$3003,"百亿补贴技术服务费"))</f>
      </c>
      <c r="G182" s="11">
        <f>IF($L182="","",SUMIFS('[1]粘贴_服务费返还'!$M$4:$M$3003,'[1]粘贴_服务费返还'!$N$4:$N$3003,$B182,'[1]粘贴_服务费返还'!$O$4:$O$3003,"返还"))</f>
      </c>
      <c r="H182" s="11">
        <f>IF($L182="","",SUMIFS('[1]粘贴_服务费返还'!$M$4:$M$3003,'[1]粘贴_服务费返还'!$N$4:$N$3003,$B182,'[1]粘贴_服务费返还'!$O$4:$O$3003,"扣回"))</f>
      </c>
      <c r="I182" s="11">
        <f t="shared" si="1"/>
      </c>
      <c r="J182" s="6">
        <f t="shared" si="2"/>
      </c>
      <c r="K182" s="10">
        <f t="shared" si="3"/>
      </c>
      <c r="L182" s="17">
        <f>IF(A182&gt;$H$5,"",MATCH(A182,'[1]粘贴_账务明细'!$O$4:$O$3003,0))</f>
      </c>
    </row>
    <row r="183">
      <c r="A183" s="10" t="n">
        <v>155</v>
      </c>
      <c r="B183" s="6">
        <f>IF($L183="","",INDEX('[1]粘贴_账务明细'!$A$4:$A$3003,$L183))</f>
      </c>
      <c r="C183" s="16">
        <f>IF($L183="","",INDEX('[1]粘贴_账务明细'!$H$4:$H$3003,$L183))</f>
      </c>
      <c r="D183" s="11">
        <f>IF($L183="","",SUMIFS('[1]粘贴_账务明细'!$K$4:$K$3003,'[1]粘贴_账务明细'!$A$4:$A$3003,$B183,'[1]粘贴_账务明细'!$L$4:$L$3003,"订单收入")+SUMIFS('[1]粘贴_账务明细'!$K$4:$K$3003,'[1]粘贴_账务明细'!$A$4:$A$3003,$B183,'[1]粘贴_账务明细'!$L$4:$L$3003,"优惠券结算"))</f>
      </c>
      <c r="E183" s="11">
        <f t="shared" si="0"/>
      </c>
      <c r="F183" s="11">
        <f>IF($L183="","",-SUMIFS('[1]粘贴_账务明细'!$K$4:$K$3003,'[1]粘贴_账务明细'!$A$4:$A$3003,$B183,'[1]粘贴_账务明细'!$L$4:$L$3003,"百亿补贴技术服务费"))</f>
      </c>
      <c r="G183" s="11">
        <f>IF($L183="","",SUMIFS('[1]粘贴_服务费返还'!$M$4:$M$3003,'[1]粘贴_服务费返还'!$N$4:$N$3003,$B183,'[1]粘贴_服务费返还'!$O$4:$O$3003,"返还"))</f>
      </c>
      <c r="H183" s="11">
        <f>IF($L183="","",SUMIFS('[1]粘贴_服务费返还'!$M$4:$M$3003,'[1]粘贴_服务费返还'!$N$4:$N$3003,$B183,'[1]粘贴_服务费返还'!$O$4:$O$3003,"扣回"))</f>
      </c>
      <c r="I183" s="11">
        <f t="shared" si="1"/>
      </c>
      <c r="J183" s="6">
        <f t="shared" si="2"/>
      </c>
      <c r="K183" s="10">
        <f t="shared" si="3"/>
      </c>
      <c r="L183" s="17">
        <f>IF(A183&gt;$H$5,"",MATCH(A183,'[1]粘贴_账务明细'!$O$4:$O$3003,0))</f>
      </c>
    </row>
    <row r="184">
      <c r="A184" s="10" t="n">
        <v>156</v>
      </c>
      <c r="B184" s="6">
        <f>IF($L184="","",INDEX('[1]粘贴_账务明细'!$A$4:$A$3003,$L184))</f>
      </c>
      <c r="C184" s="16">
        <f>IF($L184="","",INDEX('[1]粘贴_账务明细'!$H$4:$H$3003,$L184))</f>
      </c>
      <c r="D184" s="11">
        <f>IF($L184="","",SUMIFS('[1]粘贴_账务明细'!$K$4:$K$3003,'[1]粘贴_账务明细'!$A$4:$A$3003,$B184,'[1]粘贴_账务明细'!$L$4:$L$3003,"订单收入")+SUMIFS('[1]粘贴_账务明细'!$K$4:$K$3003,'[1]粘贴_账务明细'!$A$4:$A$3003,$B184,'[1]粘贴_账务明细'!$L$4:$L$3003,"优惠券结算"))</f>
      </c>
      <c r="E184" s="11">
        <f t="shared" si="0"/>
      </c>
      <c r="F184" s="11">
        <f>IF($L184="","",-SUMIFS('[1]粘贴_账务明细'!$K$4:$K$3003,'[1]粘贴_账务明细'!$A$4:$A$3003,$B184,'[1]粘贴_账务明细'!$L$4:$L$3003,"百亿补贴技术服务费"))</f>
      </c>
      <c r="G184" s="11">
        <f>IF($L184="","",SUMIFS('[1]粘贴_服务费返还'!$M$4:$M$3003,'[1]粘贴_服务费返还'!$N$4:$N$3003,$B184,'[1]粘贴_服务费返还'!$O$4:$O$3003,"返还"))</f>
      </c>
      <c r="H184" s="11">
        <f>IF($L184="","",SUMIFS('[1]粘贴_服务费返还'!$M$4:$M$3003,'[1]粘贴_服务费返还'!$N$4:$N$3003,$B184,'[1]粘贴_服务费返还'!$O$4:$O$3003,"扣回"))</f>
      </c>
      <c r="I184" s="11">
        <f t="shared" si="1"/>
      </c>
      <c r="J184" s="6">
        <f t="shared" si="2"/>
      </c>
      <c r="K184" s="10">
        <f t="shared" si="3"/>
      </c>
      <c r="L184" s="17">
        <f>IF(A184&gt;$H$5,"",MATCH(A184,'[1]粘贴_账务明细'!$O$4:$O$3003,0))</f>
      </c>
    </row>
    <row r="185">
      <c r="A185" s="10" t="n">
        <v>157</v>
      </c>
      <c r="B185" s="6">
        <f>IF($L185="","",INDEX('[1]粘贴_账务明细'!$A$4:$A$3003,$L185))</f>
      </c>
      <c r="C185" s="16">
        <f>IF($L185="","",INDEX('[1]粘贴_账务明细'!$H$4:$H$3003,$L185))</f>
      </c>
      <c r="D185" s="11">
        <f>IF($L185="","",SUMIFS('[1]粘贴_账务明细'!$K$4:$K$3003,'[1]粘贴_账务明细'!$A$4:$A$3003,$B185,'[1]粘贴_账务明细'!$L$4:$L$3003,"订单收入")+SUMIFS('[1]粘贴_账务明细'!$K$4:$K$3003,'[1]粘贴_账务明细'!$A$4:$A$3003,$B185,'[1]粘贴_账务明细'!$L$4:$L$3003,"优惠券结算"))</f>
      </c>
      <c r="E185" s="11">
        <f t="shared" si="0"/>
      </c>
      <c r="F185" s="11">
        <f>IF($L185="","",-SUMIFS('[1]粘贴_账务明细'!$K$4:$K$3003,'[1]粘贴_账务明细'!$A$4:$A$3003,$B185,'[1]粘贴_账务明细'!$L$4:$L$3003,"百亿补贴技术服务费"))</f>
      </c>
      <c r="G185" s="11">
        <f>IF($L185="","",SUMIFS('[1]粘贴_服务费返还'!$M$4:$M$3003,'[1]粘贴_服务费返还'!$N$4:$N$3003,$B185,'[1]粘贴_服务费返还'!$O$4:$O$3003,"返还"))</f>
      </c>
      <c r="H185" s="11">
        <f>IF($L185="","",SUMIFS('[1]粘贴_服务费返还'!$M$4:$M$3003,'[1]粘贴_服务费返还'!$N$4:$N$3003,$B185,'[1]粘贴_服务费返还'!$O$4:$O$3003,"扣回"))</f>
      </c>
      <c r="I185" s="11">
        <f t="shared" si="1"/>
      </c>
      <c r="J185" s="6">
        <f t="shared" si="2"/>
      </c>
      <c r="K185" s="10">
        <f t="shared" si="3"/>
      </c>
      <c r="L185" s="17">
        <f>IF(A185&gt;$H$5,"",MATCH(A185,'[1]粘贴_账务明细'!$O$4:$O$3003,0))</f>
      </c>
    </row>
    <row r="186">
      <c r="A186" s="10" t="n">
        <v>158</v>
      </c>
      <c r="B186" s="6">
        <f>IF($L186="","",INDEX('[1]粘贴_账务明细'!$A$4:$A$3003,$L186))</f>
      </c>
      <c r="C186" s="16">
        <f>IF($L186="","",INDEX('[1]粘贴_账务明细'!$H$4:$H$3003,$L186))</f>
      </c>
      <c r="D186" s="11">
        <f>IF($L186="","",SUMIFS('[1]粘贴_账务明细'!$K$4:$K$3003,'[1]粘贴_账务明细'!$A$4:$A$3003,$B186,'[1]粘贴_账务明细'!$L$4:$L$3003,"订单收入")+SUMIFS('[1]粘贴_账务明细'!$K$4:$K$3003,'[1]粘贴_账务明细'!$A$4:$A$3003,$B186,'[1]粘贴_账务明细'!$L$4:$L$3003,"优惠券结算"))</f>
      </c>
      <c r="E186" s="11">
        <f t="shared" si="0"/>
      </c>
      <c r="F186" s="11">
        <f>IF($L186="","",-SUMIFS('[1]粘贴_账务明细'!$K$4:$K$3003,'[1]粘贴_账务明细'!$A$4:$A$3003,$B186,'[1]粘贴_账务明细'!$L$4:$L$3003,"百亿补贴技术服务费"))</f>
      </c>
      <c r="G186" s="11">
        <f>IF($L186="","",SUMIFS('[1]粘贴_服务费返还'!$M$4:$M$3003,'[1]粘贴_服务费返还'!$N$4:$N$3003,$B186,'[1]粘贴_服务费返还'!$O$4:$O$3003,"返还"))</f>
      </c>
      <c r="H186" s="11">
        <f>IF($L186="","",SUMIFS('[1]粘贴_服务费返还'!$M$4:$M$3003,'[1]粘贴_服务费返还'!$N$4:$N$3003,$B186,'[1]粘贴_服务费返还'!$O$4:$O$3003,"扣回"))</f>
      </c>
      <c r="I186" s="11">
        <f t="shared" si="1"/>
      </c>
      <c r="J186" s="6">
        <f t="shared" si="2"/>
      </c>
      <c r="K186" s="10">
        <f t="shared" si="3"/>
      </c>
      <c r="L186" s="17">
        <f>IF(A186&gt;$H$5,"",MATCH(A186,'[1]粘贴_账务明细'!$O$4:$O$3003,0))</f>
      </c>
    </row>
    <row r="187">
      <c r="A187" s="10" t="n">
        <v>159</v>
      </c>
      <c r="B187" s="6">
        <f>IF($L187="","",INDEX('[1]粘贴_账务明细'!$A$4:$A$3003,$L187))</f>
      </c>
      <c r="C187" s="16">
        <f>IF($L187="","",INDEX('[1]粘贴_账务明细'!$H$4:$H$3003,$L187))</f>
      </c>
      <c r="D187" s="11">
        <f>IF($L187="","",SUMIFS('[1]粘贴_账务明细'!$K$4:$K$3003,'[1]粘贴_账务明细'!$A$4:$A$3003,$B187,'[1]粘贴_账务明细'!$L$4:$L$3003,"订单收入")+SUMIFS('[1]粘贴_账务明细'!$K$4:$K$3003,'[1]粘贴_账务明细'!$A$4:$A$3003,$B187,'[1]粘贴_账务明细'!$L$4:$L$3003,"优惠券结算"))</f>
      </c>
      <c r="E187" s="11">
        <f t="shared" si="0"/>
      </c>
      <c r="F187" s="11">
        <f>IF($L187="","",-SUMIFS('[1]粘贴_账务明细'!$K$4:$K$3003,'[1]粘贴_账务明细'!$A$4:$A$3003,$B187,'[1]粘贴_账务明细'!$L$4:$L$3003,"百亿补贴技术服务费"))</f>
      </c>
      <c r="G187" s="11">
        <f>IF($L187="","",SUMIFS('[1]粘贴_服务费返还'!$M$4:$M$3003,'[1]粘贴_服务费返还'!$N$4:$N$3003,$B187,'[1]粘贴_服务费返还'!$O$4:$O$3003,"返还"))</f>
      </c>
      <c r="H187" s="11">
        <f>IF($L187="","",SUMIFS('[1]粘贴_服务费返还'!$M$4:$M$3003,'[1]粘贴_服务费返还'!$N$4:$N$3003,$B187,'[1]粘贴_服务费返还'!$O$4:$O$3003,"扣回"))</f>
      </c>
      <c r="I187" s="11">
        <f t="shared" si="1"/>
      </c>
      <c r="J187" s="6">
        <f t="shared" si="2"/>
      </c>
      <c r="K187" s="10">
        <f t="shared" si="3"/>
      </c>
      <c r="L187" s="17">
        <f>IF(A187&gt;$H$5,"",MATCH(A187,'[1]粘贴_账务明细'!$O$4:$O$3003,0))</f>
      </c>
    </row>
    <row r="188">
      <c r="A188" s="10" t="n">
        <v>160</v>
      </c>
      <c r="B188" s="6">
        <f>IF($L188="","",INDEX('[1]粘贴_账务明细'!$A$4:$A$3003,$L188))</f>
      </c>
      <c r="C188" s="16">
        <f>IF($L188="","",INDEX('[1]粘贴_账务明细'!$H$4:$H$3003,$L188))</f>
      </c>
      <c r="D188" s="11">
        <f>IF($L188="","",SUMIFS('[1]粘贴_账务明细'!$K$4:$K$3003,'[1]粘贴_账务明细'!$A$4:$A$3003,$B188,'[1]粘贴_账务明细'!$L$4:$L$3003,"订单收入")+SUMIFS('[1]粘贴_账务明细'!$K$4:$K$3003,'[1]粘贴_账务明细'!$A$4:$A$3003,$B188,'[1]粘贴_账务明细'!$L$4:$L$3003,"优惠券结算"))</f>
      </c>
      <c r="E188" s="11">
        <f t="shared" si="0"/>
      </c>
      <c r="F188" s="11">
        <f>IF($L188="","",-SUMIFS('[1]粘贴_账务明细'!$K$4:$K$3003,'[1]粘贴_账务明细'!$A$4:$A$3003,$B188,'[1]粘贴_账务明细'!$L$4:$L$3003,"百亿补贴技术服务费"))</f>
      </c>
      <c r="G188" s="11">
        <f>IF($L188="","",SUMIFS('[1]粘贴_服务费返还'!$M$4:$M$3003,'[1]粘贴_服务费返还'!$N$4:$N$3003,$B188,'[1]粘贴_服务费返还'!$O$4:$O$3003,"返还"))</f>
      </c>
      <c r="H188" s="11">
        <f>IF($L188="","",SUMIFS('[1]粘贴_服务费返还'!$M$4:$M$3003,'[1]粘贴_服务费返还'!$N$4:$N$3003,$B188,'[1]粘贴_服务费返还'!$O$4:$O$3003,"扣回"))</f>
      </c>
      <c r="I188" s="11">
        <f t="shared" si="1"/>
      </c>
      <c r="J188" s="6">
        <f t="shared" si="2"/>
      </c>
      <c r="K188" s="10">
        <f t="shared" si="3"/>
      </c>
      <c r="L188" s="17">
        <f>IF(A188&gt;$H$5,"",MATCH(A188,'[1]粘贴_账务明细'!$O$4:$O$3003,0))</f>
      </c>
    </row>
    <row r="189">
      <c r="A189" s="10" t="n">
        <v>161</v>
      </c>
      <c r="B189" s="6">
        <f>IF($L189="","",INDEX('[1]粘贴_账务明细'!$A$4:$A$3003,$L189))</f>
      </c>
      <c r="C189" s="16">
        <f>IF($L189="","",INDEX('[1]粘贴_账务明细'!$H$4:$H$3003,$L189))</f>
      </c>
      <c r="D189" s="11">
        <f>IF($L189="","",SUMIFS('[1]粘贴_账务明细'!$K$4:$K$3003,'[1]粘贴_账务明细'!$A$4:$A$3003,$B189,'[1]粘贴_账务明细'!$L$4:$L$3003,"订单收入")+SUMIFS('[1]粘贴_账务明细'!$K$4:$K$3003,'[1]粘贴_账务明细'!$A$4:$A$3003,$B189,'[1]粘贴_账务明细'!$L$4:$L$3003,"优惠券结算"))</f>
      </c>
      <c r="E189" s="11">
        <f t="shared" si="0"/>
      </c>
      <c r="F189" s="11">
        <f>IF($L189="","",-SUMIFS('[1]粘贴_账务明细'!$K$4:$K$3003,'[1]粘贴_账务明细'!$A$4:$A$3003,$B189,'[1]粘贴_账务明细'!$L$4:$L$3003,"百亿补贴技术服务费"))</f>
      </c>
      <c r="G189" s="11">
        <f>IF($L189="","",SUMIFS('[1]粘贴_服务费返还'!$M$4:$M$3003,'[1]粘贴_服务费返还'!$N$4:$N$3003,$B189,'[1]粘贴_服务费返还'!$O$4:$O$3003,"返还"))</f>
      </c>
      <c r="H189" s="11">
        <f>IF($L189="","",SUMIFS('[1]粘贴_服务费返还'!$M$4:$M$3003,'[1]粘贴_服务费返还'!$N$4:$N$3003,$B189,'[1]粘贴_服务费返还'!$O$4:$O$3003,"扣回"))</f>
      </c>
      <c r="I189" s="11">
        <f t="shared" si="1"/>
      </c>
      <c r="J189" s="6">
        <f t="shared" si="2"/>
      </c>
      <c r="K189" s="10">
        <f t="shared" si="3"/>
      </c>
      <c r="L189" s="17">
        <f>IF(A189&gt;$H$5,"",MATCH(A189,'[1]粘贴_账务明细'!$O$4:$O$3003,0))</f>
      </c>
    </row>
    <row r="190">
      <c r="A190" s="10" t="n">
        <v>162</v>
      </c>
      <c r="B190" s="6">
        <f>IF($L190="","",INDEX('[1]粘贴_账务明细'!$A$4:$A$3003,$L190))</f>
      </c>
      <c r="C190" s="16">
        <f>IF($L190="","",INDEX('[1]粘贴_账务明细'!$H$4:$H$3003,$L190))</f>
      </c>
      <c r="D190" s="11">
        <f>IF($L190="","",SUMIFS('[1]粘贴_账务明细'!$K$4:$K$3003,'[1]粘贴_账务明细'!$A$4:$A$3003,$B190,'[1]粘贴_账务明细'!$L$4:$L$3003,"订单收入")+SUMIFS('[1]粘贴_账务明细'!$K$4:$K$3003,'[1]粘贴_账务明细'!$A$4:$A$3003,$B190,'[1]粘贴_账务明细'!$L$4:$L$3003,"优惠券结算"))</f>
      </c>
      <c r="E190" s="11">
        <f t="shared" si="0"/>
      </c>
      <c r="F190" s="11">
        <f>IF($L190="","",-SUMIFS('[1]粘贴_账务明细'!$K$4:$K$3003,'[1]粘贴_账务明细'!$A$4:$A$3003,$B190,'[1]粘贴_账务明细'!$L$4:$L$3003,"百亿补贴技术服务费"))</f>
      </c>
      <c r="G190" s="11">
        <f>IF($L190="","",SUMIFS('[1]粘贴_服务费返还'!$M$4:$M$3003,'[1]粘贴_服务费返还'!$N$4:$N$3003,$B190,'[1]粘贴_服务费返还'!$O$4:$O$3003,"返还"))</f>
      </c>
      <c r="H190" s="11">
        <f>IF($L190="","",SUMIFS('[1]粘贴_服务费返还'!$M$4:$M$3003,'[1]粘贴_服务费返还'!$N$4:$N$3003,$B190,'[1]粘贴_服务费返还'!$O$4:$O$3003,"扣回"))</f>
      </c>
      <c r="I190" s="11">
        <f t="shared" si="1"/>
      </c>
      <c r="J190" s="6">
        <f t="shared" si="2"/>
      </c>
      <c r="K190" s="10">
        <f t="shared" si="3"/>
      </c>
      <c r="L190" s="17">
        <f>IF(A190&gt;$H$5,"",MATCH(A190,'[1]粘贴_账务明细'!$O$4:$O$3003,0))</f>
      </c>
    </row>
    <row r="191">
      <c r="A191" s="10" t="n">
        <v>163</v>
      </c>
      <c r="B191" s="6">
        <f>IF($L191="","",INDEX('[1]粘贴_账务明细'!$A$4:$A$3003,$L191))</f>
      </c>
      <c r="C191" s="16">
        <f>IF($L191="","",INDEX('[1]粘贴_账务明细'!$H$4:$H$3003,$L191))</f>
      </c>
      <c r="D191" s="11">
        <f>IF($L191="","",SUMIFS('[1]粘贴_账务明细'!$K$4:$K$3003,'[1]粘贴_账务明细'!$A$4:$A$3003,$B191,'[1]粘贴_账务明细'!$L$4:$L$3003,"订单收入")+SUMIFS('[1]粘贴_账务明细'!$K$4:$K$3003,'[1]粘贴_账务明细'!$A$4:$A$3003,$B191,'[1]粘贴_账务明细'!$L$4:$L$3003,"优惠券结算"))</f>
      </c>
      <c r="E191" s="11">
        <f t="shared" si="0"/>
      </c>
      <c r="F191" s="11">
        <f>IF($L191="","",-SUMIFS('[1]粘贴_账务明细'!$K$4:$K$3003,'[1]粘贴_账务明细'!$A$4:$A$3003,$B191,'[1]粘贴_账务明细'!$L$4:$L$3003,"百亿补贴技术服务费"))</f>
      </c>
      <c r="G191" s="11">
        <f>IF($L191="","",SUMIFS('[1]粘贴_服务费返还'!$M$4:$M$3003,'[1]粘贴_服务费返还'!$N$4:$N$3003,$B191,'[1]粘贴_服务费返还'!$O$4:$O$3003,"返还"))</f>
      </c>
      <c r="H191" s="11">
        <f>IF($L191="","",SUMIFS('[1]粘贴_服务费返还'!$M$4:$M$3003,'[1]粘贴_服务费返还'!$N$4:$N$3003,$B191,'[1]粘贴_服务费返还'!$O$4:$O$3003,"扣回"))</f>
      </c>
      <c r="I191" s="11">
        <f t="shared" si="1"/>
      </c>
      <c r="J191" s="6">
        <f t="shared" si="2"/>
      </c>
      <c r="K191" s="10">
        <f t="shared" si="3"/>
      </c>
      <c r="L191" s="17">
        <f>IF(A191&gt;$H$5,"",MATCH(A191,'[1]粘贴_账务明细'!$O$4:$O$3003,0))</f>
      </c>
    </row>
    <row r="192">
      <c r="A192" s="10" t="n">
        <v>164</v>
      </c>
      <c r="B192" s="6">
        <f>IF($L192="","",INDEX('[1]粘贴_账务明细'!$A$4:$A$3003,$L192))</f>
      </c>
      <c r="C192" s="16">
        <f>IF($L192="","",INDEX('[1]粘贴_账务明细'!$H$4:$H$3003,$L192))</f>
      </c>
      <c r="D192" s="11">
        <f>IF($L192="","",SUMIFS('[1]粘贴_账务明细'!$K$4:$K$3003,'[1]粘贴_账务明细'!$A$4:$A$3003,$B192,'[1]粘贴_账务明细'!$L$4:$L$3003,"订单收入")+SUMIFS('[1]粘贴_账务明细'!$K$4:$K$3003,'[1]粘贴_账务明细'!$A$4:$A$3003,$B192,'[1]粘贴_账务明细'!$L$4:$L$3003,"优惠券结算"))</f>
      </c>
      <c r="E192" s="11">
        <f t="shared" si="0"/>
      </c>
      <c r="F192" s="11">
        <f>IF($L192="","",-SUMIFS('[1]粘贴_账务明细'!$K$4:$K$3003,'[1]粘贴_账务明细'!$A$4:$A$3003,$B192,'[1]粘贴_账务明细'!$L$4:$L$3003,"百亿补贴技术服务费"))</f>
      </c>
      <c r="G192" s="11">
        <f>IF($L192="","",SUMIFS('[1]粘贴_服务费返还'!$M$4:$M$3003,'[1]粘贴_服务费返还'!$N$4:$N$3003,$B192,'[1]粘贴_服务费返还'!$O$4:$O$3003,"返还"))</f>
      </c>
      <c r="H192" s="11">
        <f>IF($L192="","",SUMIFS('[1]粘贴_服务费返还'!$M$4:$M$3003,'[1]粘贴_服务费返还'!$N$4:$N$3003,$B192,'[1]粘贴_服务费返还'!$O$4:$O$3003,"扣回"))</f>
      </c>
      <c r="I192" s="11">
        <f t="shared" si="1"/>
      </c>
      <c r="J192" s="6">
        <f t="shared" si="2"/>
      </c>
      <c r="K192" s="10">
        <f t="shared" si="3"/>
      </c>
      <c r="L192" s="17">
        <f>IF(A192&gt;$H$5,"",MATCH(A192,'[1]粘贴_账务明细'!$O$4:$O$3003,0))</f>
      </c>
    </row>
    <row r="193">
      <c r="A193" s="10" t="n">
        <v>165</v>
      </c>
      <c r="B193" s="6">
        <f>IF($L193="","",INDEX('[1]粘贴_账务明细'!$A$4:$A$3003,$L193))</f>
      </c>
      <c r="C193" s="16">
        <f>IF($L193="","",INDEX('[1]粘贴_账务明细'!$H$4:$H$3003,$L193))</f>
      </c>
      <c r="D193" s="11">
        <f>IF($L193="","",SUMIFS('[1]粘贴_账务明细'!$K$4:$K$3003,'[1]粘贴_账务明细'!$A$4:$A$3003,$B193,'[1]粘贴_账务明细'!$L$4:$L$3003,"订单收入")+SUMIFS('[1]粘贴_账务明细'!$K$4:$K$3003,'[1]粘贴_账务明细'!$A$4:$A$3003,$B193,'[1]粘贴_账务明细'!$L$4:$L$3003,"优惠券结算"))</f>
      </c>
      <c r="E193" s="11">
        <f t="shared" si="0"/>
      </c>
      <c r="F193" s="11">
        <f>IF($L193="","",-SUMIFS('[1]粘贴_账务明细'!$K$4:$K$3003,'[1]粘贴_账务明细'!$A$4:$A$3003,$B193,'[1]粘贴_账务明细'!$L$4:$L$3003,"百亿补贴技术服务费"))</f>
      </c>
      <c r="G193" s="11">
        <f>IF($L193="","",SUMIFS('[1]粘贴_服务费返还'!$M$4:$M$3003,'[1]粘贴_服务费返还'!$N$4:$N$3003,$B193,'[1]粘贴_服务费返还'!$O$4:$O$3003,"返还"))</f>
      </c>
      <c r="H193" s="11">
        <f>IF($L193="","",SUMIFS('[1]粘贴_服务费返还'!$M$4:$M$3003,'[1]粘贴_服务费返还'!$N$4:$N$3003,$B193,'[1]粘贴_服务费返还'!$O$4:$O$3003,"扣回"))</f>
      </c>
      <c r="I193" s="11">
        <f t="shared" si="1"/>
      </c>
      <c r="J193" s="6">
        <f t="shared" si="2"/>
      </c>
      <c r="K193" s="10">
        <f t="shared" si="3"/>
      </c>
      <c r="L193" s="17">
        <f>IF(A193&gt;$H$5,"",MATCH(A193,'[1]粘贴_账务明细'!$O$4:$O$3003,0))</f>
      </c>
    </row>
    <row r="194">
      <c r="A194" s="10" t="n">
        <v>166</v>
      </c>
      <c r="B194" s="6">
        <f>IF($L194="","",INDEX('[1]粘贴_账务明细'!$A$4:$A$3003,$L194))</f>
      </c>
      <c r="C194" s="16">
        <f>IF($L194="","",INDEX('[1]粘贴_账务明细'!$H$4:$H$3003,$L194))</f>
      </c>
      <c r="D194" s="11">
        <f>IF($L194="","",SUMIFS('[1]粘贴_账务明细'!$K$4:$K$3003,'[1]粘贴_账务明细'!$A$4:$A$3003,$B194,'[1]粘贴_账务明细'!$L$4:$L$3003,"订单收入")+SUMIFS('[1]粘贴_账务明细'!$K$4:$K$3003,'[1]粘贴_账务明细'!$A$4:$A$3003,$B194,'[1]粘贴_账务明细'!$L$4:$L$3003,"优惠券结算"))</f>
      </c>
      <c r="E194" s="11">
        <f t="shared" si="0"/>
      </c>
      <c r="F194" s="11">
        <f>IF($L194="","",-SUMIFS('[1]粘贴_账务明细'!$K$4:$K$3003,'[1]粘贴_账务明细'!$A$4:$A$3003,$B194,'[1]粘贴_账务明细'!$L$4:$L$3003,"百亿补贴技术服务费"))</f>
      </c>
      <c r="G194" s="11">
        <f>IF($L194="","",SUMIFS('[1]粘贴_服务费返还'!$M$4:$M$3003,'[1]粘贴_服务费返还'!$N$4:$N$3003,$B194,'[1]粘贴_服务费返还'!$O$4:$O$3003,"返还"))</f>
      </c>
      <c r="H194" s="11">
        <f>IF($L194="","",SUMIFS('[1]粘贴_服务费返还'!$M$4:$M$3003,'[1]粘贴_服务费返还'!$N$4:$N$3003,$B194,'[1]粘贴_服务费返还'!$O$4:$O$3003,"扣回"))</f>
      </c>
      <c r="I194" s="11">
        <f t="shared" si="1"/>
      </c>
      <c r="J194" s="6">
        <f t="shared" si="2"/>
      </c>
      <c r="K194" s="10">
        <f t="shared" si="3"/>
      </c>
      <c r="L194" s="17">
        <f>IF(A194&gt;$H$5,"",MATCH(A194,'[1]粘贴_账务明细'!$O$4:$O$3003,0))</f>
      </c>
    </row>
    <row r="195">
      <c r="A195" s="10" t="n">
        <v>167</v>
      </c>
      <c r="B195" s="6">
        <f>IF($L195="","",INDEX('[1]粘贴_账务明细'!$A$4:$A$3003,$L195))</f>
      </c>
      <c r="C195" s="16">
        <f>IF($L195="","",INDEX('[1]粘贴_账务明细'!$H$4:$H$3003,$L195))</f>
      </c>
      <c r="D195" s="11">
        <f>IF($L195="","",SUMIFS('[1]粘贴_账务明细'!$K$4:$K$3003,'[1]粘贴_账务明细'!$A$4:$A$3003,$B195,'[1]粘贴_账务明细'!$L$4:$L$3003,"订单收入")+SUMIFS('[1]粘贴_账务明细'!$K$4:$K$3003,'[1]粘贴_账务明细'!$A$4:$A$3003,$B195,'[1]粘贴_账务明细'!$L$4:$L$3003,"优惠券结算"))</f>
      </c>
      <c r="E195" s="11">
        <f t="shared" si="0"/>
      </c>
      <c r="F195" s="11">
        <f>IF($L195="","",-SUMIFS('[1]粘贴_账务明细'!$K$4:$K$3003,'[1]粘贴_账务明细'!$A$4:$A$3003,$B195,'[1]粘贴_账务明细'!$L$4:$L$3003,"百亿补贴技术服务费"))</f>
      </c>
      <c r="G195" s="11">
        <f>IF($L195="","",SUMIFS('[1]粘贴_服务费返还'!$M$4:$M$3003,'[1]粘贴_服务费返还'!$N$4:$N$3003,$B195,'[1]粘贴_服务费返还'!$O$4:$O$3003,"返还"))</f>
      </c>
      <c r="H195" s="11">
        <f>IF($L195="","",SUMIFS('[1]粘贴_服务费返还'!$M$4:$M$3003,'[1]粘贴_服务费返还'!$N$4:$N$3003,$B195,'[1]粘贴_服务费返还'!$O$4:$O$3003,"扣回"))</f>
      </c>
      <c r="I195" s="11">
        <f t="shared" si="1"/>
      </c>
      <c r="J195" s="6">
        <f t="shared" si="2"/>
      </c>
      <c r="K195" s="10">
        <f t="shared" si="3"/>
      </c>
      <c r="L195" s="17">
        <f>IF(A195&gt;$H$5,"",MATCH(A195,'[1]粘贴_账务明细'!$O$4:$O$3003,0))</f>
      </c>
    </row>
    <row r="196">
      <c r="A196" s="10" t="n">
        <v>168</v>
      </c>
      <c r="B196" s="6">
        <f>IF($L196="","",INDEX('[1]粘贴_账务明细'!$A$4:$A$3003,$L196))</f>
      </c>
      <c r="C196" s="16">
        <f>IF($L196="","",INDEX('[1]粘贴_账务明细'!$H$4:$H$3003,$L196))</f>
      </c>
      <c r="D196" s="11">
        <f>IF($L196="","",SUMIFS('[1]粘贴_账务明细'!$K$4:$K$3003,'[1]粘贴_账务明细'!$A$4:$A$3003,$B196,'[1]粘贴_账务明细'!$L$4:$L$3003,"订单收入")+SUMIFS('[1]粘贴_账务明细'!$K$4:$K$3003,'[1]粘贴_账务明细'!$A$4:$A$3003,$B196,'[1]粘贴_账务明细'!$L$4:$L$3003,"优惠券结算"))</f>
      </c>
      <c r="E196" s="11">
        <f t="shared" si="0"/>
      </c>
      <c r="F196" s="11">
        <f>IF($L196="","",-SUMIFS('[1]粘贴_账务明细'!$K$4:$K$3003,'[1]粘贴_账务明细'!$A$4:$A$3003,$B196,'[1]粘贴_账务明细'!$L$4:$L$3003,"百亿补贴技术服务费"))</f>
      </c>
      <c r="G196" s="11">
        <f>IF($L196="","",SUMIFS('[1]粘贴_服务费返还'!$M$4:$M$3003,'[1]粘贴_服务费返还'!$N$4:$N$3003,$B196,'[1]粘贴_服务费返还'!$O$4:$O$3003,"返还"))</f>
      </c>
      <c r="H196" s="11">
        <f>IF($L196="","",SUMIFS('[1]粘贴_服务费返还'!$M$4:$M$3003,'[1]粘贴_服务费返还'!$N$4:$N$3003,$B196,'[1]粘贴_服务费返还'!$O$4:$O$3003,"扣回"))</f>
      </c>
      <c r="I196" s="11">
        <f t="shared" si="1"/>
      </c>
      <c r="J196" s="6">
        <f t="shared" si="2"/>
      </c>
      <c r="K196" s="10">
        <f t="shared" si="3"/>
      </c>
      <c r="L196" s="17">
        <f>IF(A196&gt;$H$5,"",MATCH(A196,'[1]粘贴_账务明细'!$O$4:$O$3003,0))</f>
      </c>
    </row>
    <row r="197">
      <c r="A197" s="10" t="n">
        <v>169</v>
      </c>
      <c r="B197" s="6">
        <f>IF($L197="","",INDEX('[1]粘贴_账务明细'!$A$4:$A$3003,$L197))</f>
      </c>
      <c r="C197" s="16">
        <f>IF($L197="","",INDEX('[1]粘贴_账务明细'!$H$4:$H$3003,$L197))</f>
      </c>
      <c r="D197" s="11">
        <f>IF($L197="","",SUMIFS('[1]粘贴_账务明细'!$K$4:$K$3003,'[1]粘贴_账务明细'!$A$4:$A$3003,$B197,'[1]粘贴_账务明细'!$L$4:$L$3003,"订单收入")+SUMIFS('[1]粘贴_账务明细'!$K$4:$K$3003,'[1]粘贴_账务明细'!$A$4:$A$3003,$B197,'[1]粘贴_账务明细'!$L$4:$L$3003,"优惠券结算"))</f>
      </c>
      <c r="E197" s="11">
        <f t="shared" si="0"/>
      </c>
      <c r="F197" s="11">
        <f>IF($L197="","",-SUMIFS('[1]粘贴_账务明细'!$K$4:$K$3003,'[1]粘贴_账务明细'!$A$4:$A$3003,$B197,'[1]粘贴_账务明细'!$L$4:$L$3003,"百亿补贴技术服务费"))</f>
      </c>
      <c r="G197" s="11">
        <f>IF($L197="","",SUMIFS('[1]粘贴_服务费返还'!$M$4:$M$3003,'[1]粘贴_服务费返还'!$N$4:$N$3003,$B197,'[1]粘贴_服务费返还'!$O$4:$O$3003,"返还"))</f>
      </c>
      <c r="H197" s="11">
        <f>IF($L197="","",SUMIFS('[1]粘贴_服务费返还'!$M$4:$M$3003,'[1]粘贴_服务费返还'!$N$4:$N$3003,$B197,'[1]粘贴_服务费返还'!$O$4:$O$3003,"扣回"))</f>
      </c>
      <c r="I197" s="11">
        <f t="shared" si="1"/>
      </c>
      <c r="J197" s="6">
        <f t="shared" si="2"/>
      </c>
      <c r="K197" s="10">
        <f t="shared" si="3"/>
      </c>
      <c r="L197" s="17">
        <f>IF(A197&gt;$H$5,"",MATCH(A197,'[1]粘贴_账务明细'!$O$4:$O$3003,0))</f>
      </c>
    </row>
    <row r="198">
      <c r="A198" s="10" t="n">
        <v>170</v>
      </c>
      <c r="B198" s="6">
        <f>IF($L198="","",INDEX('[1]粘贴_账务明细'!$A$4:$A$3003,$L198))</f>
      </c>
      <c r="C198" s="16">
        <f>IF($L198="","",INDEX('[1]粘贴_账务明细'!$H$4:$H$3003,$L198))</f>
      </c>
      <c r="D198" s="11">
        <f>IF($L198="","",SUMIFS('[1]粘贴_账务明细'!$K$4:$K$3003,'[1]粘贴_账务明细'!$A$4:$A$3003,$B198,'[1]粘贴_账务明细'!$L$4:$L$3003,"订单收入")+SUMIFS('[1]粘贴_账务明细'!$K$4:$K$3003,'[1]粘贴_账务明细'!$A$4:$A$3003,$B198,'[1]粘贴_账务明细'!$L$4:$L$3003,"优惠券结算"))</f>
      </c>
      <c r="E198" s="11">
        <f t="shared" si="0"/>
      </c>
      <c r="F198" s="11">
        <f>IF($L198="","",-SUMIFS('[1]粘贴_账务明细'!$K$4:$K$3003,'[1]粘贴_账务明细'!$A$4:$A$3003,$B198,'[1]粘贴_账务明细'!$L$4:$L$3003,"百亿补贴技术服务费"))</f>
      </c>
      <c r="G198" s="11">
        <f>IF($L198="","",SUMIFS('[1]粘贴_服务费返还'!$M$4:$M$3003,'[1]粘贴_服务费返还'!$N$4:$N$3003,$B198,'[1]粘贴_服务费返还'!$O$4:$O$3003,"返还"))</f>
      </c>
      <c r="H198" s="11">
        <f>IF($L198="","",SUMIFS('[1]粘贴_服务费返还'!$M$4:$M$3003,'[1]粘贴_服务费返还'!$N$4:$N$3003,$B198,'[1]粘贴_服务费返还'!$O$4:$O$3003,"扣回"))</f>
      </c>
      <c r="I198" s="11">
        <f t="shared" si="1"/>
      </c>
      <c r="J198" s="6">
        <f t="shared" si="2"/>
      </c>
      <c r="K198" s="10">
        <f t="shared" si="3"/>
      </c>
      <c r="L198" s="17">
        <f>IF(A198&gt;$H$5,"",MATCH(A198,'[1]粘贴_账务明细'!$O$4:$O$3003,0))</f>
      </c>
    </row>
    <row r="199">
      <c r="A199" s="10" t="n">
        <v>171</v>
      </c>
      <c r="B199" s="6">
        <f>IF($L199="","",INDEX('[1]粘贴_账务明细'!$A$4:$A$3003,$L199))</f>
      </c>
      <c r="C199" s="16">
        <f>IF($L199="","",INDEX('[1]粘贴_账务明细'!$H$4:$H$3003,$L199))</f>
      </c>
      <c r="D199" s="11">
        <f>IF($L199="","",SUMIFS('[1]粘贴_账务明细'!$K$4:$K$3003,'[1]粘贴_账务明细'!$A$4:$A$3003,$B199,'[1]粘贴_账务明细'!$L$4:$L$3003,"订单收入")+SUMIFS('[1]粘贴_账务明细'!$K$4:$K$3003,'[1]粘贴_账务明细'!$A$4:$A$3003,$B199,'[1]粘贴_账务明细'!$L$4:$L$3003,"优惠券结算"))</f>
      </c>
      <c r="E199" s="11">
        <f t="shared" si="0"/>
      </c>
      <c r="F199" s="11">
        <f>IF($L199="","",-SUMIFS('[1]粘贴_账务明细'!$K$4:$K$3003,'[1]粘贴_账务明细'!$A$4:$A$3003,$B199,'[1]粘贴_账务明细'!$L$4:$L$3003,"百亿补贴技术服务费"))</f>
      </c>
      <c r="G199" s="11">
        <f>IF($L199="","",SUMIFS('[1]粘贴_服务费返还'!$M$4:$M$3003,'[1]粘贴_服务费返还'!$N$4:$N$3003,$B199,'[1]粘贴_服务费返还'!$O$4:$O$3003,"返还"))</f>
      </c>
      <c r="H199" s="11">
        <f>IF($L199="","",SUMIFS('[1]粘贴_服务费返还'!$M$4:$M$3003,'[1]粘贴_服务费返还'!$N$4:$N$3003,$B199,'[1]粘贴_服务费返还'!$O$4:$O$3003,"扣回"))</f>
      </c>
      <c r="I199" s="11">
        <f t="shared" si="1"/>
      </c>
      <c r="J199" s="6">
        <f t="shared" si="2"/>
      </c>
      <c r="K199" s="10">
        <f t="shared" si="3"/>
      </c>
      <c r="L199" s="17">
        <f>IF(A199&gt;$H$5,"",MATCH(A199,'[1]粘贴_账务明细'!$O$4:$O$3003,0))</f>
      </c>
    </row>
    <row r="200">
      <c r="A200" s="10" t="n">
        <v>172</v>
      </c>
      <c r="B200" s="6">
        <f>IF($L200="","",INDEX('[1]粘贴_账务明细'!$A$4:$A$3003,$L200))</f>
      </c>
      <c r="C200" s="16">
        <f>IF($L200="","",INDEX('[1]粘贴_账务明细'!$H$4:$H$3003,$L200))</f>
      </c>
      <c r="D200" s="11">
        <f>IF($L200="","",SUMIFS('[1]粘贴_账务明细'!$K$4:$K$3003,'[1]粘贴_账务明细'!$A$4:$A$3003,$B200,'[1]粘贴_账务明细'!$L$4:$L$3003,"订单收入")+SUMIFS('[1]粘贴_账务明细'!$K$4:$K$3003,'[1]粘贴_账务明细'!$A$4:$A$3003,$B200,'[1]粘贴_账务明细'!$L$4:$L$3003,"优惠券结算"))</f>
      </c>
      <c r="E200" s="11">
        <f t="shared" si="0"/>
      </c>
      <c r="F200" s="11">
        <f>IF($L200="","",-SUMIFS('[1]粘贴_账务明细'!$K$4:$K$3003,'[1]粘贴_账务明细'!$A$4:$A$3003,$B200,'[1]粘贴_账务明细'!$L$4:$L$3003,"百亿补贴技术服务费"))</f>
      </c>
      <c r="G200" s="11">
        <f>IF($L200="","",SUMIFS('[1]粘贴_服务费返还'!$M$4:$M$3003,'[1]粘贴_服务费返还'!$N$4:$N$3003,$B200,'[1]粘贴_服务费返还'!$O$4:$O$3003,"返还"))</f>
      </c>
      <c r="H200" s="11">
        <f>IF($L200="","",SUMIFS('[1]粘贴_服务费返还'!$M$4:$M$3003,'[1]粘贴_服务费返还'!$N$4:$N$3003,$B200,'[1]粘贴_服务费返还'!$O$4:$O$3003,"扣回"))</f>
      </c>
      <c r="I200" s="11">
        <f t="shared" si="1"/>
      </c>
      <c r="J200" s="6">
        <f t="shared" si="2"/>
      </c>
      <c r="K200" s="10">
        <f t="shared" si="3"/>
      </c>
      <c r="L200" s="17">
        <f>IF(A200&gt;$H$5,"",MATCH(A200,'[1]粘贴_账务明细'!$O$4:$O$3003,0))</f>
      </c>
    </row>
    <row r="201">
      <c r="A201" s="10" t="n">
        <v>173</v>
      </c>
      <c r="B201" s="6">
        <f>IF($L201="","",INDEX('[1]粘贴_账务明细'!$A$4:$A$3003,$L201))</f>
      </c>
      <c r="C201" s="16">
        <f>IF($L201="","",INDEX('[1]粘贴_账务明细'!$H$4:$H$3003,$L201))</f>
      </c>
      <c r="D201" s="11">
        <f>IF($L201="","",SUMIFS('[1]粘贴_账务明细'!$K$4:$K$3003,'[1]粘贴_账务明细'!$A$4:$A$3003,$B201,'[1]粘贴_账务明细'!$L$4:$L$3003,"订单收入")+SUMIFS('[1]粘贴_账务明细'!$K$4:$K$3003,'[1]粘贴_账务明细'!$A$4:$A$3003,$B201,'[1]粘贴_账务明细'!$L$4:$L$3003,"优惠券结算"))</f>
      </c>
      <c r="E201" s="11">
        <f t="shared" si="0"/>
      </c>
      <c r="F201" s="11">
        <f>IF($L201="","",-SUMIFS('[1]粘贴_账务明细'!$K$4:$K$3003,'[1]粘贴_账务明细'!$A$4:$A$3003,$B201,'[1]粘贴_账务明细'!$L$4:$L$3003,"百亿补贴技术服务费"))</f>
      </c>
      <c r="G201" s="11">
        <f>IF($L201="","",SUMIFS('[1]粘贴_服务费返还'!$M$4:$M$3003,'[1]粘贴_服务费返还'!$N$4:$N$3003,$B201,'[1]粘贴_服务费返还'!$O$4:$O$3003,"返还"))</f>
      </c>
      <c r="H201" s="11">
        <f>IF($L201="","",SUMIFS('[1]粘贴_服务费返还'!$M$4:$M$3003,'[1]粘贴_服务费返还'!$N$4:$N$3003,$B201,'[1]粘贴_服务费返还'!$O$4:$O$3003,"扣回"))</f>
      </c>
      <c r="I201" s="11">
        <f t="shared" si="1"/>
      </c>
      <c r="J201" s="6">
        <f t="shared" si="2"/>
      </c>
      <c r="K201" s="10">
        <f t="shared" si="3"/>
      </c>
      <c r="L201" s="17">
        <f>IF(A201&gt;$H$5,"",MATCH(A201,'[1]粘贴_账务明细'!$O$4:$O$3003,0))</f>
      </c>
    </row>
    <row r="202">
      <c r="A202" s="10" t="n">
        <v>174</v>
      </c>
      <c r="B202" s="6">
        <f>IF($L202="","",INDEX('[1]粘贴_账务明细'!$A$4:$A$3003,$L202))</f>
      </c>
      <c r="C202" s="16">
        <f>IF($L202="","",INDEX('[1]粘贴_账务明细'!$H$4:$H$3003,$L202))</f>
      </c>
      <c r="D202" s="11">
        <f>IF($L202="","",SUMIFS('[1]粘贴_账务明细'!$K$4:$K$3003,'[1]粘贴_账务明细'!$A$4:$A$3003,$B202,'[1]粘贴_账务明细'!$L$4:$L$3003,"订单收入")+SUMIFS('[1]粘贴_账务明细'!$K$4:$K$3003,'[1]粘贴_账务明细'!$A$4:$A$3003,$B202,'[1]粘贴_账务明细'!$L$4:$L$3003,"优惠券结算"))</f>
      </c>
      <c r="E202" s="11">
        <f t="shared" si="0"/>
      </c>
      <c r="F202" s="11">
        <f>IF($L202="","",-SUMIFS('[1]粘贴_账务明细'!$K$4:$K$3003,'[1]粘贴_账务明细'!$A$4:$A$3003,$B202,'[1]粘贴_账务明细'!$L$4:$L$3003,"百亿补贴技术服务费"))</f>
      </c>
      <c r="G202" s="11">
        <f>IF($L202="","",SUMIFS('[1]粘贴_服务费返还'!$M$4:$M$3003,'[1]粘贴_服务费返还'!$N$4:$N$3003,$B202,'[1]粘贴_服务费返还'!$O$4:$O$3003,"返还"))</f>
      </c>
      <c r="H202" s="11">
        <f>IF($L202="","",SUMIFS('[1]粘贴_服务费返还'!$M$4:$M$3003,'[1]粘贴_服务费返还'!$N$4:$N$3003,$B202,'[1]粘贴_服务费返还'!$O$4:$O$3003,"扣回"))</f>
      </c>
      <c r="I202" s="11">
        <f t="shared" si="1"/>
      </c>
      <c r="J202" s="6">
        <f t="shared" si="2"/>
      </c>
      <c r="K202" s="10">
        <f t="shared" si="3"/>
      </c>
      <c r="L202" s="17">
        <f>IF(A202&gt;$H$5,"",MATCH(A202,'[1]粘贴_账务明细'!$O$4:$O$3003,0))</f>
      </c>
    </row>
    <row r="203">
      <c r="A203" s="10" t="n">
        <v>175</v>
      </c>
      <c r="B203" s="6">
        <f>IF($L203="","",INDEX('[1]粘贴_账务明细'!$A$4:$A$3003,$L203))</f>
      </c>
      <c r="C203" s="16">
        <f>IF($L203="","",INDEX('[1]粘贴_账务明细'!$H$4:$H$3003,$L203))</f>
      </c>
      <c r="D203" s="11">
        <f>IF($L203="","",SUMIFS('[1]粘贴_账务明细'!$K$4:$K$3003,'[1]粘贴_账务明细'!$A$4:$A$3003,$B203,'[1]粘贴_账务明细'!$L$4:$L$3003,"订单收入")+SUMIFS('[1]粘贴_账务明细'!$K$4:$K$3003,'[1]粘贴_账务明细'!$A$4:$A$3003,$B203,'[1]粘贴_账务明细'!$L$4:$L$3003,"优惠券结算"))</f>
      </c>
      <c r="E203" s="11">
        <f t="shared" si="0"/>
      </c>
      <c r="F203" s="11">
        <f>IF($L203="","",-SUMIFS('[1]粘贴_账务明细'!$K$4:$K$3003,'[1]粘贴_账务明细'!$A$4:$A$3003,$B203,'[1]粘贴_账务明细'!$L$4:$L$3003,"百亿补贴技术服务费"))</f>
      </c>
      <c r="G203" s="11">
        <f>IF($L203="","",SUMIFS('[1]粘贴_服务费返还'!$M$4:$M$3003,'[1]粘贴_服务费返还'!$N$4:$N$3003,$B203,'[1]粘贴_服务费返还'!$O$4:$O$3003,"返还"))</f>
      </c>
      <c r="H203" s="11">
        <f>IF($L203="","",SUMIFS('[1]粘贴_服务费返还'!$M$4:$M$3003,'[1]粘贴_服务费返还'!$N$4:$N$3003,$B203,'[1]粘贴_服务费返还'!$O$4:$O$3003,"扣回"))</f>
      </c>
      <c r="I203" s="11">
        <f t="shared" si="1"/>
      </c>
      <c r="J203" s="6">
        <f t="shared" si="2"/>
      </c>
      <c r="K203" s="10">
        <f t="shared" si="3"/>
      </c>
      <c r="L203" s="17">
        <f>IF(A203&gt;$H$5,"",MATCH(A203,'[1]粘贴_账务明细'!$O$4:$O$3003,0))</f>
      </c>
    </row>
    <row r="204">
      <c r="A204" s="10" t="n">
        <v>176</v>
      </c>
      <c r="B204" s="6">
        <f>IF($L204="","",INDEX('[1]粘贴_账务明细'!$A$4:$A$3003,$L204))</f>
      </c>
      <c r="C204" s="16">
        <f>IF($L204="","",INDEX('[1]粘贴_账务明细'!$H$4:$H$3003,$L204))</f>
      </c>
      <c r="D204" s="11">
        <f>IF($L204="","",SUMIFS('[1]粘贴_账务明细'!$K$4:$K$3003,'[1]粘贴_账务明细'!$A$4:$A$3003,$B204,'[1]粘贴_账务明细'!$L$4:$L$3003,"订单收入")+SUMIFS('[1]粘贴_账务明细'!$K$4:$K$3003,'[1]粘贴_账务明细'!$A$4:$A$3003,$B204,'[1]粘贴_账务明细'!$L$4:$L$3003,"优惠券结算"))</f>
      </c>
      <c r="E204" s="11">
        <f t="shared" si="0"/>
      </c>
      <c r="F204" s="11">
        <f>IF($L204="","",-SUMIFS('[1]粘贴_账务明细'!$K$4:$K$3003,'[1]粘贴_账务明细'!$A$4:$A$3003,$B204,'[1]粘贴_账务明细'!$L$4:$L$3003,"百亿补贴技术服务费"))</f>
      </c>
      <c r="G204" s="11">
        <f>IF($L204="","",SUMIFS('[1]粘贴_服务费返还'!$M$4:$M$3003,'[1]粘贴_服务费返还'!$N$4:$N$3003,$B204,'[1]粘贴_服务费返还'!$O$4:$O$3003,"返还"))</f>
      </c>
      <c r="H204" s="11">
        <f>IF($L204="","",SUMIFS('[1]粘贴_服务费返还'!$M$4:$M$3003,'[1]粘贴_服务费返还'!$N$4:$N$3003,$B204,'[1]粘贴_服务费返还'!$O$4:$O$3003,"扣回"))</f>
      </c>
      <c r="I204" s="11">
        <f t="shared" si="1"/>
      </c>
      <c r="J204" s="6">
        <f t="shared" si="2"/>
      </c>
      <c r="K204" s="10">
        <f t="shared" si="3"/>
      </c>
      <c r="L204" s="17">
        <f>IF(A204&gt;$H$5,"",MATCH(A204,'[1]粘贴_账务明细'!$O$4:$O$3003,0))</f>
      </c>
    </row>
    <row r="205">
      <c r="A205" s="10" t="n">
        <v>177</v>
      </c>
      <c r="B205" s="6">
        <f>IF($L205="","",INDEX('[1]粘贴_账务明细'!$A$4:$A$3003,$L205))</f>
      </c>
      <c r="C205" s="16">
        <f>IF($L205="","",INDEX('[1]粘贴_账务明细'!$H$4:$H$3003,$L205))</f>
      </c>
      <c r="D205" s="11">
        <f>IF($L205="","",SUMIFS('[1]粘贴_账务明细'!$K$4:$K$3003,'[1]粘贴_账务明细'!$A$4:$A$3003,$B205,'[1]粘贴_账务明细'!$L$4:$L$3003,"订单收入")+SUMIFS('[1]粘贴_账务明细'!$K$4:$K$3003,'[1]粘贴_账务明细'!$A$4:$A$3003,$B205,'[1]粘贴_账务明细'!$L$4:$L$3003,"优惠券结算"))</f>
      </c>
      <c r="E205" s="11">
        <f t="shared" si="0"/>
      </c>
      <c r="F205" s="11">
        <f>IF($L205="","",-SUMIFS('[1]粘贴_账务明细'!$K$4:$K$3003,'[1]粘贴_账务明细'!$A$4:$A$3003,$B205,'[1]粘贴_账务明细'!$L$4:$L$3003,"百亿补贴技术服务费"))</f>
      </c>
      <c r="G205" s="11">
        <f>IF($L205="","",SUMIFS('[1]粘贴_服务费返还'!$M$4:$M$3003,'[1]粘贴_服务费返还'!$N$4:$N$3003,$B205,'[1]粘贴_服务费返还'!$O$4:$O$3003,"返还"))</f>
      </c>
      <c r="H205" s="11">
        <f>IF($L205="","",SUMIFS('[1]粘贴_服务费返还'!$M$4:$M$3003,'[1]粘贴_服务费返还'!$N$4:$N$3003,$B205,'[1]粘贴_服务费返还'!$O$4:$O$3003,"扣回"))</f>
      </c>
      <c r="I205" s="11">
        <f t="shared" si="1"/>
      </c>
      <c r="J205" s="6">
        <f t="shared" si="2"/>
      </c>
      <c r="K205" s="10">
        <f t="shared" si="3"/>
      </c>
      <c r="L205" s="17">
        <f>IF(A205&gt;$H$5,"",MATCH(A205,'[1]粘贴_账务明细'!$O$4:$O$3003,0))</f>
      </c>
    </row>
    <row r="206">
      <c r="A206" s="10" t="n">
        <v>178</v>
      </c>
      <c r="B206" s="6">
        <f>IF($L206="","",INDEX('[1]粘贴_账务明细'!$A$4:$A$3003,$L206))</f>
      </c>
      <c r="C206" s="16">
        <f>IF($L206="","",INDEX('[1]粘贴_账务明细'!$H$4:$H$3003,$L206))</f>
      </c>
      <c r="D206" s="11">
        <f>IF($L206="","",SUMIFS('[1]粘贴_账务明细'!$K$4:$K$3003,'[1]粘贴_账务明细'!$A$4:$A$3003,$B206,'[1]粘贴_账务明细'!$L$4:$L$3003,"订单收入")+SUMIFS('[1]粘贴_账务明细'!$K$4:$K$3003,'[1]粘贴_账务明细'!$A$4:$A$3003,$B206,'[1]粘贴_账务明细'!$L$4:$L$3003,"优惠券结算"))</f>
      </c>
      <c r="E206" s="11">
        <f t="shared" si="0"/>
      </c>
      <c r="F206" s="11">
        <f>IF($L206="","",-SUMIFS('[1]粘贴_账务明细'!$K$4:$K$3003,'[1]粘贴_账务明细'!$A$4:$A$3003,$B206,'[1]粘贴_账务明细'!$L$4:$L$3003,"百亿补贴技术服务费"))</f>
      </c>
      <c r="G206" s="11">
        <f>IF($L206="","",SUMIFS('[1]粘贴_服务费返还'!$M$4:$M$3003,'[1]粘贴_服务费返还'!$N$4:$N$3003,$B206,'[1]粘贴_服务费返还'!$O$4:$O$3003,"返还"))</f>
      </c>
      <c r="H206" s="11">
        <f>IF($L206="","",SUMIFS('[1]粘贴_服务费返还'!$M$4:$M$3003,'[1]粘贴_服务费返还'!$N$4:$N$3003,$B206,'[1]粘贴_服务费返还'!$O$4:$O$3003,"扣回"))</f>
      </c>
      <c r="I206" s="11">
        <f t="shared" si="1"/>
      </c>
      <c r="J206" s="6">
        <f t="shared" si="2"/>
      </c>
      <c r="K206" s="10">
        <f t="shared" si="3"/>
      </c>
      <c r="L206" s="17">
        <f>IF(A206&gt;$H$5,"",MATCH(A206,'[1]粘贴_账务明细'!$O$4:$O$3003,0))</f>
      </c>
    </row>
    <row r="207">
      <c r="A207" s="10" t="n">
        <v>179</v>
      </c>
      <c r="B207" s="6">
        <f>IF($L207="","",INDEX('[1]粘贴_账务明细'!$A$4:$A$3003,$L207))</f>
      </c>
      <c r="C207" s="16">
        <f>IF($L207="","",INDEX('[1]粘贴_账务明细'!$H$4:$H$3003,$L207))</f>
      </c>
      <c r="D207" s="11">
        <f>IF($L207="","",SUMIFS('[1]粘贴_账务明细'!$K$4:$K$3003,'[1]粘贴_账务明细'!$A$4:$A$3003,$B207,'[1]粘贴_账务明细'!$L$4:$L$3003,"订单收入")+SUMIFS('[1]粘贴_账务明细'!$K$4:$K$3003,'[1]粘贴_账务明细'!$A$4:$A$3003,$B207,'[1]粘贴_账务明细'!$L$4:$L$3003,"优惠券结算"))</f>
      </c>
      <c r="E207" s="11">
        <f t="shared" si="0"/>
      </c>
      <c r="F207" s="11">
        <f>IF($L207="","",-SUMIFS('[1]粘贴_账务明细'!$K$4:$K$3003,'[1]粘贴_账务明细'!$A$4:$A$3003,$B207,'[1]粘贴_账务明细'!$L$4:$L$3003,"百亿补贴技术服务费"))</f>
      </c>
      <c r="G207" s="11">
        <f>IF($L207="","",SUMIFS('[1]粘贴_服务费返还'!$M$4:$M$3003,'[1]粘贴_服务费返还'!$N$4:$N$3003,$B207,'[1]粘贴_服务费返还'!$O$4:$O$3003,"返还"))</f>
      </c>
      <c r="H207" s="11">
        <f>IF($L207="","",SUMIFS('[1]粘贴_服务费返还'!$M$4:$M$3003,'[1]粘贴_服务费返还'!$N$4:$N$3003,$B207,'[1]粘贴_服务费返还'!$O$4:$O$3003,"扣回"))</f>
      </c>
      <c r="I207" s="11">
        <f t="shared" si="1"/>
      </c>
      <c r="J207" s="6">
        <f t="shared" si="2"/>
      </c>
      <c r="K207" s="10">
        <f t="shared" si="3"/>
      </c>
      <c r="L207" s="17">
        <f>IF(A207&gt;$H$5,"",MATCH(A207,'[1]粘贴_账务明细'!$O$4:$O$3003,0))</f>
      </c>
    </row>
    <row r="208">
      <c r="A208" s="10" t="n">
        <v>180</v>
      </c>
      <c r="B208" s="6">
        <f>IF($L208="","",INDEX('[1]粘贴_账务明细'!$A$4:$A$3003,$L208))</f>
      </c>
      <c r="C208" s="16">
        <f>IF($L208="","",INDEX('[1]粘贴_账务明细'!$H$4:$H$3003,$L208))</f>
      </c>
      <c r="D208" s="11">
        <f>IF($L208="","",SUMIFS('[1]粘贴_账务明细'!$K$4:$K$3003,'[1]粘贴_账务明细'!$A$4:$A$3003,$B208,'[1]粘贴_账务明细'!$L$4:$L$3003,"订单收入")+SUMIFS('[1]粘贴_账务明细'!$K$4:$K$3003,'[1]粘贴_账务明细'!$A$4:$A$3003,$B208,'[1]粘贴_账务明细'!$L$4:$L$3003,"优惠券结算"))</f>
      </c>
      <c r="E208" s="11">
        <f t="shared" si="0"/>
      </c>
      <c r="F208" s="11">
        <f>IF($L208="","",-SUMIFS('[1]粘贴_账务明细'!$K$4:$K$3003,'[1]粘贴_账务明细'!$A$4:$A$3003,$B208,'[1]粘贴_账务明细'!$L$4:$L$3003,"百亿补贴技术服务费"))</f>
      </c>
      <c r="G208" s="11">
        <f>IF($L208="","",SUMIFS('[1]粘贴_服务费返还'!$M$4:$M$3003,'[1]粘贴_服务费返还'!$N$4:$N$3003,$B208,'[1]粘贴_服务费返还'!$O$4:$O$3003,"返还"))</f>
      </c>
      <c r="H208" s="11">
        <f>IF($L208="","",SUMIFS('[1]粘贴_服务费返还'!$M$4:$M$3003,'[1]粘贴_服务费返还'!$N$4:$N$3003,$B208,'[1]粘贴_服务费返还'!$O$4:$O$3003,"扣回"))</f>
      </c>
      <c r="I208" s="11">
        <f t="shared" si="1"/>
      </c>
      <c r="J208" s="6">
        <f t="shared" si="2"/>
      </c>
      <c r="K208" s="10">
        <f t="shared" si="3"/>
      </c>
      <c r="L208" s="17">
        <f>IF(A208&gt;$H$5,"",MATCH(A208,'[1]粘贴_账务明细'!$O$4:$O$3003,0))</f>
      </c>
    </row>
    <row r="209">
      <c r="A209" s="10" t="n">
        <v>181</v>
      </c>
      <c r="B209" s="6">
        <f>IF($L209="","",INDEX('[1]粘贴_账务明细'!$A$4:$A$3003,$L209))</f>
      </c>
      <c r="C209" s="16">
        <f>IF($L209="","",INDEX('[1]粘贴_账务明细'!$H$4:$H$3003,$L209))</f>
      </c>
      <c r="D209" s="11">
        <f>IF($L209="","",SUMIFS('[1]粘贴_账务明细'!$K$4:$K$3003,'[1]粘贴_账务明细'!$A$4:$A$3003,$B209,'[1]粘贴_账务明细'!$L$4:$L$3003,"订单收入")+SUMIFS('[1]粘贴_账务明细'!$K$4:$K$3003,'[1]粘贴_账务明细'!$A$4:$A$3003,$B209,'[1]粘贴_账务明细'!$L$4:$L$3003,"优惠券结算"))</f>
      </c>
      <c r="E209" s="11">
        <f t="shared" si="0"/>
      </c>
      <c r="F209" s="11">
        <f>IF($L209="","",-SUMIFS('[1]粘贴_账务明细'!$K$4:$K$3003,'[1]粘贴_账务明细'!$A$4:$A$3003,$B209,'[1]粘贴_账务明细'!$L$4:$L$3003,"百亿补贴技术服务费"))</f>
      </c>
      <c r="G209" s="11">
        <f>IF($L209="","",SUMIFS('[1]粘贴_服务费返还'!$M$4:$M$3003,'[1]粘贴_服务费返还'!$N$4:$N$3003,$B209,'[1]粘贴_服务费返还'!$O$4:$O$3003,"返还"))</f>
      </c>
      <c r="H209" s="11">
        <f>IF($L209="","",SUMIFS('[1]粘贴_服务费返还'!$M$4:$M$3003,'[1]粘贴_服务费返还'!$N$4:$N$3003,$B209,'[1]粘贴_服务费返还'!$O$4:$O$3003,"扣回"))</f>
      </c>
      <c r="I209" s="11">
        <f t="shared" si="1"/>
      </c>
      <c r="J209" s="6">
        <f t="shared" si="2"/>
      </c>
      <c r="K209" s="10">
        <f t="shared" si="3"/>
      </c>
      <c r="L209" s="17">
        <f>IF(A209&gt;$H$5,"",MATCH(A209,'[1]粘贴_账务明细'!$O$4:$O$3003,0))</f>
      </c>
    </row>
    <row r="210">
      <c r="A210" s="10" t="n">
        <v>182</v>
      </c>
      <c r="B210" s="6">
        <f>IF($L210="","",INDEX('[1]粘贴_账务明细'!$A$4:$A$3003,$L210))</f>
      </c>
      <c r="C210" s="16">
        <f>IF($L210="","",INDEX('[1]粘贴_账务明细'!$H$4:$H$3003,$L210))</f>
      </c>
      <c r="D210" s="11">
        <f>IF($L210="","",SUMIFS('[1]粘贴_账务明细'!$K$4:$K$3003,'[1]粘贴_账务明细'!$A$4:$A$3003,$B210,'[1]粘贴_账务明细'!$L$4:$L$3003,"订单收入")+SUMIFS('[1]粘贴_账务明细'!$K$4:$K$3003,'[1]粘贴_账务明细'!$A$4:$A$3003,$B210,'[1]粘贴_账务明细'!$L$4:$L$3003,"优惠券结算"))</f>
      </c>
      <c r="E210" s="11">
        <f t="shared" si="0"/>
      </c>
      <c r="F210" s="11">
        <f>IF($L210="","",-SUMIFS('[1]粘贴_账务明细'!$K$4:$K$3003,'[1]粘贴_账务明细'!$A$4:$A$3003,$B210,'[1]粘贴_账务明细'!$L$4:$L$3003,"百亿补贴技术服务费"))</f>
      </c>
      <c r="G210" s="11">
        <f>IF($L210="","",SUMIFS('[1]粘贴_服务费返还'!$M$4:$M$3003,'[1]粘贴_服务费返还'!$N$4:$N$3003,$B210,'[1]粘贴_服务费返还'!$O$4:$O$3003,"返还"))</f>
      </c>
      <c r="H210" s="11">
        <f>IF($L210="","",SUMIFS('[1]粘贴_服务费返还'!$M$4:$M$3003,'[1]粘贴_服务费返还'!$N$4:$N$3003,$B210,'[1]粘贴_服务费返还'!$O$4:$O$3003,"扣回"))</f>
      </c>
      <c r="I210" s="11">
        <f t="shared" si="1"/>
      </c>
      <c r="J210" s="6">
        <f t="shared" si="2"/>
      </c>
      <c r="K210" s="10">
        <f t="shared" si="3"/>
      </c>
      <c r="L210" s="17">
        <f>IF(A210&gt;$H$5,"",MATCH(A210,'[1]粘贴_账务明细'!$O$4:$O$3003,0))</f>
      </c>
    </row>
    <row r="211">
      <c r="A211" s="10" t="n">
        <v>183</v>
      </c>
      <c r="B211" s="6">
        <f>IF($L211="","",INDEX('[1]粘贴_账务明细'!$A$4:$A$3003,$L211))</f>
      </c>
      <c r="C211" s="16">
        <f>IF($L211="","",INDEX('[1]粘贴_账务明细'!$H$4:$H$3003,$L211))</f>
      </c>
      <c r="D211" s="11">
        <f>IF($L211="","",SUMIFS('[1]粘贴_账务明细'!$K$4:$K$3003,'[1]粘贴_账务明细'!$A$4:$A$3003,$B211,'[1]粘贴_账务明细'!$L$4:$L$3003,"订单收入")+SUMIFS('[1]粘贴_账务明细'!$K$4:$K$3003,'[1]粘贴_账务明细'!$A$4:$A$3003,$B211,'[1]粘贴_账务明细'!$L$4:$L$3003,"优惠券结算"))</f>
      </c>
      <c r="E211" s="11">
        <f t="shared" si="0"/>
      </c>
      <c r="F211" s="11">
        <f>IF($L211="","",-SUMIFS('[1]粘贴_账务明细'!$K$4:$K$3003,'[1]粘贴_账务明细'!$A$4:$A$3003,$B211,'[1]粘贴_账务明细'!$L$4:$L$3003,"百亿补贴技术服务费"))</f>
      </c>
      <c r="G211" s="11">
        <f>IF($L211="","",SUMIFS('[1]粘贴_服务费返还'!$M$4:$M$3003,'[1]粘贴_服务费返还'!$N$4:$N$3003,$B211,'[1]粘贴_服务费返还'!$O$4:$O$3003,"返还"))</f>
      </c>
      <c r="H211" s="11">
        <f>IF($L211="","",SUMIFS('[1]粘贴_服务费返还'!$M$4:$M$3003,'[1]粘贴_服务费返还'!$N$4:$N$3003,$B211,'[1]粘贴_服务费返还'!$O$4:$O$3003,"扣回"))</f>
      </c>
      <c r="I211" s="11">
        <f t="shared" si="1"/>
      </c>
      <c r="J211" s="6">
        <f t="shared" si="2"/>
      </c>
      <c r="K211" s="10">
        <f t="shared" si="3"/>
      </c>
      <c r="L211" s="17">
        <f>IF(A211&gt;$H$5,"",MATCH(A211,'[1]粘贴_账务明细'!$O$4:$O$3003,0))</f>
      </c>
    </row>
    <row r="212">
      <c r="A212" s="10" t="n">
        <v>184</v>
      </c>
      <c r="B212" s="6">
        <f>IF($L212="","",INDEX('[1]粘贴_账务明细'!$A$4:$A$3003,$L212))</f>
      </c>
      <c r="C212" s="16">
        <f>IF($L212="","",INDEX('[1]粘贴_账务明细'!$H$4:$H$3003,$L212))</f>
      </c>
      <c r="D212" s="11">
        <f>IF($L212="","",SUMIFS('[1]粘贴_账务明细'!$K$4:$K$3003,'[1]粘贴_账务明细'!$A$4:$A$3003,$B212,'[1]粘贴_账务明细'!$L$4:$L$3003,"订单收入")+SUMIFS('[1]粘贴_账务明细'!$K$4:$K$3003,'[1]粘贴_账务明细'!$A$4:$A$3003,$B212,'[1]粘贴_账务明细'!$L$4:$L$3003,"优惠券结算"))</f>
      </c>
      <c r="E212" s="11">
        <f t="shared" si="0"/>
      </c>
      <c r="F212" s="11">
        <f>IF($L212="","",-SUMIFS('[1]粘贴_账务明细'!$K$4:$K$3003,'[1]粘贴_账务明细'!$A$4:$A$3003,$B212,'[1]粘贴_账务明细'!$L$4:$L$3003,"百亿补贴技术服务费"))</f>
      </c>
      <c r="G212" s="11">
        <f>IF($L212="","",SUMIFS('[1]粘贴_服务费返还'!$M$4:$M$3003,'[1]粘贴_服务费返还'!$N$4:$N$3003,$B212,'[1]粘贴_服务费返还'!$O$4:$O$3003,"返还"))</f>
      </c>
      <c r="H212" s="11">
        <f>IF($L212="","",SUMIFS('[1]粘贴_服务费返还'!$M$4:$M$3003,'[1]粘贴_服务费返还'!$N$4:$N$3003,$B212,'[1]粘贴_服务费返还'!$O$4:$O$3003,"扣回"))</f>
      </c>
      <c r="I212" s="11">
        <f t="shared" si="1"/>
      </c>
      <c r="J212" s="6">
        <f t="shared" si="2"/>
      </c>
      <c r="K212" s="10">
        <f t="shared" si="3"/>
      </c>
      <c r="L212" s="17">
        <f>IF(A212&gt;$H$5,"",MATCH(A212,'[1]粘贴_账务明细'!$O$4:$O$3003,0))</f>
      </c>
    </row>
    <row r="213">
      <c r="A213" s="10" t="n">
        <v>185</v>
      </c>
      <c r="B213" s="6">
        <f>IF($L213="","",INDEX('[1]粘贴_账务明细'!$A$4:$A$3003,$L213))</f>
      </c>
      <c r="C213" s="16">
        <f>IF($L213="","",INDEX('[1]粘贴_账务明细'!$H$4:$H$3003,$L213))</f>
      </c>
      <c r="D213" s="11">
        <f>IF($L213="","",SUMIFS('[1]粘贴_账务明细'!$K$4:$K$3003,'[1]粘贴_账务明细'!$A$4:$A$3003,$B213,'[1]粘贴_账务明细'!$L$4:$L$3003,"订单收入")+SUMIFS('[1]粘贴_账务明细'!$K$4:$K$3003,'[1]粘贴_账务明细'!$A$4:$A$3003,$B213,'[1]粘贴_账务明细'!$L$4:$L$3003,"优惠券结算"))</f>
      </c>
      <c r="E213" s="11">
        <f t="shared" si="0"/>
      </c>
      <c r="F213" s="11">
        <f>IF($L213="","",-SUMIFS('[1]粘贴_账务明细'!$K$4:$K$3003,'[1]粘贴_账务明细'!$A$4:$A$3003,$B213,'[1]粘贴_账务明细'!$L$4:$L$3003,"百亿补贴技术服务费"))</f>
      </c>
      <c r="G213" s="11">
        <f>IF($L213="","",SUMIFS('[1]粘贴_服务费返还'!$M$4:$M$3003,'[1]粘贴_服务费返还'!$N$4:$N$3003,$B213,'[1]粘贴_服务费返还'!$O$4:$O$3003,"返还"))</f>
      </c>
      <c r="H213" s="11">
        <f>IF($L213="","",SUMIFS('[1]粘贴_服务费返还'!$M$4:$M$3003,'[1]粘贴_服务费返还'!$N$4:$N$3003,$B213,'[1]粘贴_服务费返还'!$O$4:$O$3003,"扣回"))</f>
      </c>
      <c r="I213" s="11">
        <f t="shared" si="1"/>
      </c>
      <c r="J213" s="6">
        <f t="shared" si="2"/>
      </c>
      <c r="K213" s="10">
        <f t="shared" si="3"/>
      </c>
      <c r="L213" s="17">
        <f>IF(A213&gt;$H$5,"",MATCH(A213,'[1]粘贴_账务明细'!$O$4:$O$3003,0))</f>
      </c>
    </row>
    <row r="214">
      <c r="A214" s="10" t="n">
        <v>186</v>
      </c>
      <c r="B214" s="6">
        <f>IF($L214="","",INDEX('[1]粘贴_账务明细'!$A$4:$A$3003,$L214))</f>
      </c>
      <c r="C214" s="16">
        <f>IF($L214="","",INDEX('[1]粘贴_账务明细'!$H$4:$H$3003,$L214))</f>
      </c>
      <c r="D214" s="11">
        <f>IF($L214="","",SUMIFS('[1]粘贴_账务明细'!$K$4:$K$3003,'[1]粘贴_账务明细'!$A$4:$A$3003,$B214,'[1]粘贴_账务明细'!$L$4:$L$3003,"订单收入")+SUMIFS('[1]粘贴_账务明细'!$K$4:$K$3003,'[1]粘贴_账务明细'!$A$4:$A$3003,$B214,'[1]粘贴_账务明细'!$L$4:$L$3003,"优惠券结算"))</f>
      </c>
      <c r="E214" s="11">
        <f t="shared" si="0"/>
      </c>
      <c r="F214" s="11">
        <f>IF($L214="","",-SUMIFS('[1]粘贴_账务明细'!$K$4:$K$3003,'[1]粘贴_账务明细'!$A$4:$A$3003,$B214,'[1]粘贴_账务明细'!$L$4:$L$3003,"百亿补贴技术服务费"))</f>
      </c>
      <c r="G214" s="11">
        <f>IF($L214="","",SUMIFS('[1]粘贴_服务费返还'!$M$4:$M$3003,'[1]粘贴_服务费返还'!$N$4:$N$3003,$B214,'[1]粘贴_服务费返还'!$O$4:$O$3003,"返还"))</f>
      </c>
      <c r="H214" s="11">
        <f>IF($L214="","",SUMIFS('[1]粘贴_服务费返还'!$M$4:$M$3003,'[1]粘贴_服务费返还'!$N$4:$N$3003,$B214,'[1]粘贴_服务费返还'!$O$4:$O$3003,"扣回"))</f>
      </c>
      <c r="I214" s="11">
        <f t="shared" si="1"/>
      </c>
      <c r="J214" s="6">
        <f t="shared" si="2"/>
      </c>
      <c r="K214" s="10">
        <f t="shared" si="3"/>
      </c>
      <c r="L214" s="17">
        <f>IF(A214&gt;$H$5,"",MATCH(A214,'[1]粘贴_账务明细'!$O$4:$O$3003,0))</f>
      </c>
    </row>
    <row r="215">
      <c r="A215" s="10" t="n">
        <v>187</v>
      </c>
      <c r="B215" s="6">
        <f>IF($L215="","",INDEX('[1]粘贴_账务明细'!$A$4:$A$3003,$L215))</f>
      </c>
      <c r="C215" s="16">
        <f>IF($L215="","",INDEX('[1]粘贴_账务明细'!$H$4:$H$3003,$L215))</f>
      </c>
      <c r="D215" s="11">
        <f>IF($L215="","",SUMIFS('[1]粘贴_账务明细'!$K$4:$K$3003,'[1]粘贴_账务明细'!$A$4:$A$3003,$B215,'[1]粘贴_账务明细'!$L$4:$L$3003,"订单收入")+SUMIFS('[1]粘贴_账务明细'!$K$4:$K$3003,'[1]粘贴_账务明细'!$A$4:$A$3003,$B215,'[1]粘贴_账务明细'!$L$4:$L$3003,"优惠券结算"))</f>
      </c>
      <c r="E215" s="11">
        <f t="shared" si="0"/>
      </c>
      <c r="F215" s="11">
        <f>IF($L215="","",-SUMIFS('[1]粘贴_账务明细'!$K$4:$K$3003,'[1]粘贴_账务明细'!$A$4:$A$3003,$B215,'[1]粘贴_账务明细'!$L$4:$L$3003,"百亿补贴技术服务费"))</f>
      </c>
      <c r="G215" s="11">
        <f>IF($L215="","",SUMIFS('[1]粘贴_服务费返还'!$M$4:$M$3003,'[1]粘贴_服务费返还'!$N$4:$N$3003,$B215,'[1]粘贴_服务费返还'!$O$4:$O$3003,"返还"))</f>
      </c>
      <c r="H215" s="11">
        <f>IF($L215="","",SUMIFS('[1]粘贴_服务费返还'!$M$4:$M$3003,'[1]粘贴_服务费返还'!$N$4:$N$3003,$B215,'[1]粘贴_服务费返还'!$O$4:$O$3003,"扣回"))</f>
      </c>
      <c r="I215" s="11">
        <f t="shared" si="1"/>
      </c>
      <c r="J215" s="6">
        <f t="shared" si="2"/>
      </c>
      <c r="K215" s="10">
        <f t="shared" si="3"/>
      </c>
      <c r="L215" s="17">
        <f>IF(A215&gt;$H$5,"",MATCH(A215,'[1]粘贴_账务明细'!$O$4:$O$3003,0))</f>
      </c>
    </row>
    <row r="216">
      <c r="A216" s="10" t="n">
        <v>188</v>
      </c>
      <c r="B216" s="6">
        <f>IF($L216="","",INDEX('[1]粘贴_账务明细'!$A$4:$A$3003,$L216))</f>
      </c>
      <c r="C216" s="16">
        <f>IF($L216="","",INDEX('[1]粘贴_账务明细'!$H$4:$H$3003,$L216))</f>
      </c>
      <c r="D216" s="11">
        <f>IF($L216="","",SUMIFS('[1]粘贴_账务明细'!$K$4:$K$3003,'[1]粘贴_账务明细'!$A$4:$A$3003,$B216,'[1]粘贴_账务明细'!$L$4:$L$3003,"订单收入")+SUMIFS('[1]粘贴_账务明细'!$K$4:$K$3003,'[1]粘贴_账务明细'!$A$4:$A$3003,$B216,'[1]粘贴_账务明细'!$L$4:$L$3003,"优惠券结算"))</f>
      </c>
      <c r="E216" s="11">
        <f t="shared" si="0"/>
      </c>
      <c r="F216" s="11">
        <f>IF($L216="","",-SUMIFS('[1]粘贴_账务明细'!$K$4:$K$3003,'[1]粘贴_账务明细'!$A$4:$A$3003,$B216,'[1]粘贴_账务明细'!$L$4:$L$3003,"百亿补贴技术服务费"))</f>
      </c>
      <c r="G216" s="11">
        <f>IF($L216="","",SUMIFS('[1]粘贴_服务费返还'!$M$4:$M$3003,'[1]粘贴_服务费返还'!$N$4:$N$3003,$B216,'[1]粘贴_服务费返还'!$O$4:$O$3003,"返还"))</f>
      </c>
      <c r="H216" s="11">
        <f>IF($L216="","",SUMIFS('[1]粘贴_服务费返还'!$M$4:$M$3003,'[1]粘贴_服务费返还'!$N$4:$N$3003,$B216,'[1]粘贴_服务费返还'!$O$4:$O$3003,"扣回"))</f>
      </c>
      <c r="I216" s="11">
        <f t="shared" si="1"/>
      </c>
      <c r="J216" s="6">
        <f t="shared" si="2"/>
      </c>
      <c r="K216" s="10">
        <f t="shared" si="3"/>
      </c>
      <c r="L216" s="17">
        <f>IF(A216&gt;$H$5,"",MATCH(A216,'[1]粘贴_账务明细'!$O$4:$O$3003,0))</f>
      </c>
    </row>
    <row r="217">
      <c r="A217" s="10" t="n">
        <v>189</v>
      </c>
      <c r="B217" s="6">
        <f>IF($L217="","",INDEX('[1]粘贴_账务明细'!$A$4:$A$3003,$L217))</f>
      </c>
      <c r="C217" s="16">
        <f>IF($L217="","",INDEX('[1]粘贴_账务明细'!$H$4:$H$3003,$L217))</f>
      </c>
      <c r="D217" s="11">
        <f>IF($L217="","",SUMIFS('[1]粘贴_账务明细'!$K$4:$K$3003,'[1]粘贴_账务明细'!$A$4:$A$3003,$B217,'[1]粘贴_账务明细'!$L$4:$L$3003,"订单收入")+SUMIFS('[1]粘贴_账务明细'!$K$4:$K$3003,'[1]粘贴_账务明细'!$A$4:$A$3003,$B217,'[1]粘贴_账务明细'!$L$4:$L$3003,"优惠券结算"))</f>
      </c>
      <c r="E217" s="11">
        <f t="shared" si="0"/>
      </c>
      <c r="F217" s="11">
        <f>IF($L217="","",-SUMIFS('[1]粘贴_账务明细'!$K$4:$K$3003,'[1]粘贴_账务明细'!$A$4:$A$3003,$B217,'[1]粘贴_账务明细'!$L$4:$L$3003,"百亿补贴技术服务费"))</f>
      </c>
      <c r="G217" s="11">
        <f>IF($L217="","",SUMIFS('[1]粘贴_服务费返还'!$M$4:$M$3003,'[1]粘贴_服务费返还'!$N$4:$N$3003,$B217,'[1]粘贴_服务费返还'!$O$4:$O$3003,"返还"))</f>
      </c>
      <c r="H217" s="11">
        <f>IF($L217="","",SUMIFS('[1]粘贴_服务费返还'!$M$4:$M$3003,'[1]粘贴_服务费返还'!$N$4:$N$3003,$B217,'[1]粘贴_服务费返还'!$O$4:$O$3003,"扣回"))</f>
      </c>
      <c r="I217" s="11">
        <f t="shared" si="1"/>
      </c>
      <c r="J217" s="6">
        <f t="shared" si="2"/>
      </c>
      <c r="K217" s="10">
        <f t="shared" si="3"/>
      </c>
      <c r="L217" s="17">
        <f>IF(A217&gt;$H$5,"",MATCH(A217,'[1]粘贴_账务明细'!$O$4:$O$3003,0))</f>
      </c>
    </row>
    <row r="218">
      <c r="A218" s="10" t="n">
        <v>190</v>
      </c>
      <c r="B218" s="6">
        <f>IF($L218="","",INDEX('[1]粘贴_账务明细'!$A$4:$A$3003,$L218))</f>
      </c>
      <c r="C218" s="16">
        <f>IF($L218="","",INDEX('[1]粘贴_账务明细'!$H$4:$H$3003,$L218))</f>
      </c>
      <c r="D218" s="11">
        <f>IF($L218="","",SUMIFS('[1]粘贴_账务明细'!$K$4:$K$3003,'[1]粘贴_账务明细'!$A$4:$A$3003,$B218,'[1]粘贴_账务明细'!$L$4:$L$3003,"订单收入")+SUMIFS('[1]粘贴_账务明细'!$K$4:$K$3003,'[1]粘贴_账务明细'!$A$4:$A$3003,$B218,'[1]粘贴_账务明细'!$L$4:$L$3003,"优惠券结算"))</f>
      </c>
      <c r="E218" s="11">
        <f t="shared" si="0"/>
      </c>
      <c r="F218" s="11">
        <f>IF($L218="","",-SUMIFS('[1]粘贴_账务明细'!$K$4:$K$3003,'[1]粘贴_账务明细'!$A$4:$A$3003,$B218,'[1]粘贴_账务明细'!$L$4:$L$3003,"百亿补贴技术服务费"))</f>
      </c>
      <c r="G218" s="11">
        <f>IF($L218="","",SUMIFS('[1]粘贴_服务费返还'!$M$4:$M$3003,'[1]粘贴_服务费返还'!$N$4:$N$3003,$B218,'[1]粘贴_服务费返还'!$O$4:$O$3003,"返还"))</f>
      </c>
      <c r="H218" s="11">
        <f>IF($L218="","",SUMIFS('[1]粘贴_服务费返还'!$M$4:$M$3003,'[1]粘贴_服务费返还'!$N$4:$N$3003,$B218,'[1]粘贴_服务费返还'!$O$4:$O$3003,"扣回"))</f>
      </c>
      <c r="I218" s="11">
        <f t="shared" si="1"/>
      </c>
      <c r="J218" s="6">
        <f t="shared" si="2"/>
      </c>
      <c r="K218" s="10">
        <f t="shared" si="3"/>
      </c>
      <c r="L218" s="17">
        <f>IF(A218&gt;$H$5,"",MATCH(A218,'[1]粘贴_账务明细'!$O$4:$O$3003,0))</f>
      </c>
    </row>
    <row r="219">
      <c r="A219" s="10" t="n">
        <v>191</v>
      </c>
      <c r="B219" s="6">
        <f>IF($L219="","",INDEX('[1]粘贴_账务明细'!$A$4:$A$3003,$L219))</f>
      </c>
      <c r="C219" s="16">
        <f>IF($L219="","",INDEX('[1]粘贴_账务明细'!$H$4:$H$3003,$L219))</f>
      </c>
      <c r="D219" s="11">
        <f>IF($L219="","",SUMIFS('[1]粘贴_账务明细'!$K$4:$K$3003,'[1]粘贴_账务明细'!$A$4:$A$3003,$B219,'[1]粘贴_账务明细'!$L$4:$L$3003,"订单收入")+SUMIFS('[1]粘贴_账务明细'!$K$4:$K$3003,'[1]粘贴_账务明细'!$A$4:$A$3003,$B219,'[1]粘贴_账务明细'!$L$4:$L$3003,"优惠券结算"))</f>
      </c>
      <c r="E219" s="11">
        <f t="shared" si="0"/>
      </c>
      <c r="F219" s="11">
        <f>IF($L219="","",-SUMIFS('[1]粘贴_账务明细'!$K$4:$K$3003,'[1]粘贴_账务明细'!$A$4:$A$3003,$B219,'[1]粘贴_账务明细'!$L$4:$L$3003,"百亿补贴技术服务费"))</f>
      </c>
      <c r="G219" s="11">
        <f>IF($L219="","",SUMIFS('[1]粘贴_服务费返还'!$M$4:$M$3003,'[1]粘贴_服务费返还'!$N$4:$N$3003,$B219,'[1]粘贴_服务费返还'!$O$4:$O$3003,"返还"))</f>
      </c>
      <c r="H219" s="11">
        <f>IF($L219="","",SUMIFS('[1]粘贴_服务费返还'!$M$4:$M$3003,'[1]粘贴_服务费返还'!$N$4:$N$3003,$B219,'[1]粘贴_服务费返还'!$O$4:$O$3003,"扣回"))</f>
      </c>
      <c r="I219" s="11">
        <f t="shared" si="1"/>
      </c>
      <c r="J219" s="6">
        <f t="shared" si="2"/>
      </c>
      <c r="K219" s="10">
        <f t="shared" si="3"/>
      </c>
      <c r="L219" s="17">
        <f>IF(A219&gt;$H$5,"",MATCH(A219,'[1]粘贴_账务明细'!$O$4:$O$3003,0))</f>
      </c>
    </row>
    <row r="220">
      <c r="A220" s="10" t="n">
        <v>192</v>
      </c>
      <c r="B220" s="6">
        <f>IF($L220="","",INDEX('[1]粘贴_账务明细'!$A$4:$A$3003,$L220))</f>
      </c>
      <c r="C220" s="16">
        <f>IF($L220="","",INDEX('[1]粘贴_账务明细'!$H$4:$H$3003,$L220))</f>
      </c>
      <c r="D220" s="11">
        <f>IF($L220="","",SUMIFS('[1]粘贴_账务明细'!$K$4:$K$3003,'[1]粘贴_账务明细'!$A$4:$A$3003,$B220,'[1]粘贴_账务明细'!$L$4:$L$3003,"订单收入")+SUMIFS('[1]粘贴_账务明细'!$K$4:$K$3003,'[1]粘贴_账务明细'!$A$4:$A$3003,$B220,'[1]粘贴_账务明细'!$L$4:$L$3003,"优惠券结算"))</f>
      </c>
      <c r="E220" s="11">
        <f t="shared" si="0"/>
      </c>
      <c r="F220" s="11">
        <f>IF($L220="","",-SUMIFS('[1]粘贴_账务明细'!$K$4:$K$3003,'[1]粘贴_账务明细'!$A$4:$A$3003,$B220,'[1]粘贴_账务明细'!$L$4:$L$3003,"百亿补贴技术服务费"))</f>
      </c>
      <c r="G220" s="11">
        <f>IF($L220="","",SUMIFS('[1]粘贴_服务费返还'!$M$4:$M$3003,'[1]粘贴_服务费返还'!$N$4:$N$3003,$B220,'[1]粘贴_服务费返还'!$O$4:$O$3003,"返还"))</f>
      </c>
      <c r="H220" s="11">
        <f>IF($L220="","",SUMIFS('[1]粘贴_服务费返还'!$M$4:$M$3003,'[1]粘贴_服务费返还'!$N$4:$N$3003,$B220,'[1]粘贴_服务费返还'!$O$4:$O$3003,"扣回"))</f>
      </c>
      <c r="I220" s="11">
        <f t="shared" si="1"/>
      </c>
      <c r="J220" s="6">
        <f t="shared" si="2"/>
      </c>
      <c r="K220" s="10">
        <f t="shared" si="3"/>
      </c>
      <c r="L220" s="17">
        <f>IF(A220&gt;$H$5,"",MATCH(A220,'[1]粘贴_账务明细'!$O$4:$O$3003,0))</f>
      </c>
    </row>
    <row r="221">
      <c r="A221" s="10" t="n">
        <v>193</v>
      </c>
      <c r="B221" s="6">
        <f>IF($L221="","",INDEX('[1]粘贴_账务明细'!$A$4:$A$3003,$L221))</f>
      </c>
      <c r="C221" s="16">
        <f>IF($L221="","",INDEX('[1]粘贴_账务明细'!$H$4:$H$3003,$L221))</f>
      </c>
      <c r="D221" s="11">
        <f>IF($L221="","",SUMIFS('[1]粘贴_账务明细'!$K$4:$K$3003,'[1]粘贴_账务明细'!$A$4:$A$3003,$B221,'[1]粘贴_账务明细'!$L$4:$L$3003,"订单收入")+SUMIFS('[1]粘贴_账务明细'!$K$4:$K$3003,'[1]粘贴_账务明细'!$A$4:$A$3003,$B221,'[1]粘贴_账务明细'!$L$4:$L$3003,"优惠券结算"))</f>
      </c>
      <c r="E221" s="11">
        <f t="shared" si="0"/>
      </c>
      <c r="F221" s="11">
        <f>IF($L221="","",-SUMIFS('[1]粘贴_账务明细'!$K$4:$K$3003,'[1]粘贴_账务明细'!$A$4:$A$3003,$B221,'[1]粘贴_账务明细'!$L$4:$L$3003,"百亿补贴技术服务费"))</f>
      </c>
      <c r="G221" s="11">
        <f>IF($L221="","",SUMIFS('[1]粘贴_服务费返还'!$M$4:$M$3003,'[1]粘贴_服务费返还'!$N$4:$N$3003,$B221,'[1]粘贴_服务费返还'!$O$4:$O$3003,"返还"))</f>
      </c>
      <c r="H221" s="11">
        <f>IF($L221="","",SUMIFS('[1]粘贴_服务费返还'!$M$4:$M$3003,'[1]粘贴_服务费返还'!$N$4:$N$3003,$B221,'[1]粘贴_服务费返还'!$O$4:$O$3003,"扣回"))</f>
      </c>
      <c r="I221" s="11">
        <f t="shared" si="1"/>
      </c>
      <c r="J221" s="6">
        <f t="shared" si="2"/>
      </c>
      <c r="K221" s="10">
        <f t="shared" si="3"/>
      </c>
      <c r="L221" s="17">
        <f>IF(A221&gt;$H$5,"",MATCH(A221,'[1]粘贴_账务明细'!$O$4:$O$3003,0))</f>
      </c>
    </row>
    <row r="222">
      <c r="A222" s="10" t="n">
        <v>194</v>
      </c>
      <c r="B222" s="6">
        <f>IF($L222="","",INDEX('[1]粘贴_账务明细'!$A$4:$A$3003,$L222))</f>
      </c>
      <c r="C222" s="16">
        <f>IF($L222="","",INDEX('[1]粘贴_账务明细'!$H$4:$H$3003,$L222))</f>
      </c>
      <c r="D222" s="11">
        <f>IF($L222="","",SUMIFS('[1]粘贴_账务明细'!$K$4:$K$3003,'[1]粘贴_账务明细'!$A$4:$A$3003,$B222,'[1]粘贴_账务明细'!$L$4:$L$3003,"订单收入")+SUMIFS('[1]粘贴_账务明细'!$K$4:$K$3003,'[1]粘贴_账务明细'!$A$4:$A$3003,$B222,'[1]粘贴_账务明细'!$L$4:$L$3003,"优惠券结算"))</f>
      </c>
      <c r="E222" s="11">
        <f t="shared" si="0"/>
      </c>
      <c r="F222" s="11">
        <f>IF($L222="","",-SUMIFS('[1]粘贴_账务明细'!$K$4:$K$3003,'[1]粘贴_账务明细'!$A$4:$A$3003,$B222,'[1]粘贴_账务明细'!$L$4:$L$3003,"百亿补贴技术服务费"))</f>
      </c>
      <c r="G222" s="11">
        <f>IF($L222="","",SUMIFS('[1]粘贴_服务费返还'!$M$4:$M$3003,'[1]粘贴_服务费返还'!$N$4:$N$3003,$B222,'[1]粘贴_服务费返还'!$O$4:$O$3003,"返还"))</f>
      </c>
      <c r="H222" s="11">
        <f>IF($L222="","",SUMIFS('[1]粘贴_服务费返还'!$M$4:$M$3003,'[1]粘贴_服务费返还'!$N$4:$N$3003,$B222,'[1]粘贴_服务费返还'!$O$4:$O$3003,"扣回"))</f>
      </c>
      <c r="I222" s="11">
        <f t="shared" si="1"/>
      </c>
      <c r="J222" s="6">
        <f t="shared" si="2"/>
      </c>
      <c r="K222" s="10">
        <f t="shared" si="3"/>
      </c>
      <c r="L222" s="17">
        <f>IF(A222&gt;$H$5,"",MATCH(A222,'[1]粘贴_账务明细'!$O$4:$O$3003,0))</f>
      </c>
    </row>
    <row r="223">
      <c r="A223" s="10" t="n">
        <v>195</v>
      </c>
      <c r="B223" s="6">
        <f>IF($L223="","",INDEX('[1]粘贴_账务明细'!$A$4:$A$3003,$L223))</f>
      </c>
      <c r="C223" s="16">
        <f>IF($L223="","",INDEX('[1]粘贴_账务明细'!$H$4:$H$3003,$L223))</f>
      </c>
      <c r="D223" s="11">
        <f>IF($L223="","",SUMIFS('[1]粘贴_账务明细'!$K$4:$K$3003,'[1]粘贴_账务明细'!$A$4:$A$3003,$B223,'[1]粘贴_账务明细'!$L$4:$L$3003,"订单收入")+SUMIFS('[1]粘贴_账务明细'!$K$4:$K$3003,'[1]粘贴_账务明细'!$A$4:$A$3003,$B223,'[1]粘贴_账务明细'!$L$4:$L$3003,"优惠券结算"))</f>
      </c>
      <c r="E223" s="11">
        <f t="shared" si="0"/>
      </c>
      <c r="F223" s="11">
        <f>IF($L223="","",-SUMIFS('[1]粘贴_账务明细'!$K$4:$K$3003,'[1]粘贴_账务明细'!$A$4:$A$3003,$B223,'[1]粘贴_账务明细'!$L$4:$L$3003,"百亿补贴技术服务费"))</f>
      </c>
      <c r="G223" s="11">
        <f>IF($L223="","",SUMIFS('[1]粘贴_服务费返还'!$M$4:$M$3003,'[1]粘贴_服务费返还'!$N$4:$N$3003,$B223,'[1]粘贴_服务费返还'!$O$4:$O$3003,"返还"))</f>
      </c>
      <c r="H223" s="11">
        <f>IF($L223="","",SUMIFS('[1]粘贴_服务费返还'!$M$4:$M$3003,'[1]粘贴_服务费返还'!$N$4:$N$3003,$B223,'[1]粘贴_服务费返还'!$O$4:$O$3003,"扣回"))</f>
      </c>
      <c r="I223" s="11">
        <f t="shared" si="1"/>
      </c>
      <c r="J223" s="6">
        <f t="shared" si="2"/>
      </c>
      <c r="K223" s="10">
        <f t="shared" si="3"/>
      </c>
      <c r="L223" s="17">
        <f>IF(A223&gt;$H$5,"",MATCH(A223,'[1]粘贴_账务明细'!$O$4:$O$3003,0))</f>
      </c>
    </row>
    <row r="224">
      <c r="A224" s="10" t="n">
        <v>196</v>
      </c>
      <c r="B224" s="6">
        <f>IF($L224="","",INDEX('[1]粘贴_账务明细'!$A$4:$A$3003,$L224))</f>
      </c>
      <c r="C224" s="16">
        <f>IF($L224="","",INDEX('[1]粘贴_账务明细'!$H$4:$H$3003,$L224))</f>
      </c>
      <c r="D224" s="11">
        <f>IF($L224="","",SUMIFS('[1]粘贴_账务明细'!$K$4:$K$3003,'[1]粘贴_账务明细'!$A$4:$A$3003,$B224,'[1]粘贴_账务明细'!$L$4:$L$3003,"订单收入")+SUMIFS('[1]粘贴_账务明细'!$K$4:$K$3003,'[1]粘贴_账务明细'!$A$4:$A$3003,$B224,'[1]粘贴_账务明细'!$L$4:$L$3003,"优惠券结算"))</f>
      </c>
      <c r="E224" s="11">
        <f t="shared" si="0"/>
      </c>
      <c r="F224" s="11">
        <f>IF($L224="","",-SUMIFS('[1]粘贴_账务明细'!$K$4:$K$3003,'[1]粘贴_账务明细'!$A$4:$A$3003,$B224,'[1]粘贴_账务明细'!$L$4:$L$3003,"百亿补贴技术服务费"))</f>
      </c>
      <c r="G224" s="11">
        <f>IF($L224="","",SUMIFS('[1]粘贴_服务费返还'!$M$4:$M$3003,'[1]粘贴_服务费返还'!$N$4:$N$3003,$B224,'[1]粘贴_服务费返还'!$O$4:$O$3003,"返还"))</f>
      </c>
      <c r="H224" s="11">
        <f>IF($L224="","",SUMIFS('[1]粘贴_服务费返还'!$M$4:$M$3003,'[1]粘贴_服务费返还'!$N$4:$N$3003,$B224,'[1]粘贴_服务费返还'!$O$4:$O$3003,"扣回"))</f>
      </c>
      <c r="I224" s="11">
        <f t="shared" si="1"/>
      </c>
      <c r="J224" s="6">
        <f t="shared" si="2"/>
      </c>
      <c r="K224" s="10">
        <f t="shared" si="3"/>
      </c>
      <c r="L224" s="17">
        <f>IF(A224&gt;$H$5,"",MATCH(A224,'[1]粘贴_账务明细'!$O$4:$O$3003,0))</f>
      </c>
    </row>
    <row r="225">
      <c r="A225" s="10" t="n">
        <v>197</v>
      </c>
      <c r="B225" s="6">
        <f>IF($L225="","",INDEX('[1]粘贴_账务明细'!$A$4:$A$3003,$L225))</f>
      </c>
      <c r="C225" s="16">
        <f>IF($L225="","",INDEX('[1]粘贴_账务明细'!$H$4:$H$3003,$L225))</f>
      </c>
      <c r="D225" s="11">
        <f>IF($L225="","",SUMIFS('[1]粘贴_账务明细'!$K$4:$K$3003,'[1]粘贴_账务明细'!$A$4:$A$3003,$B225,'[1]粘贴_账务明细'!$L$4:$L$3003,"订单收入")+SUMIFS('[1]粘贴_账务明细'!$K$4:$K$3003,'[1]粘贴_账务明细'!$A$4:$A$3003,$B225,'[1]粘贴_账务明细'!$L$4:$L$3003,"优惠券结算"))</f>
      </c>
      <c r="E225" s="11">
        <f t="shared" si="0"/>
      </c>
      <c r="F225" s="11">
        <f>IF($L225="","",-SUMIFS('[1]粘贴_账务明细'!$K$4:$K$3003,'[1]粘贴_账务明细'!$A$4:$A$3003,$B225,'[1]粘贴_账务明细'!$L$4:$L$3003,"百亿补贴技术服务费"))</f>
      </c>
      <c r="G225" s="11">
        <f>IF($L225="","",SUMIFS('[1]粘贴_服务费返还'!$M$4:$M$3003,'[1]粘贴_服务费返还'!$N$4:$N$3003,$B225,'[1]粘贴_服务费返还'!$O$4:$O$3003,"返还"))</f>
      </c>
      <c r="H225" s="11">
        <f>IF($L225="","",SUMIFS('[1]粘贴_服务费返还'!$M$4:$M$3003,'[1]粘贴_服务费返还'!$N$4:$N$3003,$B225,'[1]粘贴_服务费返还'!$O$4:$O$3003,"扣回"))</f>
      </c>
      <c r="I225" s="11">
        <f t="shared" si="1"/>
      </c>
      <c r="J225" s="6">
        <f t="shared" si="2"/>
      </c>
      <c r="K225" s="10">
        <f t="shared" si="3"/>
      </c>
      <c r="L225" s="17">
        <f>IF(A225&gt;$H$5,"",MATCH(A225,'[1]粘贴_账务明细'!$O$4:$O$3003,0))</f>
      </c>
    </row>
    <row r="226">
      <c r="A226" s="10" t="n">
        <v>198</v>
      </c>
      <c r="B226" s="6">
        <f>IF($L226="","",INDEX('[1]粘贴_账务明细'!$A$4:$A$3003,$L226))</f>
      </c>
      <c r="C226" s="16">
        <f>IF($L226="","",INDEX('[1]粘贴_账务明细'!$H$4:$H$3003,$L226))</f>
      </c>
      <c r="D226" s="11">
        <f>IF($L226="","",SUMIFS('[1]粘贴_账务明细'!$K$4:$K$3003,'[1]粘贴_账务明细'!$A$4:$A$3003,$B226,'[1]粘贴_账务明细'!$L$4:$L$3003,"订单收入")+SUMIFS('[1]粘贴_账务明细'!$K$4:$K$3003,'[1]粘贴_账务明细'!$A$4:$A$3003,$B226,'[1]粘贴_账务明细'!$L$4:$L$3003,"优惠券结算"))</f>
      </c>
      <c r="E226" s="11">
        <f t="shared" si="0"/>
      </c>
      <c r="F226" s="11">
        <f>IF($L226="","",-SUMIFS('[1]粘贴_账务明细'!$K$4:$K$3003,'[1]粘贴_账务明细'!$A$4:$A$3003,$B226,'[1]粘贴_账务明细'!$L$4:$L$3003,"百亿补贴技术服务费"))</f>
      </c>
      <c r="G226" s="11">
        <f>IF($L226="","",SUMIFS('[1]粘贴_服务费返还'!$M$4:$M$3003,'[1]粘贴_服务费返还'!$N$4:$N$3003,$B226,'[1]粘贴_服务费返还'!$O$4:$O$3003,"返还"))</f>
      </c>
      <c r="H226" s="11">
        <f>IF($L226="","",SUMIFS('[1]粘贴_服务费返还'!$M$4:$M$3003,'[1]粘贴_服务费返还'!$N$4:$N$3003,$B226,'[1]粘贴_服务费返还'!$O$4:$O$3003,"扣回"))</f>
      </c>
      <c r="I226" s="11">
        <f t="shared" si="1"/>
      </c>
      <c r="J226" s="6">
        <f t="shared" si="2"/>
      </c>
      <c r="K226" s="10">
        <f t="shared" si="3"/>
      </c>
      <c r="L226" s="17">
        <f>IF(A226&gt;$H$5,"",MATCH(A226,'[1]粘贴_账务明细'!$O$4:$O$3003,0))</f>
      </c>
    </row>
    <row r="227">
      <c r="A227" s="10" t="n">
        <v>199</v>
      </c>
      <c r="B227" s="6">
        <f>IF($L227="","",INDEX('[1]粘贴_账务明细'!$A$4:$A$3003,$L227))</f>
      </c>
      <c r="C227" s="16">
        <f>IF($L227="","",INDEX('[1]粘贴_账务明细'!$H$4:$H$3003,$L227))</f>
      </c>
      <c r="D227" s="11">
        <f>IF($L227="","",SUMIFS('[1]粘贴_账务明细'!$K$4:$K$3003,'[1]粘贴_账务明细'!$A$4:$A$3003,$B227,'[1]粘贴_账务明细'!$L$4:$L$3003,"订单收入")+SUMIFS('[1]粘贴_账务明细'!$K$4:$K$3003,'[1]粘贴_账务明细'!$A$4:$A$3003,$B227,'[1]粘贴_账务明细'!$L$4:$L$3003,"优惠券结算"))</f>
      </c>
      <c r="E227" s="11">
        <f t="shared" si="0"/>
      </c>
      <c r="F227" s="11">
        <f>IF($L227="","",-SUMIFS('[1]粘贴_账务明细'!$K$4:$K$3003,'[1]粘贴_账务明细'!$A$4:$A$3003,$B227,'[1]粘贴_账务明细'!$L$4:$L$3003,"百亿补贴技术服务费"))</f>
      </c>
      <c r="G227" s="11">
        <f>IF($L227="","",SUMIFS('[1]粘贴_服务费返还'!$M$4:$M$3003,'[1]粘贴_服务费返还'!$N$4:$N$3003,$B227,'[1]粘贴_服务费返还'!$O$4:$O$3003,"返还"))</f>
      </c>
      <c r="H227" s="11">
        <f>IF($L227="","",SUMIFS('[1]粘贴_服务费返还'!$M$4:$M$3003,'[1]粘贴_服务费返还'!$N$4:$N$3003,$B227,'[1]粘贴_服务费返还'!$O$4:$O$3003,"扣回"))</f>
      </c>
      <c r="I227" s="11">
        <f t="shared" si="1"/>
      </c>
      <c r="J227" s="6">
        <f t="shared" si="2"/>
      </c>
      <c r="K227" s="10">
        <f t="shared" si="3"/>
      </c>
      <c r="L227" s="17">
        <f>IF(A227&gt;$H$5,"",MATCH(A227,'[1]粘贴_账务明细'!$O$4:$O$3003,0))</f>
      </c>
    </row>
    <row r="228">
      <c r="A228" s="10" t="n">
        <v>200</v>
      </c>
      <c r="B228" s="6">
        <f>IF($L228="","",INDEX('[1]粘贴_账务明细'!$A$4:$A$3003,$L228))</f>
      </c>
      <c r="C228" s="16">
        <f>IF($L228="","",INDEX('[1]粘贴_账务明细'!$H$4:$H$3003,$L228))</f>
      </c>
      <c r="D228" s="11">
        <f>IF($L228="","",SUMIFS('[1]粘贴_账务明细'!$K$4:$K$3003,'[1]粘贴_账务明细'!$A$4:$A$3003,$B228,'[1]粘贴_账务明细'!$L$4:$L$3003,"订单收入")+SUMIFS('[1]粘贴_账务明细'!$K$4:$K$3003,'[1]粘贴_账务明细'!$A$4:$A$3003,$B228,'[1]粘贴_账务明细'!$L$4:$L$3003,"优惠券结算"))</f>
      </c>
      <c r="E228" s="11">
        <f t="shared" si="0"/>
      </c>
      <c r="F228" s="11">
        <f>IF($L228="","",-SUMIFS('[1]粘贴_账务明细'!$K$4:$K$3003,'[1]粘贴_账务明细'!$A$4:$A$3003,$B228,'[1]粘贴_账务明细'!$L$4:$L$3003,"百亿补贴技术服务费"))</f>
      </c>
      <c r="G228" s="11">
        <f>IF($L228="","",SUMIFS('[1]粘贴_服务费返还'!$M$4:$M$3003,'[1]粘贴_服务费返还'!$N$4:$N$3003,$B228,'[1]粘贴_服务费返还'!$O$4:$O$3003,"返还"))</f>
      </c>
      <c r="H228" s="11">
        <f>IF($L228="","",SUMIFS('[1]粘贴_服务费返还'!$M$4:$M$3003,'[1]粘贴_服务费返还'!$N$4:$N$3003,$B228,'[1]粘贴_服务费返还'!$O$4:$O$3003,"扣回"))</f>
      </c>
      <c r="I228" s="11">
        <f t="shared" si="1"/>
      </c>
      <c r="J228" s="6">
        <f t="shared" si="2"/>
      </c>
      <c r="K228" s="10">
        <f t="shared" si="3"/>
      </c>
      <c r="L228" s="17">
        <f>IF(A228&gt;$H$5,"",MATCH(A228,'[1]粘贴_账务明细'!$O$4:$O$3003,0))</f>
      </c>
    </row>
    <row r="229">
      <c r="A229" s="10" t="n">
        <v>201</v>
      </c>
      <c r="B229" s="6">
        <f>IF($L229="","",INDEX('[1]粘贴_账务明细'!$A$4:$A$3003,$L229))</f>
      </c>
      <c r="C229" s="16">
        <f>IF($L229="","",INDEX('[1]粘贴_账务明细'!$H$4:$H$3003,$L229))</f>
      </c>
      <c r="D229" s="11">
        <f>IF($L229="","",SUMIFS('[1]粘贴_账务明细'!$K$4:$K$3003,'[1]粘贴_账务明细'!$A$4:$A$3003,$B229,'[1]粘贴_账务明细'!$L$4:$L$3003,"订单收入")+SUMIFS('[1]粘贴_账务明细'!$K$4:$K$3003,'[1]粘贴_账务明细'!$A$4:$A$3003,$B229,'[1]粘贴_账务明细'!$L$4:$L$3003,"优惠券结算"))</f>
      </c>
      <c r="E229" s="11">
        <f t="shared" si="0"/>
      </c>
      <c r="F229" s="11">
        <f>IF($L229="","",-SUMIFS('[1]粘贴_账务明细'!$K$4:$K$3003,'[1]粘贴_账务明细'!$A$4:$A$3003,$B229,'[1]粘贴_账务明细'!$L$4:$L$3003,"百亿补贴技术服务费"))</f>
      </c>
      <c r="G229" s="11">
        <f>IF($L229="","",SUMIFS('[1]粘贴_服务费返还'!$M$4:$M$3003,'[1]粘贴_服务费返还'!$N$4:$N$3003,$B229,'[1]粘贴_服务费返还'!$O$4:$O$3003,"返还"))</f>
      </c>
      <c r="H229" s="11">
        <f>IF($L229="","",SUMIFS('[1]粘贴_服务费返还'!$M$4:$M$3003,'[1]粘贴_服务费返还'!$N$4:$N$3003,$B229,'[1]粘贴_服务费返还'!$O$4:$O$3003,"扣回"))</f>
      </c>
      <c r="I229" s="11">
        <f t="shared" si="1"/>
      </c>
      <c r="J229" s="6">
        <f t="shared" si="2"/>
      </c>
      <c r="K229" s="10">
        <f t="shared" si="3"/>
      </c>
      <c r="L229" s="17">
        <f>IF(A229&gt;$H$5,"",MATCH(A229,'[1]粘贴_账务明细'!$O$4:$O$3003,0))</f>
      </c>
    </row>
    <row r="230">
      <c r="A230" s="10" t="n">
        <v>202</v>
      </c>
      <c r="B230" s="6">
        <f>IF($L230="","",INDEX('[1]粘贴_账务明细'!$A$4:$A$3003,$L230))</f>
      </c>
      <c r="C230" s="16">
        <f>IF($L230="","",INDEX('[1]粘贴_账务明细'!$H$4:$H$3003,$L230))</f>
      </c>
      <c r="D230" s="11">
        <f>IF($L230="","",SUMIFS('[1]粘贴_账务明细'!$K$4:$K$3003,'[1]粘贴_账务明细'!$A$4:$A$3003,$B230,'[1]粘贴_账务明细'!$L$4:$L$3003,"订单收入")+SUMIFS('[1]粘贴_账务明细'!$K$4:$K$3003,'[1]粘贴_账务明细'!$A$4:$A$3003,$B230,'[1]粘贴_账务明细'!$L$4:$L$3003,"优惠券结算"))</f>
      </c>
      <c r="E230" s="11">
        <f t="shared" si="0"/>
      </c>
      <c r="F230" s="11">
        <f>IF($L230="","",-SUMIFS('[1]粘贴_账务明细'!$K$4:$K$3003,'[1]粘贴_账务明细'!$A$4:$A$3003,$B230,'[1]粘贴_账务明细'!$L$4:$L$3003,"百亿补贴技术服务费"))</f>
      </c>
      <c r="G230" s="11">
        <f>IF($L230="","",SUMIFS('[1]粘贴_服务费返还'!$M$4:$M$3003,'[1]粘贴_服务费返还'!$N$4:$N$3003,$B230,'[1]粘贴_服务费返还'!$O$4:$O$3003,"返还"))</f>
      </c>
      <c r="H230" s="11">
        <f>IF($L230="","",SUMIFS('[1]粘贴_服务费返还'!$M$4:$M$3003,'[1]粘贴_服务费返还'!$N$4:$N$3003,$B230,'[1]粘贴_服务费返还'!$O$4:$O$3003,"扣回"))</f>
      </c>
      <c r="I230" s="11">
        <f t="shared" si="1"/>
      </c>
      <c r="J230" s="6">
        <f t="shared" si="2"/>
      </c>
      <c r="K230" s="10">
        <f t="shared" si="3"/>
      </c>
      <c r="L230" s="17">
        <f>IF(A230&gt;$H$5,"",MATCH(A230,'[1]粘贴_账务明细'!$O$4:$O$3003,0))</f>
      </c>
    </row>
    <row r="231">
      <c r="A231" s="10" t="n">
        <v>203</v>
      </c>
      <c r="B231" s="6">
        <f>IF($L231="","",INDEX('[1]粘贴_账务明细'!$A$4:$A$3003,$L231))</f>
      </c>
      <c r="C231" s="16">
        <f>IF($L231="","",INDEX('[1]粘贴_账务明细'!$H$4:$H$3003,$L231))</f>
      </c>
      <c r="D231" s="11">
        <f>IF($L231="","",SUMIFS('[1]粘贴_账务明细'!$K$4:$K$3003,'[1]粘贴_账务明细'!$A$4:$A$3003,$B231,'[1]粘贴_账务明细'!$L$4:$L$3003,"订单收入")+SUMIFS('[1]粘贴_账务明细'!$K$4:$K$3003,'[1]粘贴_账务明细'!$A$4:$A$3003,$B231,'[1]粘贴_账务明细'!$L$4:$L$3003,"优惠券结算"))</f>
      </c>
      <c r="E231" s="11">
        <f t="shared" si="0"/>
      </c>
      <c r="F231" s="11">
        <f>IF($L231="","",-SUMIFS('[1]粘贴_账务明细'!$K$4:$K$3003,'[1]粘贴_账务明细'!$A$4:$A$3003,$B231,'[1]粘贴_账务明细'!$L$4:$L$3003,"百亿补贴技术服务费"))</f>
      </c>
      <c r="G231" s="11">
        <f>IF($L231="","",SUMIFS('[1]粘贴_服务费返还'!$M$4:$M$3003,'[1]粘贴_服务费返还'!$N$4:$N$3003,$B231,'[1]粘贴_服务费返还'!$O$4:$O$3003,"返还"))</f>
      </c>
      <c r="H231" s="11">
        <f>IF($L231="","",SUMIFS('[1]粘贴_服务费返还'!$M$4:$M$3003,'[1]粘贴_服务费返还'!$N$4:$N$3003,$B231,'[1]粘贴_服务费返还'!$O$4:$O$3003,"扣回"))</f>
      </c>
      <c r="I231" s="11">
        <f t="shared" si="1"/>
      </c>
      <c r="J231" s="6">
        <f t="shared" si="2"/>
      </c>
      <c r="K231" s="10">
        <f t="shared" si="3"/>
      </c>
      <c r="L231" s="17">
        <f>IF(A231&gt;$H$5,"",MATCH(A231,'[1]粘贴_账务明细'!$O$4:$O$3003,0))</f>
      </c>
    </row>
    <row r="232">
      <c r="A232" s="10" t="n">
        <v>204</v>
      </c>
      <c r="B232" s="6">
        <f>IF($L232="","",INDEX('[1]粘贴_账务明细'!$A$4:$A$3003,$L232))</f>
      </c>
      <c r="C232" s="16">
        <f>IF($L232="","",INDEX('[1]粘贴_账务明细'!$H$4:$H$3003,$L232))</f>
      </c>
      <c r="D232" s="11">
        <f>IF($L232="","",SUMIFS('[1]粘贴_账务明细'!$K$4:$K$3003,'[1]粘贴_账务明细'!$A$4:$A$3003,$B232,'[1]粘贴_账务明细'!$L$4:$L$3003,"订单收入")+SUMIFS('[1]粘贴_账务明细'!$K$4:$K$3003,'[1]粘贴_账务明细'!$A$4:$A$3003,$B232,'[1]粘贴_账务明细'!$L$4:$L$3003,"优惠券结算"))</f>
      </c>
      <c r="E232" s="11">
        <f t="shared" si="0"/>
      </c>
      <c r="F232" s="11">
        <f>IF($L232="","",-SUMIFS('[1]粘贴_账务明细'!$K$4:$K$3003,'[1]粘贴_账务明细'!$A$4:$A$3003,$B232,'[1]粘贴_账务明细'!$L$4:$L$3003,"百亿补贴技术服务费"))</f>
      </c>
      <c r="G232" s="11">
        <f>IF($L232="","",SUMIFS('[1]粘贴_服务费返还'!$M$4:$M$3003,'[1]粘贴_服务费返还'!$N$4:$N$3003,$B232,'[1]粘贴_服务费返还'!$O$4:$O$3003,"返还"))</f>
      </c>
      <c r="H232" s="11">
        <f>IF($L232="","",SUMIFS('[1]粘贴_服务费返还'!$M$4:$M$3003,'[1]粘贴_服务费返还'!$N$4:$N$3003,$B232,'[1]粘贴_服务费返还'!$O$4:$O$3003,"扣回"))</f>
      </c>
      <c r="I232" s="11">
        <f t="shared" si="1"/>
      </c>
      <c r="J232" s="6">
        <f t="shared" si="2"/>
      </c>
      <c r="K232" s="10">
        <f t="shared" si="3"/>
      </c>
      <c r="L232" s="17">
        <f>IF(A232&gt;$H$5,"",MATCH(A232,'[1]粘贴_账务明细'!$O$4:$O$3003,0))</f>
      </c>
    </row>
    <row r="233">
      <c r="A233" s="10" t="n">
        <v>205</v>
      </c>
      <c r="B233" s="6">
        <f>IF($L233="","",INDEX('[1]粘贴_账务明细'!$A$4:$A$3003,$L233))</f>
      </c>
      <c r="C233" s="16">
        <f>IF($L233="","",INDEX('[1]粘贴_账务明细'!$H$4:$H$3003,$L233))</f>
      </c>
      <c r="D233" s="11">
        <f>IF($L233="","",SUMIFS('[1]粘贴_账务明细'!$K$4:$K$3003,'[1]粘贴_账务明细'!$A$4:$A$3003,$B233,'[1]粘贴_账务明细'!$L$4:$L$3003,"订单收入")+SUMIFS('[1]粘贴_账务明细'!$K$4:$K$3003,'[1]粘贴_账务明细'!$A$4:$A$3003,$B233,'[1]粘贴_账务明细'!$L$4:$L$3003,"优惠券结算"))</f>
      </c>
      <c r="E233" s="11">
        <f t="shared" si="0"/>
      </c>
      <c r="F233" s="11">
        <f>IF($L233="","",-SUMIFS('[1]粘贴_账务明细'!$K$4:$K$3003,'[1]粘贴_账务明细'!$A$4:$A$3003,$B233,'[1]粘贴_账务明细'!$L$4:$L$3003,"百亿补贴技术服务费"))</f>
      </c>
      <c r="G233" s="11">
        <f>IF($L233="","",SUMIFS('[1]粘贴_服务费返还'!$M$4:$M$3003,'[1]粘贴_服务费返还'!$N$4:$N$3003,$B233,'[1]粘贴_服务费返还'!$O$4:$O$3003,"返还"))</f>
      </c>
      <c r="H233" s="11">
        <f>IF($L233="","",SUMIFS('[1]粘贴_服务费返还'!$M$4:$M$3003,'[1]粘贴_服务费返还'!$N$4:$N$3003,$B233,'[1]粘贴_服务费返还'!$O$4:$O$3003,"扣回"))</f>
      </c>
      <c r="I233" s="11">
        <f t="shared" si="1"/>
      </c>
      <c r="J233" s="6">
        <f t="shared" si="2"/>
      </c>
      <c r="K233" s="10">
        <f t="shared" si="3"/>
      </c>
      <c r="L233" s="17">
        <f>IF(A233&gt;$H$5,"",MATCH(A233,'[1]粘贴_账务明细'!$O$4:$O$3003,0))</f>
      </c>
    </row>
    <row r="234">
      <c r="A234" s="10" t="n">
        <v>206</v>
      </c>
      <c r="B234" s="6">
        <f>IF($L234="","",INDEX('[1]粘贴_账务明细'!$A$4:$A$3003,$L234))</f>
      </c>
      <c r="C234" s="16">
        <f>IF($L234="","",INDEX('[1]粘贴_账务明细'!$H$4:$H$3003,$L234))</f>
      </c>
      <c r="D234" s="11">
        <f>IF($L234="","",SUMIFS('[1]粘贴_账务明细'!$K$4:$K$3003,'[1]粘贴_账务明细'!$A$4:$A$3003,$B234,'[1]粘贴_账务明细'!$L$4:$L$3003,"订单收入")+SUMIFS('[1]粘贴_账务明细'!$K$4:$K$3003,'[1]粘贴_账务明细'!$A$4:$A$3003,$B234,'[1]粘贴_账务明细'!$L$4:$L$3003,"优惠券结算"))</f>
      </c>
      <c r="E234" s="11">
        <f t="shared" si="0"/>
      </c>
      <c r="F234" s="11">
        <f>IF($L234="","",-SUMIFS('[1]粘贴_账务明细'!$K$4:$K$3003,'[1]粘贴_账务明细'!$A$4:$A$3003,$B234,'[1]粘贴_账务明细'!$L$4:$L$3003,"百亿补贴技术服务费"))</f>
      </c>
      <c r="G234" s="11">
        <f>IF($L234="","",SUMIFS('[1]粘贴_服务费返还'!$M$4:$M$3003,'[1]粘贴_服务费返还'!$N$4:$N$3003,$B234,'[1]粘贴_服务费返还'!$O$4:$O$3003,"返还"))</f>
      </c>
      <c r="H234" s="11">
        <f>IF($L234="","",SUMIFS('[1]粘贴_服务费返还'!$M$4:$M$3003,'[1]粘贴_服务费返还'!$N$4:$N$3003,$B234,'[1]粘贴_服务费返还'!$O$4:$O$3003,"扣回"))</f>
      </c>
      <c r="I234" s="11">
        <f t="shared" si="1"/>
      </c>
      <c r="J234" s="6">
        <f t="shared" si="2"/>
      </c>
      <c r="K234" s="10">
        <f t="shared" si="3"/>
      </c>
      <c r="L234" s="17">
        <f>IF(A234&gt;$H$5,"",MATCH(A234,'[1]粘贴_账务明细'!$O$4:$O$3003,0))</f>
      </c>
    </row>
    <row r="235">
      <c r="A235" s="10" t="n">
        <v>207</v>
      </c>
      <c r="B235" s="6">
        <f>IF($L235="","",INDEX('[1]粘贴_账务明细'!$A$4:$A$3003,$L235))</f>
      </c>
      <c r="C235" s="16">
        <f>IF($L235="","",INDEX('[1]粘贴_账务明细'!$H$4:$H$3003,$L235))</f>
      </c>
      <c r="D235" s="11">
        <f>IF($L235="","",SUMIFS('[1]粘贴_账务明细'!$K$4:$K$3003,'[1]粘贴_账务明细'!$A$4:$A$3003,$B235,'[1]粘贴_账务明细'!$L$4:$L$3003,"订单收入")+SUMIFS('[1]粘贴_账务明细'!$K$4:$K$3003,'[1]粘贴_账务明细'!$A$4:$A$3003,$B235,'[1]粘贴_账务明细'!$L$4:$L$3003,"优惠券结算"))</f>
      </c>
      <c r="E235" s="11">
        <f t="shared" si="0"/>
      </c>
      <c r="F235" s="11">
        <f>IF($L235="","",-SUMIFS('[1]粘贴_账务明细'!$K$4:$K$3003,'[1]粘贴_账务明细'!$A$4:$A$3003,$B235,'[1]粘贴_账务明细'!$L$4:$L$3003,"百亿补贴技术服务费"))</f>
      </c>
      <c r="G235" s="11">
        <f>IF($L235="","",SUMIFS('[1]粘贴_服务费返还'!$M$4:$M$3003,'[1]粘贴_服务费返还'!$N$4:$N$3003,$B235,'[1]粘贴_服务费返还'!$O$4:$O$3003,"返还"))</f>
      </c>
      <c r="H235" s="11">
        <f>IF($L235="","",SUMIFS('[1]粘贴_服务费返还'!$M$4:$M$3003,'[1]粘贴_服务费返还'!$N$4:$N$3003,$B235,'[1]粘贴_服务费返还'!$O$4:$O$3003,"扣回"))</f>
      </c>
      <c r="I235" s="11">
        <f t="shared" si="1"/>
      </c>
      <c r="J235" s="6">
        <f t="shared" si="2"/>
      </c>
      <c r="K235" s="10">
        <f t="shared" si="3"/>
      </c>
      <c r="L235" s="17">
        <f>IF(A235&gt;$H$5,"",MATCH(A235,'[1]粘贴_账务明细'!$O$4:$O$3003,0))</f>
      </c>
    </row>
    <row r="236">
      <c r="A236" s="10" t="n">
        <v>208</v>
      </c>
      <c r="B236" s="6">
        <f>IF($L236="","",INDEX('[1]粘贴_账务明细'!$A$4:$A$3003,$L236))</f>
      </c>
      <c r="C236" s="16">
        <f>IF($L236="","",INDEX('[1]粘贴_账务明细'!$H$4:$H$3003,$L236))</f>
      </c>
      <c r="D236" s="11">
        <f>IF($L236="","",SUMIFS('[1]粘贴_账务明细'!$K$4:$K$3003,'[1]粘贴_账务明细'!$A$4:$A$3003,$B236,'[1]粘贴_账务明细'!$L$4:$L$3003,"订单收入")+SUMIFS('[1]粘贴_账务明细'!$K$4:$K$3003,'[1]粘贴_账务明细'!$A$4:$A$3003,$B236,'[1]粘贴_账务明细'!$L$4:$L$3003,"优惠券结算"))</f>
      </c>
      <c r="E236" s="11">
        <f t="shared" si="0"/>
      </c>
      <c r="F236" s="11">
        <f>IF($L236="","",-SUMIFS('[1]粘贴_账务明细'!$K$4:$K$3003,'[1]粘贴_账务明细'!$A$4:$A$3003,$B236,'[1]粘贴_账务明细'!$L$4:$L$3003,"百亿补贴技术服务费"))</f>
      </c>
      <c r="G236" s="11">
        <f>IF($L236="","",SUMIFS('[1]粘贴_服务费返还'!$M$4:$M$3003,'[1]粘贴_服务费返还'!$N$4:$N$3003,$B236,'[1]粘贴_服务费返还'!$O$4:$O$3003,"返还"))</f>
      </c>
      <c r="H236" s="11">
        <f>IF($L236="","",SUMIFS('[1]粘贴_服务费返还'!$M$4:$M$3003,'[1]粘贴_服务费返还'!$N$4:$N$3003,$B236,'[1]粘贴_服务费返还'!$O$4:$O$3003,"扣回"))</f>
      </c>
      <c r="I236" s="11">
        <f t="shared" si="1"/>
      </c>
      <c r="J236" s="6">
        <f t="shared" si="2"/>
      </c>
      <c r="K236" s="10">
        <f t="shared" si="3"/>
      </c>
      <c r="L236" s="17">
        <f>IF(A236&gt;$H$5,"",MATCH(A236,'[1]粘贴_账务明细'!$O$4:$O$3003,0))</f>
      </c>
    </row>
    <row r="237">
      <c r="A237" s="10" t="n">
        <v>209</v>
      </c>
      <c r="B237" s="6">
        <f>IF($L237="","",INDEX('[1]粘贴_账务明细'!$A$4:$A$3003,$L237))</f>
      </c>
      <c r="C237" s="16">
        <f>IF($L237="","",INDEX('[1]粘贴_账务明细'!$H$4:$H$3003,$L237))</f>
      </c>
      <c r="D237" s="11">
        <f>IF($L237="","",SUMIFS('[1]粘贴_账务明细'!$K$4:$K$3003,'[1]粘贴_账务明细'!$A$4:$A$3003,$B237,'[1]粘贴_账务明细'!$L$4:$L$3003,"订单收入")+SUMIFS('[1]粘贴_账务明细'!$K$4:$K$3003,'[1]粘贴_账务明细'!$A$4:$A$3003,$B237,'[1]粘贴_账务明细'!$L$4:$L$3003,"优惠券结算"))</f>
      </c>
      <c r="E237" s="11">
        <f t="shared" si="0"/>
      </c>
      <c r="F237" s="11">
        <f>IF($L237="","",-SUMIFS('[1]粘贴_账务明细'!$K$4:$K$3003,'[1]粘贴_账务明细'!$A$4:$A$3003,$B237,'[1]粘贴_账务明细'!$L$4:$L$3003,"百亿补贴技术服务费"))</f>
      </c>
      <c r="G237" s="11">
        <f>IF($L237="","",SUMIFS('[1]粘贴_服务费返还'!$M$4:$M$3003,'[1]粘贴_服务费返还'!$N$4:$N$3003,$B237,'[1]粘贴_服务费返还'!$O$4:$O$3003,"返还"))</f>
      </c>
      <c r="H237" s="11">
        <f>IF($L237="","",SUMIFS('[1]粘贴_服务费返还'!$M$4:$M$3003,'[1]粘贴_服务费返还'!$N$4:$N$3003,$B237,'[1]粘贴_服务费返还'!$O$4:$O$3003,"扣回"))</f>
      </c>
      <c r="I237" s="11">
        <f t="shared" si="1"/>
      </c>
      <c r="J237" s="6">
        <f t="shared" si="2"/>
      </c>
      <c r="K237" s="10">
        <f t="shared" si="3"/>
      </c>
      <c r="L237" s="17">
        <f>IF(A237&gt;$H$5,"",MATCH(A237,'[1]粘贴_账务明细'!$O$4:$O$3003,0))</f>
      </c>
    </row>
    <row r="238">
      <c r="A238" s="10" t="n">
        <v>210</v>
      </c>
      <c r="B238" s="6">
        <f>IF($L238="","",INDEX('[1]粘贴_账务明细'!$A$4:$A$3003,$L238))</f>
      </c>
      <c r="C238" s="16">
        <f>IF($L238="","",INDEX('[1]粘贴_账务明细'!$H$4:$H$3003,$L238))</f>
      </c>
      <c r="D238" s="11">
        <f>IF($L238="","",SUMIFS('[1]粘贴_账务明细'!$K$4:$K$3003,'[1]粘贴_账务明细'!$A$4:$A$3003,$B238,'[1]粘贴_账务明细'!$L$4:$L$3003,"订单收入")+SUMIFS('[1]粘贴_账务明细'!$K$4:$K$3003,'[1]粘贴_账务明细'!$A$4:$A$3003,$B238,'[1]粘贴_账务明细'!$L$4:$L$3003,"优惠券结算"))</f>
      </c>
      <c r="E238" s="11">
        <f t="shared" si="0"/>
      </c>
      <c r="F238" s="11">
        <f>IF($L238="","",-SUMIFS('[1]粘贴_账务明细'!$K$4:$K$3003,'[1]粘贴_账务明细'!$A$4:$A$3003,$B238,'[1]粘贴_账务明细'!$L$4:$L$3003,"百亿补贴技术服务费"))</f>
      </c>
      <c r="G238" s="11">
        <f>IF($L238="","",SUMIFS('[1]粘贴_服务费返还'!$M$4:$M$3003,'[1]粘贴_服务费返还'!$N$4:$N$3003,$B238,'[1]粘贴_服务费返还'!$O$4:$O$3003,"返还"))</f>
      </c>
      <c r="H238" s="11">
        <f>IF($L238="","",SUMIFS('[1]粘贴_服务费返还'!$M$4:$M$3003,'[1]粘贴_服务费返还'!$N$4:$N$3003,$B238,'[1]粘贴_服务费返还'!$O$4:$O$3003,"扣回"))</f>
      </c>
      <c r="I238" s="11">
        <f t="shared" si="1"/>
      </c>
      <c r="J238" s="6">
        <f t="shared" si="2"/>
      </c>
      <c r="K238" s="10">
        <f t="shared" si="3"/>
      </c>
      <c r="L238" s="17">
        <f>IF(A238&gt;$H$5,"",MATCH(A238,'[1]粘贴_账务明细'!$O$4:$O$3003,0))</f>
      </c>
    </row>
    <row r="239">
      <c r="A239" s="10" t="n">
        <v>211</v>
      </c>
      <c r="B239" s="6">
        <f>IF($L239="","",INDEX('[1]粘贴_账务明细'!$A$4:$A$3003,$L239))</f>
      </c>
      <c r="C239" s="16">
        <f>IF($L239="","",INDEX('[1]粘贴_账务明细'!$H$4:$H$3003,$L239))</f>
      </c>
      <c r="D239" s="11">
        <f>IF($L239="","",SUMIFS('[1]粘贴_账务明细'!$K$4:$K$3003,'[1]粘贴_账务明细'!$A$4:$A$3003,$B239,'[1]粘贴_账务明细'!$L$4:$L$3003,"订单收入")+SUMIFS('[1]粘贴_账务明细'!$K$4:$K$3003,'[1]粘贴_账务明细'!$A$4:$A$3003,$B239,'[1]粘贴_账务明细'!$L$4:$L$3003,"优惠券结算"))</f>
      </c>
      <c r="E239" s="11">
        <f t="shared" si="0"/>
      </c>
      <c r="F239" s="11">
        <f>IF($L239="","",-SUMIFS('[1]粘贴_账务明细'!$K$4:$K$3003,'[1]粘贴_账务明细'!$A$4:$A$3003,$B239,'[1]粘贴_账务明细'!$L$4:$L$3003,"百亿补贴技术服务费"))</f>
      </c>
      <c r="G239" s="11">
        <f>IF($L239="","",SUMIFS('[1]粘贴_服务费返还'!$M$4:$M$3003,'[1]粘贴_服务费返还'!$N$4:$N$3003,$B239,'[1]粘贴_服务费返还'!$O$4:$O$3003,"返还"))</f>
      </c>
      <c r="H239" s="11">
        <f>IF($L239="","",SUMIFS('[1]粘贴_服务费返还'!$M$4:$M$3003,'[1]粘贴_服务费返还'!$N$4:$N$3003,$B239,'[1]粘贴_服务费返还'!$O$4:$O$3003,"扣回"))</f>
      </c>
      <c r="I239" s="11">
        <f t="shared" si="1"/>
      </c>
      <c r="J239" s="6">
        <f t="shared" si="2"/>
      </c>
      <c r="K239" s="10">
        <f t="shared" si="3"/>
      </c>
      <c r="L239" s="17">
        <f>IF(A239&gt;$H$5,"",MATCH(A239,'[1]粘贴_账务明细'!$O$4:$O$3003,0))</f>
      </c>
    </row>
    <row r="240">
      <c r="A240" s="10" t="n">
        <v>212</v>
      </c>
      <c r="B240" s="6">
        <f>IF($L240="","",INDEX('[1]粘贴_账务明细'!$A$4:$A$3003,$L240))</f>
      </c>
      <c r="C240" s="16">
        <f>IF($L240="","",INDEX('[1]粘贴_账务明细'!$H$4:$H$3003,$L240))</f>
      </c>
      <c r="D240" s="11">
        <f>IF($L240="","",SUMIFS('[1]粘贴_账务明细'!$K$4:$K$3003,'[1]粘贴_账务明细'!$A$4:$A$3003,$B240,'[1]粘贴_账务明细'!$L$4:$L$3003,"订单收入")+SUMIFS('[1]粘贴_账务明细'!$K$4:$K$3003,'[1]粘贴_账务明细'!$A$4:$A$3003,$B240,'[1]粘贴_账务明细'!$L$4:$L$3003,"优惠券结算"))</f>
      </c>
      <c r="E240" s="11">
        <f t="shared" si="0"/>
      </c>
      <c r="F240" s="11">
        <f>IF($L240="","",-SUMIFS('[1]粘贴_账务明细'!$K$4:$K$3003,'[1]粘贴_账务明细'!$A$4:$A$3003,$B240,'[1]粘贴_账务明细'!$L$4:$L$3003,"百亿补贴技术服务费"))</f>
      </c>
      <c r="G240" s="11">
        <f>IF($L240="","",SUMIFS('[1]粘贴_服务费返还'!$M$4:$M$3003,'[1]粘贴_服务费返还'!$N$4:$N$3003,$B240,'[1]粘贴_服务费返还'!$O$4:$O$3003,"返还"))</f>
      </c>
      <c r="H240" s="11">
        <f>IF($L240="","",SUMIFS('[1]粘贴_服务费返还'!$M$4:$M$3003,'[1]粘贴_服务费返还'!$N$4:$N$3003,$B240,'[1]粘贴_服务费返还'!$O$4:$O$3003,"扣回"))</f>
      </c>
      <c r="I240" s="11">
        <f t="shared" si="1"/>
      </c>
      <c r="J240" s="6">
        <f t="shared" si="2"/>
      </c>
      <c r="K240" s="10">
        <f t="shared" si="3"/>
      </c>
      <c r="L240" s="17">
        <f>IF(A240&gt;$H$5,"",MATCH(A240,'[1]粘贴_账务明细'!$O$4:$O$3003,0))</f>
      </c>
    </row>
    <row r="241">
      <c r="A241" s="10" t="n">
        <v>213</v>
      </c>
      <c r="B241" s="6">
        <f>IF($L241="","",INDEX('[1]粘贴_账务明细'!$A$4:$A$3003,$L241))</f>
      </c>
      <c r="C241" s="16">
        <f>IF($L241="","",INDEX('[1]粘贴_账务明细'!$H$4:$H$3003,$L241))</f>
      </c>
      <c r="D241" s="11">
        <f>IF($L241="","",SUMIFS('[1]粘贴_账务明细'!$K$4:$K$3003,'[1]粘贴_账务明细'!$A$4:$A$3003,$B241,'[1]粘贴_账务明细'!$L$4:$L$3003,"订单收入")+SUMIFS('[1]粘贴_账务明细'!$K$4:$K$3003,'[1]粘贴_账务明细'!$A$4:$A$3003,$B241,'[1]粘贴_账务明细'!$L$4:$L$3003,"优惠券结算"))</f>
      </c>
      <c r="E241" s="11">
        <f t="shared" si="0"/>
      </c>
      <c r="F241" s="11">
        <f>IF($L241="","",-SUMIFS('[1]粘贴_账务明细'!$K$4:$K$3003,'[1]粘贴_账务明细'!$A$4:$A$3003,$B241,'[1]粘贴_账务明细'!$L$4:$L$3003,"百亿补贴技术服务费"))</f>
      </c>
      <c r="G241" s="11">
        <f>IF($L241="","",SUMIFS('[1]粘贴_服务费返还'!$M$4:$M$3003,'[1]粘贴_服务费返还'!$N$4:$N$3003,$B241,'[1]粘贴_服务费返还'!$O$4:$O$3003,"返还"))</f>
      </c>
      <c r="H241" s="11">
        <f>IF($L241="","",SUMIFS('[1]粘贴_服务费返还'!$M$4:$M$3003,'[1]粘贴_服务费返还'!$N$4:$N$3003,$B241,'[1]粘贴_服务费返还'!$O$4:$O$3003,"扣回"))</f>
      </c>
      <c r="I241" s="11">
        <f t="shared" si="1"/>
      </c>
      <c r="J241" s="6">
        <f t="shared" si="2"/>
      </c>
      <c r="K241" s="10">
        <f t="shared" si="3"/>
      </c>
      <c r="L241" s="17">
        <f>IF(A241&gt;$H$5,"",MATCH(A241,'[1]粘贴_账务明细'!$O$4:$O$3003,0))</f>
      </c>
    </row>
    <row r="242">
      <c r="A242" s="10" t="n">
        <v>214</v>
      </c>
      <c r="B242" s="6">
        <f>IF($L242="","",INDEX('[1]粘贴_账务明细'!$A$4:$A$3003,$L242))</f>
      </c>
      <c r="C242" s="16">
        <f>IF($L242="","",INDEX('[1]粘贴_账务明细'!$H$4:$H$3003,$L242))</f>
      </c>
      <c r="D242" s="11">
        <f>IF($L242="","",SUMIFS('[1]粘贴_账务明细'!$K$4:$K$3003,'[1]粘贴_账务明细'!$A$4:$A$3003,$B242,'[1]粘贴_账务明细'!$L$4:$L$3003,"订单收入")+SUMIFS('[1]粘贴_账务明细'!$K$4:$K$3003,'[1]粘贴_账务明细'!$A$4:$A$3003,$B242,'[1]粘贴_账务明细'!$L$4:$L$3003,"优惠券结算"))</f>
      </c>
      <c r="E242" s="11">
        <f t="shared" si="0"/>
      </c>
      <c r="F242" s="11">
        <f>IF($L242="","",-SUMIFS('[1]粘贴_账务明细'!$K$4:$K$3003,'[1]粘贴_账务明细'!$A$4:$A$3003,$B242,'[1]粘贴_账务明细'!$L$4:$L$3003,"百亿补贴技术服务费"))</f>
      </c>
      <c r="G242" s="11">
        <f>IF($L242="","",SUMIFS('[1]粘贴_服务费返还'!$M$4:$M$3003,'[1]粘贴_服务费返还'!$N$4:$N$3003,$B242,'[1]粘贴_服务费返还'!$O$4:$O$3003,"返还"))</f>
      </c>
      <c r="H242" s="11">
        <f>IF($L242="","",SUMIFS('[1]粘贴_服务费返还'!$M$4:$M$3003,'[1]粘贴_服务费返还'!$N$4:$N$3003,$B242,'[1]粘贴_服务费返还'!$O$4:$O$3003,"扣回"))</f>
      </c>
      <c r="I242" s="11">
        <f t="shared" si="1"/>
      </c>
      <c r="J242" s="6">
        <f t="shared" si="2"/>
      </c>
      <c r="K242" s="10">
        <f t="shared" si="3"/>
      </c>
      <c r="L242" s="17">
        <f>IF(A242&gt;$H$5,"",MATCH(A242,'[1]粘贴_账务明细'!$O$4:$O$3003,0))</f>
      </c>
    </row>
    <row r="243">
      <c r="A243" s="10" t="n">
        <v>215</v>
      </c>
      <c r="B243" s="6">
        <f>IF($L243="","",INDEX('[1]粘贴_账务明细'!$A$4:$A$3003,$L243))</f>
      </c>
      <c r="C243" s="16">
        <f>IF($L243="","",INDEX('[1]粘贴_账务明细'!$H$4:$H$3003,$L243))</f>
      </c>
      <c r="D243" s="11">
        <f>IF($L243="","",SUMIFS('[1]粘贴_账务明细'!$K$4:$K$3003,'[1]粘贴_账务明细'!$A$4:$A$3003,$B243,'[1]粘贴_账务明细'!$L$4:$L$3003,"订单收入")+SUMIFS('[1]粘贴_账务明细'!$K$4:$K$3003,'[1]粘贴_账务明细'!$A$4:$A$3003,$B243,'[1]粘贴_账务明细'!$L$4:$L$3003,"优惠券结算"))</f>
      </c>
      <c r="E243" s="11">
        <f t="shared" si="0"/>
      </c>
      <c r="F243" s="11">
        <f>IF($L243="","",-SUMIFS('[1]粘贴_账务明细'!$K$4:$K$3003,'[1]粘贴_账务明细'!$A$4:$A$3003,$B243,'[1]粘贴_账务明细'!$L$4:$L$3003,"百亿补贴技术服务费"))</f>
      </c>
      <c r="G243" s="11">
        <f>IF($L243="","",SUMIFS('[1]粘贴_服务费返还'!$M$4:$M$3003,'[1]粘贴_服务费返还'!$N$4:$N$3003,$B243,'[1]粘贴_服务费返还'!$O$4:$O$3003,"返还"))</f>
      </c>
      <c r="H243" s="11">
        <f>IF($L243="","",SUMIFS('[1]粘贴_服务费返还'!$M$4:$M$3003,'[1]粘贴_服务费返还'!$N$4:$N$3003,$B243,'[1]粘贴_服务费返还'!$O$4:$O$3003,"扣回"))</f>
      </c>
      <c r="I243" s="11">
        <f t="shared" si="1"/>
      </c>
      <c r="J243" s="6">
        <f t="shared" si="2"/>
      </c>
      <c r="K243" s="10">
        <f t="shared" si="3"/>
      </c>
      <c r="L243" s="17">
        <f>IF(A243&gt;$H$5,"",MATCH(A243,'[1]粘贴_账务明细'!$O$4:$O$3003,0))</f>
      </c>
    </row>
    <row r="244">
      <c r="A244" s="10" t="n">
        <v>216</v>
      </c>
      <c r="B244" s="6">
        <f>IF($L244="","",INDEX('[1]粘贴_账务明细'!$A$4:$A$3003,$L244))</f>
      </c>
      <c r="C244" s="16">
        <f>IF($L244="","",INDEX('[1]粘贴_账务明细'!$H$4:$H$3003,$L244))</f>
      </c>
      <c r="D244" s="11">
        <f>IF($L244="","",SUMIFS('[1]粘贴_账务明细'!$K$4:$K$3003,'[1]粘贴_账务明细'!$A$4:$A$3003,$B244,'[1]粘贴_账务明细'!$L$4:$L$3003,"订单收入")+SUMIFS('[1]粘贴_账务明细'!$K$4:$K$3003,'[1]粘贴_账务明细'!$A$4:$A$3003,$B244,'[1]粘贴_账务明细'!$L$4:$L$3003,"优惠券结算"))</f>
      </c>
      <c r="E244" s="11">
        <f t="shared" si="0"/>
      </c>
      <c r="F244" s="11">
        <f>IF($L244="","",-SUMIFS('[1]粘贴_账务明细'!$K$4:$K$3003,'[1]粘贴_账务明细'!$A$4:$A$3003,$B244,'[1]粘贴_账务明细'!$L$4:$L$3003,"百亿补贴技术服务费"))</f>
      </c>
      <c r="G244" s="11">
        <f>IF($L244="","",SUMIFS('[1]粘贴_服务费返还'!$M$4:$M$3003,'[1]粘贴_服务费返还'!$N$4:$N$3003,$B244,'[1]粘贴_服务费返还'!$O$4:$O$3003,"返还"))</f>
      </c>
      <c r="H244" s="11">
        <f>IF($L244="","",SUMIFS('[1]粘贴_服务费返还'!$M$4:$M$3003,'[1]粘贴_服务费返还'!$N$4:$N$3003,$B244,'[1]粘贴_服务费返还'!$O$4:$O$3003,"扣回"))</f>
      </c>
      <c r="I244" s="11">
        <f t="shared" si="1"/>
      </c>
      <c r="J244" s="6">
        <f t="shared" si="2"/>
      </c>
      <c r="K244" s="10">
        <f t="shared" si="3"/>
      </c>
      <c r="L244" s="17">
        <f>IF(A244&gt;$H$5,"",MATCH(A244,'[1]粘贴_账务明细'!$O$4:$O$3003,0))</f>
      </c>
    </row>
    <row r="245">
      <c r="A245" s="10" t="n">
        <v>217</v>
      </c>
      <c r="B245" s="6">
        <f>IF($L245="","",INDEX('[1]粘贴_账务明细'!$A$4:$A$3003,$L245))</f>
      </c>
      <c r="C245" s="16">
        <f>IF($L245="","",INDEX('[1]粘贴_账务明细'!$H$4:$H$3003,$L245))</f>
      </c>
      <c r="D245" s="11">
        <f>IF($L245="","",SUMIFS('[1]粘贴_账务明细'!$K$4:$K$3003,'[1]粘贴_账务明细'!$A$4:$A$3003,$B245,'[1]粘贴_账务明细'!$L$4:$L$3003,"订单收入")+SUMIFS('[1]粘贴_账务明细'!$K$4:$K$3003,'[1]粘贴_账务明细'!$A$4:$A$3003,$B245,'[1]粘贴_账务明细'!$L$4:$L$3003,"优惠券结算"))</f>
      </c>
      <c r="E245" s="11">
        <f t="shared" si="0"/>
      </c>
      <c r="F245" s="11">
        <f>IF($L245="","",-SUMIFS('[1]粘贴_账务明细'!$K$4:$K$3003,'[1]粘贴_账务明细'!$A$4:$A$3003,$B245,'[1]粘贴_账务明细'!$L$4:$L$3003,"百亿补贴技术服务费"))</f>
      </c>
      <c r="G245" s="11">
        <f>IF($L245="","",SUMIFS('[1]粘贴_服务费返还'!$M$4:$M$3003,'[1]粘贴_服务费返还'!$N$4:$N$3003,$B245,'[1]粘贴_服务费返还'!$O$4:$O$3003,"返还"))</f>
      </c>
      <c r="H245" s="11">
        <f>IF($L245="","",SUMIFS('[1]粘贴_服务费返还'!$M$4:$M$3003,'[1]粘贴_服务费返还'!$N$4:$N$3003,$B245,'[1]粘贴_服务费返还'!$O$4:$O$3003,"扣回"))</f>
      </c>
      <c r="I245" s="11">
        <f t="shared" si="1"/>
      </c>
      <c r="J245" s="6">
        <f t="shared" si="2"/>
      </c>
      <c r="K245" s="10">
        <f t="shared" si="3"/>
      </c>
      <c r="L245" s="17">
        <f>IF(A245&gt;$H$5,"",MATCH(A245,'[1]粘贴_账务明细'!$O$4:$O$3003,0))</f>
      </c>
    </row>
    <row r="246">
      <c r="A246" s="10" t="n">
        <v>218</v>
      </c>
      <c r="B246" s="6">
        <f>IF($L246="","",INDEX('[1]粘贴_账务明细'!$A$4:$A$3003,$L246))</f>
      </c>
      <c r="C246" s="16">
        <f>IF($L246="","",INDEX('[1]粘贴_账务明细'!$H$4:$H$3003,$L246))</f>
      </c>
      <c r="D246" s="11">
        <f>IF($L246="","",SUMIFS('[1]粘贴_账务明细'!$K$4:$K$3003,'[1]粘贴_账务明细'!$A$4:$A$3003,$B246,'[1]粘贴_账务明细'!$L$4:$L$3003,"订单收入")+SUMIFS('[1]粘贴_账务明细'!$K$4:$K$3003,'[1]粘贴_账务明细'!$A$4:$A$3003,$B246,'[1]粘贴_账务明细'!$L$4:$L$3003,"优惠券结算"))</f>
      </c>
      <c r="E246" s="11">
        <f t="shared" si="0"/>
      </c>
      <c r="F246" s="11">
        <f>IF($L246="","",-SUMIFS('[1]粘贴_账务明细'!$K$4:$K$3003,'[1]粘贴_账务明细'!$A$4:$A$3003,$B246,'[1]粘贴_账务明细'!$L$4:$L$3003,"百亿补贴技术服务费"))</f>
      </c>
      <c r="G246" s="11">
        <f>IF($L246="","",SUMIFS('[1]粘贴_服务费返还'!$M$4:$M$3003,'[1]粘贴_服务费返还'!$N$4:$N$3003,$B246,'[1]粘贴_服务费返还'!$O$4:$O$3003,"返还"))</f>
      </c>
      <c r="H246" s="11">
        <f>IF($L246="","",SUMIFS('[1]粘贴_服务费返还'!$M$4:$M$3003,'[1]粘贴_服务费返还'!$N$4:$N$3003,$B246,'[1]粘贴_服务费返还'!$O$4:$O$3003,"扣回"))</f>
      </c>
      <c r="I246" s="11">
        <f t="shared" si="1"/>
      </c>
      <c r="J246" s="6">
        <f t="shared" si="2"/>
      </c>
      <c r="K246" s="10">
        <f t="shared" si="3"/>
      </c>
      <c r="L246" s="17">
        <f>IF(A246&gt;$H$5,"",MATCH(A246,'[1]粘贴_账务明细'!$O$4:$O$3003,0))</f>
      </c>
    </row>
    <row r="247">
      <c r="A247" s="10" t="n">
        <v>219</v>
      </c>
      <c r="B247" s="6">
        <f>IF($L247="","",INDEX('[1]粘贴_账务明细'!$A$4:$A$3003,$L247))</f>
      </c>
      <c r="C247" s="16">
        <f>IF($L247="","",INDEX('[1]粘贴_账务明细'!$H$4:$H$3003,$L247))</f>
      </c>
      <c r="D247" s="11">
        <f>IF($L247="","",SUMIFS('[1]粘贴_账务明细'!$K$4:$K$3003,'[1]粘贴_账务明细'!$A$4:$A$3003,$B247,'[1]粘贴_账务明细'!$L$4:$L$3003,"订单收入")+SUMIFS('[1]粘贴_账务明细'!$K$4:$K$3003,'[1]粘贴_账务明细'!$A$4:$A$3003,$B247,'[1]粘贴_账务明细'!$L$4:$L$3003,"优惠券结算"))</f>
      </c>
      <c r="E247" s="11">
        <f t="shared" si="0"/>
      </c>
      <c r="F247" s="11">
        <f>IF($L247="","",-SUMIFS('[1]粘贴_账务明细'!$K$4:$K$3003,'[1]粘贴_账务明细'!$A$4:$A$3003,$B247,'[1]粘贴_账务明细'!$L$4:$L$3003,"百亿补贴技术服务费"))</f>
      </c>
      <c r="G247" s="11">
        <f>IF($L247="","",SUMIFS('[1]粘贴_服务费返还'!$M$4:$M$3003,'[1]粘贴_服务费返还'!$N$4:$N$3003,$B247,'[1]粘贴_服务费返还'!$O$4:$O$3003,"返还"))</f>
      </c>
      <c r="H247" s="11">
        <f>IF($L247="","",SUMIFS('[1]粘贴_服务费返还'!$M$4:$M$3003,'[1]粘贴_服务费返还'!$N$4:$N$3003,$B247,'[1]粘贴_服务费返还'!$O$4:$O$3003,"扣回"))</f>
      </c>
      <c r="I247" s="11">
        <f t="shared" si="1"/>
      </c>
      <c r="J247" s="6">
        <f t="shared" si="2"/>
      </c>
      <c r="K247" s="10">
        <f t="shared" si="3"/>
      </c>
      <c r="L247" s="17">
        <f>IF(A247&gt;$H$5,"",MATCH(A247,'[1]粘贴_账务明细'!$O$4:$O$3003,0))</f>
      </c>
    </row>
    <row r="248">
      <c r="A248" s="10" t="n">
        <v>220</v>
      </c>
      <c r="B248" s="6">
        <f>IF($L248="","",INDEX('[1]粘贴_账务明细'!$A$4:$A$3003,$L248))</f>
      </c>
      <c r="C248" s="16">
        <f>IF($L248="","",INDEX('[1]粘贴_账务明细'!$H$4:$H$3003,$L248))</f>
      </c>
      <c r="D248" s="11">
        <f>IF($L248="","",SUMIFS('[1]粘贴_账务明细'!$K$4:$K$3003,'[1]粘贴_账务明细'!$A$4:$A$3003,$B248,'[1]粘贴_账务明细'!$L$4:$L$3003,"订单收入")+SUMIFS('[1]粘贴_账务明细'!$K$4:$K$3003,'[1]粘贴_账务明细'!$A$4:$A$3003,$B248,'[1]粘贴_账务明细'!$L$4:$L$3003,"优惠券结算"))</f>
      </c>
      <c r="E248" s="11">
        <f t="shared" si="0"/>
      </c>
      <c r="F248" s="11">
        <f>IF($L248="","",-SUMIFS('[1]粘贴_账务明细'!$K$4:$K$3003,'[1]粘贴_账务明细'!$A$4:$A$3003,$B248,'[1]粘贴_账务明细'!$L$4:$L$3003,"百亿补贴技术服务费"))</f>
      </c>
      <c r="G248" s="11">
        <f>IF($L248="","",SUMIFS('[1]粘贴_服务费返还'!$M$4:$M$3003,'[1]粘贴_服务费返还'!$N$4:$N$3003,$B248,'[1]粘贴_服务费返还'!$O$4:$O$3003,"返还"))</f>
      </c>
      <c r="H248" s="11">
        <f>IF($L248="","",SUMIFS('[1]粘贴_服务费返还'!$M$4:$M$3003,'[1]粘贴_服务费返还'!$N$4:$N$3003,$B248,'[1]粘贴_服务费返还'!$O$4:$O$3003,"扣回"))</f>
      </c>
      <c r="I248" s="11">
        <f t="shared" si="1"/>
      </c>
      <c r="J248" s="6">
        <f t="shared" si="2"/>
      </c>
      <c r="K248" s="10">
        <f t="shared" si="3"/>
      </c>
      <c r="L248" s="17">
        <f>IF(A248&gt;$H$5,"",MATCH(A248,'[1]粘贴_账务明细'!$O$4:$O$3003,0))</f>
      </c>
    </row>
    <row r="249">
      <c r="A249" s="10" t="n">
        <v>221</v>
      </c>
      <c r="B249" s="6">
        <f>IF($L249="","",INDEX('[1]粘贴_账务明细'!$A$4:$A$3003,$L249))</f>
      </c>
      <c r="C249" s="16">
        <f>IF($L249="","",INDEX('[1]粘贴_账务明细'!$H$4:$H$3003,$L249))</f>
      </c>
      <c r="D249" s="11">
        <f>IF($L249="","",SUMIFS('[1]粘贴_账务明细'!$K$4:$K$3003,'[1]粘贴_账务明细'!$A$4:$A$3003,$B249,'[1]粘贴_账务明细'!$L$4:$L$3003,"订单收入")+SUMIFS('[1]粘贴_账务明细'!$K$4:$K$3003,'[1]粘贴_账务明细'!$A$4:$A$3003,$B249,'[1]粘贴_账务明细'!$L$4:$L$3003,"优惠券结算"))</f>
      </c>
      <c r="E249" s="11">
        <f t="shared" si="0"/>
      </c>
      <c r="F249" s="11">
        <f>IF($L249="","",-SUMIFS('[1]粘贴_账务明细'!$K$4:$K$3003,'[1]粘贴_账务明细'!$A$4:$A$3003,$B249,'[1]粘贴_账务明细'!$L$4:$L$3003,"百亿补贴技术服务费"))</f>
      </c>
      <c r="G249" s="11">
        <f>IF($L249="","",SUMIFS('[1]粘贴_服务费返还'!$M$4:$M$3003,'[1]粘贴_服务费返还'!$N$4:$N$3003,$B249,'[1]粘贴_服务费返还'!$O$4:$O$3003,"返还"))</f>
      </c>
      <c r="H249" s="11">
        <f>IF($L249="","",SUMIFS('[1]粘贴_服务费返还'!$M$4:$M$3003,'[1]粘贴_服务费返还'!$N$4:$N$3003,$B249,'[1]粘贴_服务费返还'!$O$4:$O$3003,"扣回"))</f>
      </c>
      <c r="I249" s="11">
        <f t="shared" si="1"/>
      </c>
      <c r="J249" s="6">
        <f t="shared" si="2"/>
      </c>
      <c r="K249" s="10">
        <f t="shared" si="3"/>
      </c>
      <c r="L249" s="17">
        <f>IF(A249&gt;$H$5,"",MATCH(A249,'[1]粘贴_账务明细'!$O$4:$O$3003,0))</f>
      </c>
    </row>
    <row r="250">
      <c r="A250" s="10" t="n">
        <v>222</v>
      </c>
      <c r="B250" s="6">
        <f>IF($L250="","",INDEX('[1]粘贴_账务明细'!$A$4:$A$3003,$L250))</f>
      </c>
      <c r="C250" s="16">
        <f>IF($L250="","",INDEX('[1]粘贴_账务明细'!$H$4:$H$3003,$L250))</f>
      </c>
      <c r="D250" s="11">
        <f>IF($L250="","",SUMIFS('[1]粘贴_账务明细'!$K$4:$K$3003,'[1]粘贴_账务明细'!$A$4:$A$3003,$B250,'[1]粘贴_账务明细'!$L$4:$L$3003,"订单收入")+SUMIFS('[1]粘贴_账务明细'!$K$4:$K$3003,'[1]粘贴_账务明细'!$A$4:$A$3003,$B250,'[1]粘贴_账务明细'!$L$4:$L$3003,"优惠券结算"))</f>
      </c>
      <c r="E250" s="11">
        <f t="shared" si="0"/>
      </c>
      <c r="F250" s="11">
        <f>IF($L250="","",-SUMIFS('[1]粘贴_账务明细'!$K$4:$K$3003,'[1]粘贴_账务明细'!$A$4:$A$3003,$B250,'[1]粘贴_账务明细'!$L$4:$L$3003,"百亿补贴技术服务费"))</f>
      </c>
      <c r="G250" s="11">
        <f>IF($L250="","",SUMIFS('[1]粘贴_服务费返还'!$M$4:$M$3003,'[1]粘贴_服务费返还'!$N$4:$N$3003,$B250,'[1]粘贴_服务费返还'!$O$4:$O$3003,"返还"))</f>
      </c>
      <c r="H250" s="11">
        <f>IF($L250="","",SUMIFS('[1]粘贴_服务费返还'!$M$4:$M$3003,'[1]粘贴_服务费返还'!$N$4:$N$3003,$B250,'[1]粘贴_服务费返还'!$O$4:$O$3003,"扣回"))</f>
      </c>
      <c r="I250" s="11">
        <f t="shared" si="1"/>
      </c>
      <c r="J250" s="6">
        <f t="shared" si="2"/>
      </c>
      <c r="K250" s="10">
        <f t="shared" si="3"/>
      </c>
      <c r="L250" s="17">
        <f>IF(A250&gt;$H$5,"",MATCH(A250,'[1]粘贴_账务明细'!$O$4:$O$3003,0))</f>
      </c>
    </row>
    <row r="251">
      <c r="A251" s="10" t="n">
        <v>223</v>
      </c>
      <c r="B251" s="6">
        <f>IF($L251="","",INDEX('[1]粘贴_账务明细'!$A$4:$A$3003,$L251))</f>
      </c>
      <c r="C251" s="16">
        <f>IF($L251="","",INDEX('[1]粘贴_账务明细'!$H$4:$H$3003,$L251))</f>
      </c>
      <c r="D251" s="11">
        <f>IF($L251="","",SUMIFS('[1]粘贴_账务明细'!$K$4:$K$3003,'[1]粘贴_账务明细'!$A$4:$A$3003,$B251,'[1]粘贴_账务明细'!$L$4:$L$3003,"订单收入")+SUMIFS('[1]粘贴_账务明细'!$K$4:$K$3003,'[1]粘贴_账务明细'!$A$4:$A$3003,$B251,'[1]粘贴_账务明细'!$L$4:$L$3003,"优惠券结算"))</f>
      </c>
      <c r="E251" s="11">
        <f t="shared" si="0"/>
      </c>
      <c r="F251" s="11">
        <f>IF($L251="","",-SUMIFS('[1]粘贴_账务明细'!$K$4:$K$3003,'[1]粘贴_账务明细'!$A$4:$A$3003,$B251,'[1]粘贴_账务明细'!$L$4:$L$3003,"百亿补贴技术服务费"))</f>
      </c>
      <c r="G251" s="11">
        <f>IF($L251="","",SUMIFS('[1]粘贴_服务费返还'!$M$4:$M$3003,'[1]粘贴_服务费返还'!$N$4:$N$3003,$B251,'[1]粘贴_服务费返还'!$O$4:$O$3003,"返还"))</f>
      </c>
      <c r="H251" s="11">
        <f>IF($L251="","",SUMIFS('[1]粘贴_服务费返还'!$M$4:$M$3003,'[1]粘贴_服务费返还'!$N$4:$N$3003,$B251,'[1]粘贴_服务费返还'!$O$4:$O$3003,"扣回"))</f>
      </c>
      <c r="I251" s="11">
        <f t="shared" si="1"/>
      </c>
      <c r="J251" s="6">
        <f t="shared" si="2"/>
      </c>
      <c r="K251" s="10">
        <f t="shared" si="3"/>
      </c>
      <c r="L251" s="17">
        <f>IF(A251&gt;$H$5,"",MATCH(A251,'[1]粘贴_账务明细'!$O$4:$O$3003,0))</f>
      </c>
    </row>
    <row r="252">
      <c r="A252" s="10" t="n">
        <v>224</v>
      </c>
      <c r="B252" s="6">
        <f>IF($L252="","",INDEX('[1]粘贴_账务明细'!$A$4:$A$3003,$L252))</f>
      </c>
      <c r="C252" s="16">
        <f>IF($L252="","",INDEX('[1]粘贴_账务明细'!$H$4:$H$3003,$L252))</f>
      </c>
      <c r="D252" s="11">
        <f>IF($L252="","",SUMIFS('[1]粘贴_账务明细'!$K$4:$K$3003,'[1]粘贴_账务明细'!$A$4:$A$3003,$B252,'[1]粘贴_账务明细'!$L$4:$L$3003,"订单收入")+SUMIFS('[1]粘贴_账务明细'!$K$4:$K$3003,'[1]粘贴_账务明细'!$A$4:$A$3003,$B252,'[1]粘贴_账务明细'!$L$4:$L$3003,"优惠券结算"))</f>
      </c>
      <c r="E252" s="11">
        <f t="shared" si="0"/>
      </c>
      <c r="F252" s="11">
        <f>IF($L252="","",-SUMIFS('[1]粘贴_账务明细'!$K$4:$K$3003,'[1]粘贴_账务明细'!$A$4:$A$3003,$B252,'[1]粘贴_账务明细'!$L$4:$L$3003,"百亿补贴技术服务费"))</f>
      </c>
      <c r="G252" s="11">
        <f>IF($L252="","",SUMIFS('[1]粘贴_服务费返还'!$M$4:$M$3003,'[1]粘贴_服务费返还'!$N$4:$N$3003,$B252,'[1]粘贴_服务费返还'!$O$4:$O$3003,"返还"))</f>
      </c>
      <c r="H252" s="11">
        <f>IF($L252="","",SUMIFS('[1]粘贴_服务费返还'!$M$4:$M$3003,'[1]粘贴_服务费返还'!$N$4:$N$3003,$B252,'[1]粘贴_服务费返还'!$O$4:$O$3003,"扣回"))</f>
      </c>
      <c r="I252" s="11">
        <f t="shared" si="1"/>
      </c>
      <c r="J252" s="6">
        <f t="shared" si="2"/>
      </c>
      <c r="K252" s="10">
        <f t="shared" si="3"/>
      </c>
      <c r="L252" s="17">
        <f>IF(A252&gt;$H$5,"",MATCH(A252,'[1]粘贴_账务明细'!$O$4:$O$3003,0))</f>
      </c>
    </row>
    <row r="253">
      <c r="A253" s="10" t="n">
        <v>225</v>
      </c>
      <c r="B253" s="6">
        <f>IF($L253="","",INDEX('[1]粘贴_账务明细'!$A$4:$A$3003,$L253))</f>
      </c>
      <c r="C253" s="16">
        <f>IF($L253="","",INDEX('[1]粘贴_账务明细'!$H$4:$H$3003,$L253))</f>
      </c>
      <c r="D253" s="11">
        <f>IF($L253="","",SUMIFS('[1]粘贴_账务明细'!$K$4:$K$3003,'[1]粘贴_账务明细'!$A$4:$A$3003,$B253,'[1]粘贴_账务明细'!$L$4:$L$3003,"订单收入")+SUMIFS('[1]粘贴_账务明细'!$K$4:$K$3003,'[1]粘贴_账务明细'!$A$4:$A$3003,$B253,'[1]粘贴_账务明细'!$L$4:$L$3003,"优惠券结算"))</f>
      </c>
      <c r="E253" s="11">
        <f t="shared" si="0"/>
      </c>
      <c r="F253" s="11">
        <f>IF($L253="","",-SUMIFS('[1]粘贴_账务明细'!$K$4:$K$3003,'[1]粘贴_账务明细'!$A$4:$A$3003,$B253,'[1]粘贴_账务明细'!$L$4:$L$3003,"百亿补贴技术服务费"))</f>
      </c>
      <c r="G253" s="11">
        <f>IF($L253="","",SUMIFS('[1]粘贴_服务费返还'!$M$4:$M$3003,'[1]粘贴_服务费返还'!$N$4:$N$3003,$B253,'[1]粘贴_服务费返还'!$O$4:$O$3003,"返还"))</f>
      </c>
      <c r="H253" s="11">
        <f>IF($L253="","",SUMIFS('[1]粘贴_服务费返还'!$M$4:$M$3003,'[1]粘贴_服务费返还'!$N$4:$N$3003,$B253,'[1]粘贴_服务费返还'!$O$4:$O$3003,"扣回"))</f>
      </c>
      <c r="I253" s="11">
        <f t="shared" si="1"/>
      </c>
      <c r="J253" s="6">
        <f t="shared" si="2"/>
      </c>
      <c r="K253" s="10">
        <f t="shared" si="3"/>
      </c>
      <c r="L253" s="17">
        <f>IF(A253&gt;$H$5,"",MATCH(A253,'[1]粘贴_账务明细'!$O$4:$O$3003,0))</f>
      </c>
    </row>
    <row r="254">
      <c r="A254" s="10" t="n">
        <v>226</v>
      </c>
      <c r="B254" s="6">
        <f>IF($L254="","",INDEX('[1]粘贴_账务明细'!$A$4:$A$3003,$L254))</f>
      </c>
      <c r="C254" s="16">
        <f>IF($L254="","",INDEX('[1]粘贴_账务明细'!$H$4:$H$3003,$L254))</f>
      </c>
      <c r="D254" s="11">
        <f>IF($L254="","",SUMIFS('[1]粘贴_账务明细'!$K$4:$K$3003,'[1]粘贴_账务明细'!$A$4:$A$3003,$B254,'[1]粘贴_账务明细'!$L$4:$L$3003,"订单收入")+SUMIFS('[1]粘贴_账务明细'!$K$4:$K$3003,'[1]粘贴_账务明细'!$A$4:$A$3003,$B254,'[1]粘贴_账务明细'!$L$4:$L$3003,"优惠券结算"))</f>
      </c>
      <c r="E254" s="11">
        <f t="shared" si="0"/>
      </c>
      <c r="F254" s="11">
        <f>IF($L254="","",-SUMIFS('[1]粘贴_账务明细'!$K$4:$K$3003,'[1]粘贴_账务明细'!$A$4:$A$3003,$B254,'[1]粘贴_账务明细'!$L$4:$L$3003,"百亿补贴技术服务费"))</f>
      </c>
      <c r="G254" s="11">
        <f>IF($L254="","",SUMIFS('[1]粘贴_服务费返还'!$M$4:$M$3003,'[1]粘贴_服务费返还'!$N$4:$N$3003,$B254,'[1]粘贴_服务费返还'!$O$4:$O$3003,"返还"))</f>
      </c>
      <c r="H254" s="11">
        <f>IF($L254="","",SUMIFS('[1]粘贴_服务费返还'!$M$4:$M$3003,'[1]粘贴_服务费返还'!$N$4:$N$3003,$B254,'[1]粘贴_服务费返还'!$O$4:$O$3003,"扣回"))</f>
      </c>
      <c r="I254" s="11">
        <f t="shared" si="1"/>
      </c>
      <c r="J254" s="6">
        <f t="shared" si="2"/>
      </c>
      <c r="K254" s="10">
        <f t="shared" si="3"/>
      </c>
      <c r="L254" s="17">
        <f>IF(A254&gt;$H$5,"",MATCH(A254,'[1]粘贴_账务明细'!$O$4:$O$3003,0))</f>
      </c>
    </row>
    <row r="255">
      <c r="A255" s="10" t="n">
        <v>227</v>
      </c>
      <c r="B255" s="6">
        <f>IF($L255="","",INDEX('[1]粘贴_账务明细'!$A$4:$A$3003,$L255))</f>
      </c>
      <c r="C255" s="16">
        <f>IF($L255="","",INDEX('[1]粘贴_账务明细'!$H$4:$H$3003,$L255))</f>
      </c>
      <c r="D255" s="11">
        <f>IF($L255="","",SUMIFS('[1]粘贴_账务明细'!$K$4:$K$3003,'[1]粘贴_账务明细'!$A$4:$A$3003,$B255,'[1]粘贴_账务明细'!$L$4:$L$3003,"订单收入")+SUMIFS('[1]粘贴_账务明细'!$K$4:$K$3003,'[1]粘贴_账务明细'!$A$4:$A$3003,$B255,'[1]粘贴_账务明细'!$L$4:$L$3003,"优惠券结算"))</f>
      </c>
      <c r="E255" s="11">
        <f t="shared" si="0"/>
      </c>
      <c r="F255" s="11">
        <f>IF($L255="","",-SUMIFS('[1]粘贴_账务明细'!$K$4:$K$3003,'[1]粘贴_账务明细'!$A$4:$A$3003,$B255,'[1]粘贴_账务明细'!$L$4:$L$3003,"百亿补贴技术服务费"))</f>
      </c>
      <c r="G255" s="11">
        <f>IF($L255="","",SUMIFS('[1]粘贴_服务费返还'!$M$4:$M$3003,'[1]粘贴_服务费返还'!$N$4:$N$3003,$B255,'[1]粘贴_服务费返还'!$O$4:$O$3003,"返还"))</f>
      </c>
      <c r="H255" s="11">
        <f>IF($L255="","",SUMIFS('[1]粘贴_服务费返还'!$M$4:$M$3003,'[1]粘贴_服务费返还'!$N$4:$N$3003,$B255,'[1]粘贴_服务费返还'!$O$4:$O$3003,"扣回"))</f>
      </c>
      <c r="I255" s="11">
        <f t="shared" si="1"/>
      </c>
      <c r="J255" s="6">
        <f t="shared" si="2"/>
      </c>
      <c r="K255" s="10">
        <f t="shared" si="3"/>
      </c>
      <c r="L255" s="17">
        <f>IF(A255&gt;$H$5,"",MATCH(A255,'[1]粘贴_账务明细'!$O$4:$O$3003,0))</f>
      </c>
    </row>
    <row r="256">
      <c r="A256" s="10" t="n">
        <v>228</v>
      </c>
      <c r="B256" s="6">
        <f>IF($L256="","",INDEX('[1]粘贴_账务明细'!$A$4:$A$3003,$L256))</f>
      </c>
      <c r="C256" s="16">
        <f>IF($L256="","",INDEX('[1]粘贴_账务明细'!$H$4:$H$3003,$L256))</f>
      </c>
      <c r="D256" s="11">
        <f>IF($L256="","",SUMIFS('[1]粘贴_账务明细'!$K$4:$K$3003,'[1]粘贴_账务明细'!$A$4:$A$3003,$B256,'[1]粘贴_账务明细'!$L$4:$L$3003,"订单收入")+SUMIFS('[1]粘贴_账务明细'!$K$4:$K$3003,'[1]粘贴_账务明细'!$A$4:$A$3003,$B256,'[1]粘贴_账务明细'!$L$4:$L$3003,"优惠券结算"))</f>
      </c>
      <c r="E256" s="11">
        <f t="shared" si="0"/>
      </c>
      <c r="F256" s="11">
        <f>IF($L256="","",-SUMIFS('[1]粘贴_账务明细'!$K$4:$K$3003,'[1]粘贴_账务明细'!$A$4:$A$3003,$B256,'[1]粘贴_账务明细'!$L$4:$L$3003,"百亿补贴技术服务费"))</f>
      </c>
      <c r="G256" s="11">
        <f>IF($L256="","",SUMIFS('[1]粘贴_服务费返还'!$M$4:$M$3003,'[1]粘贴_服务费返还'!$N$4:$N$3003,$B256,'[1]粘贴_服务费返还'!$O$4:$O$3003,"返还"))</f>
      </c>
      <c r="H256" s="11">
        <f>IF($L256="","",SUMIFS('[1]粘贴_服务费返还'!$M$4:$M$3003,'[1]粘贴_服务费返还'!$N$4:$N$3003,$B256,'[1]粘贴_服务费返还'!$O$4:$O$3003,"扣回"))</f>
      </c>
      <c r="I256" s="11">
        <f t="shared" si="1"/>
      </c>
      <c r="J256" s="6">
        <f t="shared" si="2"/>
      </c>
      <c r="K256" s="10">
        <f t="shared" si="3"/>
      </c>
      <c r="L256" s="17">
        <f>IF(A256&gt;$H$5,"",MATCH(A256,'[1]粘贴_账务明细'!$O$4:$O$3003,0))</f>
      </c>
    </row>
    <row r="257">
      <c r="A257" s="10" t="n">
        <v>229</v>
      </c>
      <c r="B257" s="6">
        <f>IF($L257="","",INDEX('[1]粘贴_账务明细'!$A$4:$A$3003,$L257))</f>
      </c>
      <c r="C257" s="16">
        <f>IF($L257="","",INDEX('[1]粘贴_账务明细'!$H$4:$H$3003,$L257))</f>
      </c>
      <c r="D257" s="11">
        <f>IF($L257="","",SUMIFS('[1]粘贴_账务明细'!$K$4:$K$3003,'[1]粘贴_账务明细'!$A$4:$A$3003,$B257,'[1]粘贴_账务明细'!$L$4:$L$3003,"订单收入")+SUMIFS('[1]粘贴_账务明细'!$K$4:$K$3003,'[1]粘贴_账务明细'!$A$4:$A$3003,$B257,'[1]粘贴_账务明细'!$L$4:$L$3003,"优惠券结算"))</f>
      </c>
      <c r="E257" s="11">
        <f t="shared" si="0"/>
      </c>
      <c r="F257" s="11">
        <f>IF($L257="","",-SUMIFS('[1]粘贴_账务明细'!$K$4:$K$3003,'[1]粘贴_账务明细'!$A$4:$A$3003,$B257,'[1]粘贴_账务明细'!$L$4:$L$3003,"百亿补贴技术服务费"))</f>
      </c>
      <c r="G257" s="11">
        <f>IF($L257="","",SUMIFS('[1]粘贴_服务费返还'!$M$4:$M$3003,'[1]粘贴_服务费返还'!$N$4:$N$3003,$B257,'[1]粘贴_服务费返还'!$O$4:$O$3003,"返还"))</f>
      </c>
      <c r="H257" s="11">
        <f>IF($L257="","",SUMIFS('[1]粘贴_服务费返还'!$M$4:$M$3003,'[1]粘贴_服务费返还'!$N$4:$N$3003,$B257,'[1]粘贴_服务费返还'!$O$4:$O$3003,"扣回"))</f>
      </c>
      <c r="I257" s="11">
        <f t="shared" si="1"/>
      </c>
      <c r="J257" s="6">
        <f t="shared" si="2"/>
      </c>
      <c r="K257" s="10">
        <f t="shared" si="3"/>
      </c>
      <c r="L257" s="17">
        <f>IF(A257&gt;$H$5,"",MATCH(A257,'[1]粘贴_账务明细'!$O$4:$O$3003,0))</f>
      </c>
    </row>
    <row r="258">
      <c r="A258" s="10" t="n">
        <v>230</v>
      </c>
      <c r="B258" s="6">
        <f>IF($L258="","",INDEX('[1]粘贴_账务明细'!$A$4:$A$3003,$L258))</f>
      </c>
      <c r="C258" s="16">
        <f>IF($L258="","",INDEX('[1]粘贴_账务明细'!$H$4:$H$3003,$L258))</f>
      </c>
      <c r="D258" s="11">
        <f>IF($L258="","",SUMIFS('[1]粘贴_账务明细'!$K$4:$K$3003,'[1]粘贴_账务明细'!$A$4:$A$3003,$B258,'[1]粘贴_账务明细'!$L$4:$L$3003,"订单收入")+SUMIFS('[1]粘贴_账务明细'!$K$4:$K$3003,'[1]粘贴_账务明细'!$A$4:$A$3003,$B258,'[1]粘贴_账务明细'!$L$4:$L$3003,"优惠券结算"))</f>
      </c>
      <c r="E258" s="11">
        <f t="shared" si="0"/>
      </c>
      <c r="F258" s="11">
        <f>IF($L258="","",-SUMIFS('[1]粘贴_账务明细'!$K$4:$K$3003,'[1]粘贴_账务明细'!$A$4:$A$3003,$B258,'[1]粘贴_账务明细'!$L$4:$L$3003,"百亿补贴技术服务费"))</f>
      </c>
      <c r="G258" s="11">
        <f>IF($L258="","",SUMIFS('[1]粘贴_服务费返还'!$M$4:$M$3003,'[1]粘贴_服务费返还'!$N$4:$N$3003,$B258,'[1]粘贴_服务费返还'!$O$4:$O$3003,"返还"))</f>
      </c>
      <c r="H258" s="11">
        <f>IF($L258="","",SUMIFS('[1]粘贴_服务费返还'!$M$4:$M$3003,'[1]粘贴_服务费返还'!$N$4:$N$3003,$B258,'[1]粘贴_服务费返还'!$O$4:$O$3003,"扣回"))</f>
      </c>
      <c r="I258" s="11">
        <f t="shared" si="1"/>
      </c>
      <c r="J258" s="6">
        <f t="shared" si="2"/>
      </c>
      <c r="K258" s="10">
        <f t="shared" si="3"/>
      </c>
      <c r="L258" s="17">
        <f>IF(A258&gt;$H$5,"",MATCH(A258,'[1]粘贴_账务明细'!$O$4:$O$3003,0))</f>
      </c>
    </row>
    <row r="259">
      <c r="A259" s="10" t="n">
        <v>231</v>
      </c>
      <c r="B259" s="6">
        <f>IF($L259="","",INDEX('[1]粘贴_账务明细'!$A$4:$A$3003,$L259))</f>
      </c>
      <c r="C259" s="16">
        <f>IF($L259="","",INDEX('[1]粘贴_账务明细'!$H$4:$H$3003,$L259))</f>
      </c>
      <c r="D259" s="11">
        <f>IF($L259="","",SUMIFS('[1]粘贴_账务明细'!$K$4:$K$3003,'[1]粘贴_账务明细'!$A$4:$A$3003,$B259,'[1]粘贴_账务明细'!$L$4:$L$3003,"订单收入")+SUMIFS('[1]粘贴_账务明细'!$K$4:$K$3003,'[1]粘贴_账务明细'!$A$4:$A$3003,$B259,'[1]粘贴_账务明细'!$L$4:$L$3003,"优惠券结算"))</f>
      </c>
      <c r="E259" s="11">
        <f t="shared" si="0"/>
      </c>
      <c r="F259" s="11">
        <f>IF($L259="","",-SUMIFS('[1]粘贴_账务明细'!$K$4:$K$3003,'[1]粘贴_账务明细'!$A$4:$A$3003,$B259,'[1]粘贴_账务明细'!$L$4:$L$3003,"百亿补贴技术服务费"))</f>
      </c>
      <c r="G259" s="11">
        <f>IF($L259="","",SUMIFS('[1]粘贴_服务费返还'!$M$4:$M$3003,'[1]粘贴_服务费返还'!$N$4:$N$3003,$B259,'[1]粘贴_服务费返还'!$O$4:$O$3003,"返还"))</f>
      </c>
      <c r="H259" s="11">
        <f>IF($L259="","",SUMIFS('[1]粘贴_服务费返还'!$M$4:$M$3003,'[1]粘贴_服务费返还'!$N$4:$N$3003,$B259,'[1]粘贴_服务费返还'!$O$4:$O$3003,"扣回"))</f>
      </c>
      <c r="I259" s="11">
        <f t="shared" si="1"/>
      </c>
      <c r="J259" s="6">
        <f t="shared" si="2"/>
      </c>
      <c r="K259" s="10">
        <f t="shared" si="3"/>
      </c>
      <c r="L259" s="17">
        <f>IF(A259&gt;$H$5,"",MATCH(A259,'[1]粘贴_账务明细'!$O$4:$O$3003,0))</f>
      </c>
    </row>
    <row r="260">
      <c r="A260" s="10" t="n">
        <v>232</v>
      </c>
      <c r="B260" s="6">
        <f>IF($L260="","",INDEX('[1]粘贴_账务明细'!$A$4:$A$3003,$L260))</f>
      </c>
      <c r="C260" s="16">
        <f>IF($L260="","",INDEX('[1]粘贴_账务明细'!$H$4:$H$3003,$L260))</f>
      </c>
      <c r="D260" s="11">
        <f>IF($L260="","",SUMIFS('[1]粘贴_账务明细'!$K$4:$K$3003,'[1]粘贴_账务明细'!$A$4:$A$3003,$B260,'[1]粘贴_账务明细'!$L$4:$L$3003,"订单收入")+SUMIFS('[1]粘贴_账务明细'!$K$4:$K$3003,'[1]粘贴_账务明细'!$A$4:$A$3003,$B260,'[1]粘贴_账务明细'!$L$4:$L$3003,"优惠券结算"))</f>
      </c>
      <c r="E260" s="11">
        <f t="shared" si="0"/>
      </c>
      <c r="F260" s="11">
        <f>IF($L260="","",-SUMIFS('[1]粘贴_账务明细'!$K$4:$K$3003,'[1]粘贴_账务明细'!$A$4:$A$3003,$B260,'[1]粘贴_账务明细'!$L$4:$L$3003,"百亿补贴技术服务费"))</f>
      </c>
      <c r="G260" s="11">
        <f>IF($L260="","",SUMIFS('[1]粘贴_服务费返还'!$M$4:$M$3003,'[1]粘贴_服务费返还'!$N$4:$N$3003,$B260,'[1]粘贴_服务费返还'!$O$4:$O$3003,"返还"))</f>
      </c>
      <c r="H260" s="11">
        <f>IF($L260="","",SUMIFS('[1]粘贴_服务费返还'!$M$4:$M$3003,'[1]粘贴_服务费返还'!$N$4:$N$3003,$B260,'[1]粘贴_服务费返还'!$O$4:$O$3003,"扣回"))</f>
      </c>
      <c r="I260" s="11">
        <f t="shared" si="1"/>
      </c>
      <c r="J260" s="6">
        <f t="shared" si="2"/>
      </c>
      <c r="K260" s="10">
        <f t="shared" si="3"/>
      </c>
      <c r="L260" s="17">
        <f>IF(A260&gt;$H$5,"",MATCH(A260,'[1]粘贴_账务明细'!$O$4:$O$3003,0))</f>
      </c>
    </row>
    <row r="261">
      <c r="A261" s="10" t="n">
        <v>233</v>
      </c>
      <c r="B261" s="6">
        <f>IF($L261="","",INDEX('[1]粘贴_账务明细'!$A$4:$A$3003,$L261))</f>
      </c>
      <c r="C261" s="16">
        <f>IF($L261="","",INDEX('[1]粘贴_账务明细'!$H$4:$H$3003,$L261))</f>
      </c>
      <c r="D261" s="11">
        <f>IF($L261="","",SUMIFS('[1]粘贴_账务明细'!$K$4:$K$3003,'[1]粘贴_账务明细'!$A$4:$A$3003,$B261,'[1]粘贴_账务明细'!$L$4:$L$3003,"订单收入")+SUMIFS('[1]粘贴_账务明细'!$K$4:$K$3003,'[1]粘贴_账务明细'!$A$4:$A$3003,$B261,'[1]粘贴_账务明细'!$L$4:$L$3003,"优惠券结算"))</f>
      </c>
      <c r="E261" s="11">
        <f t="shared" si="0"/>
      </c>
      <c r="F261" s="11">
        <f>IF($L261="","",-SUMIFS('[1]粘贴_账务明细'!$K$4:$K$3003,'[1]粘贴_账务明细'!$A$4:$A$3003,$B261,'[1]粘贴_账务明细'!$L$4:$L$3003,"百亿补贴技术服务费"))</f>
      </c>
      <c r="G261" s="11">
        <f>IF($L261="","",SUMIFS('[1]粘贴_服务费返还'!$M$4:$M$3003,'[1]粘贴_服务费返还'!$N$4:$N$3003,$B261,'[1]粘贴_服务费返还'!$O$4:$O$3003,"返还"))</f>
      </c>
      <c r="H261" s="11">
        <f>IF($L261="","",SUMIFS('[1]粘贴_服务费返还'!$M$4:$M$3003,'[1]粘贴_服务费返还'!$N$4:$N$3003,$B261,'[1]粘贴_服务费返还'!$O$4:$O$3003,"扣回"))</f>
      </c>
      <c r="I261" s="11">
        <f t="shared" si="1"/>
      </c>
      <c r="J261" s="6">
        <f t="shared" si="2"/>
      </c>
      <c r="K261" s="10">
        <f t="shared" si="3"/>
      </c>
      <c r="L261" s="17">
        <f>IF(A261&gt;$H$5,"",MATCH(A261,'[1]粘贴_账务明细'!$O$4:$O$3003,0))</f>
      </c>
    </row>
    <row r="262">
      <c r="A262" s="10" t="n">
        <v>234</v>
      </c>
      <c r="B262" s="6">
        <f>IF($L262="","",INDEX('[1]粘贴_账务明细'!$A$4:$A$3003,$L262))</f>
      </c>
      <c r="C262" s="16">
        <f>IF($L262="","",INDEX('[1]粘贴_账务明细'!$H$4:$H$3003,$L262))</f>
      </c>
      <c r="D262" s="11">
        <f>IF($L262="","",SUMIFS('[1]粘贴_账务明细'!$K$4:$K$3003,'[1]粘贴_账务明细'!$A$4:$A$3003,$B262,'[1]粘贴_账务明细'!$L$4:$L$3003,"订单收入")+SUMIFS('[1]粘贴_账务明细'!$K$4:$K$3003,'[1]粘贴_账务明细'!$A$4:$A$3003,$B262,'[1]粘贴_账务明细'!$L$4:$L$3003,"优惠券结算"))</f>
      </c>
      <c r="E262" s="11">
        <f t="shared" si="0"/>
      </c>
      <c r="F262" s="11">
        <f>IF($L262="","",-SUMIFS('[1]粘贴_账务明细'!$K$4:$K$3003,'[1]粘贴_账务明细'!$A$4:$A$3003,$B262,'[1]粘贴_账务明细'!$L$4:$L$3003,"百亿补贴技术服务费"))</f>
      </c>
      <c r="G262" s="11">
        <f>IF($L262="","",SUMIFS('[1]粘贴_服务费返还'!$M$4:$M$3003,'[1]粘贴_服务费返还'!$N$4:$N$3003,$B262,'[1]粘贴_服务费返还'!$O$4:$O$3003,"返还"))</f>
      </c>
      <c r="H262" s="11">
        <f>IF($L262="","",SUMIFS('[1]粘贴_服务费返还'!$M$4:$M$3003,'[1]粘贴_服务费返还'!$N$4:$N$3003,$B262,'[1]粘贴_服务费返还'!$O$4:$O$3003,"扣回"))</f>
      </c>
      <c r="I262" s="11">
        <f t="shared" si="1"/>
      </c>
      <c r="J262" s="6">
        <f t="shared" si="2"/>
      </c>
      <c r="K262" s="10">
        <f t="shared" si="3"/>
      </c>
      <c r="L262" s="17">
        <f>IF(A262&gt;$H$5,"",MATCH(A262,'[1]粘贴_账务明细'!$O$4:$O$3003,0))</f>
      </c>
    </row>
    <row r="263">
      <c r="A263" s="10" t="n">
        <v>235</v>
      </c>
      <c r="B263" s="6">
        <f>IF($L263="","",INDEX('[1]粘贴_账务明细'!$A$4:$A$3003,$L263))</f>
      </c>
      <c r="C263" s="16">
        <f>IF($L263="","",INDEX('[1]粘贴_账务明细'!$H$4:$H$3003,$L263))</f>
      </c>
      <c r="D263" s="11">
        <f>IF($L263="","",SUMIFS('[1]粘贴_账务明细'!$K$4:$K$3003,'[1]粘贴_账务明细'!$A$4:$A$3003,$B263,'[1]粘贴_账务明细'!$L$4:$L$3003,"订单收入")+SUMIFS('[1]粘贴_账务明细'!$K$4:$K$3003,'[1]粘贴_账务明细'!$A$4:$A$3003,$B263,'[1]粘贴_账务明细'!$L$4:$L$3003,"优惠券结算"))</f>
      </c>
      <c r="E263" s="11">
        <f t="shared" si="0"/>
      </c>
      <c r="F263" s="11">
        <f>IF($L263="","",-SUMIFS('[1]粘贴_账务明细'!$K$4:$K$3003,'[1]粘贴_账务明细'!$A$4:$A$3003,$B263,'[1]粘贴_账务明细'!$L$4:$L$3003,"百亿补贴技术服务费"))</f>
      </c>
      <c r="G263" s="11">
        <f>IF($L263="","",SUMIFS('[1]粘贴_服务费返还'!$M$4:$M$3003,'[1]粘贴_服务费返还'!$N$4:$N$3003,$B263,'[1]粘贴_服务费返还'!$O$4:$O$3003,"返还"))</f>
      </c>
      <c r="H263" s="11">
        <f>IF($L263="","",SUMIFS('[1]粘贴_服务费返还'!$M$4:$M$3003,'[1]粘贴_服务费返还'!$N$4:$N$3003,$B263,'[1]粘贴_服务费返还'!$O$4:$O$3003,"扣回"))</f>
      </c>
      <c r="I263" s="11">
        <f t="shared" si="1"/>
      </c>
      <c r="J263" s="6">
        <f t="shared" si="2"/>
      </c>
      <c r="K263" s="10">
        <f t="shared" si="3"/>
      </c>
      <c r="L263" s="17">
        <f>IF(A263&gt;$H$5,"",MATCH(A263,'[1]粘贴_账务明细'!$O$4:$O$3003,0))</f>
      </c>
    </row>
    <row r="264">
      <c r="A264" s="10" t="n">
        <v>236</v>
      </c>
      <c r="B264" s="6">
        <f>IF($L264="","",INDEX('[1]粘贴_账务明细'!$A$4:$A$3003,$L264))</f>
      </c>
      <c r="C264" s="16">
        <f>IF($L264="","",INDEX('[1]粘贴_账务明细'!$H$4:$H$3003,$L264))</f>
      </c>
      <c r="D264" s="11">
        <f>IF($L264="","",SUMIFS('[1]粘贴_账务明细'!$K$4:$K$3003,'[1]粘贴_账务明细'!$A$4:$A$3003,$B264,'[1]粘贴_账务明细'!$L$4:$L$3003,"订单收入")+SUMIFS('[1]粘贴_账务明细'!$K$4:$K$3003,'[1]粘贴_账务明细'!$A$4:$A$3003,$B264,'[1]粘贴_账务明细'!$L$4:$L$3003,"优惠券结算"))</f>
      </c>
      <c r="E264" s="11">
        <f t="shared" si="0"/>
      </c>
      <c r="F264" s="11">
        <f>IF($L264="","",-SUMIFS('[1]粘贴_账务明细'!$K$4:$K$3003,'[1]粘贴_账务明细'!$A$4:$A$3003,$B264,'[1]粘贴_账务明细'!$L$4:$L$3003,"百亿补贴技术服务费"))</f>
      </c>
      <c r="G264" s="11">
        <f>IF($L264="","",SUMIFS('[1]粘贴_服务费返还'!$M$4:$M$3003,'[1]粘贴_服务费返还'!$N$4:$N$3003,$B264,'[1]粘贴_服务费返还'!$O$4:$O$3003,"返还"))</f>
      </c>
      <c r="H264" s="11">
        <f>IF($L264="","",SUMIFS('[1]粘贴_服务费返还'!$M$4:$M$3003,'[1]粘贴_服务费返还'!$N$4:$N$3003,$B264,'[1]粘贴_服务费返还'!$O$4:$O$3003,"扣回"))</f>
      </c>
      <c r="I264" s="11">
        <f t="shared" si="1"/>
      </c>
      <c r="J264" s="6">
        <f t="shared" si="2"/>
      </c>
      <c r="K264" s="10">
        <f t="shared" si="3"/>
      </c>
      <c r="L264" s="17">
        <f>IF(A264&gt;$H$5,"",MATCH(A264,'[1]粘贴_账务明细'!$O$4:$O$3003,0))</f>
      </c>
    </row>
    <row r="265">
      <c r="A265" s="10" t="n">
        <v>237</v>
      </c>
      <c r="B265" s="6">
        <f>IF($L265="","",INDEX('[1]粘贴_账务明细'!$A$4:$A$3003,$L265))</f>
      </c>
      <c r="C265" s="16">
        <f>IF($L265="","",INDEX('[1]粘贴_账务明细'!$H$4:$H$3003,$L265))</f>
      </c>
      <c r="D265" s="11">
        <f>IF($L265="","",SUMIFS('[1]粘贴_账务明细'!$K$4:$K$3003,'[1]粘贴_账务明细'!$A$4:$A$3003,$B265,'[1]粘贴_账务明细'!$L$4:$L$3003,"订单收入")+SUMIFS('[1]粘贴_账务明细'!$K$4:$K$3003,'[1]粘贴_账务明细'!$A$4:$A$3003,$B265,'[1]粘贴_账务明细'!$L$4:$L$3003,"优惠券结算"))</f>
      </c>
      <c r="E265" s="11">
        <f t="shared" si="0"/>
      </c>
      <c r="F265" s="11">
        <f>IF($L265="","",-SUMIFS('[1]粘贴_账务明细'!$K$4:$K$3003,'[1]粘贴_账务明细'!$A$4:$A$3003,$B265,'[1]粘贴_账务明细'!$L$4:$L$3003,"百亿补贴技术服务费"))</f>
      </c>
      <c r="G265" s="11">
        <f>IF($L265="","",SUMIFS('[1]粘贴_服务费返还'!$M$4:$M$3003,'[1]粘贴_服务费返还'!$N$4:$N$3003,$B265,'[1]粘贴_服务费返还'!$O$4:$O$3003,"返还"))</f>
      </c>
      <c r="H265" s="11">
        <f>IF($L265="","",SUMIFS('[1]粘贴_服务费返还'!$M$4:$M$3003,'[1]粘贴_服务费返还'!$N$4:$N$3003,$B265,'[1]粘贴_服务费返还'!$O$4:$O$3003,"扣回"))</f>
      </c>
      <c r="I265" s="11">
        <f t="shared" si="1"/>
      </c>
      <c r="J265" s="6">
        <f t="shared" si="2"/>
      </c>
      <c r="K265" s="10">
        <f t="shared" si="3"/>
      </c>
      <c r="L265" s="17">
        <f>IF(A265&gt;$H$5,"",MATCH(A265,'[1]粘贴_账务明细'!$O$4:$O$3003,0))</f>
      </c>
    </row>
    <row r="266">
      <c r="A266" s="10" t="n">
        <v>238</v>
      </c>
      <c r="B266" s="6">
        <f>IF($L266="","",INDEX('[1]粘贴_账务明细'!$A$4:$A$3003,$L266))</f>
      </c>
      <c r="C266" s="16">
        <f>IF($L266="","",INDEX('[1]粘贴_账务明细'!$H$4:$H$3003,$L266))</f>
      </c>
      <c r="D266" s="11">
        <f>IF($L266="","",SUMIFS('[1]粘贴_账务明细'!$K$4:$K$3003,'[1]粘贴_账务明细'!$A$4:$A$3003,$B266,'[1]粘贴_账务明细'!$L$4:$L$3003,"订单收入")+SUMIFS('[1]粘贴_账务明细'!$K$4:$K$3003,'[1]粘贴_账务明细'!$A$4:$A$3003,$B266,'[1]粘贴_账务明细'!$L$4:$L$3003,"优惠券结算"))</f>
      </c>
      <c r="E266" s="11">
        <f t="shared" si="0"/>
      </c>
      <c r="F266" s="11">
        <f>IF($L266="","",-SUMIFS('[1]粘贴_账务明细'!$K$4:$K$3003,'[1]粘贴_账务明细'!$A$4:$A$3003,$B266,'[1]粘贴_账务明细'!$L$4:$L$3003,"百亿补贴技术服务费"))</f>
      </c>
      <c r="G266" s="11">
        <f>IF($L266="","",SUMIFS('[1]粘贴_服务费返还'!$M$4:$M$3003,'[1]粘贴_服务费返还'!$N$4:$N$3003,$B266,'[1]粘贴_服务费返还'!$O$4:$O$3003,"返还"))</f>
      </c>
      <c r="H266" s="11">
        <f>IF($L266="","",SUMIFS('[1]粘贴_服务费返还'!$M$4:$M$3003,'[1]粘贴_服务费返还'!$N$4:$N$3003,$B266,'[1]粘贴_服务费返还'!$O$4:$O$3003,"扣回"))</f>
      </c>
      <c r="I266" s="11">
        <f t="shared" si="1"/>
      </c>
      <c r="J266" s="6">
        <f t="shared" si="2"/>
      </c>
      <c r="K266" s="10">
        <f t="shared" si="3"/>
      </c>
      <c r="L266" s="17">
        <f>IF(A266&gt;$H$5,"",MATCH(A266,'[1]粘贴_账务明细'!$O$4:$O$3003,0))</f>
      </c>
    </row>
    <row r="267">
      <c r="A267" s="10" t="n">
        <v>239</v>
      </c>
      <c r="B267" s="6">
        <f>IF($L267="","",INDEX('[1]粘贴_账务明细'!$A$4:$A$3003,$L267))</f>
      </c>
      <c r="C267" s="16">
        <f>IF($L267="","",INDEX('[1]粘贴_账务明细'!$H$4:$H$3003,$L267))</f>
      </c>
      <c r="D267" s="11">
        <f>IF($L267="","",SUMIFS('[1]粘贴_账务明细'!$K$4:$K$3003,'[1]粘贴_账务明细'!$A$4:$A$3003,$B267,'[1]粘贴_账务明细'!$L$4:$L$3003,"订单收入")+SUMIFS('[1]粘贴_账务明细'!$K$4:$K$3003,'[1]粘贴_账务明细'!$A$4:$A$3003,$B267,'[1]粘贴_账务明细'!$L$4:$L$3003,"优惠券结算"))</f>
      </c>
      <c r="E267" s="11">
        <f t="shared" si="0"/>
      </c>
      <c r="F267" s="11">
        <f>IF($L267="","",-SUMIFS('[1]粘贴_账务明细'!$K$4:$K$3003,'[1]粘贴_账务明细'!$A$4:$A$3003,$B267,'[1]粘贴_账务明细'!$L$4:$L$3003,"百亿补贴技术服务费"))</f>
      </c>
      <c r="G267" s="11">
        <f>IF($L267="","",SUMIFS('[1]粘贴_服务费返还'!$M$4:$M$3003,'[1]粘贴_服务费返还'!$N$4:$N$3003,$B267,'[1]粘贴_服务费返还'!$O$4:$O$3003,"返还"))</f>
      </c>
      <c r="H267" s="11">
        <f>IF($L267="","",SUMIFS('[1]粘贴_服务费返还'!$M$4:$M$3003,'[1]粘贴_服务费返还'!$N$4:$N$3003,$B267,'[1]粘贴_服务费返还'!$O$4:$O$3003,"扣回"))</f>
      </c>
      <c r="I267" s="11">
        <f t="shared" si="1"/>
      </c>
      <c r="J267" s="6">
        <f t="shared" si="2"/>
      </c>
      <c r="K267" s="10">
        <f t="shared" si="3"/>
      </c>
      <c r="L267" s="17">
        <f>IF(A267&gt;$H$5,"",MATCH(A267,'[1]粘贴_账务明细'!$O$4:$O$3003,0))</f>
      </c>
    </row>
    <row r="268">
      <c r="A268" s="10" t="n">
        <v>240</v>
      </c>
      <c r="B268" s="6">
        <f>IF($L268="","",INDEX('[1]粘贴_账务明细'!$A$4:$A$3003,$L268))</f>
      </c>
      <c r="C268" s="16">
        <f>IF($L268="","",INDEX('[1]粘贴_账务明细'!$H$4:$H$3003,$L268))</f>
      </c>
      <c r="D268" s="11">
        <f>IF($L268="","",SUMIFS('[1]粘贴_账务明细'!$K$4:$K$3003,'[1]粘贴_账务明细'!$A$4:$A$3003,$B268,'[1]粘贴_账务明细'!$L$4:$L$3003,"订单收入")+SUMIFS('[1]粘贴_账务明细'!$K$4:$K$3003,'[1]粘贴_账务明细'!$A$4:$A$3003,$B268,'[1]粘贴_账务明细'!$L$4:$L$3003,"优惠券结算"))</f>
      </c>
      <c r="E268" s="11">
        <f t="shared" si="0"/>
      </c>
      <c r="F268" s="11">
        <f>IF($L268="","",-SUMIFS('[1]粘贴_账务明细'!$K$4:$K$3003,'[1]粘贴_账务明细'!$A$4:$A$3003,$B268,'[1]粘贴_账务明细'!$L$4:$L$3003,"百亿补贴技术服务费"))</f>
      </c>
      <c r="G268" s="11">
        <f>IF($L268="","",SUMIFS('[1]粘贴_服务费返还'!$M$4:$M$3003,'[1]粘贴_服务费返还'!$N$4:$N$3003,$B268,'[1]粘贴_服务费返还'!$O$4:$O$3003,"返还"))</f>
      </c>
      <c r="H268" s="11">
        <f>IF($L268="","",SUMIFS('[1]粘贴_服务费返还'!$M$4:$M$3003,'[1]粘贴_服务费返还'!$N$4:$N$3003,$B268,'[1]粘贴_服务费返还'!$O$4:$O$3003,"扣回"))</f>
      </c>
      <c r="I268" s="11">
        <f t="shared" si="1"/>
      </c>
      <c r="J268" s="6">
        <f t="shared" si="2"/>
      </c>
      <c r="K268" s="10">
        <f t="shared" si="3"/>
      </c>
      <c r="L268" s="17">
        <f>IF(A268&gt;$H$5,"",MATCH(A268,'[1]粘贴_账务明细'!$O$4:$O$3003,0))</f>
      </c>
    </row>
    <row r="269">
      <c r="A269" s="10" t="n">
        <v>241</v>
      </c>
      <c r="B269" s="6">
        <f>IF($L269="","",INDEX('[1]粘贴_账务明细'!$A$4:$A$3003,$L269))</f>
      </c>
      <c r="C269" s="16">
        <f>IF($L269="","",INDEX('[1]粘贴_账务明细'!$H$4:$H$3003,$L269))</f>
      </c>
      <c r="D269" s="11">
        <f>IF($L269="","",SUMIFS('[1]粘贴_账务明细'!$K$4:$K$3003,'[1]粘贴_账务明细'!$A$4:$A$3003,$B269,'[1]粘贴_账务明细'!$L$4:$L$3003,"订单收入")+SUMIFS('[1]粘贴_账务明细'!$K$4:$K$3003,'[1]粘贴_账务明细'!$A$4:$A$3003,$B269,'[1]粘贴_账务明细'!$L$4:$L$3003,"优惠券结算"))</f>
      </c>
      <c r="E269" s="11">
        <f t="shared" si="0"/>
      </c>
      <c r="F269" s="11">
        <f>IF($L269="","",-SUMIFS('[1]粘贴_账务明细'!$K$4:$K$3003,'[1]粘贴_账务明细'!$A$4:$A$3003,$B269,'[1]粘贴_账务明细'!$L$4:$L$3003,"百亿补贴技术服务费"))</f>
      </c>
      <c r="G269" s="11">
        <f>IF($L269="","",SUMIFS('[1]粘贴_服务费返还'!$M$4:$M$3003,'[1]粘贴_服务费返还'!$N$4:$N$3003,$B269,'[1]粘贴_服务费返还'!$O$4:$O$3003,"返还"))</f>
      </c>
      <c r="H269" s="11">
        <f>IF($L269="","",SUMIFS('[1]粘贴_服务费返还'!$M$4:$M$3003,'[1]粘贴_服务费返还'!$N$4:$N$3003,$B269,'[1]粘贴_服务费返还'!$O$4:$O$3003,"扣回"))</f>
      </c>
      <c r="I269" s="11">
        <f t="shared" si="1"/>
      </c>
      <c r="J269" s="6">
        <f t="shared" si="2"/>
      </c>
      <c r="K269" s="10">
        <f t="shared" si="3"/>
      </c>
      <c r="L269" s="17">
        <f>IF(A269&gt;$H$5,"",MATCH(A269,'[1]粘贴_账务明细'!$O$4:$O$3003,0))</f>
      </c>
    </row>
    <row r="270">
      <c r="A270" s="10" t="n">
        <v>242</v>
      </c>
      <c r="B270" s="6">
        <f>IF($L270="","",INDEX('[1]粘贴_账务明细'!$A$4:$A$3003,$L270))</f>
      </c>
      <c r="C270" s="16">
        <f>IF($L270="","",INDEX('[1]粘贴_账务明细'!$H$4:$H$3003,$L270))</f>
      </c>
      <c r="D270" s="11">
        <f>IF($L270="","",SUMIFS('[1]粘贴_账务明细'!$K$4:$K$3003,'[1]粘贴_账务明细'!$A$4:$A$3003,$B270,'[1]粘贴_账务明细'!$L$4:$L$3003,"订单收入")+SUMIFS('[1]粘贴_账务明细'!$K$4:$K$3003,'[1]粘贴_账务明细'!$A$4:$A$3003,$B270,'[1]粘贴_账务明细'!$L$4:$L$3003,"优惠券结算"))</f>
      </c>
      <c r="E270" s="11">
        <f t="shared" si="0"/>
      </c>
      <c r="F270" s="11">
        <f>IF($L270="","",-SUMIFS('[1]粘贴_账务明细'!$K$4:$K$3003,'[1]粘贴_账务明细'!$A$4:$A$3003,$B270,'[1]粘贴_账务明细'!$L$4:$L$3003,"百亿补贴技术服务费"))</f>
      </c>
      <c r="G270" s="11">
        <f>IF($L270="","",SUMIFS('[1]粘贴_服务费返还'!$M$4:$M$3003,'[1]粘贴_服务费返还'!$N$4:$N$3003,$B270,'[1]粘贴_服务费返还'!$O$4:$O$3003,"返还"))</f>
      </c>
      <c r="H270" s="11">
        <f>IF($L270="","",SUMIFS('[1]粘贴_服务费返还'!$M$4:$M$3003,'[1]粘贴_服务费返还'!$N$4:$N$3003,$B270,'[1]粘贴_服务费返还'!$O$4:$O$3003,"扣回"))</f>
      </c>
      <c r="I270" s="11">
        <f t="shared" si="1"/>
      </c>
      <c r="J270" s="6">
        <f t="shared" si="2"/>
      </c>
      <c r="K270" s="10">
        <f t="shared" si="3"/>
      </c>
      <c r="L270" s="17">
        <f>IF(A270&gt;$H$5,"",MATCH(A270,'[1]粘贴_账务明细'!$O$4:$O$3003,0))</f>
      </c>
    </row>
    <row r="271">
      <c r="A271" s="10" t="n">
        <v>243</v>
      </c>
      <c r="B271" s="6">
        <f>IF($L271="","",INDEX('[1]粘贴_账务明细'!$A$4:$A$3003,$L271))</f>
      </c>
      <c r="C271" s="16">
        <f>IF($L271="","",INDEX('[1]粘贴_账务明细'!$H$4:$H$3003,$L271))</f>
      </c>
      <c r="D271" s="11">
        <f>IF($L271="","",SUMIFS('[1]粘贴_账务明细'!$K$4:$K$3003,'[1]粘贴_账务明细'!$A$4:$A$3003,$B271,'[1]粘贴_账务明细'!$L$4:$L$3003,"订单收入")+SUMIFS('[1]粘贴_账务明细'!$K$4:$K$3003,'[1]粘贴_账务明细'!$A$4:$A$3003,$B271,'[1]粘贴_账务明细'!$L$4:$L$3003,"优惠券结算"))</f>
      </c>
      <c r="E271" s="11">
        <f t="shared" si="0"/>
      </c>
      <c r="F271" s="11">
        <f>IF($L271="","",-SUMIFS('[1]粘贴_账务明细'!$K$4:$K$3003,'[1]粘贴_账务明细'!$A$4:$A$3003,$B271,'[1]粘贴_账务明细'!$L$4:$L$3003,"百亿补贴技术服务费"))</f>
      </c>
      <c r="G271" s="11">
        <f>IF($L271="","",SUMIFS('[1]粘贴_服务费返还'!$M$4:$M$3003,'[1]粘贴_服务费返还'!$N$4:$N$3003,$B271,'[1]粘贴_服务费返还'!$O$4:$O$3003,"返还"))</f>
      </c>
      <c r="H271" s="11">
        <f>IF($L271="","",SUMIFS('[1]粘贴_服务费返还'!$M$4:$M$3003,'[1]粘贴_服务费返还'!$N$4:$N$3003,$B271,'[1]粘贴_服务费返还'!$O$4:$O$3003,"扣回"))</f>
      </c>
      <c r="I271" s="11">
        <f t="shared" si="1"/>
      </c>
      <c r="J271" s="6">
        <f t="shared" si="2"/>
      </c>
      <c r="K271" s="10">
        <f t="shared" si="3"/>
      </c>
      <c r="L271" s="17">
        <f>IF(A271&gt;$H$5,"",MATCH(A271,'[1]粘贴_账务明细'!$O$4:$O$3003,0))</f>
      </c>
    </row>
    <row r="272">
      <c r="A272" s="10" t="n">
        <v>244</v>
      </c>
      <c r="B272" s="6">
        <f>IF($L272="","",INDEX('[1]粘贴_账务明细'!$A$4:$A$3003,$L272))</f>
      </c>
      <c r="C272" s="16">
        <f>IF($L272="","",INDEX('[1]粘贴_账务明细'!$H$4:$H$3003,$L272))</f>
      </c>
      <c r="D272" s="11">
        <f>IF($L272="","",SUMIFS('[1]粘贴_账务明细'!$K$4:$K$3003,'[1]粘贴_账务明细'!$A$4:$A$3003,$B272,'[1]粘贴_账务明细'!$L$4:$L$3003,"订单收入")+SUMIFS('[1]粘贴_账务明细'!$K$4:$K$3003,'[1]粘贴_账务明细'!$A$4:$A$3003,$B272,'[1]粘贴_账务明细'!$L$4:$L$3003,"优惠券结算"))</f>
      </c>
      <c r="E272" s="11">
        <f t="shared" si="0"/>
      </c>
      <c r="F272" s="11">
        <f>IF($L272="","",-SUMIFS('[1]粘贴_账务明细'!$K$4:$K$3003,'[1]粘贴_账务明细'!$A$4:$A$3003,$B272,'[1]粘贴_账务明细'!$L$4:$L$3003,"百亿补贴技术服务费"))</f>
      </c>
      <c r="G272" s="11">
        <f>IF($L272="","",SUMIFS('[1]粘贴_服务费返还'!$M$4:$M$3003,'[1]粘贴_服务费返还'!$N$4:$N$3003,$B272,'[1]粘贴_服务费返还'!$O$4:$O$3003,"返还"))</f>
      </c>
      <c r="H272" s="11">
        <f>IF($L272="","",SUMIFS('[1]粘贴_服务费返还'!$M$4:$M$3003,'[1]粘贴_服务费返还'!$N$4:$N$3003,$B272,'[1]粘贴_服务费返还'!$O$4:$O$3003,"扣回"))</f>
      </c>
      <c r="I272" s="11">
        <f t="shared" si="1"/>
      </c>
      <c r="J272" s="6">
        <f t="shared" si="2"/>
      </c>
      <c r="K272" s="10">
        <f t="shared" si="3"/>
      </c>
      <c r="L272" s="17">
        <f>IF(A272&gt;$H$5,"",MATCH(A272,'[1]粘贴_账务明细'!$O$4:$O$3003,0))</f>
      </c>
    </row>
    <row r="273">
      <c r="A273" s="10" t="n">
        <v>245</v>
      </c>
      <c r="B273" s="6">
        <f>IF($L273="","",INDEX('[1]粘贴_账务明细'!$A$4:$A$3003,$L273))</f>
      </c>
      <c r="C273" s="16">
        <f>IF($L273="","",INDEX('[1]粘贴_账务明细'!$H$4:$H$3003,$L273))</f>
      </c>
      <c r="D273" s="11">
        <f>IF($L273="","",SUMIFS('[1]粘贴_账务明细'!$K$4:$K$3003,'[1]粘贴_账务明细'!$A$4:$A$3003,$B273,'[1]粘贴_账务明细'!$L$4:$L$3003,"订单收入")+SUMIFS('[1]粘贴_账务明细'!$K$4:$K$3003,'[1]粘贴_账务明细'!$A$4:$A$3003,$B273,'[1]粘贴_账务明细'!$L$4:$L$3003,"优惠券结算"))</f>
      </c>
      <c r="E273" s="11">
        <f t="shared" si="0"/>
      </c>
      <c r="F273" s="11">
        <f>IF($L273="","",-SUMIFS('[1]粘贴_账务明细'!$K$4:$K$3003,'[1]粘贴_账务明细'!$A$4:$A$3003,$B273,'[1]粘贴_账务明细'!$L$4:$L$3003,"百亿补贴技术服务费"))</f>
      </c>
      <c r="G273" s="11">
        <f>IF($L273="","",SUMIFS('[1]粘贴_服务费返还'!$M$4:$M$3003,'[1]粘贴_服务费返还'!$N$4:$N$3003,$B273,'[1]粘贴_服务费返还'!$O$4:$O$3003,"返还"))</f>
      </c>
      <c r="H273" s="11">
        <f>IF($L273="","",SUMIFS('[1]粘贴_服务费返还'!$M$4:$M$3003,'[1]粘贴_服务费返还'!$N$4:$N$3003,$B273,'[1]粘贴_服务费返还'!$O$4:$O$3003,"扣回"))</f>
      </c>
      <c r="I273" s="11">
        <f t="shared" si="1"/>
      </c>
      <c r="J273" s="6">
        <f t="shared" si="2"/>
      </c>
      <c r="K273" s="10">
        <f t="shared" si="3"/>
      </c>
      <c r="L273" s="17">
        <f>IF(A273&gt;$H$5,"",MATCH(A273,'[1]粘贴_账务明细'!$O$4:$O$3003,0))</f>
      </c>
    </row>
    <row r="274">
      <c r="A274" s="10" t="n">
        <v>246</v>
      </c>
      <c r="B274" s="6">
        <f>IF($L274="","",INDEX('[1]粘贴_账务明细'!$A$4:$A$3003,$L274))</f>
      </c>
      <c r="C274" s="16">
        <f>IF($L274="","",INDEX('[1]粘贴_账务明细'!$H$4:$H$3003,$L274))</f>
      </c>
      <c r="D274" s="11">
        <f>IF($L274="","",SUMIFS('[1]粘贴_账务明细'!$K$4:$K$3003,'[1]粘贴_账务明细'!$A$4:$A$3003,$B274,'[1]粘贴_账务明细'!$L$4:$L$3003,"订单收入")+SUMIFS('[1]粘贴_账务明细'!$K$4:$K$3003,'[1]粘贴_账务明细'!$A$4:$A$3003,$B274,'[1]粘贴_账务明细'!$L$4:$L$3003,"优惠券结算"))</f>
      </c>
      <c r="E274" s="11">
        <f t="shared" si="0"/>
      </c>
      <c r="F274" s="11">
        <f>IF($L274="","",-SUMIFS('[1]粘贴_账务明细'!$K$4:$K$3003,'[1]粘贴_账务明细'!$A$4:$A$3003,$B274,'[1]粘贴_账务明细'!$L$4:$L$3003,"百亿补贴技术服务费"))</f>
      </c>
      <c r="G274" s="11">
        <f>IF($L274="","",SUMIFS('[1]粘贴_服务费返还'!$M$4:$M$3003,'[1]粘贴_服务费返还'!$N$4:$N$3003,$B274,'[1]粘贴_服务费返还'!$O$4:$O$3003,"返还"))</f>
      </c>
      <c r="H274" s="11">
        <f>IF($L274="","",SUMIFS('[1]粘贴_服务费返还'!$M$4:$M$3003,'[1]粘贴_服务费返还'!$N$4:$N$3003,$B274,'[1]粘贴_服务费返还'!$O$4:$O$3003,"扣回"))</f>
      </c>
      <c r="I274" s="11">
        <f t="shared" si="1"/>
      </c>
      <c r="J274" s="6">
        <f t="shared" si="2"/>
      </c>
      <c r="K274" s="10">
        <f t="shared" si="3"/>
      </c>
      <c r="L274" s="17">
        <f>IF(A274&gt;$H$5,"",MATCH(A274,'[1]粘贴_账务明细'!$O$4:$O$3003,0))</f>
      </c>
    </row>
    <row r="275">
      <c r="A275" s="10" t="n">
        <v>247</v>
      </c>
      <c r="B275" s="6">
        <f>IF($L275="","",INDEX('[1]粘贴_账务明细'!$A$4:$A$3003,$L275))</f>
      </c>
      <c r="C275" s="16">
        <f>IF($L275="","",INDEX('[1]粘贴_账务明细'!$H$4:$H$3003,$L275))</f>
      </c>
      <c r="D275" s="11">
        <f>IF($L275="","",SUMIFS('[1]粘贴_账务明细'!$K$4:$K$3003,'[1]粘贴_账务明细'!$A$4:$A$3003,$B275,'[1]粘贴_账务明细'!$L$4:$L$3003,"订单收入")+SUMIFS('[1]粘贴_账务明细'!$K$4:$K$3003,'[1]粘贴_账务明细'!$A$4:$A$3003,$B275,'[1]粘贴_账务明细'!$L$4:$L$3003,"优惠券结算"))</f>
      </c>
      <c r="E275" s="11">
        <f t="shared" si="0"/>
      </c>
      <c r="F275" s="11">
        <f>IF($L275="","",-SUMIFS('[1]粘贴_账务明细'!$K$4:$K$3003,'[1]粘贴_账务明细'!$A$4:$A$3003,$B275,'[1]粘贴_账务明细'!$L$4:$L$3003,"百亿补贴技术服务费"))</f>
      </c>
      <c r="G275" s="11">
        <f>IF($L275="","",SUMIFS('[1]粘贴_服务费返还'!$M$4:$M$3003,'[1]粘贴_服务费返还'!$N$4:$N$3003,$B275,'[1]粘贴_服务费返还'!$O$4:$O$3003,"返还"))</f>
      </c>
      <c r="H275" s="11">
        <f>IF($L275="","",SUMIFS('[1]粘贴_服务费返还'!$M$4:$M$3003,'[1]粘贴_服务费返还'!$N$4:$N$3003,$B275,'[1]粘贴_服务费返还'!$O$4:$O$3003,"扣回"))</f>
      </c>
      <c r="I275" s="11">
        <f t="shared" si="1"/>
      </c>
      <c r="J275" s="6">
        <f t="shared" si="2"/>
      </c>
      <c r="K275" s="10">
        <f t="shared" si="3"/>
      </c>
      <c r="L275" s="17">
        <f>IF(A275&gt;$H$5,"",MATCH(A275,'[1]粘贴_账务明细'!$O$4:$O$3003,0))</f>
      </c>
    </row>
    <row r="276">
      <c r="A276" s="10" t="n">
        <v>248</v>
      </c>
      <c r="B276" s="6">
        <f>IF($L276="","",INDEX('[1]粘贴_账务明细'!$A$4:$A$3003,$L276))</f>
      </c>
      <c r="C276" s="16">
        <f>IF($L276="","",INDEX('[1]粘贴_账务明细'!$H$4:$H$3003,$L276))</f>
      </c>
      <c r="D276" s="11">
        <f>IF($L276="","",SUMIFS('[1]粘贴_账务明细'!$K$4:$K$3003,'[1]粘贴_账务明细'!$A$4:$A$3003,$B276,'[1]粘贴_账务明细'!$L$4:$L$3003,"订单收入")+SUMIFS('[1]粘贴_账务明细'!$K$4:$K$3003,'[1]粘贴_账务明细'!$A$4:$A$3003,$B276,'[1]粘贴_账务明细'!$L$4:$L$3003,"优惠券结算"))</f>
      </c>
      <c r="E276" s="11">
        <f t="shared" si="0"/>
      </c>
      <c r="F276" s="11">
        <f>IF($L276="","",-SUMIFS('[1]粘贴_账务明细'!$K$4:$K$3003,'[1]粘贴_账务明细'!$A$4:$A$3003,$B276,'[1]粘贴_账务明细'!$L$4:$L$3003,"百亿补贴技术服务费"))</f>
      </c>
      <c r="G276" s="11">
        <f>IF($L276="","",SUMIFS('[1]粘贴_服务费返还'!$M$4:$M$3003,'[1]粘贴_服务费返还'!$N$4:$N$3003,$B276,'[1]粘贴_服务费返还'!$O$4:$O$3003,"返还"))</f>
      </c>
      <c r="H276" s="11">
        <f>IF($L276="","",SUMIFS('[1]粘贴_服务费返还'!$M$4:$M$3003,'[1]粘贴_服务费返还'!$N$4:$N$3003,$B276,'[1]粘贴_服务费返还'!$O$4:$O$3003,"扣回"))</f>
      </c>
      <c r="I276" s="11">
        <f t="shared" si="1"/>
      </c>
      <c r="J276" s="6">
        <f t="shared" si="2"/>
      </c>
      <c r="K276" s="10">
        <f t="shared" si="3"/>
      </c>
      <c r="L276" s="17">
        <f>IF(A276&gt;$H$5,"",MATCH(A276,'[1]粘贴_账务明细'!$O$4:$O$3003,0))</f>
      </c>
    </row>
    <row r="277">
      <c r="A277" s="10" t="n">
        <v>249</v>
      </c>
      <c r="B277" s="6">
        <f>IF($L277="","",INDEX('[1]粘贴_账务明细'!$A$4:$A$3003,$L277))</f>
      </c>
      <c r="C277" s="16">
        <f>IF($L277="","",INDEX('[1]粘贴_账务明细'!$H$4:$H$3003,$L277))</f>
      </c>
      <c r="D277" s="11">
        <f>IF($L277="","",SUMIFS('[1]粘贴_账务明细'!$K$4:$K$3003,'[1]粘贴_账务明细'!$A$4:$A$3003,$B277,'[1]粘贴_账务明细'!$L$4:$L$3003,"订单收入")+SUMIFS('[1]粘贴_账务明细'!$K$4:$K$3003,'[1]粘贴_账务明细'!$A$4:$A$3003,$B277,'[1]粘贴_账务明细'!$L$4:$L$3003,"优惠券结算"))</f>
      </c>
      <c r="E277" s="11">
        <f t="shared" si="0"/>
      </c>
      <c r="F277" s="11">
        <f>IF($L277="","",-SUMIFS('[1]粘贴_账务明细'!$K$4:$K$3003,'[1]粘贴_账务明细'!$A$4:$A$3003,$B277,'[1]粘贴_账务明细'!$L$4:$L$3003,"百亿补贴技术服务费"))</f>
      </c>
      <c r="G277" s="11">
        <f>IF($L277="","",SUMIFS('[1]粘贴_服务费返还'!$M$4:$M$3003,'[1]粘贴_服务费返还'!$N$4:$N$3003,$B277,'[1]粘贴_服务费返还'!$O$4:$O$3003,"返还"))</f>
      </c>
      <c r="H277" s="11">
        <f>IF($L277="","",SUMIFS('[1]粘贴_服务费返还'!$M$4:$M$3003,'[1]粘贴_服务费返还'!$N$4:$N$3003,$B277,'[1]粘贴_服务费返还'!$O$4:$O$3003,"扣回"))</f>
      </c>
      <c r="I277" s="11">
        <f t="shared" si="1"/>
      </c>
      <c r="J277" s="6">
        <f t="shared" si="2"/>
      </c>
      <c r="K277" s="10">
        <f t="shared" si="3"/>
      </c>
      <c r="L277" s="17">
        <f>IF(A277&gt;$H$5,"",MATCH(A277,'[1]粘贴_账务明细'!$O$4:$O$3003,0))</f>
      </c>
    </row>
    <row r="278">
      <c r="A278" s="10" t="n">
        <v>250</v>
      </c>
      <c r="B278" s="6">
        <f>IF($L278="","",INDEX('[1]粘贴_账务明细'!$A$4:$A$3003,$L278))</f>
      </c>
      <c r="C278" s="16">
        <f>IF($L278="","",INDEX('[1]粘贴_账务明细'!$H$4:$H$3003,$L278))</f>
      </c>
      <c r="D278" s="11">
        <f>IF($L278="","",SUMIFS('[1]粘贴_账务明细'!$K$4:$K$3003,'[1]粘贴_账务明细'!$A$4:$A$3003,$B278,'[1]粘贴_账务明细'!$L$4:$L$3003,"订单收入")+SUMIFS('[1]粘贴_账务明细'!$K$4:$K$3003,'[1]粘贴_账务明细'!$A$4:$A$3003,$B278,'[1]粘贴_账务明细'!$L$4:$L$3003,"优惠券结算"))</f>
      </c>
      <c r="E278" s="11">
        <f t="shared" si="0"/>
      </c>
      <c r="F278" s="11">
        <f>IF($L278="","",-SUMIFS('[1]粘贴_账务明细'!$K$4:$K$3003,'[1]粘贴_账务明细'!$A$4:$A$3003,$B278,'[1]粘贴_账务明细'!$L$4:$L$3003,"百亿补贴技术服务费"))</f>
      </c>
      <c r="G278" s="11">
        <f>IF($L278="","",SUMIFS('[1]粘贴_服务费返还'!$M$4:$M$3003,'[1]粘贴_服务费返还'!$N$4:$N$3003,$B278,'[1]粘贴_服务费返还'!$O$4:$O$3003,"返还"))</f>
      </c>
      <c r="H278" s="11">
        <f>IF($L278="","",SUMIFS('[1]粘贴_服务费返还'!$M$4:$M$3003,'[1]粘贴_服务费返还'!$N$4:$N$3003,$B278,'[1]粘贴_服务费返还'!$O$4:$O$3003,"扣回"))</f>
      </c>
      <c r="I278" s="11">
        <f t="shared" si="1"/>
      </c>
      <c r="J278" s="6">
        <f t="shared" si="2"/>
      </c>
      <c r="K278" s="10">
        <f t="shared" si="3"/>
      </c>
      <c r="L278" s="17">
        <f>IF(A278&gt;$H$5,"",MATCH(A278,'[1]粘贴_账务明细'!$O$4:$O$3003,0))</f>
      </c>
    </row>
    <row r="279">
      <c r="A279" s="10" t="n">
        <v>251</v>
      </c>
      <c r="B279" s="6">
        <f>IF($L279="","",INDEX('[1]粘贴_账务明细'!$A$4:$A$3003,$L279))</f>
      </c>
      <c r="C279" s="16">
        <f>IF($L279="","",INDEX('[1]粘贴_账务明细'!$H$4:$H$3003,$L279))</f>
      </c>
      <c r="D279" s="11">
        <f>IF($L279="","",SUMIFS('[1]粘贴_账务明细'!$K$4:$K$3003,'[1]粘贴_账务明细'!$A$4:$A$3003,$B279,'[1]粘贴_账务明细'!$L$4:$L$3003,"订单收入")+SUMIFS('[1]粘贴_账务明细'!$K$4:$K$3003,'[1]粘贴_账务明细'!$A$4:$A$3003,$B279,'[1]粘贴_账务明细'!$L$4:$L$3003,"优惠券结算"))</f>
      </c>
      <c r="E279" s="11">
        <f t="shared" si="0"/>
      </c>
      <c r="F279" s="11">
        <f>IF($L279="","",-SUMIFS('[1]粘贴_账务明细'!$K$4:$K$3003,'[1]粘贴_账务明细'!$A$4:$A$3003,$B279,'[1]粘贴_账务明细'!$L$4:$L$3003,"百亿补贴技术服务费"))</f>
      </c>
      <c r="G279" s="11">
        <f>IF($L279="","",SUMIFS('[1]粘贴_服务费返还'!$M$4:$M$3003,'[1]粘贴_服务费返还'!$N$4:$N$3003,$B279,'[1]粘贴_服务费返还'!$O$4:$O$3003,"返还"))</f>
      </c>
      <c r="H279" s="11">
        <f>IF($L279="","",SUMIFS('[1]粘贴_服务费返还'!$M$4:$M$3003,'[1]粘贴_服务费返还'!$N$4:$N$3003,$B279,'[1]粘贴_服务费返还'!$O$4:$O$3003,"扣回"))</f>
      </c>
      <c r="I279" s="11">
        <f t="shared" si="1"/>
      </c>
      <c r="J279" s="6">
        <f t="shared" si="2"/>
      </c>
      <c r="K279" s="10">
        <f t="shared" si="3"/>
      </c>
      <c r="L279" s="17">
        <f>IF(A279&gt;$H$5,"",MATCH(A279,'[1]粘贴_账务明细'!$O$4:$O$3003,0))</f>
      </c>
    </row>
    <row r="280">
      <c r="A280" s="10" t="n">
        <v>252</v>
      </c>
      <c r="B280" s="6">
        <f>IF($L280="","",INDEX('[1]粘贴_账务明细'!$A$4:$A$3003,$L280))</f>
      </c>
      <c r="C280" s="16">
        <f>IF($L280="","",INDEX('[1]粘贴_账务明细'!$H$4:$H$3003,$L280))</f>
      </c>
      <c r="D280" s="11">
        <f>IF($L280="","",SUMIFS('[1]粘贴_账务明细'!$K$4:$K$3003,'[1]粘贴_账务明细'!$A$4:$A$3003,$B280,'[1]粘贴_账务明细'!$L$4:$L$3003,"订单收入")+SUMIFS('[1]粘贴_账务明细'!$K$4:$K$3003,'[1]粘贴_账务明细'!$A$4:$A$3003,$B280,'[1]粘贴_账务明细'!$L$4:$L$3003,"优惠券结算"))</f>
      </c>
      <c r="E280" s="11">
        <f t="shared" si="0"/>
      </c>
      <c r="F280" s="11">
        <f>IF($L280="","",-SUMIFS('[1]粘贴_账务明细'!$K$4:$K$3003,'[1]粘贴_账务明细'!$A$4:$A$3003,$B280,'[1]粘贴_账务明细'!$L$4:$L$3003,"百亿补贴技术服务费"))</f>
      </c>
      <c r="G280" s="11">
        <f>IF($L280="","",SUMIFS('[1]粘贴_服务费返还'!$M$4:$M$3003,'[1]粘贴_服务费返还'!$N$4:$N$3003,$B280,'[1]粘贴_服务费返还'!$O$4:$O$3003,"返还"))</f>
      </c>
      <c r="H280" s="11">
        <f>IF($L280="","",SUMIFS('[1]粘贴_服务费返还'!$M$4:$M$3003,'[1]粘贴_服务费返还'!$N$4:$N$3003,$B280,'[1]粘贴_服务费返还'!$O$4:$O$3003,"扣回"))</f>
      </c>
      <c r="I280" s="11">
        <f t="shared" si="1"/>
      </c>
      <c r="J280" s="6">
        <f t="shared" si="2"/>
      </c>
      <c r="K280" s="10">
        <f t="shared" si="3"/>
      </c>
      <c r="L280" s="17">
        <f>IF(A280&gt;$H$5,"",MATCH(A280,'[1]粘贴_账务明细'!$O$4:$O$3003,0))</f>
      </c>
    </row>
    <row r="281">
      <c r="A281" s="10" t="n">
        <v>253</v>
      </c>
      <c r="B281" s="6">
        <f>IF($L281="","",INDEX('[1]粘贴_账务明细'!$A$4:$A$3003,$L281))</f>
      </c>
      <c r="C281" s="16">
        <f>IF($L281="","",INDEX('[1]粘贴_账务明细'!$H$4:$H$3003,$L281))</f>
      </c>
      <c r="D281" s="11">
        <f>IF($L281="","",SUMIFS('[1]粘贴_账务明细'!$K$4:$K$3003,'[1]粘贴_账务明细'!$A$4:$A$3003,$B281,'[1]粘贴_账务明细'!$L$4:$L$3003,"订单收入")+SUMIFS('[1]粘贴_账务明细'!$K$4:$K$3003,'[1]粘贴_账务明细'!$A$4:$A$3003,$B281,'[1]粘贴_账务明细'!$L$4:$L$3003,"优惠券结算"))</f>
      </c>
      <c r="E281" s="11">
        <f t="shared" si="0"/>
      </c>
      <c r="F281" s="11">
        <f>IF($L281="","",-SUMIFS('[1]粘贴_账务明细'!$K$4:$K$3003,'[1]粘贴_账务明细'!$A$4:$A$3003,$B281,'[1]粘贴_账务明细'!$L$4:$L$3003,"百亿补贴技术服务费"))</f>
      </c>
      <c r="G281" s="11">
        <f>IF($L281="","",SUMIFS('[1]粘贴_服务费返还'!$M$4:$M$3003,'[1]粘贴_服务费返还'!$N$4:$N$3003,$B281,'[1]粘贴_服务费返还'!$O$4:$O$3003,"返还"))</f>
      </c>
      <c r="H281" s="11">
        <f>IF($L281="","",SUMIFS('[1]粘贴_服务费返还'!$M$4:$M$3003,'[1]粘贴_服务费返还'!$N$4:$N$3003,$B281,'[1]粘贴_服务费返还'!$O$4:$O$3003,"扣回"))</f>
      </c>
      <c r="I281" s="11">
        <f t="shared" si="1"/>
      </c>
      <c r="J281" s="6">
        <f t="shared" si="2"/>
      </c>
      <c r="K281" s="10">
        <f t="shared" si="3"/>
      </c>
      <c r="L281" s="17">
        <f>IF(A281&gt;$H$5,"",MATCH(A281,'[1]粘贴_账务明细'!$O$4:$O$3003,0))</f>
      </c>
    </row>
    <row r="282">
      <c r="A282" s="10" t="n">
        <v>254</v>
      </c>
      <c r="B282" s="6">
        <f>IF($L282="","",INDEX('[1]粘贴_账务明细'!$A$4:$A$3003,$L282))</f>
      </c>
      <c r="C282" s="16">
        <f>IF($L282="","",INDEX('[1]粘贴_账务明细'!$H$4:$H$3003,$L282))</f>
      </c>
      <c r="D282" s="11">
        <f>IF($L282="","",SUMIFS('[1]粘贴_账务明细'!$K$4:$K$3003,'[1]粘贴_账务明细'!$A$4:$A$3003,$B282,'[1]粘贴_账务明细'!$L$4:$L$3003,"订单收入")+SUMIFS('[1]粘贴_账务明细'!$K$4:$K$3003,'[1]粘贴_账务明细'!$A$4:$A$3003,$B282,'[1]粘贴_账务明细'!$L$4:$L$3003,"优惠券结算"))</f>
      </c>
      <c r="E282" s="11">
        <f t="shared" si="0"/>
      </c>
      <c r="F282" s="11">
        <f>IF($L282="","",-SUMIFS('[1]粘贴_账务明细'!$K$4:$K$3003,'[1]粘贴_账务明细'!$A$4:$A$3003,$B282,'[1]粘贴_账务明细'!$L$4:$L$3003,"百亿补贴技术服务费"))</f>
      </c>
      <c r="G282" s="11">
        <f>IF($L282="","",SUMIFS('[1]粘贴_服务费返还'!$M$4:$M$3003,'[1]粘贴_服务费返还'!$N$4:$N$3003,$B282,'[1]粘贴_服务费返还'!$O$4:$O$3003,"返还"))</f>
      </c>
      <c r="H282" s="11">
        <f>IF($L282="","",SUMIFS('[1]粘贴_服务费返还'!$M$4:$M$3003,'[1]粘贴_服务费返还'!$N$4:$N$3003,$B282,'[1]粘贴_服务费返还'!$O$4:$O$3003,"扣回"))</f>
      </c>
      <c r="I282" s="11">
        <f t="shared" si="1"/>
      </c>
      <c r="J282" s="6">
        <f t="shared" si="2"/>
      </c>
      <c r="K282" s="10">
        <f t="shared" si="3"/>
      </c>
      <c r="L282" s="17">
        <f>IF(A282&gt;$H$5,"",MATCH(A282,'[1]粘贴_账务明细'!$O$4:$O$3003,0))</f>
      </c>
    </row>
    <row r="283">
      <c r="A283" s="10" t="n">
        <v>255</v>
      </c>
      <c r="B283" s="6">
        <f>IF($L283="","",INDEX('[1]粘贴_账务明细'!$A$4:$A$3003,$L283))</f>
      </c>
      <c r="C283" s="16">
        <f>IF($L283="","",INDEX('[1]粘贴_账务明细'!$H$4:$H$3003,$L283))</f>
      </c>
      <c r="D283" s="11">
        <f>IF($L283="","",SUMIFS('[1]粘贴_账务明细'!$K$4:$K$3003,'[1]粘贴_账务明细'!$A$4:$A$3003,$B283,'[1]粘贴_账务明细'!$L$4:$L$3003,"订单收入")+SUMIFS('[1]粘贴_账务明细'!$K$4:$K$3003,'[1]粘贴_账务明细'!$A$4:$A$3003,$B283,'[1]粘贴_账务明细'!$L$4:$L$3003,"优惠券结算"))</f>
      </c>
      <c r="E283" s="11">
        <f t="shared" si="0"/>
      </c>
      <c r="F283" s="11">
        <f>IF($L283="","",-SUMIFS('[1]粘贴_账务明细'!$K$4:$K$3003,'[1]粘贴_账务明细'!$A$4:$A$3003,$B283,'[1]粘贴_账务明细'!$L$4:$L$3003,"百亿补贴技术服务费"))</f>
      </c>
      <c r="G283" s="11">
        <f>IF($L283="","",SUMIFS('[1]粘贴_服务费返还'!$M$4:$M$3003,'[1]粘贴_服务费返还'!$N$4:$N$3003,$B283,'[1]粘贴_服务费返还'!$O$4:$O$3003,"返还"))</f>
      </c>
      <c r="H283" s="11">
        <f>IF($L283="","",SUMIFS('[1]粘贴_服务费返还'!$M$4:$M$3003,'[1]粘贴_服务费返还'!$N$4:$N$3003,$B283,'[1]粘贴_服务费返还'!$O$4:$O$3003,"扣回"))</f>
      </c>
      <c r="I283" s="11">
        <f t="shared" si="1"/>
      </c>
      <c r="J283" s="6">
        <f t="shared" si="2"/>
      </c>
      <c r="K283" s="10">
        <f t="shared" si="3"/>
      </c>
      <c r="L283" s="17">
        <f>IF(A283&gt;$H$5,"",MATCH(A283,'[1]粘贴_账务明细'!$O$4:$O$3003,0))</f>
      </c>
    </row>
    <row r="284">
      <c r="A284" s="10" t="n">
        <v>256</v>
      </c>
      <c r="B284" s="6">
        <f>IF($L284="","",INDEX('[1]粘贴_账务明细'!$A$4:$A$3003,$L284))</f>
      </c>
      <c r="C284" s="16">
        <f>IF($L284="","",INDEX('[1]粘贴_账务明细'!$H$4:$H$3003,$L284))</f>
      </c>
      <c r="D284" s="11">
        <f>IF($L284="","",SUMIFS('[1]粘贴_账务明细'!$K$4:$K$3003,'[1]粘贴_账务明细'!$A$4:$A$3003,$B284,'[1]粘贴_账务明细'!$L$4:$L$3003,"订单收入")+SUMIFS('[1]粘贴_账务明细'!$K$4:$K$3003,'[1]粘贴_账务明细'!$A$4:$A$3003,$B284,'[1]粘贴_账务明细'!$L$4:$L$3003,"优惠券结算"))</f>
      </c>
      <c r="E284" s="11">
        <f t="shared" si="0"/>
      </c>
      <c r="F284" s="11">
        <f>IF($L284="","",-SUMIFS('[1]粘贴_账务明细'!$K$4:$K$3003,'[1]粘贴_账务明细'!$A$4:$A$3003,$B284,'[1]粘贴_账务明细'!$L$4:$L$3003,"百亿补贴技术服务费"))</f>
      </c>
      <c r="G284" s="11">
        <f>IF($L284="","",SUMIFS('[1]粘贴_服务费返还'!$M$4:$M$3003,'[1]粘贴_服务费返还'!$N$4:$N$3003,$B284,'[1]粘贴_服务费返还'!$O$4:$O$3003,"返还"))</f>
      </c>
      <c r="H284" s="11">
        <f>IF($L284="","",SUMIFS('[1]粘贴_服务费返还'!$M$4:$M$3003,'[1]粘贴_服务费返还'!$N$4:$N$3003,$B284,'[1]粘贴_服务费返还'!$O$4:$O$3003,"扣回"))</f>
      </c>
      <c r="I284" s="11">
        <f t="shared" si="1"/>
      </c>
      <c r="J284" s="6">
        <f t="shared" si="2"/>
      </c>
      <c r="K284" s="10">
        <f t="shared" si="3"/>
      </c>
      <c r="L284" s="17">
        <f>IF(A284&gt;$H$5,"",MATCH(A284,'[1]粘贴_账务明细'!$O$4:$O$3003,0))</f>
      </c>
    </row>
    <row r="285">
      <c r="A285" s="10" t="n">
        <v>257</v>
      </c>
      <c r="B285" s="6">
        <f>IF($L285="","",INDEX('[1]粘贴_账务明细'!$A$4:$A$3003,$L285))</f>
      </c>
      <c r="C285" s="16">
        <f>IF($L285="","",INDEX('[1]粘贴_账务明细'!$H$4:$H$3003,$L285))</f>
      </c>
      <c r="D285" s="11">
        <f>IF($L285="","",SUMIFS('[1]粘贴_账务明细'!$K$4:$K$3003,'[1]粘贴_账务明细'!$A$4:$A$3003,$B285,'[1]粘贴_账务明细'!$L$4:$L$3003,"订单收入")+SUMIFS('[1]粘贴_账务明细'!$K$4:$K$3003,'[1]粘贴_账务明细'!$A$4:$A$3003,$B285,'[1]粘贴_账务明细'!$L$4:$L$3003,"优惠券结算"))</f>
      </c>
      <c r="E285" s="11">
        <f t="shared" si="0"/>
      </c>
      <c r="F285" s="11">
        <f>IF($L285="","",-SUMIFS('[1]粘贴_账务明细'!$K$4:$K$3003,'[1]粘贴_账务明细'!$A$4:$A$3003,$B285,'[1]粘贴_账务明细'!$L$4:$L$3003,"百亿补贴技术服务费"))</f>
      </c>
      <c r="G285" s="11">
        <f>IF($L285="","",SUMIFS('[1]粘贴_服务费返还'!$M$4:$M$3003,'[1]粘贴_服务费返还'!$N$4:$N$3003,$B285,'[1]粘贴_服务费返还'!$O$4:$O$3003,"返还"))</f>
      </c>
      <c r="H285" s="11">
        <f>IF($L285="","",SUMIFS('[1]粘贴_服务费返还'!$M$4:$M$3003,'[1]粘贴_服务费返还'!$N$4:$N$3003,$B285,'[1]粘贴_服务费返还'!$O$4:$O$3003,"扣回"))</f>
      </c>
      <c r="I285" s="11">
        <f t="shared" si="1"/>
      </c>
      <c r="J285" s="6">
        <f t="shared" si="2"/>
      </c>
      <c r="K285" s="10">
        <f t="shared" si="3"/>
      </c>
      <c r="L285" s="17">
        <f>IF(A285&gt;$H$5,"",MATCH(A285,'[1]粘贴_账务明细'!$O$4:$O$3003,0))</f>
      </c>
    </row>
    <row r="286">
      <c r="A286" s="10" t="n">
        <v>258</v>
      </c>
      <c r="B286" s="6">
        <f>IF($L286="","",INDEX('[1]粘贴_账务明细'!$A$4:$A$3003,$L286))</f>
      </c>
      <c r="C286" s="16">
        <f>IF($L286="","",INDEX('[1]粘贴_账务明细'!$H$4:$H$3003,$L286))</f>
      </c>
      <c r="D286" s="11">
        <f>IF($L286="","",SUMIFS('[1]粘贴_账务明细'!$K$4:$K$3003,'[1]粘贴_账务明细'!$A$4:$A$3003,$B286,'[1]粘贴_账务明细'!$L$4:$L$3003,"订单收入")+SUMIFS('[1]粘贴_账务明细'!$K$4:$K$3003,'[1]粘贴_账务明细'!$A$4:$A$3003,$B286,'[1]粘贴_账务明细'!$L$4:$L$3003,"优惠券结算"))</f>
      </c>
      <c r="E286" s="11">
        <f t="shared" si="0"/>
      </c>
      <c r="F286" s="11">
        <f>IF($L286="","",-SUMIFS('[1]粘贴_账务明细'!$K$4:$K$3003,'[1]粘贴_账务明细'!$A$4:$A$3003,$B286,'[1]粘贴_账务明细'!$L$4:$L$3003,"百亿补贴技术服务费"))</f>
      </c>
      <c r="G286" s="11">
        <f>IF($L286="","",SUMIFS('[1]粘贴_服务费返还'!$M$4:$M$3003,'[1]粘贴_服务费返还'!$N$4:$N$3003,$B286,'[1]粘贴_服务费返还'!$O$4:$O$3003,"返还"))</f>
      </c>
      <c r="H286" s="11">
        <f>IF($L286="","",SUMIFS('[1]粘贴_服务费返还'!$M$4:$M$3003,'[1]粘贴_服务费返还'!$N$4:$N$3003,$B286,'[1]粘贴_服务费返还'!$O$4:$O$3003,"扣回"))</f>
      </c>
      <c r="I286" s="11">
        <f t="shared" si="1"/>
      </c>
      <c r="J286" s="6">
        <f t="shared" si="2"/>
      </c>
      <c r="K286" s="10">
        <f t="shared" si="3"/>
      </c>
      <c r="L286" s="17">
        <f>IF(A286&gt;$H$5,"",MATCH(A286,'[1]粘贴_账务明细'!$O$4:$O$3003,0))</f>
      </c>
    </row>
    <row r="287">
      <c r="A287" s="10" t="n">
        <v>259</v>
      </c>
      <c r="B287" s="6">
        <f>IF($L287="","",INDEX('[1]粘贴_账务明细'!$A$4:$A$3003,$L287))</f>
      </c>
      <c r="C287" s="16">
        <f>IF($L287="","",INDEX('[1]粘贴_账务明细'!$H$4:$H$3003,$L287))</f>
      </c>
      <c r="D287" s="11">
        <f>IF($L287="","",SUMIFS('[1]粘贴_账务明细'!$K$4:$K$3003,'[1]粘贴_账务明细'!$A$4:$A$3003,$B287,'[1]粘贴_账务明细'!$L$4:$L$3003,"订单收入")+SUMIFS('[1]粘贴_账务明细'!$K$4:$K$3003,'[1]粘贴_账务明细'!$A$4:$A$3003,$B287,'[1]粘贴_账务明细'!$L$4:$L$3003,"优惠券结算"))</f>
      </c>
      <c r="E287" s="11">
        <f t="shared" si="0"/>
      </c>
      <c r="F287" s="11">
        <f>IF($L287="","",-SUMIFS('[1]粘贴_账务明细'!$K$4:$K$3003,'[1]粘贴_账务明细'!$A$4:$A$3003,$B287,'[1]粘贴_账务明细'!$L$4:$L$3003,"百亿补贴技术服务费"))</f>
      </c>
      <c r="G287" s="11">
        <f>IF($L287="","",SUMIFS('[1]粘贴_服务费返还'!$M$4:$M$3003,'[1]粘贴_服务费返还'!$N$4:$N$3003,$B287,'[1]粘贴_服务费返还'!$O$4:$O$3003,"返还"))</f>
      </c>
      <c r="H287" s="11">
        <f>IF($L287="","",SUMIFS('[1]粘贴_服务费返还'!$M$4:$M$3003,'[1]粘贴_服务费返还'!$N$4:$N$3003,$B287,'[1]粘贴_服务费返还'!$O$4:$O$3003,"扣回"))</f>
      </c>
      <c r="I287" s="11">
        <f t="shared" si="1"/>
      </c>
      <c r="J287" s="6">
        <f t="shared" si="2"/>
      </c>
      <c r="K287" s="10">
        <f t="shared" si="3"/>
      </c>
      <c r="L287" s="17">
        <f>IF(A287&gt;$H$5,"",MATCH(A287,'[1]粘贴_账务明细'!$O$4:$O$3003,0))</f>
      </c>
    </row>
    <row r="288">
      <c r="A288" s="10" t="n">
        <v>260</v>
      </c>
      <c r="B288" s="6">
        <f>IF($L288="","",INDEX('[1]粘贴_账务明细'!$A$4:$A$3003,$L288))</f>
      </c>
      <c r="C288" s="16">
        <f>IF($L288="","",INDEX('[1]粘贴_账务明细'!$H$4:$H$3003,$L288))</f>
      </c>
      <c r="D288" s="11">
        <f>IF($L288="","",SUMIFS('[1]粘贴_账务明细'!$K$4:$K$3003,'[1]粘贴_账务明细'!$A$4:$A$3003,$B288,'[1]粘贴_账务明细'!$L$4:$L$3003,"订单收入")+SUMIFS('[1]粘贴_账务明细'!$K$4:$K$3003,'[1]粘贴_账务明细'!$A$4:$A$3003,$B288,'[1]粘贴_账务明细'!$L$4:$L$3003,"优惠券结算"))</f>
      </c>
      <c r="E288" s="11">
        <f t="shared" si="0"/>
      </c>
      <c r="F288" s="11">
        <f>IF($L288="","",-SUMIFS('[1]粘贴_账务明细'!$K$4:$K$3003,'[1]粘贴_账务明细'!$A$4:$A$3003,$B288,'[1]粘贴_账务明细'!$L$4:$L$3003,"百亿补贴技术服务费"))</f>
      </c>
      <c r="G288" s="11">
        <f>IF($L288="","",SUMIFS('[1]粘贴_服务费返还'!$M$4:$M$3003,'[1]粘贴_服务费返还'!$N$4:$N$3003,$B288,'[1]粘贴_服务费返还'!$O$4:$O$3003,"返还"))</f>
      </c>
      <c r="H288" s="11">
        <f>IF($L288="","",SUMIFS('[1]粘贴_服务费返还'!$M$4:$M$3003,'[1]粘贴_服务费返还'!$N$4:$N$3003,$B288,'[1]粘贴_服务费返还'!$O$4:$O$3003,"扣回"))</f>
      </c>
      <c r="I288" s="11">
        <f t="shared" si="1"/>
      </c>
      <c r="J288" s="6">
        <f t="shared" si="2"/>
      </c>
      <c r="K288" s="10">
        <f t="shared" si="3"/>
      </c>
      <c r="L288" s="17">
        <f>IF(A288&gt;$H$5,"",MATCH(A288,'[1]粘贴_账务明细'!$O$4:$O$3003,0))</f>
      </c>
    </row>
    <row r="289">
      <c r="A289" s="10" t="n">
        <v>261</v>
      </c>
      <c r="B289" s="6">
        <f>IF($L289="","",INDEX('[1]粘贴_账务明细'!$A$4:$A$3003,$L289))</f>
      </c>
      <c r="C289" s="16">
        <f>IF($L289="","",INDEX('[1]粘贴_账务明细'!$H$4:$H$3003,$L289))</f>
      </c>
      <c r="D289" s="11">
        <f>IF($L289="","",SUMIFS('[1]粘贴_账务明细'!$K$4:$K$3003,'[1]粘贴_账务明细'!$A$4:$A$3003,$B289,'[1]粘贴_账务明细'!$L$4:$L$3003,"订单收入")+SUMIFS('[1]粘贴_账务明细'!$K$4:$K$3003,'[1]粘贴_账务明细'!$A$4:$A$3003,$B289,'[1]粘贴_账务明细'!$L$4:$L$3003,"优惠券结算"))</f>
      </c>
      <c r="E289" s="11">
        <f t="shared" si="0"/>
      </c>
      <c r="F289" s="11">
        <f>IF($L289="","",-SUMIFS('[1]粘贴_账务明细'!$K$4:$K$3003,'[1]粘贴_账务明细'!$A$4:$A$3003,$B289,'[1]粘贴_账务明细'!$L$4:$L$3003,"百亿补贴技术服务费"))</f>
      </c>
      <c r="G289" s="11">
        <f>IF($L289="","",SUMIFS('[1]粘贴_服务费返还'!$M$4:$M$3003,'[1]粘贴_服务费返还'!$N$4:$N$3003,$B289,'[1]粘贴_服务费返还'!$O$4:$O$3003,"返还"))</f>
      </c>
      <c r="H289" s="11">
        <f>IF($L289="","",SUMIFS('[1]粘贴_服务费返还'!$M$4:$M$3003,'[1]粘贴_服务费返还'!$N$4:$N$3003,$B289,'[1]粘贴_服务费返还'!$O$4:$O$3003,"扣回"))</f>
      </c>
      <c r="I289" s="11">
        <f t="shared" si="1"/>
      </c>
      <c r="J289" s="6">
        <f t="shared" si="2"/>
      </c>
      <c r="K289" s="10">
        <f t="shared" si="3"/>
      </c>
      <c r="L289" s="17">
        <f>IF(A289&gt;$H$5,"",MATCH(A289,'[1]粘贴_账务明细'!$O$4:$O$3003,0))</f>
      </c>
    </row>
    <row r="290">
      <c r="A290" s="10" t="n">
        <v>262</v>
      </c>
      <c r="B290" s="6">
        <f>IF($L290="","",INDEX('[1]粘贴_账务明细'!$A$4:$A$3003,$L290))</f>
      </c>
      <c r="C290" s="16">
        <f>IF($L290="","",INDEX('[1]粘贴_账务明细'!$H$4:$H$3003,$L290))</f>
      </c>
      <c r="D290" s="11">
        <f>IF($L290="","",SUMIFS('[1]粘贴_账务明细'!$K$4:$K$3003,'[1]粘贴_账务明细'!$A$4:$A$3003,$B290,'[1]粘贴_账务明细'!$L$4:$L$3003,"订单收入")+SUMIFS('[1]粘贴_账务明细'!$K$4:$K$3003,'[1]粘贴_账务明细'!$A$4:$A$3003,$B290,'[1]粘贴_账务明细'!$L$4:$L$3003,"优惠券结算"))</f>
      </c>
      <c r="E290" s="11">
        <f t="shared" si="0"/>
      </c>
      <c r="F290" s="11">
        <f>IF($L290="","",-SUMIFS('[1]粘贴_账务明细'!$K$4:$K$3003,'[1]粘贴_账务明细'!$A$4:$A$3003,$B290,'[1]粘贴_账务明细'!$L$4:$L$3003,"百亿补贴技术服务费"))</f>
      </c>
      <c r="G290" s="11">
        <f>IF($L290="","",SUMIFS('[1]粘贴_服务费返还'!$M$4:$M$3003,'[1]粘贴_服务费返还'!$N$4:$N$3003,$B290,'[1]粘贴_服务费返还'!$O$4:$O$3003,"返还"))</f>
      </c>
      <c r="H290" s="11">
        <f>IF($L290="","",SUMIFS('[1]粘贴_服务费返还'!$M$4:$M$3003,'[1]粘贴_服务费返还'!$N$4:$N$3003,$B290,'[1]粘贴_服务费返还'!$O$4:$O$3003,"扣回"))</f>
      </c>
      <c r="I290" s="11">
        <f t="shared" si="1"/>
      </c>
      <c r="J290" s="6">
        <f t="shared" si="2"/>
      </c>
      <c r="K290" s="10">
        <f t="shared" si="3"/>
      </c>
      <c r="L290" s="17">
        <f>IF(A290&gt;$H$5,"",MATCH(A290,'[1]粘贴_账务明细'!$O$4:$O$3003,0))</f>
      </c>
    </row>
    <row r="291">
      <c r="A291" s="10" t="n">
        <v>263</v>
      </c>
      <c r="B291" s="6">
        <f>IF($L291="","",INDEX('[1]粘贴_账务明细'!$A$4:$A$3003,$L291))</f>
      </c>
      <c r="C291" s="16">
        <f>IF($L291="","",INDEX('[1]粘贴_账务明细'!$H$4:$H$3003,$L291))</f>
      </c>
      <c r="D291" s="11">
        <f>IF($L291="","",SUMIFS('[1]粘贴_账务明细'!$K$4:$K$3003,'[1]粘贴_账务明细'!$A$4:$A$3003,$B291,'[1]粘贴_账务明细'!$L$4:$L$3003,"订单收入")+SUMIFS('[1]粘贴_账务明细'!$K$4:$K$3003,'[1]粘贴_账务明细'!$A$4:$A$3003,$B291,'[1]粘贴_账务明细'!$L$4:$L$3003,"优惠券结算"))</f>
      </c>
      <c r="E291" s="11">
        <f t="shared" si="0"/>
      </c>
      <c r="F291" s="11">
        <f>IF($L291="","",-SUMIFS('[1]粘贴_账务明细'!$K$4:$K$3003,'[1]粘贴_账务明细'!$A$4:$A$3003,$B291,'[1]粘贴_账务明细'!$L$4:$L$3003,"百亿补贴技术服务费"))</f>
      </c>
      <c r="G291" s="11">
        <f>IF($L291="","",SUMIFS('[1]粘贴_服务费返还'!$M$4:$M$3003,'[1]粘贴_服务费返还'!$N$4:$N$3003,$B291,'[1]粘贴_服务费返还'!$O$4:$O$3003,"返还"))</f>
      </c>
      <c r="H291" s="11">
        <f>IF($L291="","",SUMIFS('[1]粘贴_服务费返还'!$M$4:$M$3003,'[1]粘贴_服务费返还'!$N$4:$N$3003,$B291,'[1]粘贴_服务费返还'!$O$4:$O$3003,"扣回"))</f>
      </c>
      <c r="I291" s="11">
        <f t="shared" si="1"/>
      </c>
      <c r="J291" s="6">
        <f t="shared" si="2"/>
      </c>
      <c r="K291" s="10">
        <f t="shared" si="3"/>
      </c>
      <c r="L291" s="17">
        <f>IF(A291&gt;$H$5,"",MATCH(A291,'[1]粘贴_账务明细'!$O$4:$O$3003,0))</f>
      </c>
    </row>
    <row r="292">
      <c r="A292" s="10" t="n">
        <v>264</v>
      </c>
      <c r="B292" s="6">
        <f>IF($L292="","",INDEX('[1]粘贴_账务明细'!$A$4:$A$3003,$L292))</f>
      </c>
      <c r="C292" s="16">
        <f>IF($L292="","",INDEX('[1]粘贴_账务明细'!$H$4:$H$3003,$L292))</f>
      </c>
      <c r="D292" s="11">
        <f>IF($L292="","",SUMIFS('[1]粘贴_账务明细'!$K$4:$K$3003,'[1]粘贴_账务明细'!$A$4:$A$3003,$B292,'[1]粘贴_账务明细'!$L$4:$L$3003,"订单收入")+SUMIFS('[1]粘贴_账务明细'!$K$4:$K$3003,'[1]粘贴_账务明细'!$A$4:$A$3003,$B292,'[1]粘贴_账务明细'!$L$4:$L$3003,"优惠券结算"))</f>
      </c>
      <c r="E292" s="11">
        <f t="shared" si="0"/>
      </c>
      <c r="F292" s="11">
        <f>IF($L292="","",-SUMIFS('[1]粘贴_账务明细'!$K$4:$K$3003,'[1]粘贴_账务明细'!$A$4:$A$3003,$B292,'[1]粘贴_账务明细'!$L$4:$L$3003,"百亿补贴技术服务费"))</f>
      </c>
      <c r="G292" s="11">
        <f>IF($L292="","",SUMIFS('[1]粘贴_服务费返还'!$M$4:$M$3003,'[1]粘贴_服务费返还'!$N$4:$N$3003,$B292,'[1]粘贴_服务费返还'!$O$4:$O$3003,"返还"))</f>
      </c>
      <c r="H292" s="11">
        <f>IF($L292="","",SUMIFS('[1]粘贴_服务费返还'!$M$4:$M$3003,'[1]粘贴_服务费返还'!$N$4:$N$3003,$B292,'[1]粘贴_服务费返还'!$O$4:$O$3003,"扣回"))</f>
      </c>
      <c r="I292" s="11">
        <f t="shared" si="1"/>
      </c>
      <c r="J292" s="6">
        <f t="shared" si="2"/>
      </c>
      <c r="K292" s="10">
        <f t="shared" si="3"/>
      </c>
      <c r="L292" s="17">
        <f>IF(A292&gt;$H$5,"",MATCH(A292,'[1]粘贴_账务明细'!$O$4:$O$3003,0))</f>
      </c>
    </row>
    <row r="293">
      <c r="A293" s="10" t="n">
        <v>265</v>
      </c>
      <c r="B293" s="6">
        <f>IF($L293="","",INDEX('[1]粘贴_账务明细'!$A$4:$A$3003,$L293))</f>
      </c>
      <c r="C293" s="16">
        <f>IF($L293="","",INDEX('[1]粘贴_账务明细'!$H$4:$H$3003,$L293))</f>
      </c>
      <c r="D293" s="11">
        <f>IF($L293="","",SUMIFS('[1]粘贴_账务明细'!$K$4:$K$3003,'[1]粘贴_账务明细'!$A$4:$A$3003,$B293,'[1]粘贴_账务明细'!$L$4:$L$3003,"订单收入")+SUMIFS('[1]粘贴_账务明细'!$K$4:$K$3003,'[1]粘贴_账务明细'!$A$4:$A$3003,$B293,'[1]粘贴_账务明细'!$L$4:$L$3003,"优惠券结算"))</f>
      </c>
      <c r="E293" s="11">
        <f t="shared" si="0"/>
      </c>
      <c r="F293" s="11">
        <f>IF($L293="","",-SUMIFS('[1]粘贴_账务明细'!$K$4:$K$3003,'[1]粘贴_账务明细'!$A$4:$A$3003,$B293,'[1]粘贴_账务明细'!$L$4:$L$3003,"百亿补贴技术服务费"))</f>
      </c>
      <c r="G293" s="11">
        <f>IF($L293="","",SUMIFS('[1]粘贴_服务费返还'!$M$4:$M$3003,'[1]粘贴_服务费返还'!$N$4:$N$3003,$B293,'[1]粘贴_服务费返还'!$O$4:$O$3003,"返还"))</f>
      </c>
      <c r="H293" s="11">
        <f>IF($L293="","",SUMIFS('[1]粘贴_服务费返还'!$M$4:$M$3003,'[1]粘贴_服务费返还'!$N$4:$N$3003,$B293,'[1]粘贴_服务费返还'!$O$4:$O$3003,"扣回"))</f>
      </c>
      <c r="I293" s="11">
        <f t="shared" si="1"/>
      </c>
      <c r="J293" s="6">
        <f t="shared" si="2"/>
      </c>
      <c r="K293" s="10">
        <f t="shared" si="3"/>
      </c>
      <c r="L293" s="17">
        <f>IF(A293&gt;$H$5,"",MATCH(A293,'[1]粘贴_账务明细'!$O$4:$O$3003,0))</f>
      </c>
    </row>
    <row r="294">
      <c r="A294" s="10" t="n">
        <v>266</v>
      </c>
      <c r="B294" s="6">
        <f>IF($L294="","",INDEX('[1]粘贴_账务明细'!$A$4:$A$3003,$L294))</f>
      </c>
      <c r="C294" s="16">
        <f>IF($L294="","",INDEX('[1]粘贴_账务明细'!$H$4:$H$3003,$L294))</f>
      </c>
      <c r="D294" s="11">
        <f>IF($L294="","",SUMIFS('[1]粘贴_账务明细'!$K$4:$K$3003,'[1]粘贴_账务明细'!$A$4:$A$3003,$B294,'[1]粘贴_账务明细'!$L$4:$L$3003,"订单收入")+SUMIFS('[1]粘贴_账务明细'!$K$4:$K$3003,'[1]粘贴_账务明细'!$A$4:$A$3003,$B294,'[1]粘贴_账务明细'!$L$4:$L$3003,"优惠券结算"))</f>
      </c>
      <c r="E294" s="11">
        <f t="shared" si="0"/>
      </c>
      <c r="F294" s="11">
        <f>IF($L294="","",-SUMIFS('[1]粘贴_账务明细'!$K$4:$K$3003,'[1]粘贴_账务明细'!$A$4:$A$3003,$B294,'[1]粘贴_账务明细'!$L$4:$L$3003,"百亿补贴技术服务费"))</f>
      </c>
      <c r="G294" s="11">
        <f>IF($L294="","",SUMIFS('[1]粘贴_服务费返还'!$M$4:$M$3003,'[1]粘贴_服务费返还'!$N$4:$N$3003,$B294,'[1]粘贴_服务费返还'!$O$4:$O$3003,"返还"))</f>
      </c>
      <c r="H294" s="11">
        <f>IF($L294="","",SUMIFS('[1]粘贴_服务费返还'!$M$4:$M$3003,'[1]粘贴_服务费返还'!$N$4:$N$3003,$B294,'[1]粘贴_服务费返还'!$O$4:$O$3003,"扣回"))</f>
      </c>
      <c r="I294" s="11">
        <f t="shared" si="1"/>
      </c>
      <c r="J294" s="6">
        <f t="shared" si="2"/>
      </c>
      <c r="K294" s="10">
        <f t="shared" si="3"/>
      </c>
      <c r="L294" s="17">
        <f>IF(A294&gt;$H$5,"",MATCH(A294,'[1]粘贴_账务明细'!$O$4:$O$3003,0))</f>
      </c>
    </row>
    <row r="295">
      <c r="A295" s="10" t="n">
        <v>267</v>
      </c>
      <c r="B295" s="6">
        <f>IF($L295="","",INDEX('[1]粘贴_账务明细'!$A$4:$A$3003,$L295))</f>
      </c>
      <c r="C295" s="16">
        <f>IF($L295="","",INDEX('[1]粘贴_账务明细'!$H$4:$H$3003,$L295))</f>
      </c>
      <c r="D295" s="11">
        <f>IF($L295="","",SUMIFS('[1]粘贴_账务明细'!$K$4:$K$3003,'[1]粘贴_账务明细'!$A$4:$A$3003,$B295,'[1]粘贴_账务明细'!$L$4:$L$3003,"订单收入")+SUMIFS('[1]粘贴_账务明细'!$K$4:$K$3003,'[1]粘贴_账务明细'!$A$4:$A$3003,$B295,'[1]粘贴_账务明细'!$L$4:$L$3003,"优惠券结算"))</f>
      </c>
      <c r="E295" s="11">
        <f t="shared" si="0"/>
      </c>
      <c r="F295" s="11">
        <f>IF($L295="","",-SUMIFS('[1]粘贴_账务明细'!$K$4:$K$3003,'[1]粘贴_账务明细'!$A$4:$A$3003,$B295,'[1]粘贴_账务明细'!$L$4:$L$3003,"百亿补贴技术服务费"))</f>
      </c>
      <c r="G295" s="11">
        <f>IF($L295="","",SUMIFS('[1]粘贴_服务费返还'!$M$4:$M$3003,'[1]粘贴_服务费返还'!$N$4:$N$3003,$B295,'[1]粘贴_服务费返还'!$O$4:$O$3003,"返还"))</f>
      </c>
      <c r="H295" s="11">
        <f>IF($L295="","",SUMIFS('[1]粘贴_服务费返还'!$M$4:$M$3003,'[1]粘贴_服务费返还'!$N$4:$N$3003,$B295,'[1]粘贴_服务费返还'!$O$4:$O$3003,"扣回"))</f>
      </c>
      <c r="I295" s="11">
        <f t="shared" si="1"/>
      </c>
      <c r="J295" s="6">
        <f t="shared" si="2"/>
      </c>
      <c r="K295" s="10">
        <f t="shared" si="3"/>
      </c>
      <c r="L295" s="17">
        <f>IF(A295&gt;$H$5,"",MATCH(A295,'[1]粘贴_账务明细'!$O$4:$O$3003,0))</f>
      </c>
    </row>
    <row r="296">
      <c r="A296" s="10" t="n">
        <v>268</v>
      </c>
      <c r="B296" s="6">
        <f>IF($L296="","",INDEX('[1]粘贴_账务明细'!$A$4:$A$3003,$L296))</f>
      </c>
      <c r="C296" s="16">
        <f>IF($L296="","",INDEX('[1]粘贴_账务明细'!$H$4:$H$3003,$L296))</f>
      </c>
      <c r="D296" s="11">
        <f>IF($L296="","",SUMIFS('[1]粘贴_账务明细'!$K$4:$K$3003,'[1]粘贴_账务明细'!$A$4:$A$3003,$B296,'[1]粘贴_账务明细'!$L$4:$L$3003,"订单收入")+SUMIFS('[1]粘贴_账务明细'!$K$4:$K$3003,'[1]粘贴_账务明细'!$A$4:$A$3003,$B296,'[1]粘贴_账务明细'!$L$4:$L$3003,"优惠券结算"))</f>
      </c>
      <c r="E296" s="11">
        <f t="shared" si="0"/>
      </c>
      <c r="F296" s="11">
        <f>IF($L296="","",-SUMIFS('[1]粘贴_账务明细'!$K$4:$K$3003,'[1]粘贴_账务明细'!$A$4:$A$3003,$B296,'[1]粘贴_账务明细'!$L$4:$L$3003,"百亿补贴技术服务费"))</f>
      </c>
      <c r="G296" s="11">
        <f>IF($L296="","",SUMIFS('[1]粘贴_服务费返还'!$M$4:$M$3003,'[1]粘贴_服务费返还'!$N$4:$N$3003,$B296,'[1]粘贴_服务费返还'!$O$4:$O$3003,"返还"))</f>
      </c>
      <c r="H296" s="11">
        <f>IF($L296="","",SUMIFS('[1]粘贴_服务费返还'!$M$4:$M$3003,'[1]粘贴_服务费返还'!$N$4:$N$3003,$B296,'[1]粘贴_服务费返还'!$O$4:$O$3003,"扣回"))</f>
      </c>
      <c r="I296" s="11">
        <f t="shared" si="1"/>
      </c>
      <c r="J296" s="6">
        <f t="shared" si="2"/>
      </c>
      <c r="K296" s="10">
        <f t="shared" si="3"/>
      </c>
      <c r="L296" s="17">
        <f>IF(A296&gt;$H$5,"",MATCH(A296,'[1]粘贴_账务明细'!$O$4:$O$3003,0))</f>
      </c>
    </row>
    <row r="297">
      <c r="A297" s="10" t="n">
        <v>269</v>
      </c>
      <c r="B297" s="6">
        <f>IF($L297="","",INDEX('[1]粘贴_账务明细'!$A$4:$A$3003,$L297))</f>
      </c>
      <c r="C297" s="16">
        <f>IF($L297="","",INDEX('[1]粘贴_账务明细'!$H$4:$H$3003,$L297))</f>
      </c>
      <c r="D297" s="11">
        <f>IF($L297="","",SUMIFS('[1]粘贴_账务明细'!$K$4:$K$3003,'[1]粘贴_账务明细'!$A$4:$A$3003,$B297,'[1]粘贴_账务明细'!$L$4:$L$3003,"订单收入")+SUMIFS('[1]粘贴_账务明细'!$K$4:$K$3003,'[1]粘贴_账务明细'!$A$4:$A$3003,$B297,'[1]粘贴_账务明细'!$L$4:$L$3003,"优惠券结算"))</f>
      </c>
      <c r="E297" s="11">
        <f t="shared" si="0"/>
      </c>
      <c r="F297" s="11">
        <f>IF($L297="","",-SUMIFS('[1]粘贴_账务明细'!$K$4:$K$3003,'[1]粘贴_账务明细'!$A$4:$A$3003,$B297,'[1]粘贴_账务明细'!$L$4:$L$3003,"百亿补贴技术服务费"))</f>
      </c>
      <c r="G297" s="11">
        <f>IF($L297="","",SUMIFS('[1]粘贴_服务费返还'!$M$4:$M$3003,'[1]粘贴_服务费返还'!$N$4:$N$3003,$B297,'[1]粘贴_服务费返还'!$O$4:$O$3003,"返还"))</f>
      </c>
      <c r="H297" s="11">
        <f>IF($L297="","",SUMIFS('[1]粘贴_服务费返还'!$M$4:$M$3003,'[1]粘贴_服务费返还'!$N$4:$N$3003,$B297,'[1]粘贴_服务费返还'!$O$4:$O$3003,"扣回"))</f>
      </c>
      <c r="I297" s="11">
        <f t="shared" si="1"/>
      </c>
      <c r="J297" s="6">
        <f t="shared" si="2"/>
      </c>
      <c r="K297" s="10">
        <f t="shared" si="3"/>
      </c>
      <c r="L297" s="17">
        <f>IF(A297&gt;$H$5,"",MATCH(A297,'[1]粘贴_账务明细'!$O$4:$O$3003,0))</f>
      </c>
    </row>
    <row r="298">
      <c r="A298" s="10" t="n">
        <v>270</v>
      </c>
      <c r="B298" s="6">
        <f>IF($L298="","",INDEX('[1]粘贴_账务明细'!$A$4:$A$3003,$L298))</f>
      </c>
      <c r="C298" s="16">
        <f>IF($L298="","",INDEX('[1]粘贴_账务明细'!$H$4:$H$3003,$L298))</f>
      </c>
      <c r="D298" s="11">
        <f>IF($L298="","",SUMIFS('[1]粘贴_账务明细'!$K$4:$K$3003,'[1]粘贴_账务明细'!$A$4:$A$3003,$B298,'[1]粘贴_账务明细'!$L$4:$L$3003,"订单收入")+SUMIFS('[1]粘贴_账务明细'!$K$4:$K$3003,'[1]粘贴_账务明细'!$A$4:$A$3003,$B298,'[1]粘贴_账务明细'!$L$4:$L$3003,"优惠券结算"))</f>
      </c>
      <c r="E298" s="11">
        <f t="shared" si="0"/>
      </c>
      <c r="F298" s="11">
        <f>IF($L298="","",-SUMIFS('[1]粘贴_账务明细'!$K$4:$K$3003,'[1]粘贴_账务明细'!$A$4:$A$3003,$B298,'[1]粘贴_账务明细'!$L$4:$L$3003,"百亿补贴技术服务费"))</f>
      </c>
      <c r="G298" s="11">
        <f>IF($L298="","",SUMIFS('[1]粘贴_服务费返还'!$M$4:$M$3003,'[1]粘贴_服务费返还'!$N$4:$N$3003,$B298,'[1]粘贴_服务费返还'!$O$4:$O$3003,"返还"))</f>
      </c>
      <c r="H298" s="11">
        <f>IF($L298="","",SUMIFS('[1]粘贴_服务费返还'!$M$4:$M$3003,'[1]粘贴_服务费返还'!$N$4:$N$3003,$B298,'[1]粘贴_服务费返还'!$O$4:$O$3003,"扣回"))</f>
      </c>
      <c r="I298" s="11">
        <f t="shared" si="1"/>
      </c>
      <c r="J298" s="6">
        <f t="shared" si="2"/>
      </c>
      <c r="K298" s="10">
        <f t="shared" si="3"/>
      </c>
      <c r="L298" s="17">
        <f>IF(A298&gt;$H$5,"",MATCH(A298,'[1]粘贴_账务明细'!$O$4:$O$3003,0))</f>
      </c>
    </row>
    <row r="299">
      <c r="A299" s="10" t="n">
        <v>271</v>
      </c>
      <c r="B299" s="6">
        <f>IF($L299="","",INDEX('[1]粘贴_账务明细'!$A$4:$A$3003,$L299))</f>
      </c>
      <c r="C299" s="16">
        <f>IF($L299="","",INDEX('[1]粘贴_账务明细'!$H$4:$H$3003,$L299))</f>
      </c>
      <c r="D299" s="11">
        <f>IF($L299="","",SUMIFS('[1]粘贴_账务明细'!$K$4:$K$3003,'[1]粘贴_账务明细'!$A$4:$A$3003,$B299,'[1]粘贴_账务明细'!$L$4:$L$3003,"订单收入")+SUMIFS('[1]粘贴_账务明细'!$K$4:$K$3003,'[1]粘贴_账务明细'!$A$4:$A$3003,$B299,'[1]粘贴_账务明细'!$L$4:$L$3003,"优惠券结算"))</f>
      </c>
      <c r="E299" s="11">
        <f t="shared" si="0"/>
      </c>
      <c r="F299" s="11">
        <f>IF($L299="","",-SUMIFS('[1]粘贴_账务明细'!$K$4:$K$3003,'[1]粘贴_账务明细'!$A$4:$A$3003,$B299,'[1]粘贴_账务明细'!$L$4:$L$3003,"百亿补贴技术服务费"))</f>
      </c>
      <c r="G299" s="11">
        <f>IF($L299="","",SUMIFS('[1]粘贴_服务费返还'!$M$4:$M$3003,'[1]粘贴_服务费返还'!$N$4:$N$3003,$B299,'[1]粘贴_服务费返还'!$O$4:$O$3003,"返还"))</f>
      </c>
      <c r="H299" s="11">
        <f>IF($L299="","",SUMIFS('[1]粘贴_服务费返还'!$M$4:$M$3003,'[1]粘贴_服务费返还'!$N$4:$N$3003,$B299,'[1]粘贴_服务费返还'!$O$4:$O$3003,"扣回"))</f>
      </c>
      <c r="I299" s="11">
        <f t="shared" si="1"/>
      </c>
      <c r="J299" s="6">
        <f t="shared" si="2"/>
      </c>
      <c r="K299" s="10">
        <f t="shared" si="3"/>
      </c>
      <c r="L299" s="17">
        <f>IF(A299&gt;$H$5,"",MATCH(A299,'[1]粘贴_账务明细'!$O$4:$O$3003,0))</f>
      </c>
    </row>
    <row r="300">
      <c r="A300" s="10" t="n">
        <v>272</v>
      </c>
      <c r="B300" s="6">
        <f>IF($L300="","",INDEX('[1]粘贴_账务明细'!$A$4:$A$3003,$L300))</f>
      </c>
      <c r="C300" s="16">
        <f>IF($L300="","",INDEX('[1]粘贴_账务明细'!$H$4:$H$3003,$L300))</f>
      </c>
      <c r="D300" s="11">
        <f>IF($L300="","",SUMIFS('[1]粘贴_账务明细'!$K$4:$K$3003,'[1]粘贴_账务明细'!$A$4:$A$3003,$B300,'[1]粘贴_账务明细'!$L$4:$L$3003,"订单收入")+SUMIFS('[1]粘贴_账务明细'!$K$4:$K$3003,'[1]粘贴_账务明细'!$A$4:$A$3003,$B300,'[1]粘贴_账务明细'!$L$4:$L$3003,"优惠券结算"))</f>
      </c>
      <c r="E300" s="11">
        <f t="shared" si="0"/>
      </c>
      <c r="F300" s="11">
        <f>IF($L300="","",-SUMIFS('[1]粘贴_账务明细'!$K$4:$K$3003,'[1]粘贴_账务明细'!$A$4:$A$3003,$B300,'[1]粘贴_账务明细'!$L$4:$L$3003,"百亿补贴技术服务费"))</f>
      </c>
      <c r="G300" s="11">
        <f>IF($L300="","",SUMIFS('[1]粘贴_服务费返还'!$M$4:$M$3003,'[1]粘贴_服务费返还'!$N$4:$N$3003,$B300,'[1]粘贴_服务费返还'!$O$4:$O$3003,"返还"))</f>
      </c>
      <c r="H300" s="11">
        <f>IF($L300="","",SUMIFS('[1]粘贴_服务费返还'!$M$4:$M$3003,'[1]粘贴_服务费返还'!$N$4:$N$3003,$B300,'[1]粘贴_服务费返还'!$O$4:$O$3003,"扣回"))</f>
      </c>
      <c r="I300" s="11">
        <f t="shared" si="1"/>
      </c>
      <c r="J300" s="6">
        <f t="shared" si="2"/>
      </c>
      <c r="K300" s="10">
        <f t="shared" si="3"/>
      </c>
      <c r="L300" s="17">
        <f>IF(A300&gt;$H$5,"",MATCH(A300,'[1]粘贴_账务明细'!$O$4:$O$3003,0))</f>
      </c>
    </row>
    <row r="301">
      <c r="A301" s="10" t="n">
        <v>273</v>
      </c>
      <c r="B301" s="6">
        <f>IF($L301="","",INDEX('[1]粘贴_账务明细'!$A$4:$A$3003,$L301))</f>
      </c>
      <c r="C301" s="16">
        <f>IF($L301="","",INDEX('[1]粘贴_账务明细'!$H$4:$H$3003,$L301))</f>
      </c>
      <c r="D301" s="11">
        <f>IF($L301="","",SUMIFS('[1]粘贴_账务明细'!$K$4:$K$3003,'[1]粘贴_账务明细'!$A$4:$A$3003,$B301,'[1]粘贴_账务明细'!$L$4:$L$3003,"订单收入")+SUMIFS('[1]粘贴_账务明细'!$K$4:$K$3003,'[1]粘贴_账务明细'!$A$4:$A$3003,$B301,'[1]粘贴_账务明细'!$L$4:$L$3003,"优惠券结算"))</f>
      </c>
      <c r="E301" s="11">
        <f t="shared" si="0"/>
      </c>
      <c r="F301" s="11">
        <f>IF($L301="","",-SUMIFS('[1]粘贴_账务明细'!$K$4:$K$3003,'[1]粘贴_账务明细'!$A$4:$A$3003,$B301,'[1]粘贴_账务明细'!$L$4:$L$3003,"百亿补贴技术服务费"))</f>
      </c>
      <c r="G301" s="11">
        <f>IF($L301="","",SUMIFS('[1]粘贴_服务费返还'!$M$4:$M$3003,'[1]粘贴_服务费返还'!$N$4:$N$3003,$B301,'[1]粘贴_服务费返还'!$O$4:$O$3003,"返还"))</f>
      </c>
      <c r="H301" s="11">
        <f>IF($L301="","",SUMIFS('[1]粘贴_服务费返还'!$M$4:$M$3003,'[1]粘贴_服务费返还'!$N$4:$N$3003,$B301,'[1]粘贴_服务费返还'!$O$4:$O$3003,"扣回"))</f>
      </c>
      <c r="I301" s="11">
        <f t="shared" si="1"/>
      </c>
      <c r="J301" s="6">
        <f t="shared" si="2"/>
      </c>
      <c r="K301" s="10">
        <f t="shared" si="3"/>
      </c>
      <c r="L301" s="17">
        <f>IF(A301&gt;$H$5,"",MATCH(A301,'[1]粘贴_账务明细'!$O$4:$O$3003,0))</f>
      </c>
    </row>
    <row r="302">
      <c r="A302" s="10" t="n">
        <v>274</v>
      </c>
      <c r="B302" s="6">
        <f>IF($L302="","",INDEX('[1]粘贴_账务明细'!$A$4:$A$3003,$L302))</f>
      </c>
      <c r="C302" s="16">
        <f>IF($L302="","",INDEX('[1]粘贴_账务明细'!$H$4:$H$3003,$L302))</f>
      </c>
      <c r="D302" s="11">
        <f>IF($L302="","",SUMIFS('[1]粘贴_账务明细'!$K$4:$K$3003,'[1]粘贴_账务明细'!$A$4:$A$3003,$B302,'[1]粘贴_账务明细'!$L$4:$L$3003,"订单收入")+SUMIFS('[1]粘贴_账务明细'!$K$4:$K$3003,'[1]粘贴_账务明细'!$A$4:$A$3003,$B302,'[1]粘贴_账务明细'!$L$4:$L$3003,"优惠券结算"))</f>
      </c>
      <c r="E302" s="11">
        <f t="shared" si="0"/>
      </c>
      <c r="F302" s="11">
        <f>IF($L302="","",-SUMIFS('[1]粘贴_账务明细'!$K$4:$K$3003,'[1]粘贴_账务明细'!$A$4:$A$3003,$B302,'[1]粘贴_账务明细'!$L$4:$L$3003,"百亿补贴技术服务费"))</f>
      </c>
      <c r="G302" s="11">
        <f>IF($L302="","",SUMIFS('[1]粘贴_服务费返还'!$M$4:$M$3003,'[1]粘贴_服务费返还'!$N$4:$N$3003,$B302,'[1]粘贴_服务费返还'!$O$4:$O$3003,"返还"))</f>
      </c>
      <c r="H302" s="11">
        <f>IF($L302="","",SUMIFS('[1]粘贴_服务费返还'!$M$4:$M$3003,'[1]粘贴_服务费返还'!$N$4:$N$3003,$B302,'[1]粘贴_服务费返还'!$O$4:$O$3003,"扣回"))</f>
      </c>
      <c r="I302" s="11">
        <f t="shared" si="1"/>
      </c>
      <c r="J302" s="6">
        <f t="shared" si="2"/>
      </c>
      <c r="K302" s="10">
        <f t="shared" si="3"/>
      </c>
      <c r="L302" s="17">
        <f>IF(A302&gt;$H$5,"",MATCH(A302,'[1]粘贴_账务明细'!$O$4:$O$3003,0))</f>
      </c>
    </row>
    <row r="303">
      <c r="A303" s="10" t="n">
        <v>275</v>
      </c>
      <c r="B303" s="6">
        <f>IF($L303="","",INDEX('[1]粘贴_账务明细'!$A$4:$A$3003,$L303))</f>
      </c>
      <c r="C303" s="16">
        <f>IF($L303="","",INDEX('[1]粘贴_账务明细'!$H$4:$H$3003,$L303))</f>
      </c>
      <c r="D303" s="11">
        <f>IF($L303="","",SUMIFS('[1]粘贴_账务明细'!$K$4:$K$3003,'[1]粘贴_账务明细'!$A$4:$A$3003,$B303,'[1]粘贴_账务明细'!$L$4:$L$3003,"订单收入")+SUMIFS('[1]粘贴_账务明细'!$K$4:$K$3003,'[1]粘贴_账务明细'!$A$4:$A$3003,$B303,'[1]粘贴_账务明细'!$L$4:$L$3003,"优惠券结算"))</f>
      </c>
      <c r="E303" s="11">
        <f t="shared" si="0"/>
      </c>
      <c r="F303" s="11">
        <f>IF($L303="","",-SUMIFS('[1]粘贴_账务明细'!$K$4:$K$3003,'[1]粘贴_账务明细'!$A$4:$A$3003,$B303,'[1]粘贴_账务明细'!$L$4:$L$3003,"百亿补贴技术服务费"))</f>
      </c>
      <c r="G303" s="11">
        <f>IF($L303="","",SUMIFS('[1]粘贴_服务费返还'!$M$4:$M$3003,'[1]粘贴_服务费返还'!$N$4:$N$3003,$B303,'[1]粘贴_服务费返还'!$O$4:$O$3003,"返还"))</f>
      </c>
      <c r="H303" s="11">
        <f>IF($L303="","",SUMIFS('[1]粘贴_服务费返还'!$M$4:$M$3003,'[1]粘贴_服务费返还'!$N$4:$N$3003,$B303,'[1]粘贴_服务费返还'!$O$4:$O$3003,"扣回"))</f>
      </c>
      <c r="I303" s="11">
        <f t="shared" si="1"/>
      </c>
      <c r="J303" s="6">
        <f t="shared" si="2"/>
      </c>
      <c r="K303" s="10">
        <f t="shared" si="3"/>
      </c>
      <c r="L303" s="17">
        <f>IF(A303&gt;$H$5,"",MATCH(A303,'[1]粘贴_账务明细'!$O$4:$O$3003,0))</f>
      </c>
    </row>
    <row r="304">
      <c r="A304" s="10" t="n">
        <v>276</v>
      </c>
      <c r="B304" s="6">
        <f>IF($L304="","",INDEX('[1]粘贴_账务明细'!$A$4:$A$3003,$L304))</f>
      </c>
      <c r="C304" s="16">
        <f>IF($L304="","",INDEX('[1]粘贴_账务明细'!$H$4:$H$3003,$L304))</f>
      </c>
      <c r="D304" s="11">
        <f>IF($L304="","",SUMIFS('[1]粘贴_账务明细'!$K$4:$K$3003,'[1]粘贴_账务明细'!$A$4:$A$3003,$B304,'[1]粘贴_账务明细'!$L$4:$L$3003,"订单收入")+SUMIFS('[1]粘贴_账务明细'!$K$4:$K$3003,'[1]粘贴_账务明细'!$A$4:$A$3003,$B304,'[1]粘贴_账务明细'!$L$4:$L$3003,"优惠券结算"))</f>
      </c>
      <c r="E304" s="11">
        <f t="shared" si="0"/>
      </c>
      <c r="F304" s="11">
        <f>IF($L304="","",-SUMIFS('[1]粘贴_账务明细'!$K$4:$K$3003,'[1]粘贴_账务明细'!$A$4:$A$3003,$B304,'[1]粘贴_账务明细'!$L$4:$L$3003,"百亿补贴技术服务费"))</f>
      </c>
      <c r="G304" s="11">
        <f>IF($L304="","",SUMIFS('[1]粘贴_服务费返还'!$M$4:$M$3003,'[1]粘贴_服务费返还'!$N$4:$N$3003,$B304,'[1]粘贴_服务费返还'!$O$4:$O$3003,"返还"))</f>
      </c>
      <c r="H304" s="11">
        <f>IF($L304="","",SUMIFS('[1]粘贴_服务费返还'!$M$4:$M$3003,'[1]粘贴_服务费返还'!$N$4:$N$3003,$B304,'[1]粘贴_服务费返还'!$O$4:$O$3003,"扣回"))</f>
      </c>
      <c r="I304" s="11">
        <f t="shared" si="1"/>
      </c>
      <c r="J304" s="6">
        <f t="shared" si="2"/>
      </c>
      <c r="K304" s="10">
        <f t="shared" si="3"/>
      </c>
      <c r="L304" s="17">
        <f>IF(A304&gt;$H$5,"",MATCH(A304,'[1]粘贴_账务明细'!$O$4:$O$3003,0))</f>
      </c>
    </row>
    <row r="305">
      <c r="A305" s="10" t="n">
        <v>277</v>
      </c>
      <c r="B305" s="6">
        <f>IF($L305="","",INDEX('[1]粘贴_账务明细'!$A$4:$A$3003,$L305))</f>
      </c>
      <c r="C305" s="16">
        <f>IF($L305="","",INDEX('[1]粘贴_账务明细'!$H$4:$H$3003,$L305))</f>
      </c>
      <c r="D305" s="11">
        <f>IF($L305="","",SUMIFS('[1]粘贴_账务明细'!$K$4:$K$3003,'[1]粘贴_账务明细'!$A$4:$A$3003,$B305,'[1]粘贴_账务明细'!$L$4:$L$3003,"订单收入")+SUMIFS('[1]粘贴_账务明细'!$K$4:$K$3003,'[1]粘贴_账务明细'!$A$4:$A$3003,$B305,'[1]粘贴_账务明细'!$L$4:$L$3003,"优惠券结算"))</f>
      </c>
      <c r="E305" s="11">
        <f t="shared" si="0"/>
      </c>
      <c r="F305" s="11">
        <f>IF($L305="","",-SUMIFS('[1]粘贴_账务明细'!$K$4:$K$3003,'[1]粘贴_账务明细'!$A$4:$A$3003,$B305,'[1]粘贴_账务明细'!$L$4:$L$3003,"百亿补贴技术服务费"))</f>
      </c>
      <c r="G305" s="11">
        <f>IF($L305="","",SUMIFS('[1]粘贴_服务费返还'!$M$4:$M$3003,'[1]粘贴_服务费返还'!$N$4:$N$3003,$B305,'[1]粘贴_服务费返还'!$O$4:$O$3003,"返还"))</f>
      </c>
      <c r="H305" s="11">
        <f>IF($L305="","",SUMIFS('[1]粘贴_服务费返还'!$M$4:$M$3003,'[1]粘贴_服务费返还'!$N$4:$N$3003,$B305,'[1]粘贴_服务费返还'!$O$4:$O$3003,"扣回"))</f>
      </c>
      <c r="I305" s="11">
        <f t="shared" si="1"/>
      </c>
      <c r="J305" s="6">
        <f t="shared" si="2"/>
      </c>
      <c r="K305" s="10">
        <f t="shared" si="3"/>
      </c>
      <c r="L305" s="17">
        <f>IF(A305&gt;$H$5,"",MATCH(A305,'[1]粘贴_账务明细'!$O$4:$O$3003,0))</f>
      </c>
    </row>
    <row r="306">
      <c r="A306" s="10" t="n">
        <v>278</v>
      </c>
      <c r="B306" s="6">
        <f>IF($L306="","",INDEX('[1]粘贴_账务明细'!$A$4:$A$3003,$L306))</f>
      </c>
      <c r="C306" s="16">
        <f>IF($L306="","",INDEX('[1]粘贴_账务明细'!$H$4:$H$3003,$L306))</f>
      </c>
      <c r="D306" s="11">
        <f>IF($L306="","",SUMIFS('[1]粘贴_账务明细'!$K$4:$K$3003,'[1]粘贴_账务明细'!$A$4:$A$3003,$B306,'[1]粘贴_账务明细'!$L$4:$L$3003,"订单收入")+SUMIFS('[1]粘贴_账务明细'!$K$4:$K$3003,'[1]粘贴_账务明细'!$A$4:$A$3003,$B306,'[1]粘贴_账务明细'!$L$4:$L$3003,"优惠券结算"))</f>
      </c>
      <c r="E306" s="11">
        <f t="shared" si="0"/>
      </c>
      <c r="F306" s="11">
        <f>IF($L306="","",-SUMIFS('[1]粘贴_账务明细'!$K$4:$K$3003,'[1]粘贴_账务明细'!$A$4:$A$3003,$B306,'[1]粘贴_账务明细'!$L$4:$L$3003,"百亿补贴技术服务费"))</f>
      </c>
      <c r="G306" s="11">
        <f>IF($L306="","",SUMIFS('[1]粘贴_服务费返还'!$M$4:$M$3003,'[1]粘贴_服务费返还'!$N$4:$N$3003,$B306,'[1]粘贴_服务费返还'!$O$4:$O$3003,"返还"))</f>
      </c>
      <c r="H306" s="11">
        <f>IF($L306="","",SUMIFS('[1]粘贴_服务费返还'!$M$4:$M$3003,'[1]粘贴_服务费返还'!$N$4:$N$3003,$B306,'[1]粘贴_服务费返还'!$O$4:$O$3003,"扣回"))</f>
      </c>
      <c r="I306" s="11">
        <f t="shared" si="1"/>
      </c>
      <c r="J306" s="6">
        <f t="shared" si="2"/>
      </c>
      <c r="K306" s="10">
        <f t="shared" si="3"/>
      </c>
      <c r="L306" s="17">
        <f>IF(A306&gt;$H$5,"",MATCH(A306,'[1]粘贴_账务明细'!$O$4:$O$3003,0))</f>
      </c>
    </row>
    <row r="307">
      <c r="A307" s="10" t="n">
        <v>279</v>
      </c>
      <c r="B307" s="6">
        <f>IF($L307="","",INDEX('[1]粘贴_账务明细'!$A$4:$A$3003,$L307))</f>
      </c>
      <c r="C307" s="16">
        <f>IF($L307="","",INDEX('[1]粘贴_账务明细'!$H$4:$H$3003,$L307))</f>
      </c>
      <c r="D307" s="11">
        <f>IF($L307="","",SUMIFS('[1]粘贴_账务明细'!$K$4:$K$3003,'[1]粘贴_账务明细'!$A$4:$A$3003,$B307,'[1]粘贴_账务明细'!$L$4:$L$3003,"订单收入")+SUMIFS('[1]粘贴_账务明细'!$K$4:$K$3003,'[1]粘贴_账务明细'!$A$4:$A$3003,$B307,'[1]粘贴_账务明细'!$L$4:$L$3003,"优惠券结算"))</f>
      </c>
      <c r="E307" s="11">
        <f t="shared" si="0"/>
      </c>
      <c r="F307" s="11">
        <f>IF($L307="","",-SUMIFS('[1]粘贴_账务明细'!$K$4:$K$3003,'[1]粘贴_账务明细'!$A$4:$A$3003,$B307,'[1]粘贴_账务明细'!$L$4:$L$3003,"百亿补贴技术服务费"))</f>
      </c>
      <c r="G307" s="11">
        <f>IF($L307="","",SUMIFS('[1]粘贴_服务费返还'!$M$4:$M$3003,'[1]粘贴_服务费返还'!$N$4:$N$3003,$B307,'[1]粘贴_服务费返还'!$O$4:$O$3003,"返还"))</f>
      </c>
      <c r="H307" s="11">
        <f>IF($L307="","",SUMIFS('[1]粘贴_服务费返还'!$M$4:$M$3003,'[1]粘贴_服务费返还'!$N$4:$N$3003,$B307,'[1]粘贴_服务费返还'!$O$4:$O$3003,"扣回"))</f>
      </c>
      <c r="I307" s="11">
        <f t="shared" si="1"/>
      </c>
      <c r="J307" s="6">
        <f t="shared" si="2"/>
      </c>
      <c r="K307" s="10">
        <f t="shared" si="3"/>
      </c>
      <c r="L307" s="17">
        <f>IF(A307&gt;$H$5,"",MATCH(A307,'[1]粘贴_账务明细'!$O$4:$O$3003,0))</f>
      </c>
    </row>
    <row r="308">
      <c r="A308" s="10" t="n">
        <v>280</v>
      </c>
      <c r="B308" s="6">
        <f>IF($L308="","",INDEX('[1]粘贴_账务明细'!$A$4:$A$3003,$L308))</f>
      </c>
      <c r="C308" s="16">
        <f>IF($L308="","",INDEX('[1]粘贴_账务明细'!$H$4:$H$3003,$L308))</f>
      </c>
      <c r="D308" s="11">
        <f>IF($L308="","",SUMIFS('[1]粘贴_账务明细'!$K$4:$K$3003,'[1]粘贴_账务明细'!$A$4:$A$3003,$B308,'[1]粘贴_账务明细'!$L$4:$L$3003,"订单收入")+SUMIFS('[1]粘贴_账务明细'!$K$4:$K$3003,'[1]粘贴_账务明细'!$A$4:$A$3003,$B308,'[1]粘贴_账务明细'!$L$4:$L$3003,"优惠券结算"))</f>
      </c>
      <c r="E308" s="11">
        <f t="shared" si="0"/>
      </c>
      <c r="F308" s="11">
        <f>IF($L308="","",-SUMIFS('[1]粘贴_账务明细'!$K$4:$K$3003,'[1]粘贴_账务明细'!$A$4:$A$3003,$B308,'[1]粘贴_账务明细'!$L$4:$L$3003,"百亿补贴技术服务费"))</f>
      </c>
      <c r="G308" s="11">
        <f>IF($L308="","",SUMIFS('[1]粘贴_服务费返还'!$M$4:$M$3003,'[1]粘贴_服务费返还'!$N$4:$N$3003,$B308,'[1]粘贴_服务费返还'!$O$4:$O$3003,"返还"))</f>
      </c>
      <c r="H308" s="11">
        <f>IF($L308="","",SUMIFS('[1]粘贴_服务费返还'!$M$4:$M$3003,'[1]粘贴_服务费返还'!$N$4:$N$3003,$B308,'[1]粘贴_服务费返还'!$O$4:$O$3003,"扣回"))</f>
      </c>
      <c r="I308" s="11">
        <f t="shared" si="1"/>
      </c>
      <c r="J308" s="6">
        <f t="shared" si="2"/>
      </c>
      <c r="K308" s="10">
        <f t="shared" si="3"/>
      </c>
      <c r="L308" s="17">
        <f>IF(A308&gt;$H$5,"",MATCH(A308,'[1]粘贴_账务明细'!$O$4:$O$3003,0))</f>
      </c>
    </row>
    <row r="309">
      <c r="A309" s="10" t="n">
        <v>281</v>
      </c>
      <c r="B309" s="6">
        <f>IF($L309="","",INDEX('[1]粘贴_账务明细'!$A$4:$A$3003,$L309))</f>
      </c>
      <c r="C309" s="16">
        <f>IF($L309="","",INDEX('[1]粘贴_账务明细'!$H$4:$H$3003,$L309))</f>
      </c>
      <c r="D309" s="11">
        <f>IF($L309="","",SUMIFS('[1]粘贴_账务明细'!$K$4:$K$3003,'[1]粘贴_账务明细'!$A$4:$A$3003,$B309,'[1]粘贴_账务明细'!$L$4:$L$3003,"订单收入")+SUMIFS('[1]粘贴_账务明细'!$K$4:$K$3003,'[1]粘贴_账务明细'!$A$4:$A$3003,$B309,'[1]粘贴_账务明细'!$L$4:$L$3003,"优惠券结算"))</f>
      </c>
      <c r="E309" s="11">
        <f t="shared" si="0"/>
      </c>
      <c r="F309" s="11">
        <f>IF($L309="","",-SUMIFS('[1]粘贴_账务明细'!$K$4:$K$3003,'[1]粘贴_账务明细'!$A$4:$A$3003,$B309,'[1]粘贴_账务明细'!$L$4:$L$3003,"百亿补贴技术服务费"))</f>
      </c>
      <c r="G309" s="11">
        <f>IF($L309="","",SUMIFS('[1]粘贴_服务费返还'!$M$4:$M$3003,'[1]粘贴_服务费返还'!$N$4:$N$3003,$B309,'[1]粘贴_服务费返还'!$O$4:$O$3003,"返还"))</f>
      </c>
      <c r="H309" s="11">
        <f>IF($L309="","",SUMIFS('[1]粘贴_服务费返还'!$M$4:$M$3003,'[1]粘贴_服务费返还'!$N$4:$N$3003,$B309,'[1]粘贴_服务费返还'!$O$4:$O$3003,"扣回"))</f>
      </c>
      <c r="I309" s="11">
        <f t="shared" si="1"/>
      </c>
      <c r="J309" s="6">
        <f t="shared" si="2"/>
      </c>
      <c r="K309" s="10">
        <f t="shared" si="3"/>
      </c>
      <c r="L309" s="17">
        <f>IF(A309&gt;$H$5,"",MATCH(A309,'[1]粘贴_账务明细'!$O$4:$O$3003,0))</f>
      </c>
    </row>
    <row r="310">
      <c r="A310" s="10" t="n">
        <v>282</v>
      </c>
      <c r="B310" s="6">
        <f>IF($L310="","",INDEX('[1]粘贴_账务明细'!$A$4:$A$3003,$L310))</f>
      </c>
      <c r="C310" s="16">
        <f>IF($L310="","",INDEX('[1]粘贴_账务明细'!$H$4:$H$3003,$L310))</f>
      </c>
      <c r="D310" s="11">
        <f>IF($L310="","",SUMIFS('[1]粘贴_账务明细'!$K$4:$K$3003,'[1]粘贴_账务明细'!$A$4:$A$3003,$B310,'[1]粘贴_账务明细'!$L$4:$L$3003,"订单收入")+SUMIFS('[1]粘贴_账务明细'!$K$4:$K$3003,'[1]粘贴_账务明细'!$A$4:$A$3003,$B310,'[1]粘贴_账务明细'!$L$4:$L$3003,"优惠券结算"))</f>
      </c>
      <c r="E310" s="11">
        <f t="shared" si="0"/>
      </c>
      <c r="F310" s="11">
        <f>IF($L310="","",-SUMIFS('[1]粘贴_账务明细'!$K$4:$K$3003,'[1]粘贴_账务明细'!$A$4:$A$3003,$B310,'[1]粘贴_账务明细'!$L$4:$L$3003,"百亿补贴技术服务费"))</f>
      </c>
      <c r="G310" s="11">
        <f>IF($L310="","",SUMIFS('[1]粘贴_服务费返还'!$M$4:$M$3003,'[1]粘贴_服务费返还'!$N$4:$N$3003,$B310,'[1]粘贴_服务费返还'!$O$4:$O$3003,"返还"))</f>
      </c>
      <c r="H310" s="11">
        <f>IF($L310="","",SUMIFS('[1]粘贴_服务费返还'!$M$4:$M$3003,'[1]粘贴_服务费返还'!$N$4:$N$3003,$B310,'[1]粘贴_服务费返还'!$O$4:$O$3003,"扣回"))</f>
      </c>
      <c r="I310" s="11">
        <f t="shared" si="1"/>
      </c>
      <c r="J310" s="6">
        <f t="shared" si="2"/>
      </c>
      <c r="K310" s="10">
        <f t="shared" si="3"/>
      </c>
      <c r="L310" s="17">
        <f>IF(A310&gt;$H$5,"",MATCH(A310,'[1]粘贴_账务明细'!$O$4:$O$3003,0))</f>
      </c>
    </row>
    <row r="311">
      <c r="A311" s="10" t="n">
        <v>283</v>
      </c>
      <c r="B311" s="6">
        <f>IF($L311="","",INDEX('[1]粘贴_账务明细'!$A$4:$A$3003,$L311))</f>
      </c>
      <c r="C311" s="16">
        <f>IF($L311="","",INDEX('[1]粘贴_账务明细'!$H$4:$H$3003,$L311))</f>
      </c>
      <c r="D311" s="11">
        <f>IF($L311="","",SUMIFS('[1]粘贴_账务明细'!$K$4:$K$3003,'[1]粘贴_账务明细'!$A$4:$A$3003,$B311,'[1]粘贴_账务明细'!$L$4:$L$3003,"订单收入")+SUMIFS('[1]粘贴_账务明细'!$K$4:$K$3003,'[1]粘贴_账务明细'!$A$4:$A$3003,$B311,'[1]粘贴_账务明细'!$L$4:$L$3003,"优惠券结算"))</f>
      </c>
      <c r="E311" s="11">
        <f t="shared" si="0"/>
      </c>
      <c r="F311" s="11">
        <f>IF($L311="","",-SUMIFS('[1]粘贴_账务明细'!$K$4:$K$3003,'[1]粘贴_账务明细'!$A$4:$A$3003,$B311,'[1]粘贴_账务明细'!$L$4:$L$3003,"百亿补贴技术服务费"))</f>
      </c>
      <c r="G311" s="11">
        <f>IF($L311="","",SUMIFS('[1]粘贴_服务费返还'!$M$4:$M$3003,'[1]粘贴_服务费返还'!$N$4:$N$3003,$B311,'[1]粘贴_服务费返还'!$O$4:$O$3003,"返还"))</f>
      </c>
      <c r="H311" s="11">
        <f>IF($L311="","",SUMIFS('[1]粘贴_服务费返还'!$M$4:$M$3003,'[1]粘贴_服务费返还'!$N$4:$N$3003,$B311,'[1]粘贴_服务费返还'!$O$4:$O$3003,"扣回"))</f>
      </c>
      <c r="I311" s="11">
        <f t="shared" si="1"/>
      </c>
      <c r="J311" s="6">
        <f t="shared" si="2"/>
      </c>
      <c r="K311" s="10">
        <f t="shared" si="3"/>
      </c>
      <c r="L311" s="17">
        <f>IF(A311&gt;$H$5,"",MATCH(A311,'[1]粘贴_账务明细'!$O$4:$O$3003,0))</f>
      </c>
    </row>
    <row r="312">
      <c r="A312" s="10" t="n">
        <v>284</v>
      </c>
      <c r="B312" s="6">
        <f>IF($L312="","",INDEX('[1]粘贴_账务明细'!$A$4:$A$3003,$L312))</f>
      </c>
      <c r="C312" s="16">
        <f>IF($L312="","",INDEX('[1]粘贴_账务明细'!$H$4:$H$3003,$L312))</f>
      </c>
      <c r="D312" s="11">
        <f>IF($L312="","",SUMIFS('[1]粘贴_账务明细'!$K$4:$K$3003,'[1]粘贴_账务明细'!$A$4:$A$3003,$B312,'[1]粘贴_账务明细'!$L$4:$L$3003,"订单收入")+SUMIFS('[1]粘贴_账务明细'!$K$4:$K$3003,'[1]粘贴_账务明细'!$A$4:$A$3003,$B312,'[1]粘贴_账务明细'!$L$4:$L$3003,"优惠券结算"))</f>
      </c>
      <c r="E312" s="11">
        <f t="shared" si="0"/>
      </c>
      <c r="F312" s="11">
        <f>IF($L312="","",-SUMIFS('[1]粘贴_账务明细'!$K$4:$K$3003,'[1]粘贴_账务明细'!$A$4:$A$3003,$B312,'[1]粘贴_账务明细'!$L$4:$L$3003,"百亿补贴技术服务费"))</f>
      </c>
      <c r="G312" s="11">
        <f>IF($L312="","",SUMIFS('[1]粘贴_服务费返还'!$M$4:$M$3003,'[1]粘贴_服务费返还'!$N$4:$N$3003,$B312,'[1]粘贴_服务费返还'!$O$4:$O$3003,"返还"))</f>
      </c>
      <c r="H312" s="11">
        <f>IF($L312="","",SUMIFS('[1]粘贴_服务费返还'!$M$4:$M$3003,'[1]粘贴_服务费返还'!$N$4:$N$3003,$B312,'[1]粘贴_服务费返还'!$O$4:$O$3003,"扣回"))</f>
      </c>
      <c r="I312" s="11">
        <f t="shared" si="1"/>
      </c>
      <c r="J312" s="6">
        <f t="shared" si="2"/>
      </c>
      <c r="K312" s="10">
        <f t="shared" si="3"/>
      </c>
      <c r="L312" s="17">
        <f>IF(A312&gt;$H$5,"",MATCH(A312,'[1]粘贴_账务明细'!$O$4:$O$3003,0))</f>
      </c>
    </row>
    <row r="313">
      <c r="A313" s="10" t="n">
        <v>285</v>
      </c>
      <c r="B313" s="6">
        <f>IF($L313="","",INDEX('[1]粘贴_账务明细'!$A$4:$A$3003,$L313))</f>
      </c>
      <c r="C313" s="16">
        <f>IF($L313="","",INDEX('[1]粘贴_账务明细'!$H$4:$H$3003,$L313))</f>
      </c>
      <c r="D313" s="11">
        <f>IF($L313="","",SUMIFS('[1]粘贴_账务明细'!$K$4:$K$3003,'[1]粘贴_账务明细'!$A$4:$A$3003,$B313,'[1]粘贴_账务明细'!$L$4:$L$3003,"订单收入")+SUMIFS('[1]粘贴_账务明细'!$K$4:$K$3003,'[1]粘贴_账务明细'!$A$4:$A$3003,$B313,'[1]粘贴_账务明细'!$L$4:$L$3003,"优惠券结算"))</f>
      </c>
      <c r="E313" s="11">
        <f t="shared" si="0"/>
      </c>
      <c r="F313" s="11">
        <f>IF($L313="","",-SUMIFS('[1]粘贴_账务明细'!$K$4:$K$3003,'[1]粘贴_账务明细'!$A$4:$A$3003,$B313,'[1]粘贴_账务明细'!$L$4:$L$3003,"百亿补贴技术服务费"))</f>
      </c>
      <c r="G313" s="11">
        <f>IF($L313="","",SUMIFS('[1]粘贴_服务费返还'!$M$4:$M$3003,'[1]粘贴_服务费返还'!$N$4:$N$3003,$B313,'[1]粘贴_服务费返还'!$O$4:$O$3003,"返还"))</f>
      </c>
      <c r="H313" s="11">
        <f>IF($L313="","",SUMIFS('[1]粘贴_服务费返还'!$M$4:$M$3003,'[1]粘贴_服务费返还'!$N$4:$N$3003,$B313,'[1]粘贴_服务费返还'!$O$4:$O$3003,"扣回"))</f>
      </c>
      <c r="I313" s="11">
        <f t="shared" si="1"/>
      </c>
      <c r="J313" s="6">
        <f t="shared" si="2"/>
      </c>
      <c r="K313" s="10">
        <f t="shared" si="3"/>
      </c>
      <c r="L313" s="17">
        <f>IF(A313&gt;$H$5,"",MATCH(A313,'[1]粘贴_账务明细'!$O$4:$O$3003,0))</f>
      </c>
    </row>
    <row r="314">
      <c r="A314" s="10" t="n">
        <v>286</v>
      </c>
      <c r="B314" s="6">
        <f>IF($L314="","",INDEX('[1]粘贴_账务明细'!$A$4:$A$3003,$L314))</f>
      </c>
      <c r="C314" s="16">
        <f>IF($L314="","",INDEX('[1]粘贴_账务明细'!$H$4:$H$3003,$L314))</f>
      </c>
      <c r="D314" s="11">
        <f>IF($L314="","",SUMIFS('[1]粘贴_账务明细'!$K$4:$K$3003,'[1]粘贴_账务明细'!$A$4:$A$3003,$B314,'[1]粘贴_账务明细'!$L$4:$L$3003,"订单收入")+SUMIFS('[1]粘贴_账务明细'!$K$4:$K$3003,'[1]粘贴_账务明细'!$A$4:$A$3003,$B314,'[1]粘贴_账务明细'!$L$4:$L$3003,"优惠券结算"))</f>
      </c>
      <c r="E314" s="11">
        <f t="shared" si="0"/>
      </c>
      <c r="F314" s="11">
        <f>IF($L314="","",-SUMIFS('[1]粘贴_账务明细'!$K$4:$K$3003,'[1]粘贴_账务明细'!$A$4:$A$3003,$B314,'[1]粘贴_账务明细'!$L$4:$L$3003,"百亿补贴技术服务费"))</f>
      </c>
      <c r="G314" s="11">
        <f>IF($L314="","",SUMIFS('[1]粘贴_服务费返还'!$M$4:$M$3003,'[1]粘贴_服务费返还'!$N$4:$N$3003,$B314,'[1]粘贴_服务费返还'!$O$4:$O$3003,"返还"))</f>
      </c>
      <c r="H314" s="11">
        <f>IF($L314="","",SUMIFS('[1]粘贴_服务费返还'!$M$4:$M$3003,'[1]粘贴_服务费返还'!$N$4:$N$3003,$B314,'[1]粘贴_服务费返还'!$O$4:$O$3003,"扣回"))</f>
      </c>
      <c r="I314" s="11">
        <f t="shared" si="1"/>
      </c>
      <c r="J314" s="6">
        <f t="shared" si="2"/>
      </c>
      <c r="K314" s="10">
        <f t="shared" si="3"/>
      </c>
      <c r="L314" s="17">
        <f>IF(A314&gt;$H$5,"",MATCH(A314,'[1]粘贴_账务明细'!$O$4:$O$3003,0))</f>
      </c>
    </row>
    <row r="315">
      <c r="A315" s="10" t="n">
        <v>287</v>
      </c>
      <c r="B315" s="6">
        <f>IF($L315="","",INDEX('[1]粘贴_账务明细'!$A$4:$A$3003,$L315))</f>
      </c>
      <c r="C315" s="16">
        <f>IF($L315="","",INDEX('[1]粘贴_账务明细'!$H$4:$H$3003,$L315))</f>
      </c>
      <c r="D315" s="11">
        <f>IF($L315="","",SUMIFS('[1]粘贴_账务明细'!$K$4:$K$3003,'[1]粘贴_账务明细'!$A$4:$A$3003,$B315,'[1]粘贴_账务明细'!$L$4:$L$3003,"订单收入")+SUMIFS('[1]粘贴_账务明细'!$K$4:$K$3003,'[1]粘贴_账务明细'!$A$4:$A$3003,$B315,'[1]粘贴_账务明细'!$L$4:$L$3003,"优惠券结算"))</f>
      </c>
      <c r="E315" s="11">
        <f t="shared" si="0"/>
      </c>
      <c r="F315" s="11">
        <f>IF($L315="","",-SUMIFS('[1]粘贴_账务明细'!$K$4:$K$3003,'[1]粘贴_账务明细'!$A$4:$A$3003,$B315,'[1]粘贴_账务明细'!$L$4:$L$3003,"百亿补贴技术服务费"))</f>
      </c>
      <c r="G315" s="11">
        <f>IF($L315="","",SUMIFS('[1]粘贴_服务费返还'!$M$4:$M$3003,'[1]粘贴_服务费返还'!$N$4:$N$3003,$B315,'[1]粘贴_服务费返还'!$O$4:$O$3003,"返还"))</f>
      </c>
      <c r="H315" s="11">
        <f>IF($L315="","",SUMIFS('[1]粘贴_服务费返还'!$M$4:$M$3003,'[1]粘贴_服务费返还'!$N$4:$N$3003,$B315,'[1]粘贴_服务费返还'!$O$4:$O$3003,"扣回"))</f>
      </c>
      <c r="I315" s="11">
        <f t="shared" si="1"/>
      </c>
      <c r="J315" s="6">
        <f t="shared" si="2"/>
      </c>
      <c r="K315" s="10">
        <f t="shared" si="3"/>
      </c>
      <c r="L315" s="17">
        <f>IF(A315&gt;$H$5,"",MATCH(A315,'[1]粘贴_账务明细'!$O$4:$O$3003,0))</f>
      </c>
    </row>
    <row r="316">
      <c r="A316" s="10" t="n">
        <v>288</v>
      </c>
      <c r="B316" s="6">
        <f>IF($L316="","",INDEX('[1]粘贴_账务明细'!$A$4:$A$3003,$L316))</f>
      </c>
      <c r="C316" s="16">
        <f>IF($L316="","",INDEX('[1]粘贴_账务明细'!$H$4:$H$3003,$L316))</f>
      </c>
      <c r="D316" s="11">
        <f>IF($L316="","",SUMIFS('[1]粘贴_账务明细'!$K$4:$K$3003,'[1]粘贴_账务明细'!$A$4:$A$3003,$B316,'[1]粘贴_账务明细'!$L$4:$L$3003,"订单收入")+SUMIFS('[1]粘贴_账务明细'!$K$4:$K$3003,'[1]粘贴_账务明细'!$A$4:$A$3003,$B316,'[1]粘贴_账务明细'!$L$4:$L$3003,"优惠券结算"))</f>
      </c>
      <c r="E316" s="11">
        <f t="shared" si="0"/>
      </c>
      <c r="F316" s="11">
        <f>IF($L316="","",-SUMIFS('[1]粘贴_账务明细'!$K$4:$K$3003,'[1]粘贴_账务明细'!$A$4:$A$3003,$B316,'[1]粘贴_账务明细'!$L$4:$L$3003,"百亿补贴技术服务费"))</f>
      </c>
      <c r="G316" s="11">
        <f>IF($L316="","",SUMIFS('[1]粘贴_服务费返还'!$M$4:$M$3003,'[1]粘贴_服务费返还'!$N$4:$N$3003,$B316,'[1]粘贴_服务费返还'!$O$4:$O$3003,"返还"))</f>
      </c>
      <c r="H316" s="11">
        <f>IF($L316="","",SUMIFS('[1]粘贴_服务费返还'!$M$4:$M$3003,'[1]粘贴_服务费返还'!$N$4:$N$3003,$B316,'[1]粘贴_服务费返还'!$O$4:$O$3003,"扣回"))</f>
      </c>
      <c r="I316" s="11">
        <f t="shared" si="1"/>
      </c>
      <c r="J316" s="6">
        <f t="shared" si="2"/>
      </c>
      <c r="K316" s="10">
        <f t="shared" si="3"/>
      </c>
      <c r="L316" s="17">
        <f>IF(A316&gt;$H$5,"",MATCH(A316,'[1]粘贴_账务明细'!$O$4:$O$3003,0))</f>
      </c>
    </row>
    <row r="317">
      <c r="A317" s="10" t="n">
        <v>289</v>
      </c>
      <c r="B317" s="6">
        <f>IF($L317="","",INDEX('[1]粘贴_账务明细'!$A$4:$A$3003,$L317))</f>
      </c>
      <c r="C317" s="16">
        <f>IF($L317="","",INDEX('[1]粘贴_账务明细'!$H$4:$H$3003,$L317))</f>
      </c>
      <c r="D317" s="11">
        <f>IF($L317="","",SUMIFS('[1]粘贴_账务明细'!$K$4:$K$3003,'[1]粘贴_账务明细'!$A$4:$A$3003,$B317,'[1]粘贴_账务明细'!$L$4:$L$3003,"订单收入")+SUMIFS('[1]粘贴_账务明细'!$K$4:$K$3003,'[1]粘贴_账务明细'!$A$4:$A$3003,$B317,'[1]粘贴_账务明细'!$L$4:$L$3003,"优惠券结算"))</f>
      </c>
      <c r="E317" s="11">
        <f t="shared" si="0"/>
      </c>
      <c r="F317" s="11">
        <f>IF($L317="","",-SUMIFS('[1]粘贴_账务明细'!$K$4:$K$3003,'[1]粘贴_账务明细'!$A$4:$A$3003,$B317,'[1]粘贴_账务明细'!$L$4:$L$3003,"百亿补贴技术服务费"))</f>
      </c>
      <c r="G317" s="11">
        <f>IF($L317="","",SUMIFS('[1]粘贴_服务费返还'!$M$4:$M$3003,'[1]粘贴_服务费返还'!$N$4:$N$3003,$B317,'[1]粘贴_服务费返还'!$O$4:$O$3003,"返还"))</f>
      </c>
      <c r="H317" s="11">
        <f>IF($L317="","",SUMIFS('[1]粘贴_服务费返还'!$M$4:$M$3003,'[1]粘贴_服务费返还'!$N$4:$N$3003,$B317,'[1]粘贴_服务费返还'!$O$4:$O$3003,"扣回"))</f>
      </c>
      <c r="I317" s="11">
        <f t="shared" si="1"/>
      </c>
      <c r="J317" s="6">
        <f t="shared" si="2"/>
      </c>
      <c r="K317" s="10">
        <f t="shared" si="3"/>
      </c>
      <c r="L317" s="17">
        <f>IF(A317&gt;$H$5,"",MATCH(A317,'[1]粘贴_账务明细'!$O$4:$O$3003,0))</f>
      </c>
    </row>
    <row r="318">
      <c r="A318" s="10" t="n">
        <v>290</v>
      </c>
      <c r="B318" s="6">
        <f>IF($L318="","",INDEX('[1]粘贴_账务明细'!$A$4:$A$3003,$L318))</f>
      </c>
      <c r="C318" s="16">
        <f>IF($L318="","",INDEX('[1]粘贴_账务明细'!$H$4:$H$3003,$L318))</f>
      </c>
      <c r="D318" s="11">
        <f>IF($L318="","",SUMIFS('[1]粘贴_账务明细'!$K$4:$K$3003,'[1]粘贴_账务明细'!$A$4:$A$3003,$B318,'[1]粘贴_账务明细'!$L$4:$L$3003,"订单收入")+SUMIFS('[1]粘贴_账务明细'!$K$4:$K$3003,'[1]粘贴_账务明细'!$A$4:$A$3003,$B318,'[1]粘贴_账务明细'!$L$4:$L$3003,"优惠券结算"))</f>
      </c>
      <c r="E318" s="11">
        <f t="shared" si="0"/>
      </c>
      <c r="F318" s="11">
        <f>IF($L318="","",-SUMIFS('[1]粘贴_账务明细'!$K$4:$K$3003,'[1]粘贴_账务明细'!$A$4:$A$3003,$B318,'[1]粘贴_账务明细'!$L$4:$L$3003,"百亿补贴技术服务费"))</f>
      </c>
      <c r="G318" s="11">
        <f>IF($L318="","",SUMIFS('[1]粘贴_服务费返还'!$M$4:$M$3003,'[1]粘贴_服务费返还'!$N$4:$N$3003,$B318,'[1]粘贴_服务费返还'!$O$4:$O$3003,"返还"))</f>
      </c>
      <c r="H318" s="11">
        <f>IF($L318="","",SUMIFS('[1]粘贴_服务费返还'!$M$4:$M$3003,'[1]粘贴_服务费返还'!$N$4:$N$3003,$B318,'[1]粘贴_服务费返还'!$O$4:$O$3003,"扣回"))</f>
      </c>
      <c r="I318" s="11">
        <f t="shared" si="1"/>
      </c>
      <c r="J318" s="6">
        <f t="shared" si="2"/>
      </c>
      <c r="K318" s="10">
        <f t="shared" si="3"/>
      </c>
      <c r="L318" s="17">
        <f>IF(A318&gt;$H$5,"",MATCH(A318,'[1]粘贴_账务明细'!$O$4:$O$3003,0))</f>
      </c>
    </row>
    <row r="319">
      <c r="A319" s="10" t="n">
        <v>291</v>
      </c>
      <c r="B319" s="6">
        <f>IF($L319="","",INDEX('[1]粘贴_账务明细'!$A$4:$A$3003,$L319))</f>
      </c>
      <c r="C319" s="16">
        <f>IF($L319="","",INDEX('[1]粘贴_账务明细'!$H$4:$H$3003,$L319))</f>
      </c>
      <c r="D319" s="11">
        <f>IF($L319="","",SUMIFS('[1]粘贴_账务明细'!$K$4:$K$3003,'[1]粘贴_账务明细'!$A$4:$A$3003,$B319,'[1]粘贴_账务明细'!$L$4:$L$3003,"订单收入")+SUMIFS('[1]粘贴_账务明细'!$K$4:$K$3003,'[1]粘贴_账务明细'!$A$4:$A$3003,$B319,'[1]粘贴_账务明细'!$L$4:$L$3003,"优惠券结算"))</f>
      </c>
      <c r="E319" s="11">
        <f t="shared" si="0"/>
      </c>
      <c r="F319" s="11">
        <f>IF($L319="","",-SUMIFS('[1]粘贴_账务明细'!$K$4:$K$3003,'[1]粘贴_账务明细'!$A$4:$A$3003,$B319,'[1]粘贴_账务明细'!$L$4:$L$3003,"百亿补贴技术服务费"))</f>
      </c>
      <c r="G319" s="11">
        <f>IF($L319="","",SUMIFS('[1]粘贴_服务费返还'!$M$4:$M$3003,'[1]粘贴_服务费返还'!$N$4:$N$3003,$B319,'[1]粘贴_服务费返还'!$O$4:$O$3003,"返还"))</f>
      </c>
      <c r="H319" s="11">
        <f>IF($L319="","",SUMIFS('[1]粘贴_服务费返还'!$M$4:$M$3003,'[1]粘贴_服务费返还'!$N$4:$N$3003,$B319,'[1]粘贴_服务费返还'!$O$4:$O$3003,"扣回"))</f>
      </c>
      <c r="I319" s="11">
        <f t="shared" si="1"/>
      </c>
      <c r="J319" s="6">
        <f t="shared" si="2"/>
      </c>
      <c r="K319" s="10">
        <f t="shared" si="3"/>
      </c>
      <c r="L319" s="17">
        <f>IF(A319&gt;$H$5,"",MATCH(A319,'[1]粘贴_账务明细'!$O$4:$O$3003,0))</f>
      </c>
    </row>
    <row r="320">
      <c r="A320" s="10" t="n">
        <v>292</v>
      </c>
      <c r="B320" s="6">
        <f>IF($L320="","",INDEX('[1]粘贴_账务明细'!$A$4:$A$3003,$L320))</f>
      </c>
      <c r="C320" s="16">
        <f>IF($L320="","",INDEX('[1]粘贴_账务明细'!$H$4:$H$3003,$L320))</f>
      </c>
      <c r="D320" s="11">
        <f>IF($L320="","",SUMIFS('[1]粘贴_账务明细'!$K$4:$K$3003,'[1]粘贴_账务明细'!$A$4:$A$3003,$B320,'[1]粘贴_账务明细'!$L$4:$L$3003,"订单收入")+SUMIFS('[1]粘贴_账务明细'!$K$4:$K$3003,'[1]粘贴_账务明细'!$A$4:$A$3003,$B320,'[1]粘贴_账务明细'!$L$4:$L$3003,"优惠券结算"))</f>
      </c>
      <c r="E320" s="11">
        <f t="shared" si="0"/>
      </c>
      <c r="F320" s="11">
        <f>IF($L320="","",-SUMIFS('[1]粘贴_账务明细'!$K$4:$K$3003,'[1]粘贴_账务明细'!$A$4:$A$3003,$B320,'[1]粘贴_账务明细'!$L$4:$L$3003,"百亿补贴技术服务费"))</f>
      </c>
      <c r="G320" s="11">
        <f>IF($L320="","",SUMIFS('[1]粘贴_服务费返还'!$M$4:$M$3003,'[1]粘贴_服务费返还'!$N$4:$N$3003,$B320,'[1]粘贴_服务费返还'!$O$4:$O$3003,"返还"))</f>
      </c>
      <c r="H320" s="11">
        <f>IF($L320="","",SUMIFS('[1]粘贴_服务费返还'!$M$4:$M$3003,'[1]粘贴_服务费返还'!$N$4:$N$3003,$B320,'[1]粘贴_服务费返还'!$O$4:$O$3003,"扣回"))</f>
      </c>
      <c r="I320" s="11">
        <f t="shared" si="1"/>
      </c>
      <c r="J320" s="6">
        <f t="shared" si="2"/>
      </c>
      <c r="K320" s="10">
        <f t="shared" si="3"/>
      </c>
      <c r="L320" s="17">
        <f>IF(A320&gt;$H$5,"",MATCH(A320,'[1]粘贴_账务明细'!$O$4:$O$3003,0))</f>
      </c>
    </row>
    <row r="321">
      <c r="A321" s="10" t="n">
        <v>293</v>
      </c>
      <c r="B321" s="6">
        <f>IF($L321="","",INDEX('[1]粘贴_账务明细'!$A$4:$A$3003,$L321))</f>
      </c>
      <c r="C321" s="16">
        <f>IF($L321="","",INDEX('[1]粘贴_账务明细'!$H$4:$H$3003,$L321))</f>
      </c>
      <c r="D321" s="11">
        <f>IF($L321="","",SUMIFS('[1]粘贴_账务明细'!$K$4:$K$3003,'[1]粘贴_账务明细'!$A$4:$A$3003,$B321,'[1]粘贴_账务明细'!$L$4:$L$3003,"订单收入")+SUMIFS('[1]粘贴_账务明细'!$K$4:$K$3003,'[1]粘贴_账务明细'!$A$4:$A$3003,$B321,'[1]粘贴_账务明细'!$L$4:$L$3003,"优惠券结算"))</f>
      </c>
      <c r="E321" s="11">
        <f t="shared" si="0"/>
      </c>
      <c r="F321" s="11">
        <f>IF($L321="","",-SUMIFS('[1]粘贴_账务明细'!$K$4:$K$3003,'[1]粘贴_账务明细'!$A$4:$A$3003,$B321,'[1]粘贴_账务明细'!$L$4:$L$3003,"百亿补贴技术服务费"))</f>
      </c>
      <c r="G321" s="11">
        <f>IF($L321="","",SUMIFS('[1]粘贴_服务费返还'!$M$4:$M$3003,'[1]粘贴_服务费返还'!$N$4:$N$3003,$B321,'[1]粘贴_服务费返还'!$O$4:$O$3003,"返还"))</f>
      </c>
      <c r="H321" s="11">
        <f>IF($L321="","",SUMIFS('[1]粘贴_服务费返还'!$M$4:$M$3003,'[1]粘贴_服务费返还'!$N$4:$N$3003,$B321,'[1]粘贴_服务费返还'!$O$4:$O$3003,"扣回"))</f>
      </c>
      <c r="I321" s="11">
        <f t="shared" si="1"/>
      </c>
      <c r="J321" s="6">
        <f t="shared" si="2"/>
      </c>
      <c r="K321" s="10">
        <f t="shared" si="3"/>
      </c>
      <c r="L321" s="17">
        <f>IF(A321&gt;$H$5,"",MATCH(A321,'[1]粘贴_账务明细'!$O$4:$O$3003,0))</f>
      </c>
    </row>
    <row r="322">
      <c r="A322" s="10" t="n">
        <v>294</v>
      </c>
      <c r="B322" s="6">
        <f>IF($L322="","",INDEX('[1]粘贴_账务明细'!$A$4:$A$3003,$L322))</f>
      </c>
      <c r="C322" s="16">
        <f>IF($L322="","",INDEX('[1]粘贴_账务明细'!$H$4:$H$3003,$L322))</f>
      </c>
      <c r="D322" s="11">
        <f>IF($L322="","",SUMIFS('[1]粘贴_账务明细'!$K$4:$K$3003,'[1]粘贴_账务明细'!$A$4:$A$3003,$B322,'[1]粘贴_账务明细'!$L$4:$L$3003,"订单收入")+SUMIFS('[1]粘贴_账务明细'!$K$4:$K$3003,'[1]粘贴_账务明细'!$A$4:$A$3003,$B322,'[1]粘贴_账务明细'!$L$4:$L$3003,"优惠券结算"))</f>
      </c>
      <c r="E322" s="11">
        <f t="shared" si="0"/>
      </c>
      <c r="F322" s="11">
        <f>IF($L322="","",-SUMIFS('[1]粘贴_账务明细'!$K$4:$K$3003,'[1]粘贴_账务明细'!$A$4:$A$3003,$B322,'[1]粘贴_账务明细'!$L$4:$L$3003,"百亿补贴技术服务费"))</f>
      </c>
      <c r="G322" s="11">
        <f>IF($L322="","",SUMIFS('[1]粘贴_服务费返还'!$M$4:$M$3003,'[1]粘贴_服务费返还'!$N$4:$N$3003,$B322,'[1]粘贴_服务费返还'!$O$4:$O$3003,"返还"))</f>
      </c>
      <c r="H322" s="11">
        <f>IF($L322="","",SUMIFS('[1]粘贴_服务费返还'!$M$4:$M$3003,'[1]粘贴_服务费返还'!$N$4:$N$3003,$B322,'[1]粘贴_服务费返还'!$O$4:$O$3003,"扣回"))</f>
      </c>
      <c r="I322" s="11">
        <f t="shared" si="1"/>
      </c>
      <c r="J322" s="6">
        <f t="shared" si="2"/>
      </c>
      <c r="K322" s="10">
        <f t="shared" si="3"/>
      </c>
      <c r="L322" s="17">
        <f>IF(A322&gt;$H$5,"",MATCH(A322,'[1]粘贴_账务明细'!$O$4:$O$3003,0))</f>
      </c>
    </row>
    <row r="323">
      <c r="A323" s="10" t="n">
        <v>295</v>
      </c>
      <c r="B323" s="6">
        <f>IF($L323="","",INDEX('[1]粘贴_账务明细'!$A$4:$A$3003,$L323))</f>
      </c>
      <c r="C323" s="16">
        <f>IF($L323="","",INDEX('[1]粘贴_账务明细'!$H$4:$H$3003,$L323))</f>
      </c>
      <c r="D323" s="11">
        <f>IF($L323="","",SUMIFS('[1]粘贴_账务明细'!$K$4:$K$3003,'[1]粘贴_账务明细'!$A$4:$A$3003,$B323,'[1]粘贴_账务明细'!$L$4:$L$3003,"订单收入")+SUMIFS('[1]粘贴_账务明细'!$K$4:$K$3003,'[1]粘贴_账务明细'!$A$4:$A$3003,$B323,'[1]粘贴_账务明细'!$L$4:$L$3003,"优惠券结算"))</f>
      </c>
      <c r="E323" s="11">
        <f t="shared" si="0"/>
      </c>
      <c r="F323" s="11">
        <f>IF($L323="","",-SUMIFS('[1]粘贴_账务明细'!$K$4:$K$3003,'[1]粘贴_账务明细'!$A$4:$A$3003,$B323,'[1]粘贴_账务明细'!$L$4:$L$3003,"百亿补贴技术服务费"))</f>
      </c>
      <c r="G323" s="11">
        <f>IF($L323="","",SUMIFS('[1]粘贴_服务费返还'!$M$4:$M$3003,'[1]粘贴_服务费返还'!$N$4:$N$3003,$B323,'[1]粘贴_服务费返还'!$O$4:$O$3003,"返还"))</f>
      </c>
      <c r="H323" s="11">
        <f>IF($L323="","",SUMIFS('[1]粘贴_服务费返还'!$M$4:$M$3003,'[1]粘贴_服务费返还'!$N$4:$N$3003,$B323,'[1]粘贴_服务费返还'!$O$4:$O$3003,"扣回"))</f>
      </c>
      <c r="I323" s="11">
        <f t="shared" si="1"/>
      </c>
      <c r="J323" s="6">
        <f t="shared" si="2"/>
      </c>
      <c r="K323" s="10">
        <f t="shared" si="3"/>
      </c>
      <c r="L323" s="17">
        <f>IF(A323&gt;$H$5,"",MATCH(A323,'[1]粘贴_账务明细'!$O$4:$O$3003,0))</f>
      </c>
    </row>
    <row r="324">
      <c r="A324" s="10" t="n">
        <v>296</v>
      </c>
      <c r="B324" s="6">
        <f>IF($L324="","",INDEX('[1]粘贴_账务明细'!$A$4:$A$3003,$L324))</f>
      </c>
      <c r="C324" s="16">
        <f>IF($L324="","",INDEX('[1]粘贴_账务明细'!$H$4:$H$3003,$L324))</f>
      </c>
      <c r="D324" s="11">
        <f>IF($L324="","",SUMIFS('[1]粘贴_账务明细'!$K$4:$K$3003,'[1]粘贴_账务明细'!$A$4:$A$3003,$B324,'[1]粘贴_账务明细'!$L$4:$L$3003,"订单收入")+SUMIFS('[1]粘贴_账务明细'!$K$4:$K$3003,'[1]粘贴_账务明细'!$A$4:$A$3003,$B324,'[1]粘贴_账务明细'!$L$4:$L$3003,"优惠券结算"))</f>
      </c>
      <c r="E324" s="11">
        <f t="shared" si="0"/>
      </c>
      <c r="F324" s="11">
        <f>IF($L324="","",-SUMIFS('[1]粘贴_账务明细'!$K$4:$K$3003,'[1]粘贴_账务明细'!$A$4:$A$3003,$B324,'[1]粘贴_账务明细'!$L$4:$L$3003,"百亿补贴技术服务费"))</f>
      </c>
      <c r="G324" s="11">
        <f>IF($L324="","",SUMIFS('[1]粘贴_服务费返还'!$M$4:$M$3003,'[1]粘贴_服务费返还'!$N$4:$N$3003,$B324,'[1]粘贴_服务费返还'!$O$4:$O$3003,"返还"))</f>
      </c>
      <c r="H324" s="11">
        <f>IF($L324="","",SUMIFS('[1]粘贴_服务费返还'!$M$4:$M$3003,'[1]粘贴_服务费返还'!$N$4:$N$3003,$B324,'[1]粘贴_服务费返还'!$O$4:$O$3003,"扣回"))</f>
      </c>
      <c r="I324" s="11">
        <f t="shared" si="1"/>
      </c>
      <c r="J324" s="6">
        <f t="shared" si="2"/>
      </c>
      <c r="K324" s="10">
        <f t="shared" si="3"/>
      </c>
      <c r="L324" s="17">
        <f>IF(A324&gt;$H$5,"",MATCH(A324,'[1]粘贴_账务明细'!$O$4:$O$3003,0))</f>
      </c>
    </row>
    <row r="325">
      <c r="A325" s="10" t="n">
        <v>297</v>
      </c>
      <c r="B325" s="6">
        <f>IF($L325="","",INDEX('[1]粘贴_账务明细'!$A$4:$A$3003,$L325))</f>
      </c>
      <c r="C325" s="16">
        <f>IF($L325="","",INDEX('[1]粘贴_账务明细'!$H$4:$H$3003,$L325))</f>
      </c>
      <c r="D325" s="11">
        <f>IF($L325="","",SUMIFS('[1]粘贴_账务明细'!$K$4:$K$3003,'[1]粘贴_账务明细'!$A$4:$A$3003,$B325,'[1]粘贴_账务明细'!$L$4:$L$3003,"订单收入")+SUMIFS('[1]粘贴_账务明细'!$K$4:$K$3003,'[1]粘贴_账务明细'!$A$4:$A$3003,$B325,'[1]粘贴_账务明细'!$L$4:$L$3003,"优惠券结算"))</f>
      </c>
      <c r="E325" s="11">
        <f t="shared" si="0"/>
      </c>
      <c r="F325" s="11">
        <f>IF($L325="","",-SUMIFS('[1]粘贴_账务明细'!$K$4:$K$3003,'[1]粘贴_账务明细'!$A$4:$A$3003,$B325,'[1]粘贴_账务明细'!$L$4:$L$3003,"百亿补贴技术服务费"))</f>
      </c>
      <c r="G325" s="11">
        <f>IF($L325="","",SUMIFS('[1]粘贴_服务费返还'!$M$4:$M$3003,'[1]粘贴_服务费返还'!$N$4:$N$3003,$B325,'[1]粘贴_服务费返还'!$O$4:$O$3003,"返还"))</f>
      </c>
      <c r="H325" s="11">
        <f>IF($L325="","",SUMIFS('[1]粘贴_服务费返还'!$M$4:$M$3003,'[1]粘贴_服务费返还'!$N$4:$N$3003,$B325,'[1]粘贴_服务费返还'!$O$4:$O$3003,"扣回"))</f>
      </c>
      <c r="I325" s="11">
        <f t="shared" si="1"/>
      </c>
      <c r="J325" s="6">
        <f t="shared" si="2"/>
      </c>
      <c r="K325" s="10">
        <f t="shared" si="3"/>
      </c>
      <c r="L325" s="17">
        <f>IF(A325&gt;$H$5,"",MATCH(A325,'[1]粘贴_账务明细'!$O$4:$O$3003,0))</f>
      </c>
    </row>
    <row r="326">
      <c r="A326" s="10" t="n">
        <v>298</v>
      </c>
      <c r="B326" s="6">
        <f>IF($L326="","",INDEX('[1]粘贴_账务明细'!$A$4:$A$3003,$L326))</f>
      </c>
      <c r="C326" s="16">
        <f>IF($L326="","",INDEX('[1]粘贴_账务明细'!$H$4:$H$3003,$L326))</f>
      </c>
      <c r="D326" s="11">
        <f>IF($L326="","",SUMIFS('[1]粘贴_账务明细'!$K$4:$K$3003,'[1]粘贴_账务明细'!$A$4:$A$3003,$B326,'[1]粘贴_账务明细'!$L$4:$L$3003,"订单收入")+SUMIFS('[1]粘贴_账务明细'!$K$4:$K$3003,'[1]粘贴_账务明细'!$A$4:$A$3003,$B326,'[1]粘贴_账务明细'!$L$4:$L$3003,"优惠券结算"))</f>
      </c>
      <c r="E326" s="11">
        <f t="shared" si="0"/>
      </c>
      <c r="F326" s="11">
        <f>IF($L326="","",-SUMIFS('[1]粘贴_账务明细'!$K$4:$K$3003,'[1]粘贴_账务明细'!$A$4:$A$3003,$B326,'[1]粘贴_账务明细'!$L$4:$L$3003,"百亿补贴技术服务费"))</f>
      </c>
      <c r="G326" s="11">
        <f>IF($L326="","",SUMIFS('[1]粘贴_服务费返还'!$M$4:$M$3003,'[1]粘贴_服务费返还'!$N$4:$N$3003,$B326,'[1]粘贴_服务费返还'!$O$4:$O$3003,"返还"))</f>
      </c>
      <c r="H326" s="11">
        <f>IF($L326="","",SUMIFS('[1]粘贴_服务费返还'!$M$4:$M$3003,'[1]粘贴_服务费返还'!$N$4:$N$3003,$B326,'[1]粘贴_服务费返还'!$O$4:$O$3003,"扣回"))</f>
      </c>
      <c r="I326" s="11">
        <f t="shared" si="1"/>
      </c>
      <c r="J326" s="6">
        <f t="shared" si="2"/>
      </c>
      <c r="K326" s="10">
        <f t="shared" si="3"/>
      </c>
      <c r="L326" s="17">
        <f>IF(A326&gt;$H$5,"",MATCH(A326,'[1]粘贴_账务明细'!$O$4:$O$3003,0))</f>
      </c>
    </row>
    <row r="327">
      <c r="A327" s="10" t="n">
        <v>299</v>
      </c>
      <c r="B327" s="6">
        <f>IF($L327="","",INDEX('[1]粘贴_账务明细'!$A$4:$A$3003,$L327))</f>
      </c>
      <c r="C327" s="16">
        <f>IF($L327="","",INDEX('[1]粘贴_账务明细'!$H$4:$H$3003,$L327))</f>
      </c>
      <c r="D327" s="11">
        <f>IF($L327="","",SUMIFS('[1]粘贴_账务明细'!$K$4:$K$3003,'[1]粘贴_账务明细'!$A$4:$A$3003,$B327,'[1]粘贴_账务明细'!$L$4:$L$3003,"订单收入")+SUMIFS('[1]粘贴_账务明细'!$K$4:$K$3003,'[1]粘贴_账务明细'!$A$4:$A$3003,$B327,'[1]粘贴_账务明细'!$L$4:$L$3003,"优惠券结算"))</f>
      </c>
      <c r="E327" s="11">
        <f t="shared" si="0"/>
      </c>
      <c r="F327" s="11">
        <f>IF($L327="","",-SUMIFS('[1]粘贴_账务明细'!$K$4:$K$3003,'[1]粘贴_账务明细'!$A$4:$A$3003,$B327,'[1]粘贴_账务明细'!$L$4:$L$3003,"百亿补贴技术服务费"))</f>
      </c>
      <c r="G327" s="11">
        <f>IF($L327="","",SUMIFS('[1]粘贴_服务费返还'!$M$4:$M$3003,'[1]粘贴_服务费返还'!$N$4:$N$3003,$B327,'[1]粘贴_服务费返还'!$O$4:$O$3003,"返还"))</f>
      </c>
      <c r="H327" s="11">
        <f>IF($L327="","",SUMIFS('[1]粘贴_服务费返还'!$M$4:$M$3003,'[1]粘贴_服务费返还'!$N$4:$N$3003,$B327,'[1]粘贴_服务费返还'!$O$4:$O$3003,"扣回"))</f>
      </c>
      <c r="I327" s="11">
        <f t="shared" si="1"/>
      </c>
      <c r="J327" s="6">
        <f t="shared" si="2"/>
      </c>
      <c r="K327" s="10">
        <f t="shared" si="3"/>
      </c>
      <c r="L327" s="17">
        <f>IF(A327&gt;$H$5,"",MATCH(A327,'[1]粘贴_账务明细'!$O$4:$O$3003,0))</f>
      </c>
    </row>
    <row r="328">
      <c r="A328" s="10" t="n">
        <v>300</v>
      </c>
      <c r="B328" s="6">
        <f>IF($L328="","",INDEX('[1]粘贴_账务明细'!$A$4:$A$3003,$L328))</f>
      </c>
      <c r="C328" s="16">
        <f>IF($L328="","",INDEX('[1]粘贴_账务明细'!$H$4:$H$3003,$L328))</f>
      </c>
      <c r="D328" s="11">
        <f>IF($L328="","",SUMIFS('[1]粘贴_账务明细'!$K$4:$K$3003,'[1]粘贴_账务明细'!$A$4:$A$3003,$B328,'[1]粘贴_账务明细'!$L$4:$L$3003,"订单收入")+SUMIFS('[1]粘贴_账务明细'!$K$4:$K$3003,'[1]粘贴_账务明细'!$A$4:$A$3003,$B328,'[1]粘贴_账务明细'!$L$4:$L$3003,"优惠券结算"))</f>
      </c>
      <c r="E328" s="11">
        <f t="shared" si="0"/>
      </c>
      <c r="F328" s="11">
        <f>IF($L328="","",-SUMIFS('[1]粘贴_账务明细'!$K$4:$K$3003,'[1]粘贴_账务明细'!$A$4:$A$3003,$B328,'[1]粘贴_账务明细'!$L$4:$L$3003,"百亿补贴技术服务费"))</f>
      </c>
      <c r="G328" s="11">
        <f>IF($L328="","",SUMIFS('[1]粘贴_服务费返还'!$M$4:$M$3003,'[1]粘贴_服务费返还'!$N$4:$N$3003,$B328,'[1]粘贴_服务费返还'!$O$4:$O$3003,"返还"))</f>
      </c>
      <c r="H328" s="11">
        <f>IF($L328="","",SUMIFS('[1]粘贴_服务费返还'!$M$4:$M$3003,'[1]粘贴_服务费返还'!$N$4:$N$3003,$B328,'[1]粘贴_服务费返还'!$O$4:$O$3003,"扣回"))</f>
      </c>
      <c r="I328" s="11">
        <f t="shared" si="1"/>
      </c>
      <c r="J328" s="6">
        <f t="shared" si="2"/>
      </c>
      <c r="K328" s="10">
        <f t="shared" si="3"/>
      </c>
      <c r="L328" s="17">
        <f>IF(A328&gt;$H$5,"",MATCH(A328,'[1]粘贴_账务明细'!$O$4:$O$3003,0))</f>
      </c>
    </row>
    <row r="329">
      <c r="A329" s="10" t="n">
        <v>301</v>
      </c>
      <c r="B329" s="6">
        <f>IF($L329="","",INDEX('[1]粘贴_账务明细'!$A$4:$A$3003,$L329))</f>
      </c>
      <c r="C329" s="16">
        <f>IF($L329="","",INDEX('[1]粘贴_账务明细'!$H$4:$H$3003,$L329))</f>
      </c>
      <c r="D329" s="11">
        <f>IF($L329="","",SUMIFS('[1]粘贴_账务明细'!$K$4:$K$3003,'[1]粘贴_账务明细'!$A$4:$A$3003,$B329,'[1]粘贴_账务明细'!$L$4:$L$3003,"订单收入")+SUMIFS('[1]粘贴_账务明细'!$K$4:$K$3003,'[1]粘贴_账务明细'!$A$4:$A$3003,$B329,'[1]粘贴_账务明细'!$L$4:$L$3003,"优惠券结算"))</f>
      </c>
      <c r="E329" s="11">
        <f t="shared" si="0"/>
      </c>
      <c r="F329" s="11">
        <f>IF($L329="","",-SUMIFS('[1]粘贴_账务明细'!$K$4:$K$3003,'[1]粘贴_账务明细'!$A$4:$A$3003,$B329,'[1]粘贴_账务明细'!$L$4:$L$3003,"百亿补贴技术服务费"))</f>
      </c>
      <c r="G329" s="11">
        <f>IF($L329="","",SUMIFS('[1]粘贴_服务费返还'!$M$4:$M$3003,'[1]粘贴_服务费返还'!$N$4:$N$3003,$B329,'[1]粘贴_服务费返还'!$O$4:$O$3003,"返还"))</f>
      </c>
      <c r="H329" s="11">
        <f>IF($L329="","",SUMIFS('[1]粘贴_服务费返还'!$M$4:$M$3003,'[1]粘贴_服务费返还'!$N$4:$N$3003,$B329,'[1]粘贴_服务费返还'!$O$4:$O$3003,"扣回"))</f>
      </c>
      <c r="I329" s="11">
        <f t="shared" si="1"/>
      </c>
      <c r="J329" s="6">
        <f t="shared" si="2"/>
      </c>
      <c r="K329" s="10">
        <f t="shared" si="3"/>
      </c>
      <c r="L329" s="17">
        <f>IF(A329&gt;$H$5,"",MATCH(A329,'[1]粘贴_账务明细'!$O$4:$O$3003,0))</f>
      </c>
    </row>
    <row r="330">
      <c r="A330" s="10" t="n">
        <v>302</v>
      </c>
      <c r="B330" s="6">
        <f>IF($L330="","",INDEX('[1]粘贴_账务明细'!$A$4:$A$3003,$L330))</f>
      </c>
      <c r="C330" s="16">
        <f>IF($L330="","",INDEX('[1]粘贴_账务明细'!$H$4:$H$3003,$L330))</f>
      </c>
      <c r="D330" s="11">
        <f>IF($L330="","",SUMIFS('[1]粘贴_账务明细'!$K$4:$K$3003,'[1]粘贴_账务明细'!$A$4:$A$3003,$B330,'[1]粘贴_账务明细'!$L$4:$L$3003,"订单收入")+SUMIFS('[1]粘贴_账务明细'!$K$4:$K$3003,'[1]粘贴_账务明细'!$A$4:$A$3003,$B330,'[1]粘贴_账务明细'!$L$4:$L$3003,"优惠券结算"))</f>
      </c>
      <c r="E330" s="11">
        <f t="shared" si="0"/>
      </c>
      <c r="F330" s="11">
        <f>IF($L330="","",-SUMIFS('[1]粘贴_账务明细'!$K$4:$K$3003,'[1]粘贴_账务明细'!$A$4:$A$3003,$B330,'[1]粘贴_账务明细'!$L$4:$L$3003,"百亿补贴技术服务费"))</f>
      </c>
      <c r="G330" s="11">
        <f>IF($L330="","",SUMIFS('[1]粘贴_服务费返还'!$M$4:$M$3003,'[1]粘贴_服务费返还'!$N$4:$N$3003,$B330,'[1]粘贴_服务费返还'!$O$4:$O$3003,"返还"))</f>
      </c>
      <c r="H330" s="11">
        <f>IF($L330="","",SUMIFS('[1]粘贴_服务费返还'!$M$4:$M$3003,'[1]粘贴_服务费返还'!$N$4:$N$3003,$B330,'[1]粘贴_服务费返还'!$O$4:$O$3003,"扣回"))</f>
      </c>
      <c r="I330" s="11">
        <f t="shared" si="1"/>
      </c>
      <c r="J330" s="6">
        <f t="shared" si="2"/>
      </c>
      <c r="K330" s="10">
        <f t="shared" si="3"/>
      </c>
      <c r="L330" s="17">
        <f>IF(A330&gt;$H$5,"",MATCH(A330,'[1]粘贴_账务明细'!$O$4:$O$3003,0))</f>
      </c>
    </row>
    <row r="331">
      <c r="A331" s="10" t="n">
        <v>303</v>
      </c>
      <c r="B331" s="6">
        <f>IF($L331="","",INDEX('[1]粘贴_账务明细'!$A$4:$A$3003,$L331))</f>
      </c>
      <c r="C331" s="16">
        <f>IF($L331="","",INDEX('[1]粘贴_账务明细'!$H$4:$H$3003,$L331))</f>
      </c>
      <c r="D331" s="11">
        <f>IF($L331="","",SUMIFS('[1]粘贴_账务明细'!$K$4:$K$3003,'[1]粘贴_账务明细'!$A$4:$A$3003,$B331,'[1]粘贴_账务明细'!$L$4:$L$3003,"订单收入")+SUMIFS('[1]粘贴_账务明细'!$K$4:$K$3003,'[1]粘贴_账务明细'!$A$4:$A$3003,$B331,'[1]粘贴_账务明细'!$L$4:$L$3003,"优惠券结算"))</f>
      </c>
      <c r="E331" s="11">
        <f t="shared" si="0"/>
      </c>
      <c r="F331" s="11">
        <f>IF($L331="","",-SUMIFS('[1]粘贴_账务明细'!$K$4:$K$3003,'[1]粘贴_账务明细'!$A$4:$A$3003,$B331,'[1]粘贴_账务明细'!$L$4:$L$3003,"百亿补贴技术服务费"))</f>
      </c>
      <c r="G331" s="11">
        <f>IF($L331="","",SUMIFS('[1]粘贴_服务费返还'!$M$4:$M$3003,'[1]粘贴_服务费返还'!$N$4:$N$3003,$B331,'[1]粘贴_服务费返还'!$O$4:$O$3003,"返还"))</f>
      </c>
      <c r="H331" s="11">
        <f>IF($L331="","",SUMIFS('[1]粘贴_服务费返还'!$M$4:$M$3003,'[1]粘贴_服务费返还'!$N$4:$N$3003,$B331,'[1]粘贴_服务费返还'!$O$4:$O$3003,"扣回"))</f>
      </c>
      <c r="I331" s="11">
        <f t="shared" si="1"/>
      </c>
      <c r="J331" s="6">
        <f t="shared" si="2"/>
      </c>
      <c r="K331" s="10">
        <f t="shared" si="3"/>
      </c>
      <c r="L331" s="17">
        <f>IF(A331&gt;$H$5,"",MATCH(A331,'[1]粘贴_账务明细'!$O$4:$O$3003,0))</f>
      </c>
    </row>
    <row r="332">
      <c r="A332" s="10" t="n">
        <v>304</v>
      </c>
      <c r="B332" s="6">
        <f>IF($L332="","",INDEX('[1]粘贴_账务明细'!$A$4:$A$3003,$L332))</f>
      </c>
      <c r="C332" s="16">
        <f>IF($L332="","",INDEX('[1]粘贴_账务明细'!$H$4:$H$3003,$L332))</f>
      </c>
      <c r="D332" s="11">
        <f>IF($L332="","",SUMIFS('[1]粘贴_账务明细'!$K$4:$K$3003,'[1]粘贴_账务明细'!$A$4:$A$3003,$B332,'[1]粘贴_账务明细'!$L$4:$L$3003,"订单收入")+SUMIFS('[1]粘贴_账务明细'!$K$4:$K$3003,'[1]粘贴_账务明细'!$A$4:$A$3003,$B332,'[1]粘贴_账务明细'!$L$4:$L$3003,"优惠券结算"))</f>
      </c>
      <c r="E332" s="11">
        <f t="shared" si="0"/>
      </c>
      <c r="F332" s="11">
        <f>IF($L332="","",-SUMIFS('[1]粘贴_账务明细'!$K$4:$K$3003,'[1]粘贴_账务明细'!$A$4:$A$3003,$B332,'[1]粘贴_账务明细'!$L$4:$L$3003,"百亿补贴技术服务费"))</f>
      </c>
      <c r="G332" s="11">
        <f>IF($L332="","",SUMIFS('[1]粘贴_服务费返还'!$M$4:$M$3003,'[1]粘贴_服务费返还'!$N$4:$N$3003,$B332,'[1]粘贴_服务费返还'!$O$4:$O$3003,"返还"))</f>
      </c>
      <c r="H332" s="11">
        <f>IF($L332="","",SUMIFS('[1]粘贴_服务费返还'!$M$4:$M$3003,'[1]粘贴_服务费返还'!$N$4:$N$3003,$B332,'[1]粘贴_服务费返还'!$O$4:$O$3003,"扣回"))</f>
      </c>
      <c r="I332" s="11">
        <f t="shared" si="1"/>
      </c>
      <c r="J332" s="6">
        <f t="shared" si="2"/>
      </c>
      <c r="K332" s="10">
        <f t="shared" si="3"/>
      </c>
      <c r="L332" s="17">
        <f>IF(A332&gt;$H$5,"",MATCH(A332,'[1]粘贴_账务明细'!$O$4:$O$3003,0))</f>
      </c>
    </row>
    <row r="333">
      <c r="A333" s="10" t="n">
        <v>305</v>
      </c>
      <c r="B333" s="6">
        <f>IF($L333="","",INDEX('[1]粘贴_账务明细'!$A$4:$A$3003,$L333))</f>
      </c>
      <c r="C333" s="16">
        <f>IF($L333="","",INDEX('[1]粘贴_账务明细'!$H$4:$H$3003,$L333))</f>
      </c>
      <c r="D333" s="11">
        <f>IF($L333="","",SUMIFS('[1]粘贴_账务明细'!$K$4:$K$3003,'[1]粘贴_账务明细'!$A$4:$A$3003,$B333,'[1]粘贴_账务明细'!$L$4:$L$3003,"订单收入")+SUMIFS('[1]粘贴_账务明细'!$K$4:$K$3003,'[1]粘贴_账务明细'!$A$4:$A$3003,$B333,'[1]粘贴_账务明细'!$L$4:$L$3003,"优惠券结算"))</f>
      </c>
      <c r="E333" s="11">
        <f t="shared" si="0"/>
      </c>
      <c r="F333" s="11">
        <f>IF($L333="","",-SUMIFS('[1]粘贴_账务明细'!$K$4:$K$3003,'[1]粘贴_账务明细'!$A$4:$A$3003,$B333,'[1]粘贴_账务明细'!$L$4:$L$3003,"百亿补贴技术服务费"))</f>
      </c>
      <c r="G333" s="11">
        <f>IF($L333="","",SUMIFS('[1]粘贴_服务费返还'!$M$4:$M$3003,'[1]粘贴_服务费返还'!$N$4:$N$3003,$B333,'[1]粘贴_服务费返还'!$O$4:$O$3003,"返还"))</f>
      </c>
      <c r="H333" s="11">
        <f>IF($L333="","",SUMIFS('[1]粘贴_服务费返还'!$M$4:$M$3003,'[1]粘贴_服务费返还'!$N$4:$N$3003,$B333,'[1]粘贴_服务费返还'!$O$4:$O$3003,"扣回"))</f>
      </c>
      <c r="I333" s="11">
        <f t="shared" si="1"/>
      </c>
      <c r="J333" s="6">
        <f t="shared" si="2"/>
      </c>
      <c r="K333" s="10">
        <f t="shared" si="3"/>
      </c>
      <c r="L333" s="17">
        <f>IF(A333&gt;$H$5,"",MATCH(A333,'[1]粘贴_账务明细'!$O$4:$O$3003,0))</f>
      </c>
    </row>
    <row r="334">
      <c r="A334" s="10" t="n">
        <v>306</v>
      </c>
      <c r="B334" s="6">
        <f>IF($L334="","",INDEX('[1]粘贴_账务明细'!$A$4:$A$3003,$L334))</f>
      </c>
      <c r="C334" s="16">
        <f>IF($L334="","",INDEX('[1]粘贴_账务明细'!$H$4:$H$3003,$L334))</f>
      </c>
      <c r="D334" s="11">
        <f>IF($L334="","",SUMIFS('[1]粘贴_账务明细'!$K$4:$K$3003,'[1]粘贴_账务明细'!$A$4:$A$3003,$B334,'[1]粘贴_账务明细'!$L$4:$L$3003,"订单收入")+SUMIFS('[1]粘贴_账务明细'!$K$4:$K$3003,'[1]粘贴_账务明细'!$A$4:$A$3003,$B334,'[1]粘贴_账务明细'!$L$4:$L$3003,"优惠券结算"))</f>
      </c>
      <c r="E334" s="11">
        <f t="shared" si="0"/>
      </c>
      <c r="F334" s="11">
        <f>IF($L334="","",-SUMIFS('[1]粘贴_账务明细'!$K$4:$K$3003,'[1]粘贴_账务明细'!$A$4:$A$3003,$B334,'[1]粘贴_账务明细'!$L$4:$L$3003,"百亿补贴技术服务费"))</f>
      </c>
      <c r="G334" s="11">
        <f>IF($L334="","",SUMIFS('[1]粘贴_服务费返还'!$M$4:$M$3003,'[1]粘贴_服务费返还'!$N$4:$N$3003,$B334,'[1]粘贴_服务费返还'!$O$4:$O$3003,"返还"))</f>
      </c>
      <c r="H334" s="11">
        <f>IF($L334="","",SUMIFS('[1]粘贴_服务费返还'!$M$4:$M$3003,'[1]粘贴_服务费返还'!$N$4:$N$3003,$B334,'[1]粘贴_服务费返还'!$O$4:$O$3003,"扣回"))</f>
      </c>
      <c r="I334" s="11">
        <f t="shared" si="1"/>
      </c>
      <c r="J334" s="6">
        <f t="shared" si="2"/>
      </c>
      <c r="K334" s="10">
        <f t="shared" si="3"/>
      </c>
      <c r="L334" s="17">
        <f>IF(A334&gt;$H$5,"",MATCH(A334,'[1]粘贴_账务明细'!$O$4:$O$3003,0))</f>
      </c>
    </row>
    <row r="335">
      <c r="A335" s="10" t="n">
        <v>307</v>
      </c>
      <c r="B335" s="6">
        <f>IF($L335="","",INDEX('[1]粘贴_账务明细'!$A$4:$A$3003,$L335))</f>
      </c>
      <c r="C335" s="16">
        <f>IF($L335="","",INDEX('[1]粘贴_账务明细'!$H$4:$H$3003,$L335))</f>
      </c>
      <c r="D335" s="11">
        <f>IF($L335="","",SUMIFS('[1]粘贴_账务明细'!$K$4:$K$3003,'[1]粘贴_账务明细'!$A$4:$A$3003,$B335,'[1]粘贴_账务明细'!$L$4:$L$3003,"订单收入")+SUMIFS('[1]粘贴_账务明细'!$K$4:$K$3003,'[1]粘贴_账务明细'!$A$4:$A$3003,$B335,'[1]粘贴_账务明细'!$L$4:$L$3003,"优惠券结算"))</f>
      </c>
      <c r="E335" s="11">
        <f t="shared" si="0"/>
      </c>
      <c r="F335" s="11">
        <f>IF($L335="","",-SUMIFS('[1]粘贴_账务明细'!$K$4:$K$3003,'[1]粘贴_账务明细'!$A$4:$A$3003,$B335,'[1]粘贴_账务明细'!$L$4:$L$3003,"百亿补贴技术服务费"))</f>
      </c>
      <c r="G335" s="11">
        <f>IF($L335="","",SUMIFS('[1]粘贴_服务费返还'!$M$4:$M$3003,'[1]粘贴_服务费返还'!$N$4:$N$3003,$B335,'[1]粘贴_服务费返还'!$O$4:$O$3003,"返还"))</f>
      </c>
      <c r="H335" s="11">
        <f>IF($L335="","",SUMIFS('[1]粘贴_服务费返还'!$M$4:$M$3003,'[1]粘贴_服务费返还'!$N$4:$N$3003,$B335,'[1]粘贴_服务费返还'!$O$4:$O$3003,"扣回"))</f>
      </c>
      <c r="I335" s="11">
        <f t="shared" si="1"/>
      </c>
      <c r="J335" s="6">
        <f t="shared" si="2"/>
      </c>
      <c r="K335" s="10">
        <f t="shared" si="3"/>
      </c>
      <c r="L335" s="17">
        <f>IF(A335&gt;$H$5,"",MATCH(A335,'[1]粘贴_账务明细'!$O$4:$O$3003,0))</f>
      </c>
    </row>
    <row r="336">
      <c r="A336" s="10" t="n">
        <v>308</v>
      </c>
      <c r="B336" s="6">
        <f>IF($L336="","",INDEX('[1]粘贴_账务明细'!$A$4:$A$3003,$L336))</f>
      </c>
      <c r="C336" s="16">
        <f>IF($L336="","",INDEX('[1]粘贴_账务明细'!$H$4:$H$3003,$L336))</f>
      </c>
      <c r="D336" s="11">
        <f>IF($L336="","",SUMIFS('[1]粘贴_账务明细'!$K$4:$K$3003,'[1]粘贴_账务明细'!$A$4:$A$3003,$B336,'[1]粘贴_账务明细'!$L$4:$L$3003,"订单收入")+SUMIFS('[1]粘贴_账务明细'!$K$4:$K$3003,'[1]粘贴_账务明细'!$A$4:$A$3003,$B336,'[1]粘贴_账务明细'!$L$4:$L$3003,"优惠券结算"))</f>
      </c>
      <c r="E336" s="11">
        <f t="shared" si="0"/>
      </c>
      <c r="F336" s="11">
        <f>IF($L336="","",-SUMIFS('[1]粘贴_账务明细'!$K$4:$K$3003,'[1]粘贴_账务明细'!$A$4:$A$3003,$B336,'[1]粘贴_账务明细'!$L$4:$L$3003,"百亿补贴技术服务费"))</f>
      </c>
      <c r="G336" s="11">
        <f>IF($L336="","",SUMIFS('[1]粘贴_服务费返还'!$M$4:$M$3003,'[1]粘贴_服务费返还'!$N$4:$N$3003,$B336,'[1]粘贴_服务费返还'!$O$4:$O$3003,"返还"))</f>
      </c>
      <c r="H336" s="11">
        <f>IF($L336="","",SUMIFS('[1]粘贴_服务费返还'!$M$4:$M$3003,'[1]粘贴_服务费返还'!$N$4:$N$3003,$B336,'[1]粘贴_服务费返还'!$O$4:$O$3003,"扣回"))</f>
      </c>
      <c r="I336" s="11">
        <f t="shared" si="1"/>
      </c>
      <c r="J336" s="6">
        <f t="shared" si="2"/>
      </c>
      <c r="K336" s="10">
        <f t="shared" si="3"/>
      </c>
      <c r="L336" s="17">
        <f>IF(A336&gt;$H$5,"",MATCH(A336,'[1]粘贴_账务明细'!$O$4:$O$3003,0))</f>
      </c>
    </row>
    <row r="337">
      <c r="A337" s="10" t="n">
        <v>309</v>
      </c>
      <c r="B337" s="6">
        <f>IF($L337="","",INDEX('[1]粘贴_账务明细'!$A$4:$A$3003,$L337))</f>
      </c>
      <c r="C337" s="16">
        <f>IF($L337="","",INDEX('[1]粘贴_账务明细'!$H$4:$H$3003,$L337))</f>
      </c>
      <c r="D337" s="11">
        <f>IF($L337="","",SUMIFS('[1]粘贴_账务明细'!$K$4:$K$3003,'[1]粘贴_账务明细'!$A$4:$A$3003,$B337,'[1]粘贴_账务明细'!$L$4:$L$3003,"订单收入")+SUMIFS('[1]粘贴_账务明细'!$K$4:$K$3003,'[1]粘贴_账务明细'!$A$4:$A$3003,$B337,'[1]粘贴_账务明细'!$L$4:$L$3003,"优惠券结算"))</f>
      </c>
      <c r="E337" s="11">
        <f t="shared" si="0"/>
      </c>
      <c r="F337" s="11">
        <f>IF($L337="","",-SUMIFS('[1]粘贴_账务明细'!$K$4:$K$3003,'[1]粘贴_账务明细'!$A$4:$A$3003,$B337,'[1]粘贴_账务明细'!$L$4:$L$3003,"百亿补贴技术服务费"))</f>
      </c>
      <c r="G337" s="11">
        <f>IF($L337="","",SUMIFS('[1]粘贴_服务费返还'!$M$4:$M$3003,'[1]粘贴_服务费返还'!$N$4:$N$3003,$B337,'[1]粘贴_服务费返还'!$O$4:$O$3003,"返还"))</f>
      </c>
      <c r="H337" s="11">
        <f>IF($L337="","",SUMIFS('[1]粘贴_服务费返还'!$M$4:$M$3003,'[1]粘贴_服务费返还'!$N$4:$N$3003,$B337,'[1]粘贴_服务费返还'!$O$4:$O$3003,"扣回"))</f>
      </c>
      <c r="I337" s="11">
        <f t="shared" si="1"/>
      </c>
      <c r="J337" s="6">
        <f t="shared" si="2"/>
      </c>
      <c r="K337" s="10">
        <f t="shared" si="3"/>
      </c>
      <c r="L337" s="17">
        <f>IF(A337&gt;$H$5,"",MATCH(A337,'[1]粘贴_账务明细'!$O$4:$O$3003,0))</f>
      </c>
    </row>
    <row r="338">
      <c r="A338" s="10" t="n">
        <v>310</v>
      </c>
      <c r="B338" s="6">
        <f>IF($L338="","",INDEX('[1]粘贴_账务明细'!$A$4:$A$3003,$L338))</f>
      </c>
      <c r="C338" s="16">
        <f>IF($L338="","",INDEX('[1]粘贴_账务明细'!$H$4:$H$3003,$L338))</f>
      </c>
      <c r="D338" s="11">
        <f>IF($L338="","",SUMIFS('[1]粘贴_账务明细'!$K$4:$K$3003,'[1]粘贴_账务明细'!$A$4:$A$3003,$B338,'[1]粘贴_账务明细'!$L$4:$L$3003,"订单收入")+SUMIFS('[1]粘贴_账务明细'!$K$4:$K$3003,'[1]粘贴_账务明细'!$A$4:$A$3003,$B338,'[1]粘贴_账务明细'!$L$4:$L$3003,"优惠券结算"))</f>
      </c>
      <c r="E338" s="11">
        <f t="shared" si="0"/>
      </c>
      <c r="F338" s="11">
        <f>IF($L338="","",-SUMIFS('[1]粘贴_账务明细'!$K$4:$K$3003,'[1]粘贴_账务明细'!$A$4:$A$3003,$B338,'[1]粘贴_账务明细'!$L$4:$L$3003,"百亿补贴技术服务费"))</f>
      </c>
      <c r="G338" s="11">
        <f>IF($L338="","",SUMIFS('[1]粘贴_服务费返还'!$M$4:$M$3003,'[1]粘贴_服务费返还'!$N$4:$N$3003,$B338,'[1]粘贴_服务费返还'!$O$4:$O$3003,"返还"))</f>
      </c>
      <c r="H338" s="11">
        <f>IF($L338="","",SUMIFS('[1]粘贴_服务费返还'!$M$4:$M$3003,'[1]粘贴_服务费返还'!$N$4:$N$3003,$B338,'[1]粘贴_服务费返还'!$O$4:$O$3003,"扣回"))</f>
      </c>
      <c r="I338" s="11">
        <f t="shared" si="1"/>
      </c>
      <c r="J338" s="6">
        <f t="shared" si="2"/>
      </c>
      <c r="K338" s="10">
        <f t="shared" si="3"/>
      </c>
      <c r="L338" s="17">
        <f>IF(A338&gt;$H$5,"",MATCH(A338,'[1]粘贴_账务明细'!$O$4:$O$3003,0))</f>
      </c>
    </row>
    <row r="339">
      <c r="A339" s="10" t="n">
        <v>311</v>
      </c>
      <c r="B339" s="6">
        <f>IF($L339="","",INDEX('[1]粘贴_账务明细'!$A$4:$A$3003,$L339))</f>
      </c>
      <c r="C339" s="16">
        <f>IF($L339="","",INDEX('[1]粘贴_账务明细'!$H$4:$H$3003,$L339))</f>
      </c>
      <c r="D339" s="11">
        <f>IF($L339="","",SUMIFS('[1]粘贴_账务明细'!$K$4:$K$3003,'[1]粘贴_账务明细'!$A$4:$A$3003,$B339,'[1]粘贴_账务明细'!$L$4:$L$3003,"订单收入")+SUMIFS('[1]粘贴_账务明细'!$K$4:$K$3003,'[1]粘贴_账务明细'!$A$4:$A$3003,$B339,'[1]粘贴_账务明细'!$L$4:$L$3003,"优惠券结算"))</f>
      </c>
      <c r="E339" s="11">
        <f t="shared" si="0"/>
      </c>
      <c r="F339" s="11">
        <f>IF($L339="","",-SUMIFS('[1]粘贴_账务明细'!$K$4:$K$3003,'[1]粘贴_账务明细'!$A$4:$A$3003,$B339,'[1]粘贴_账务明细'!$L$4:$L$3003,"百亿补贴技术服务费"))</f>
      </c>
      <c r="G339" s="11">
        <f>IF($L339="","",SUMIFS('[1]粘贴_服务费返还'!$M$4:$M$3003,'[1]粘贴_服务费返还'!$N$4:$N$3003,$B339,'[1]粘贴_服务费返还'!$O$4:$O$3003,"返还"))</f>
      </c>
      <c r="H339" s="11">
        <f>IF($L339="","",SUMIFS('[1]粘贴_服务费返还'!$M$4:$M$3003,'[1]粘贴_服务费返还'!$N$4:$N$3003,$B339,'[1]粘贴_服务费返还'!$O$4:$O$3003,"扣回"))</f>
      </c>
      <c r="I339" s="11">
        <f t="shared" si="1"/>
      </c>
      <c r="J339" s="6">
        <f t="shared" si="2"/>
      </c>
      <c r="K339" s="10">
        <f t="shared" si="3"/>
      </c>
      <c r="L339" s="17">
        <f>IF(A339&gt;$H$5,"",MATCH(A339,'[1]粘贴_账务明细'!$O$4:$O$3003,0))</f>
      </c>
    </row>
    <row r="340">
      <c r="A340" s="10" t="n">
        <v>312</v>
      </c>
      <c r="B340" s="6">
        <f>IF($L340="","",INDEX('[1]粘贴_账务明细'!$A$4:$A$3003,$L340))</f>
      </c>
      <c r="C340" s="16">
        <f>IF($L340="","",INDEX('[1]粘贴_账务明细'!$H$4:$H$3003,$L340))</f>
      </c>
      <c r="D340" s="11">
        <f>IF($L340="","",SUMIFS('[1]粘贴_账务明细'!$K$4:$K$3003,'[1]粘贴_账务明细'!$A$4:$A$3003,$B340,'[1]粘贴_账务明细'!$L$4:$L$3003,"订单收入")+SUMIFS('[1]粘贴_账务明细'!$K$4:$K$3003,'[1]粘贴_账务明细'!$A$4:$A$3003,$B340,'[1]粘贴_账务明细'!$L$4:$L$3003,"优惠券结算"))</f>
      </c>
      <c r="E340" s="11">
        <f t="shared" si="0"/>
      </c>
      <c r="F340" s="11">
        <f>IF($L340="","",-SUMIFS('[1]粘贴_账务明细'!$K$4:$K$3003,'[1]粘贴_账务明细'!$A$4:$A$3003,$B340,'[1]粘贴_账务明细'!$L$4:$L$3003,"百亿补贴技术服务费"))</f>
      </c>
      <c r="G340" s="11">
        <f>IF($L340="","",SUMIFS('[1]粘贴_服务费返还'!$M$4:$M$3003,'[1]粘贴_服务费返还'!$N$4:$N$3003,$B340,'[1]粘贴_服务费返还'!$O$4:$O$3003,"返还"))</f>
      </c>
      <c r="H340" s="11">
        <f>IF($L340="","",SUMIFS('[1]粘贴_服务费返还'!$M$4:$M$3003,'[1]粘贴_服务费返还'!$N$4:$N$3003,$B340,'[1]粘贴_服务费返还'!$O$4:$O$3003,"扣回"))</f>
      </c>
      <c r="I340" s="11">
        <f t="shared" si="1"/>
      </c>
      <c r="J340" s="6">
        <f t="shared" si="2"/>
      </c>
      <c r="K340" s="10">
        <f t="shared" si="3"/>
      </c>
      <c r="L340" s="17">
        <f>IF(A340&gt;$H$5,"",MATCH(A340,'[1]粘贴_账务明细'!$O$4:$O$3003,0))</f>
      </c>
    </row>
    <row r="341">
      <c r="A341" s="10" t="n">
        <v>313</v>
      </c>
      <c r="B341" s="6">
        <f>IF($L341="","",INDEX('[1]粘贴_账务明细'!$A$4:$A$3003,$L341))</f>
      </c>
      <c r="C341" s="16">
        <f>IF($L341="","",INDEX('[1]粘贴_账务明细'!$H$4:$H$3003,$L341))</f>
      </c>
      <c r="D341" s="11">
        <f>IF($L341="","",SUMIFS('[1]粘贴_账务明细'!$K$4:$K$3003,'[1]粘贴_账务明细'!$A$4:$A$3003,$B341,'[1]粘贴_账务明细'!$L$4:$L$3003,"订单收入")+SUMIFS('[1]粘贴_账务明细'!$K$4:$K$3003,'[1]粘贴_账务明细'!$A$4:$A$3003,$B341,'[1]粘贴_账务明细'!$L$4:$L$3003,"优惠券结算"))</f>
      </c>
      <c r="E341" s="11">
        <f t="shared" si="0"/>
      </c>
      <c r="F341" s="11">
        <f>IF($L341="","",-SUMIFS('[1]粘贴_账务明细'!$K$4:$K$3003,'[1]粘贴_账务明细'!$A$4:$A$3003,$B341,'[1]粘贴_账务明细'!$L$4:$L$3003,"百亿补贴技术服务费"))</f>
      </c>
      <c r="G341" s="11">
        <f>IF($L341="","",SUMIFS('[1]粘贴_服务费返还'!$M$4:$M$3003,'[1]粘贴_服务费返还'!$N$4:$N$3003,$B341,'[1]粘贴_服务费返还'!$O$4:$O$3003,"返还"))</f>
      </c>
      <c r="H341" s="11">
        <f>IF($L341="","",SUMIFS('[1]粘贴_服务费返还'!$M$4:$M$3003,'[1]粘贴_服务费返还'!$N$4:$N$3003,$B341,'[1]粘贴_服务费返还'!$O$4:$O$3003,"扣回"))</f>
      </c>
      <c r="I341" s="11">
        <f t="shared" si="1"/>
      </c>
      <c r="J341" s="6">
        <f t="shared" si="2"/>
      </c>
      <c r="K341" s="10">
        <f t="shared" si="3"/>
      </c>
      <c r="L341" s="17">
        <f>IF(A341&gt;$H$5,"",MATCH(A341,'[1]粘贴_账务明细'!$O$4:$O$3003,0))</f>
      </c>
    </row>
    <row r="342">
      <c r="A342" s="10" t="n">
        <v>314</v>
      </c>
      <c r="B342" s="6">
        <f>IF($L342="","",INDEX('[1]粘贴_账务明细'!$A$4:$A$3003,$L342))</f>
      </c>
      <c r="C342" s="16">
        <f>IF($L342="","",INDEX('[1]粘贴_账务明细'!$H$4:$H$3003,$L342))</f>
      </c>
      <c r="D342" s="11">
        <f>IF($L342="","",SUMIFS('[1]粘贴_账务明细'!$K$4:$K$3003,'[1]粘贴_账务明细'!$A$4:$A$3003,$B342,'[1]粘贴_账务明细'!$L$4:$L$3003,"订单收入")+SUMIFS('[1]粘贴_账务明细'!$K$4:$K$3003,'[1]粘贴_账务明细'!$A$4:$A$3003,$B342,'[1]粘贴_账务明细'!$L$4:$L$3003,"优惠券结算"))</f>
      </c>
      <c r="E342" s="11">
        <f t="shared" si="0"/>
      </c>
      <c r="F342" s="11">
        <f>IF($L342="","",-SUMIFS('[1]粘贴_账务明细'!$K$4:$K$3003,'[1]粘贴_账务明细'!$A$4:$A$3003,$B342,'[1]粘贴_账务明细'!$L$4:$L$3003,"百亿补贴技术服务费"))</f>
      </c>
      <c r="G342" s="11">
        <f>IF($L342="","",SUMIFS('[1]粘贴_服务费返还'!$M$4:$M$3003,'[1]粘贴_服务费返还'!$N$4:$N$3003,$B342,'[1]粘贴_服务费返还'!$O$4:$O$3003,"返还"))</f>
      </c>
      <c r="H342" s="11">
        <f>IF($L342="","",SUMIFS('[1]粘贴_服务费返还'!$M$4:$M$3003,'[1]粘贴_服务费返还'!$N$4:$N$3003,$B342,'[1]粘贴_服务费返还'!$O$4:$O$3003,"扣回"))</f>
      </c>
      <c r="I342" s="11">
        <f t="shared" si="1"/>
      </c>
      <c r="J342" s="6">
        <f t="shared" si="2"/>
      </c>
      <c r="K342" s="10">
        <f t="shared" si="3"/>
      </c>
      <c r="L342" s="17">
        <f>IF(A342&gt;$H$5,"",MATCH(A342,'[1]粘贴_账务明细'!$O$4:$O$3003,0))</f>
      </c>
    </row>
    <row r="343">
      <c r="A343" s="10" t="n">
        <v>315</v>
      </c>
      <c r="B343" s="6">
        <f>IF($L343="","",INDEX('[1]粘贴_账务明细'!$A$4:$A$3003,$L343))</f>
      </c>
      <c r="C343" s="16">
        <f>IF($L343="","",INDEX('[1]粘贴_账务明细'!$H$4:$H$3003,$L343))</f>
      </c>
      <c r="D343" s="11">
        <f>IF($L343="","",SUMIFS('[1]粘贴_账务明细'!$K$4:$K$3003,'[1]粘贴_账务明细'!$A$4:$A$3003,$B343,'[1]粘贴_账务明细'!$L$4:$L$3003,"订单收入")+SUMIFS('[1]粘贴_账务明细'!$K$4:$K$3003,'[1]粘贴_账务明细'!$A$4:$A$3003,$B343,'[1]粘贴_账务明细'!$L$4:$L$3003,"优惠券结算"))</f>
      </c>
      <c r="E343" s="11">
        <f t="shared" si="0"/>
      </c>
      <c r="F343" s="11">
        <f>IF($L343="","",-SUMIFS('[1]粘贴_账务明细'!$K$4:$K$3003,'[1]粘贴_账务明细'!$A$4:$A$3003,$B343,'[1]粘贴_账务明细'!$L$4:$L$3003,"百亿补贴技术服务费"))</f>
      </c>
      <c r="G343" s="11">
        <f>IF($L343="","",SUMIFS('[1]粘贴_服务费返还'!$M$4:$M$3003,'[1]粘贴_服务费返还'!$N$4:$N$3003,$B343,'[1]粘贴_服务费返还'!$O$4:$O$3003,"返还"))</f>
      </c>
      <c r="H343" s="11">
        <f>IF($L343="","",SUMIFS('[1]粘贴_服务费返还'!$M$4:$M$3003,'[1]粘贴_服务费返还'!$N$4:$N$3003,$B343,'[1]粘贴_服务费返还'!$O$4:$O$3003,"扣回"))</f>
      </c>
      <c r="I343" s="11">
        <f t="shared" si="1"/>
      </c>
      <c r="J343" s="6">
        <f t="shared" si="2"/>
      </c>
      <c r="K343" s="10">
        <f t="shared" si="3"/>
      </c>
      <c r="L343" s="17">
        <f>IF(A343&gt;$H$5,"",MATCH(A343,'[1]粘贴_账务明细'!$O$4:$O$3003,0))</f>
      </c>
    </row>
    <row r="344">
      <c r="A344" s="10" t="n">
        <v>316</v>
      </c>
      <c r="B344" s="6">
        <f>IF($L344="","",INDEX('[1]粘贴_账务明细'!$A$4:$A$3003,$L344))</f>
      </c>
      <c r="C344" s="16">
        <f>IF($L344="","",INDEX('[1]粘贴_账务明细'!$H$4:$H$3003,$L344))</f>
      </c>
      <c r="D344" s="11">
        <f>IF($L344="","",SUMIFS('[1]粘贴_账务明细'!$K$4:$K$3003,'[1]粘贴_账务明细'!$A$4:$A$3003,$B344,'[1]粘贴_账务明细'!$L$4:$L$3003,"订单收入")+SUMIFS('[1]粘贴_账务明细'!$K$4:$K$3003,'[1]粘贴_账务明细'!$A$4:$A$3003,$B344,'[1]粘贴_账务明细'!$L$4:$L$3003,"优惠券结算"))</f>
      </c>
      <c r="E344" s="11">
        <f t="shared" si="0"/>
      </c>
      <c r="F344" s="11">
        <f>IF($L344="","",-SUMIFS('[1]粘贴_账务明细'!$K$4:$K$3003,'[1]粘贴_账务明细'!$A$4:$A$3003,$B344,'[1]粘贴_账务明细'!$L$4:$L$3003,"百亿补贴技术服务费"))</f>
      </c>
      <c r="G344" s="11">
        <f>IF($L344="","",SUMIFS('[1]粘贴_服务费返还'!$M$4:$M$3003,'[1]粘贴_服务费返还'!$N$4:$N$3003,$B344,'[1]粘贴_服务费返还'!$O$4:$O$3003,"返还"))</f>
      </c>
      <c r="H344" s="11">
        <f>IF($L344="","",SUMIFS('[1]粘贴_服务费返还'!$M$4:$M$3003,'[1]粘贴_服务费返还'!$N$4:$N$3003,$B344,'[1]粘贴_服务费返还'!$O$4:$O$3003,"扣回"))</f>
      </c>
      <c r="I344" s="11">
        <f t="shared" si="1"/>
      </c>
      <c r="J344" s="6">
        <f t="shared" si="2"/>
      </c>
      <c r="K344" s="10">
        <f t="shared" si="3"/>
      </c>
      <c r="L344" s="17">
        <f>IF(A344&gt;$H$5,"",MATCH(A344,'[1]粘贴_账务明细'!$O$4:$O$3003,0))</f>
      </c>
    </row>
    <row r="345">
      <c r="A345" s="10" t="n">
        <v>317</v>
      </c>
      <c r="B345" s="6">
        <f>IF($L345="","",INDEX('[1]粘贴_账务明细'!$A$4:$A$3003,$L345))</f>
      </c>
      <c r="C345" s="16">
        <f>IF($L345="","",INDEX('[1]粘贴_账务明细'!$H$4:$H$3003,$L345))</f>
      </c>
      <c r="D345" s="11">
        <f>IF($L345="","",SUMIFS('[1]粘贴_账务明细'!$K$4:$K$3003,'[1]粘贴_账务明细'!$A$4:$A$3003,$B345,'[1]粘贴_账务明细'!$L$4:$L$3003,"订单收入")+SUMIFS('[1]粘贴_账务明细'!$K$4:$K$3003,'[1]粘贴_账务明细'!$A$4:$A$3003,$B345,'[1]粘贴_账务明细'!$L$4:$L$3003,"优惠券结算"))</f>
      </c>
      <c r="E345" s="11">
        <f t="shared" si="0"/>
      </c>
      <c r="F345" s="11">
        <f>IF($L345="","",-SUMIFS('[1]粘贴_账务明细'!$K$4:$K$3003,'[1]粘贴_账务明细'!$A$4:$A$3003,$B345,'[1]粘贴_账务明细'!$L$4:$L$3003,"百亿补贴技术服务费"))</f>
      </c>
      <c r="G345" s="11">
        <f>IF($L345="","",SUMIFS('[1]粘贴_服务费返还'!$M$4:$M$3003,'[1]粘贴_服务费返还'!$N$4:$N$3003,$B345,'[1]粘贴_服务费返还'!$O$4:$O$3003,"返还"))</f>
      </c>
      <c r="H345" s="11">
        <f>IF($L345="","",SUMIFS('[1]粘贴_服务费返还'!$M$4:$M$3003,'[1]粘贴_服务费返还'!$N$4:$N$3003,$B345,'[1]粘贴_服务费返还'!$O$4:$O$3003,"扣回"))</f>
      </c>
      <c r="I345" s="11">
        <f t="shared" si="1"/>
      </c>
      <c r="J345" s="6">
        <f t="shared" si="2"/>
      </c>
      <c r="K345" s="10">
        <f t="shared" si="3"/>
      </c>
      <c r="L345" s="17">
        <f>IF(A345&gt;$H$5,"",MATCH(A345,'[1]粘贴_账务明细'!$O$4:$O$3003,0))</f>
      </c>
    </row>
    <row r="346">
      <c r="A346" s="10" t="n">
        <v>318</v>
      </c>
      <c r="B346" s="6">
        <f>IF($L346="","",INDEX('[1]粘贴_账务明细'!$A$4:$A$3003,$L346))</f>
      </c>
      <c r="C346" s="16">
        <f>IF($L346="","",INDEX('[1]粘贴_账务明细'!$H$4:$H$3003,$L346))</f>
      </c>
      <c r="D346" s="11">
        <f>IF($L346="","",SUMIFS('[1]粘贴_账务明细'!$K$4:$K$3003,'[1]粘贴_账务明细'!$A$4:$A$3003,$B346,'[1]粘贴_账务明细'!$L$4:$L$3003,"订单收入")+SUMIFS('[1]粘贴_账务明细'!$K$4:$K$3003,'[1]粘贴_账务明细'!$A$4:$A$3003,$B346,'[1]粘贴_账务明细'!$L$4:$L$3003,"优惠券结算"))</f>
      </c>
      <c r="E346" s="11">
        <f t="shared" si="0"/>
      </c>
      <c r="F346" s="11">
        <f>IF($L346="","",-SUMIFS('[1]粘贴_账务明细'!$K$4:$K$3003,'[1]粘贴_账务明细'!$A$4:$A$3003,$B346,'[1]粘贴_账务明细'!$L$4:$L$3003,"百亿补贴技术服务费"))</f>
      </c>
      <c r="G346" s="11">
        <f>IF($L346="","",SUMIFS('[1]粘贴_服务费返还'!$M$4:$M$3003,'[1]粘贴_服务费返还'!$N$4:$N$3003,$B346,'[1]粘贴_服务费返还'!$O$4:$O$3003,"返还"))</f>
      </c>
      <c r="H346" s="11">
        <f>IF($L346="","",SUMIFS('[1]粘贴_服务费返还'!$M$4:$M$3003,'[1]粘贴_服务费返还'!$N$4:$N$3003,$B346,'[1]粘贴_服务费返还'!$O$4:$O$3003,"扣回"))</f>
      </c>
      <c r="I346" s="11">
        <f t="shared" si="1"/>
      </c>
      <c r="J346" s="6">
        <f t="shared" si="2"/>
      </c>
      <c r="K346" s="10">
        <f t="shared" si="3"/>
      </c>
      <c r="L346" s="17">
        <f>IF(A346&gt;$H$5,"",MATCH(A346,'[1]粘贴_账务明细'!$O$4:$O$3003,0))</f>
      </c>
    </row>
    <row r="347">
      <c r="A347" s="10" t="n">
        <v>319</v>
      </c>
      <c r="B347" s="6">
        <f>IF($L347="","",INDEX('[1]粘贴_账务明细'!$A$4:$A$3003,$L347))</f>
      </c>
      <c r="C347" s="16">
        <f>IF($L347="","",INDEX('[1]粘贴_账务明细'!$H$4:$H$3003,$L347))</f>
      </c>
      <c r="D347" s="11">
        <f>IF($L347="","",SUMIFS('[1]粘贴_账务明细'!$K$4:$K$3003,'[1]粘贴_账务明细'!$A$4:$A$3003,$B347,'[1]粘贴_账务明细'!$L$4:$L$3003,"订单收入")+SUMIFS('[1]粘贴_账务明细'!$K$4:$K$3003,'[1]粘贴_账务明细'!$A$4:$A$3003,$B347,'[1]粘贴_账务明细'!$L$4:$L$3003,"优惠券结算"))</f>
      </c>
      <c r="E347" s="11">
        <f t="shared" si="0"/>
      </c>
      <c r="F347" s="11">
        <f>IF($L347="","",-SUMIFS('[1]粘贴_账务明细'!$K$4:$K$3003,'[1]粘贴_账务明细'!$A$4:$A$3003,$B347,'[1]粘贴_账务明细'!$L$4:$L$3003,"百亿补贴技术服务费"))</f>
      </c>
      <c r="G347" s="11">
        <f>IF($L347="","",SUMIFS('[1]粘贴_服务费返还'!$M$4:$M$3003,'[1]粘贴_服务费返还'!$N$4:$N$3003,$B347,'[1]粘贴_服务费返还'!$O$4:$O$3003,"返还"))</f>
      </c>
      <c r="H347" s="11">
        <f>IF($L347="","",SUMIFS('[1]粘贴_服务费返还'!$M$4:$M$3003,'[1]粘贴_服务费返还'!$N$4:$N$3003,$B347,'[1]粘贴_服务费返还'!$O$4:$O$3003,"扣回"))</f>
      </c>
      <c r="I347" s="11">
        <f t="shared" si="1"/>
      </c>
      <c r="J347" s="6">
        <f t="shared" si="2"/>
      </c>
      <c r="K347" s="10">
        <f t="shared" si="3"/>
      </c>
      <c r="L347" s="17">
        <f>IF(A347&gt;$H$5,"",MATCH(A347,'[1]粘贴_账务明细'!$O$4:$O$3003,0))</f>
      </c>
    </row>
    <row r="348">
      <c r="A348" s="10" t="n">
        <v>320</v>
      </c>
      <c r="B348" s="6">
        <f>IF($L348="","",INDEX('[1]粘贴_账务明细'!$A$4:$A$3003,$L348))</f>
      </c>
      <c r="C348" s="16">
        <f>IF($L348="","",INDEX('[1]粘贴_账务明细'!$H$4:$H$3003,$L348))</f>
      </c>
      <c r="D348" s="11">
        <f>IF($L348="","",SUMIFS('[1]粘贴_账务明细'!$K$4:$K$3003,'[1]粘贴_账务明细'!$A$4:$A$3003,$B348,'[1]粘贴_账务明细'!$L$4:$L$3003,"订单收入")+SUMIFS('[1]粘贴_账务明细'!$K$4:$K$3003,'[1]粘贴_账务明细'!$A$4:$A$3003,$B348,'[1]粘贴_账务明细'!$L$4:$L$3003,"优惠券结算"))</f>
      </c>
      <c r="E348" s="11">
        <f t="shared" si="0"/>
      </c>
      <c r="F348" s="11">
        <f>IF($L348="","",-SUMIFS('[1]粘贴_账务明细'!$K$4:$K$3003,'[1]粘贴_账务明细'!$A$4:$A$3003,$B348,'[1]粘贴_账务明细'!$L$4:$L$3003,"百亿补贴技术服务费"))</f>
      </c>
      <c r="G348" s="11">
        <f>IF($L348="","",SUMIFS('[1]粘贴_服务费返还'!$M$4:$M$3003,'[1]粘贴_服务费返还'!$N$4:$N$3003,$B348,'[1]粘贴_服务费返还'!$O$4:$O$3003,"返还"))</f>
      </c>
      <c r="H348" s="11">
        <f>IF($L348="","",SUMIFS('[1]粘贴_服务费返还'!$M$4:$M$3003,'[1]粘贴_服务费返还'!$N$4:$N$3003,$B348,'[1]粘贴_服务费返还'!$O$4:$O$3003,"扣回"))</f>
      </c>
      <c r="I348" s="11">
        <f t="shared" si="1"/>
      </c>
      <c r="J348" s="6">
        <f t="shared" si="2"/>
      </c>
      <c r="K348" s="10">
        <f t="shared" si="3"/>
      </c>
      <c r="L348" s="17">
        <f>IF(A348&gt;$H$5,"",MATCH(A348,'[1]粘贴_账务明细'!$O$4:$O$3003,0))</f>
      </c>
    </row>
    <row r="349">
      <c r="A349" s="10" t="n">
        <v>321</v>
      </c>
      <c r="B349" s="6">
        <f>IF($L349="","",INDEX('[1]粘贴_账务明细'!$A$4:$A$3003,$L349))</f>
      </c>
      <c r="C349" s="16">
        <f>IF($L349="","",INDEX('[1]粘贴_账务明细'!$H$4:$H$3003,$L349))</f>
      </c>
      <c r="D349" s="11">
        <f>IF($L349="","",SUMIFS('[1]粘贴_账务明细'!$K$4:$K$3003,'[1]粘贴_账务明细'!$A$4:$A$3003,$B349,'[1]粘贴_账务明细'!$L$4:$L$3003,"订单收入")+SUMIFS('[1]粘贴_账务明细'!$K$4:$K$3003,'[1]粘贴_账务明细'!$A$4:$A$3003,$B349,'[1]粘贴_账务明细'!$L$4:$L$3003,"优惠券结算"))</f>
      </c>
      <c r="E349" s="11">
        <f t="shared" si="0"/>
      </c>
      <c r="F349" s="11">
        <f>IF($L349="","",-SUMIFS('[1]粘贴_账务明细'!$K$4:$K$3003,'[1]粘贴_账务明细'!$A$4:$A$3003,$B349,'[1]粘贴_账务明细'!$L$4:$L$3003,"百亿补贴技术服务费"))</f>
      </c>
      <c r="G349" s="11">
        <f>IF($L349="","",SUMIFS('[1]粘贴_服务费返还'!$M$4:$M$3003,'[1]粘贴_服务费返还'!$N$4:$N$3003,$B349,'[1]粘贴_服务费返还'!$O$4:$O$3003,"返还"))</f>
      </c>
      <c r="H349" s="11">
        <f>IF($L349="","",SUMIFS('[1]粘贴_服务费返还'!$M$4:$M$3003,'[1]粘贴_服务费返还'!$N$4:$N$3003,$B349,'[1]粘贴_服务费返还'!$O$4:$O$3003,"扣回"))</f>
      </c>
      <c r="I349" s="11">
        <f t="shared" si="1"/>
      </c>
      <c r="J349" s="6">
        <f t="shared" si="2"/>
      </c>
      <c r="K349" s="10">
        <f t="shared" si="3"/>
      </c>
      <c r="L349" s="17">
        <f>IF(A349&gt;$H$5,"",MATCH(A349,'[1]粘贴_账务明细'!$O$4:$O$3003,0))</f>
      </c>
    </row>
    <row r="350">
      <c r="A350" s="10" t="n">
        <v>322</v>
      </c>
      <c r="B350" s="6">
        <f>IF($L350="","",INDEX('[1]粘贴_账务明细'!$A$4:$A$3003,$L350))</f>
      </c>
      <c r="C350" s="16">
        <f>IF($L350="","",INDEX('[1]粘贴_账务明细'!$H$4:$H$3003,$L350))</f>
      </c>
      <c r="D350" s="11">
        <f>IF($L350="","",SUMIFS('[1]粘贴_账务明细'!$K$4:$K$3003,'[1]粘贴_账务明细'!$A$4:$A$3003,$B350,'[1]粘贴_账务明细'!$L$4:$L$3003,"订单收入")+SUMIFS('[1]粘贴_账务明细'!$K$4:$K$3003,'[1]粘贴_账务明细'!$A$4:$A$3003,$B350,'[1]粘贴_账务明细'!$L$4:$L$3003,"优惠券结算"))</f>
      </c>
      <c r="E350" s="11">
        <f t="shared" si="0"/>
      </c>
      <c r="F350" s="11">
        <f>IF($L350="","",-SUMIFS('[1]粘贴_账务明细'!$K$4:$K$3003,'[1]粘贴_账务明细'!$A$4:$A$3003,$B350,'[1]粘贴_账务明细'!$L$4:$L$3003,"百亿补贴技术服务费"))</f>
      </c>
      <c r="G350" s="11">
        <f>IF($L350="","",SUMIFS('[1]粘贴_服务费返还'!$M$4:$M$3003,'[1]粘贴_服务费返还'!$N$4:$N$3003,$B350,'[1]粘贴_服务费返还'!$O$4:$O$3003,"返还"))</f>
      </c>
      <c r="H350" s="11">
        <f>IF($L350="","",SUMIFS('[1]粘贴_服务费返还'!$M$4:$M$3003,'[1]粘贴_服务费返还'!$N$4:$N$3003,$B350,'[1]粘贴_服务费返还'!$O$4:$O$3003,"扣回"))</f>
      </c>
      <c r="I350" s="11">
        <f t="shared" si="1"/>
      </c>
      <c r="J350" s="6">
        <f t="shared" si="2"/>
      </c>
      <c r="K350" s="10">
        <f t="shared" si="3"/>
      </c>
      <c r="L350" s="17">
        <f>IF(A350&gt;$H$5,"",MATCH(A350,'[1]粘贴_账务明细'!$O$4:$O$3003,0))</f>
      </c>
    </row>
    <row r="351">
      <c r="A351" s="10" t="n">
        <v>323</v>
      </c>
      <c r="B351" s="6">
        <f>IF($L351="","",INDEX('[1]粘贴_账务明细'!$A$4:$A$3003,$L351))</f>
      </c>
      <c r="C351" s="16">
        <f>IF($L351="","",INDEX('[1]粘贴_账务明细'!$H$4:$H$3003,$L351))</f>
      </c>
      <c r="D351" s="11">
        <f>IF($L351="","",SUMIFS('[1]粘贴_账务明细'!$K$4:$K$3003,'[1]粘贴_账务明细'!$A$4:$A$3003,$B351,'[1]粘贴_账务明细'!$L$4:$L$3003,"订单收入")+SUMIFS('[1]粘贴_账务明细'!$K$4:$K$3003,'[1]粘贴_账务明细'!$A$4:$A$3003,$B351,'[1]粘贴_账务明细'!$L$4:$L$3003,"优惠券结算"))</f>
      </c>
      <c r="E351" s="11">
        <f t="shared" si="0"/>
      </c>
      <c r="F351" s="11">
        <f>IF($L351="","",-SUMIFS('[1]粘贴_账务明细'!$K$4:$K$3003,'[1]粘贴_账务明细'!$A$4:$A$3003,$B351,'[1]粘贴_账务明细'!$L$4:$L$3003,"百亿补贴技术服务费"))</f>
      </c>
      <c r="G351" s="11">
        <f>IF($L351="","",SUMIFS('[1]粘贴_服务费返还'!$M$4:$M$3003,'[1]粘贴_服务费返还'!$N$4:$N$3003,$B351,'[1]粘贴_服务费返还'!$O$4:$O$3003,"返还"))</f>
      </c>
      <c r="H351" s="11">
        <f>IF($L351="","",SUMIFS('[1]粘贴_服务费返还'!$M$4:$M$3003,'[1]粘贴_服务费返还'!$N$4:$N$3003,$B351,'[1]粘贴_服务费返还'!$O$4:$O$3003,"扣回"))</f>
      </c>
      <c r="I351" s="11">
        <f t="shared" si="1"/>
      </c>
      <c r="J351" s="6">
        <f t="shared" si="2"/>
      </c>
      <c r="K351" s="10">
        <f t="shared" si="3"/>
      </c>
      <c r="L351" s="17">
        <f>IF(A351&gt;$H$5,"",MATCH(A351,'[1]粘贴_账务明细'!$O$4:$O$3003,0))</f>
      </c>
    </row>
    <row r="352">
      <c r="A352" s="10" t="n">
        <v>324</v>
      </c>
      <c r="B352" s="6">
        <f>IF($L352="","",INDEX('[1]粘贴_账务明细'!$A$4:$A$3003,$L352))</f>
      </c>
      <c r="C352" s="16">
        <f>IF($L352="","",INDEX('[1]粘贴_账务明细'!$H$4:$H$3003,$L352))</f>
      </c>
      <c r="D352" s="11">
        <f>IF($L352="","",SUMIFS('[1]粘贴_账务明细'!$K$4:$K$3003,'[1]粘贴_账务明细'!$A$4:$A$3003,$B352,'[1]粘贴_账务明细'!$L$4:$L$3003,"订单收入")+SUMIFS('[1]粘贴_账务明细'!$K$4:$K$3003,'[1]粘贴_账务明细'!$A$4:$A$3003,$B352,'[1]粘贴_账务明细'!$L$4:$L$3003,"优惠券结算"))</f>
      </c>
      <c r="E352" s="11">
        <f t="shared" si="0"/>
      </c>
      <c r="F352" s="11">
        <f>IF($L352="","",-SUMIFS('[1]粘贴_账务明细'!$K$4:$K$3003,'[1]粘贴_账务明细'!$A$4:$A$3003,$B352,'[1]粘贴_账务明细'!$L$4:$L$3003,"百亿补贴技术服务费"))</f>
      </c>
      <c r="G352" s="11">
        <f>IF($L352="","",SUMIFS('[1]粘贴_服务费返还'!$M$4:$M$3003,'[1]粘贴_服务费返还'!$N$4:$N$3003,$B352,'[1]粘贴_服务费返还'!$O$4:$O$3003,"返还"))</f>
      </c>
      <c r="H352" s="11">
        <f>IF($L352="","",SUMIFS('[1]粘贴_服务费返还'!$M$4:$M$3003,'[1]粘贴_服务费返还'!$N$4:$N$3003,$B352,'[1]粘贴_服务费返还'!$O$4:$O$3003,"扣回"))</f>
      </c>
      <c r="I352" s="11">
        <f t="shared" si="1"/>
      </c>
      <c r="J352" s="6">
        <f t="shared" si="2"/>
      </c>
      <c r="K352" s="10">
        <f t="shared" si="3"/>
      </c>
      <c r="L352" s="17">
        <f>IF(A352&gt;$H$5,"",MATCH(A352,'[1]粘贴_账务明细'!$O$4:$O$3003,0))</f>
      </c>
    </row>
    <row r="353">
      <c r="A353" s="10" t="n">
        <v>325</v>
      </c>
      <c r="B353" s="6">
        <f>IF($L353="","",INDEX('[1]粘贴_账务明细'!$A$4:$A$3003,$L353))</f>
      </c>
      <c r="C353" s="16">
        <f>IF($L353="","",INDEX('[1]粘贴_账务明细'!$H$4:$H$3003,$L353))</f>
      </c>
      <c r="D353" s="11">
        <f>IF($L353="","",SUMIFS('[1]粘贴_账务明细'!$K$4:$K$3003,'[1]粘贴_账务明细'!$A$4:$A$3003,$B353,'[1]粘贴_账务明细'!$L$4:$L$3003,"订单收入")+SUMIFS('[1]粘贴_账务明细'!$K$4:$K$3003,'[1]粘贴_账务明细'!$A$4:$A$3003,$B353,'[1]粘贴_账务明细'!$L$4:$L$3003,"优惠券结算"))</f>
      </c>
      <c r="E353" s="11">
        <f t="shared" si="0"/>
      </c>
      <c r="F353" s="11">
        <f>IF($L353="","",-SUMIFS('[1]粘贴_账务明细'!$K$4:$K$3003,'[1]粘贴_账务明细'!$A$4:$A$3003,$B353,'[1]粘贴_账务明细'!$L$4:$L$3003,"百亿补贴技术服务费"))</f>
      </c>
      <c r="G353" s="11">
        <f>IF($L353="","",SUMIFS('[1]粘贴_服务费返还'!$M$4:$M$3003,'[1]粘贴_服务费返还'!$N$4:$N$3003,$B353,'[1]粘贴_服务费返还'!$O$4:$O$3003,"返还"))</f>
      </c>
      <c r="H353" s="11">
        <f>IF($L353="","",SUMIFS('[1]粘贴_服务费返还'!$M$4:$M$3003,'[1]粘贴_服务费返还'!$N$4:$N$3003,$B353,'[1]粘贴_服务费返还'!$O$4:$O$3003,"扣回"))</f>
      </c>
      <c r="I353" s="11">
        <f t="shared" si="1"/>
      </c>
      <c r="J353" s="6">
        <f t="shared" si="2"/>
      </c>
      <c r="K353" s="10">
        <f t="shared" si="3"/>
      </c>
      <c r="L353" s="17">
        <f>IF(A353&gt;$H$5,"",MATCH(A353,'[1]粘贴_账务明细'!$O$4:$O$3003,0))</f>
      </c>
    </row>
    <row r="354">
      <c r="A354" s="10" t="n">
        <v>326</v>
      </c>
      <c r="B354" s="6">
        <f>IF($L354="","",INDEX('[1]粘贴_账务明细'!$A$4:$A$3003,$L354))</f>
      </c>
      <c r="C354" s="16">
        <f>IF($L354="","",INDEX('[1]粘贴_账务明细'!$H$4:$H$3003,$L354))</f>
      </c>
      <c r="D354" s="11">
        <f>IF($L354="","",SUMIFS('[1]粘贴_账务明细'!$K$4:$K$3003,'[1]粘贴_账务明细'!$A$4:$A$3003,$B354,'[1]粘贴_账务明细'!$L$4:$L$3003,"订单收入")+SUMIFS('[1]粘贴_账务明细'!$K$4:$K$3003,'[1]粘贴_账务明细'!$A$4:$A$3003,$B354,'[1]粘贴_账务明细'!$L$4:$L$3003,"优惠券结算"))</f>
      </c>
      <c r="E354" s="11">
        <f t="shared" si="0"/>
      </c>
      <c r="F354" s="11">
        <f>IF($L354="","",-SUMIFS('[1]粘贴_账务明细'!$K$4:$K$3003,'[1]粘贴_账务明细'!$A$4:$A$3003,$B354,'[1]粘贴_账务明细'!$L$4:$L$3003,"百亿补贴技术服务费"))</f>
      </c>
      <c r="G354" s="11">
        <f>IF($L354="","",SUMIFS('[1]粘贴_服务费返还'!$M$4:$M$3003,'[1]粘贴_服务费返还'!$N$4:$N$3003,$B354,'[1]粘贴_服务费返还'!$O$4:$O$3003,"返还"))</f>
      </c>
      <c r="H354" s="11">
        <f>IF($L354="","",SUMIFS('[1]粘贴_服务费返还'!$M$4:$M$3003,'[1]粘贴_服务费返还'!$N$4:$N$3003,$B354,'[1]粘贴_服务费返还'!$O$4:$O$3003,"扣回"))</f>
      </c>
      <c r="I354" s="11">
        <f t="shared" si="1"/>
      </c>
      <c r="J354" s="6">
        <f t="shared" si="2"/>
      </c>
      <c r="K354" s="10">
        <f t="shared" si="3"/>
      </c>
      <c r="L354" s="17">
        <f>IF(A354&gt;$H$5,"",MATCH(A354,'[1]粘贴_账务明细'!$O$4:$O$3003,0))</f>
      </c>
    </row>
    <row r="355">
      <c r="A355" s="10" t="n">
        <v>327</v>
      </c>
      <c r="B355" s="6">
        <f>IF($L355="","",INDEX('[1]粘贴_账务明细'!$A$4:$A$3003,$L355))</f>
      </c>
      <c r="C355" s="16">
        <f>IF($L355="","",INDEX('[1]粘贴_账务明细'!$H$4:$H$3003,$L355))</f>
      </c>
      <c r="D355" s="11">
        <f>IF($L355="","",SUMIFS('[1]粘贴_账务明细'!$K$4:$K$3003,'[1]粘贴_账务明细'!$A$4:$A$3003,$B355,'[1]粘贴_账务明细'!$L$4:$L$3003,"订单收入")+SUMIFS('[1]粘贴_账务明细'!$K$4:$K$3003,'[1]粘贴_账务明细'!$A$4:$A$3003,$B355,'[1]粘贴_账务明细'!$L$4:$L$3003,"优惠券结算"))</f>
      </c>
      <c r="E355" s="11">
        <f t="shared" si="0"/>
      </c>
      <c r="F355" s="11">
        <f>IF($L355="","",-SUMIFS('[1]粘贴_账务明细'!$K$4:$K$3003,'[1]粘贴_账务明细'!$A$4:$A$3003,$B355,'[1]粘贴_账务明细'!$L$4:$L$3003,"百亿补贴技术服务费"))</f>
      </c>
      <c r="G355" s="11">
        <f>IF($L355="","",SUMIFS('[1]粘贴_服务费返还'!$M$4:$M$3003,'[1]粘贴_服务费返还'!$N$4:$N$3003,$B355,'[1]粘贴_服务费返还'!$O$4:$O$3003,"返还"))</f>
      </c>
      <c r="H355" s="11">
        <f>IF($L355="","",SUMIFS('[1]粘贴_服务费返还'!$M$4:$M$3003,'[1]粘贴_服务费返还'!$N$4:$N$3003,$B355,'[1]粘贴_服务费返还'!$O$4:$O$3003,"扣回"))</f>
      </c>
      <c r="I355" s="11">
        <f t="shared" si="1"/>
      </c>
      <c r="J355" s="6">
        <f t="shared" si="2"/>
      </c>
      <c r="K355" s="10">
        <f t="shared" si="3"/>
      </c>
      <c r="L355" s="17">
        <f>IF(A355&gt;$H$5,"",MATCH(A355,'[1]粘贴_账务明细'!$O$4:$O$3003,0))</f>
      </c>
    </row>
    <row r="356">
      <c r="A356" s="10" t="n">
        <v>328</v>
      </c>
      <c r="B356" s="6">
        <f>IF($L356="","",INDEX('[1]粘贴_账务明细'!$A$4:$A$3003,$L356))</f>
      </c>
      <c r="C356" s="16">
        <f>IF($L356="","",INDEX('[1]粘贴_账务明细'!$H$4:$H$3003,$L356))</f>
      </c>
      <c r="D356" s="11">
        <f>IF($L356="","",SUMIFS('[1]粘贴_账务明细'!$K$4:$K$3003,'[1]粘贴_账务明细'!$A$4:$A$3003,$B356,'[1]粘贴_账务明细'!$L$4:$L$3003,"订单收入")+SUMIFS('[1]粘贴_账务明细'!$K$4:$K$3003,'[1]粘贴_账务明细'!$A$4:$A$3003,$B356,'[1]粘贴_账务明细'!$L$4:$L$3003,"优惠券结算"))</f>
      </c>
      <c r="E356" s="11">
        <f t="shared" si="0"/>
      </c>
      <c r="F356" s="11">
        <f>IF($L356="","",-SUMIFS('[1]粘贴_账务明细'!$K$4:$K$3003,'[1]粘贴_账务明细'!$A$4:$A$3003,$B356,'[1]粘贴_账务明细'!$L$4:$L$3003,"百亿补贴技术服务费"))</f>
      </c>
      <c r="G356" s="11">
        <f>IF($L356="","",SUMIFS('[1]粘贴_服务费返还'!$M$4:$M$3003,'[1]粘贴_服务费返还'!$N$4:$N$3003,$B356,'[1]粘贴_服务费返还'!$O$4:$O$3003,"返还"))</f>
      </c>
      <c r="H356" s="11">
        <f>IF($L356="","",SUMIFS('[1]粘贴_服务费返还'!$M$4:$M$3003,'[1]粘贴_服务费返还'!$N$4:$N$3003,$B356,'[1]粘贴_服务费返还'!$O$4:$O$3003,"扣回"))</f>
      </c>
      <c r="I356" s="11">
        <f t="shared" si="1"/>
      </c>
      <c r="J356" s="6">
        <f t="shared" si="2"/>
      </c>
      <c r="K356" s="10">
        <f t="shared" si="3"/>
      </c>
      <c r="L356" s="17">
        <f>IF(A356&gt;$H$5,"",MATCH(A356,'[1]粘贴_账务明细'!$O$4:$O$3003,0))</f>
      </c>
    </row>
    <row r="357">
      <c r="A357" s="10" t="n">
        <v>329</v>
      </c>
      <c r="B357" s="6">
        <f>IF($L357="","",INDEX('[1]粘贴_账务明细'!$A$4:$A$3003,$L357))</f>
      </c>
      <c r="C357" s="16">
        <f>IF($L357="","",INDEX('[1]粘贴_账务明细'!$H$4:$H$3003,$L357))</f>
      </c>
      <c r="D357" s="11">
        <f>IF($L357="","",SUMIFS('[1]粘贴_账务明细'!$K$4:$K$3003,'[1]粘贴_账务明细'!$A$4:$A$3003,$B357,'[1]粘贴_账务明细'!$L$4:$L$3003,"订单收入")+SUMIFS('[1]粘贴_账务明细'!$K$4:$K$3003,'[1]粘贴_账务明细'!$A$4:$A$3003,$B357,'[1]粘贴_账务明细'!$L$4:$L$3003,"优惠券结算"))</f>
      </c>
      <c r="E357" s="11">
        <f t="shared" si="0"/>
      </c>
      <c r="F357" s="11">
        <f>IF($L357="","",-SUMIFS('[1]粘贴_账务明细'!$K$4:$K$3003,'[1]粘贴_账务明细'!$A$4:$A$3003,$B357,'[1]粘贴_账务明细'!$L$4:$L$3003,"百亿补贴技术服务费"))</f>
      </c>
      <c r="G357" s="11">
        <f>IF($L357="","",SUMIFS('[1]粘贴_服务费返还'!$M$4:$M$3003,'[1]粘贴_服务费返还'!$N$4:$N$3003,$B357,'[1]粘贴_服务费返还'!$O$4:$O$3003,"返还"))</f>
      </c>
      <c r="H357" s="11">
        <f>IF($L357="","",SUMIFS('[1]粘贴_服务费返还'!$M$4:$M$3003,'[1]粘贴_服务费返还'!$N$4:$N$3003,$B357,'[1]粘贴_服务费返还'!$O$4:$O$3003,"扣回"))</f>
      </c>
      <c r="I357" s="11">
        <f t="shared" si="1"/>
      </c>
      <c r="J357" s="6">
        <f t="shared" si="2"/>
      </c>
      <c r="K357" s="10">
        <f t="shared" si="3"/>
      </c>
      <c r="L357" s="17">
        <f>IF(A357&gt;$H$5,"",MATCH(A357,'[1]粘贴_账务明细'!$O$4:$O$3003,0))</f>
      </c>
    </row>
    <row r="358">
      <c r="A358" s="10" t="n">
        <v>330</v>
      </c>
      <c r="B358" s="6">
        <f>IF($L358="","",INDEX('[1]粘贴_账务明细'!$A$4:$A$3003,$L358))</f>
      </c>
      <c r="C358" s="16">
        <f>IF($L358="","",INDEX('[1]粘贴_账务明细'!$H$4:$H$3003,$L358))</f>
      </c>
      <c r="D358" s="11">
        <f>IF($L358="","",SUMIFS('[1]粘贴_账务明细'!$K$4:$K$3003,'[1]粘贴_账务明细'!$A$4:$A$3003,$B358,'[1]粘贴_账务明细'!$L$4:$L$3003,"订单收入")+SUMIFS('[1]粘贴_账务明细'!$K$4:$K$3003,'[1]粘贴_账务明细'!$A$4:$A$3003,$B358,'[1]粘贴_账务明细'!$L$4:$L$3003,"优惠券结算"))</f>
      </c>
      <c r="E358" s="11">
        <f t="shared" si="0"/>
      </c>
      <c r="F358" s="11">
        <f>IF($L358="","",-SUMIFS('[1]粘贴_账务明细'!$K$4:$K$3003,'[1]粘贴_账务明细'!$A$4:$A$3003,$B358,'[1]粘贴_账务明细'!$L$4:$L$3003,"百亿补贴技术服务费"))</f>
      </c>
      <c r="G358" s="11">
        <f>IF($L358="","",SUMIFS('[1]粘贴_服务费返还'!$M$4:$M$3003,'[1]粘贴_服务费返还'!$N$4:$N$3003,$B358,'[1]粘贴_服务费返还'!$O$4:$O$3003,"返还"))</f>
      </c>
      <c r="H358" s="11">
        <f>IF($L358="","",SUMIFS('[1]粘贴_服务费返还'!$M$4:$M$3003,'[1]粘贴_服务费返还'!$N$4:$N$3003,$B358,'[1]粘贴_服务费返还'!$O$4:$O$3003,"扣回"))</f>
      </c>
      <c r="I358" s="11">
        <f t="shared" si="1"/>
      </c>
      <c r="J358" s="6">
        <f t="shared" si="2"/>
      </c>
      <c r="K358" s="10">
        <f t="shared" si="3"/>
      </c>
      <c r="L358" s="17">
        <f>IF(A358&gt;$H$5,"",MATCH(A358,'[1]粘贴_账务明细'!$O$4:$O$3003,0))</f>
      </c>
    </row>
    <row r="359">
      <c r="A359" s="10" t="n">
        <v>331</v>
      </c>
      <c r="B359" s="6">
        <f>IF($L359="","",INDEX('[1]粘贴_账务明细'!$A$4:$A$3003,$L359))</f>
      </c>
      <c r="C359" s="16">
        <f>IF($L359="","",INDEX('[1]粘贴_账务明细'!$H$4:$H$3003,$L359))</f>
      </c>
      <c r="D359" s="11">
        <f>IF($L359="","",SUMIFS('[1]粘贴_账务明细'!$K$4:$K$3003,'[1]粘贴_账务明细'!$A$4:$A$3003,$B359,'[1]粘贴_账务明细'!$L$4:$L$3003,"订单收入")+SUMIFS('[1]粘贴_账务明细'!$K$4:$K$3003,'[1]粘贴_账务明细'!$A$4:$A$3003,$B359,'[1]粘贴_账务明细'!$L$4:$L$3003,"优惠券结算"))</f>
      </c>
      <c r="E359" s="11">
        <f t="shared" si="0"/>
      </c>
      <c r="F359" s="11">
        <f>IF($L359="","",-SUMIFS('[1]粘贴_账务明细'!$K$4:$K$3003,'[1]粘贴_账务明细'!$A$4:$A$3003,$B359,'[1]粘贴_账务明细'!$L$4:$L$3003,"百亿补贴技术服务费"))</f>
      </c>
      <c r="G359" s="11">
        <f>IF($L359="","",SUMIFS('[1]粘贴_服务费返还'!$M$4:$M$3003,'[1]粘贴_服务费返还'!$N$4:$N$3003,$B359,'[1]粘贴_服务费返还'!$O$4:$O$3003,"返还"))</f>
      </c>
      <c r="H359" s="11">
        <f>IF($L359="","",SUMIFS('[1]粘贴_服务费返还'!$M$4:$M$3003,'[1]粘贴_服务费返还'!$N$4:$N$3003,$B359,'[1]粘贴_服务费返还'!$O$4:$O$3003,"扣回"))</f>
      </c>
      <c r="I359" s="11">
        <f t="shared" si="1"/>
      </c>
      <c r="J359" s="6">
        <f t="shared" si="2"/>
      </c>
      <c r="K359" s="10">
        <f t="shared" si="3"/>
      </c>
      <c r="L359" s="17">
        <f>IF(A359&gt;$H$5,"",MATCH(A359,'[1]粘贴_账务明细'!$O$4:$O$3003,0))</f>
      </c>
    </row>
    <row r="360">
      <c r="A360" s="10" t="n">
        <v>332</v>
      </c>
      <c r="B360" s="6">
        <f>IF($L360="","",INDEX('[1]粘贴_账务明细'!$A$4:$A$3003,$L360))</f>
      </c>
      <c r="C360" s="16">
        <f>IF($L360="","",INDEX('[1]粘贴_账务明细'!$H$4:$H$3003,$L360))</f>
      </c>
      <c r="D360" s="11">
        <f>IF($L360="","",SUMIFS('[1]粘贴_账务明细'!$K$4:$K$3003,'[1]粘贴_账务明细'!$A$4:$A$3003,$B360,'[1]粘贴_账务明细'!$L$4:$L$3003,"订单收入")+SUMIFS('[1]粘贴_账务明细'!$K$4:$K$3003,'[1]粘贴_账务明细'!$A$4:$A$3003,$B360,'[1]粘贴_账务明细'!$L$4:$L$3003,"优惠券结算"))</f>
      </c>
      <c r="E360" s="11">
        <f t="shared" si="0"/>
      </c>
      <c r="F360" s="11">
        <f>IF($L360="","",-SUMIFS('[1]粘贴_账务明细'!$K$4:$K$3003,'[1]粘贴_账务明细'!$A$4:$A$3003,$B360,'[1]粘贴_账务明细'!$L$4:$L$3003,"百亿补贴技术服务费"))</f>
      </c>
      <c r="G360" s="11">
        <f>IF($L360="","",SUMIFS('[1]粘贴_服务费返还'!$M$4:$M$3003,'[1]粘贴_服务费返还'!$N$4:$N$3003,$B360,'[1]粘贴_服务费返还'!$O$4:$O$3003,"返还"))</f>
      </c>
      <c r="H360" s="11">
        <f>IF($L360="","",SUMIFS('[1]粘贴_服务费返还'!$M$4:$M$3003,'[1]粘贴_服务费返还'!$N$4:$N$3003,$B360,'[1]粘贴_服务费返还'!$O$4:$O$3003,"扣回"))</f>
      </c>
      <c r="I360" s="11">
        <f t="shared" si="1"/>
      </c>
      <c r="J360" s="6">
        <f t="shared" si="2"/>
      </c>
      <c r="K360" s="10">
        <f t="shared" si="3"/>
      </c>
      <c r="L360" s="17">
        <f>IF(A360&gt;$H$5,"",MATCH(A360,'[1]粘贴_账务明细'!$O$4:$O$3003,0))</f>
      </c>
    </row>
    <row r="361">
      <c r="A361" s="10" t="n">
        <v>333</v>
      </c>
      <c r="B361" s="6">
        <f>IF($L361="","",INDEX('[1]粘贴_账务明细'!$A$4:$A$3003,$L361))</f>
      </c>
      <c r="C361" s="16">
        <f>IF($L361="","",INDEX('[1]粘贴_账务明细'!$H$4:$H$3003,$L361))</f>
      </c>
      <c r="D361" s="11">
        <f>IF($L361="","",SUMIFS('[1]粘贴_账务明细'!$K$4:$K$3003,'[1]粘贴_账务明细'!$A$4:$A$3003,$B361,'[1]粘贴_账务明细'!$L$4:$L$3003,"订单收入")+SUMIFS('[1]粘贴_账务明细'!$K$4:$K$3003,'[1]粘贴_账务明细'!$A$4:$A$3003,$B361,'[1]粘贴_账务明细'!$L$4:$L$3003,"优惠券结算"))</f>
      </c>
      <c r="E361" s="11">
        <f t="shared" si="0"/>
      </c>
      <c r="F361" s="11">
        <f>IF($L361="","",-SUMIFS('[1]粘贴_账务明细'!$K$4:$K$3003,'[1]粘贴_账务明细'!$A$4:$A$3003,$B361,'[1]粘贴_账务明细'!$L$4:$L$3003,"百亿补贴技术服务费"))</f>
      </c>
      <c r="G361" s="11">
        <f>IF($L361="","",SUMIFS('[1]粘贴_服务费返还'!$M$4:$M$3003,'[1]粘贴_服务费返还'!$N$4:$N$3003,$B361,'[1]粘贴_服务费返还'!$O$4:$O$3003,"返还"))</f>
      </c>
      <c r="H361" s="11">
        <f>IF($L361="","",SUMIFS('[1]粘贴_服务费返还'!$M$4:$M$3003,'[1]粘贴_服务费返还'!$N$4:$N$3003,$B361,'[1]粘贴_服务费返还'!$O$4:$O$3003,"扣回"))</f>
      </c>
      <c r="I361" s="11">
        <f t="shared" si="1"/>
      </c>
      <c r="J361" s="6">
        <f t="shared" si="2"/>
      </c>
      <c r="K361" s="10">
        <f t="shared" si="3"/>
      </c>
      <c r="L361" s="17">
        <f>IF(A361&gt;$H$5,"",MATCH(A361,'[1]粘贴_账务明细'!$O$4:$O$3003,0))</f>
      </c>
    </row>
    <row r="362">
      <c r="A362" s="10" t="n">
        <v>334</v>
      </c>
      <c r="B362" s="6">
        <f>IF($L362="","",INDEX('[1]粘贴_账务明细'!$A$4:$A$3003,$L362))</f>
      </c>
      <c r="C362" s="16">
        <f>IF($L362="","",INDEX('[1]粘贴_账务明细'!$H$4:$H$3003,$L362))</f>
      </c>
      <c r="D362" s="11">
        <f>IF($L362="","",SUMIFS('[1]粘贴_账务明细'!$K$4:$K$3003,'[1]粘贴_账务明细'!$A$4:$A$3003,$B362,'[1]粘贴_账务明细'!$L$4:$L$3003,"订单收入")+SUMIFS('[1]粘贴_账务明细'!$K$4:$K$3003,'[1]粘贴_账务明细'!$A$4:$A$3003,$B362,'[1]粘贴_账务明细'!$L$4:$L$3003,"优惠券结算"))</f>
      </c>
      <c r="E362" s="11">
        <f t="shared" si="0"/>
      </c>
      <c r="F362" s="11">
        <f>IF($L362="","",-SUMIFS('[1]粘贴_账务明细'!$K$4:$K$3003,'[1]粘贴_账务明细'!$A$4:$A$3003,$B362,'[1]粘贴_账务明细'!$L$4:$L$3003,"百亿补贴技术服务费"))</f>
      </c>
      <c r="G362" s="11">
        <f>IF($L362="","",SUMIFS('[1]粘贴_服务费返还'!$M$4:$M$3003,'[1]粘贴_服务费返还'!$N$4:$N$3003,$B362,'[1]粘贴_服务费返还'!$O$4:$O$3003,"返还"))</f>
      </c>
      <c r="H362" s="11">
        <f>IF($L362="","",SUMIFS('[1]粘贴_服务费返还'!$M$4:$M$3003,'[1]粘贴_服务费返还'!$N$4:$N$3003,$B362,'[1]粘贴_服务费返还'!$O$4:$O$3003,"扣回"))</f>
      </c>
      <c r="I362" s="11">
        <f t="shared" si="1"/>
      </c>
      <c r="J362" s="6">
        <f t="shared" si="2"/>
      </c>
      <c r="K362" s="10">
        <f t="shared" si="3"/>
      </c>
      <c r="L362" s="17">
        <f>IF(A362&gt;$H$5,"",MATCH(A362,'[1]粘贴_账务明细'!$O$4:$O$3003,0))</f>
      </c>
    </row>
    <row r="363">
      <c r="A363" s="10" t="n">
        <v>335</v>
      </c>
      <c r="B363" s="6">
        <f>IF($L363="","",INDEX('[1]粘贴_账务明细'!$A$4:$A$3003,$L363))</f>
      </c>
      <c r="C363" s="16">
        <f>IF($L363="","",INDEX('[1]粘贴_账务明细'!$H$4:$H$3003,$L363))</f>
      </c>
      <c r="D363" s="11">
        <f>IF($L363="","",SUMIFS('[1]粘贴_账务明细'!$K$4:$K$3003,'[1]粘贴_账务明细'!$A$4:$A$3003,$B363,'[1]粘贴_账务明细'!$L$4:$L$3003,"订单收入")+SUMIFS('[1]粘贴_账务明细'!$K$4:$K$3003,'[1]粘贴_账务明细'!$A$4:$A$3003,$B363,'[1]粘贴_账务明细'!$L$4:$L$3003,"优惠券结算"))</f>
      </c>
      <c r="E363" s="11">
        <f t="shared" si="0"/>
      </c>
      <c r="F363" s="11">
        <f>IF($L363="","",-SUMIFS('[1]粘贴_账务明细'!$K$4:$K$3003,'[1]粘贴_账务明细'!$A$4:$A$3003,$B363,'[1]粘贴_账务明细'!$L$4:$L$3003,"百亿补贴技术服务费"))</f>
      </c>
      <c r="G363" s="11">
        <f>IF($L363="","",SUMIFS('[1]粘贴_服务费返还'!$M$4:$M$3003,'[1]粘贴_服务费返还'!$N$4:$N$3003,$B363,'[1]粘贴_服务费返还'!$O$4:$O$3003,"返还"))</f>
      </c>
      <c r="H363" s="11">
        <f>IF($L363="","",SUMIFS('[1]粘贴_服务费返还'!$M$4:$M$3003,'[1]粘贴_服务费返还'!$N$4:$N$3003,$B363,'[1]粘贴_服务费返还'!$O$4:$O$3003,"扣回"))</f>
      </c>
      <c r="I363" s="11">
        <f t="shared" si="1"/>
      </c>
      <c r="J363" s="6">
        <f t="shared" si="2"/>
      </c>
      <c r="K363" s="10">
        <f t="shared" si="3"/>
      </c>
      <c r="L363" s="17">
        <f>IF(A363&gt;$H$5,"",MATCH(A363,'[1]粘贴_账务明细'!$O$4:$O$3003,0))</f>
      </c>
    </row>
    <row r="364">
      <c r="A364" s="10" t="n">
        <v>336</v>
      </c>
      <c r="B364" s="6">
        <f>IF($L364="","",INDEX('[1]粘贴_账务明细'!$A$4:$A$3003,$L364))</f>
      </c>
      <c r="C364" s="16">
        <f>IF($L364="","",INDEX('[1]粘贴_账务明细'!$H$4:$H$3003,$L364))</f>
      </c>
      <c r="D364" s="11">
        <f>IF($L364="","",SUMIFS('[1]粘贴_账务明细'!$K$4:$K$3003,'[1]粘贴_账务明细'!$A$4:$A$3003,$B364,'[1]粘贴_账务明细'!$L$4:$L$3003,"订单收入")+SUMIFS('[1]粘贴_账务明细'!$K$4:$K$3003,'[1]粘贴_账务明细'!$A$4:$A$3003,$B364,'[1]粘贴_账务明细'!$L$4:$L$3003,"优惠券结算"))</f>
      </c>
      <c r="E364" s="11">
        <f t="shared" si="0"/>
      </c>
      <c r="F364" s="11">
        <f>IF($L364="","",-SUMIFS('[1]粘贴_账务明细'!$K$4:$K$3003,'[1]粘贴_账务明细'!$A$4:$A$3003,$B364,'[1]粘贴_账务明细'!$L$4:$L$3003,"百亿补贴技术服务费"))</f>
      </c>
      <c r="G364" s="11">
        <f>IF($L364="","",SUMIFS('[1]粘贴_服务费返还'!$M$4:$M$3003,'[1]粘贴_服务费返还'!$N$4:$N$3003,$B364,'[1]粘贴_服务费返还'!$O$4:$O$3003,"返还"))</f>
      </c>
      <c r="H364" s="11">
        <f>IF($L364="","",SUMIFS('[1]粘贴_服务费返还'!$M$4:$M$3003,'[1]粘贴_服务费返还'!$N$4:$N$3003,$B364,'[1]粘贴_服务费返还'!$O$4:$O$3003,"扣回"))</f>
      </c>
      <c r="I364" s="11">
        <f t="shared" si="1"/>
      </c>
      <c r="J364" s="6">
        <f t="shared" si="2"/>
      </c>
      <c r="K364" s="10">
        <f t="shared" si="3"/>
      </c>
      <c r="L364" s="17">
        <f>IF(A364&gt;$H$5,"",MATCH(A364,'[1]粘贴_账务明细'!$O$4:$O$3003,0))</f>
      </c>
    </row>
    <row r="365">
      <c r="A365" s="10" t="n">
        <v>337</v>
      </c>
      <c r="B365" s="6">
        <f>IF($L365="","",INDEX('[1]粘贴_账务明细'!$A$4:$A$3003,$L365))</f>
      </c>
      <c r="C365" s="16">
        <f>IF($L365="","",INDEX('[1]粘贴_账务明细'!$H$4:$H$3003,$L365))</f>
      </c>
      <c r="D365" s="11">
        <f>IF($L365="","",SUMIFS('[1]粘贴_账务明细'!$K$4:$K$3003,'[1]粘贴_账务明细'!$A$4:$A$3003,$B365,'[1]粘贴_账务明细'!$L$4:$L$3003,"订单收入")+SUMIFS('[1]粘贴_账务明细'!$K$4:$K$3003,'[1]粘贴_账务明细'!$A$4:$A$3003,$B365,'[1]粘贴_账务明细'!$L$4:$L$3003,"优惠券结算"))</f>
      </c>
      <c r="E365" s="11">
        <f t="shared" si="0"/>
      </c>
      <c r="F365" s="11">
        <f>IF($L365="","",-SUMIFS('[1]粘贴_账务明细'!$K$4:$K$3003,'[1]粘贴_账务明细'!$A$4:$A$3003,$B365,'[1]粘贴_账务明细'!$L$4:$L$3003,"百亿补贴技术服务费"))</f>
      </c>
      <c r="G365" s="11">
        <f>IF($L365="","",SUMIFS('[1]粘贴_服务费返还'!$M$4:$M$3003,'[1]粘贴_服务费返还'!$N$4:$N$3003,$B365,'[1]粘贴_服务费返还'!$O$4:$O$3003,"返还"))</f>
      </c>
      <c r="H365" s="11">
        <f>IF($L365="","",SUMIFS('[1]粘贴_服务费返还'!$M$4:$M$3003,'[1]粘贴_服务费返还'!$N$4:$N$3003,$B365,'[1]粘贴_服务费返还'!$O$4:$O$3003,"扣回"))</f>
      </c>
      <c r="I365" s="11">
        <f t="shared" si="1"/>
      </c>
      <c r="J365" s="6">
        <f t="shared" si="2"/>
      </c>
      <c r="K365" s="10">
        <f t="shared" si="3"/>
      </c>
      <c r="L365" s="17">
        <f>IF(A365&gt;$H$5,"",MATCH(A365,'[1]粘贴_账务明细'!$O$4:$O$3003,0))</f>
      </c>
    </row>
    <row r="366">
      <c r="A366" s="10" t="n">
        <v>338</v>
      </c>
      <c r="B366" s="6">
        <f>IF($L366="","",INDEX('[1]粘贴_账务明细'!$A$4:$A$3003,$L366))</f>
      </c>
      <c r="C366" s="16">
        <f>IF($L366="","",INDEX('[1]粘贴_账务明细'!$H$4:$H$3003,$L366))</f>
      </c>
      <c r="D366" s="11">
        <f>IF($L366="","",SUMIFS('[1]粘贴_账务明细'!$K$4:$K$3003,'[1]粘贴_账务明细'!$A$4:$A$3003,$B366,'[1]粘贴_账务明细'!$L$4:$L$3003,"订单收入")+SUMIFS('[1]粘贴_账务明细'!$K$4:$K$3003,'[1]粘贴_账务明细'!$A$4:$A$3003,$B366,'[1]粘贴_账务明细'!$L$4:$L$3003,"优惠券结算"))</f>
      </c>
      <c r="E366" s="11">
        <f t="shared" si="0"/>
      </c>
      <c r="F366" s="11">
        <f>IF($L366="","",-SUMIFS('[1]粘贴_账务明细'!$K$4:$K$3003,'[1]粘贴_账务明细'!$A$4:$A$3003,$B366,'[1]粘贴_账务明细'!$L$4:$L$3003,"百亿补贴技术服务费"))</f>
      </c>
      <c r="G366" s="11">
        <f>IF($L366="","",SUMIFS('[1]粘贴_服务费返还'!$M$4:$M$3003,'[1]粘贴_服务费返还'!$N$4:$N$3003,$B366,'[1]粘贴_服务费返还'!$O$4:$O$3003,"返还"))</f>
      </c>
      <c r="H366" s="11">
        <f>IF($L366="","",SUMIFS('[1]粘贴_服务费返还'!$M$4:$M$3003,'[1]粘贴_服务费返还'!$N$4:$N$3003,$B366,'[1]粘贴_服务费返还'!$O$4:$O$3003,"扣回"))</f>
      </c>
      <c r="I366" s="11">
        <f t="shared" si="1"/>
      </c>
      <c r="J366" s="6">
        <f t="shared" si="2"/>
      </c>
      <c r="K366" s="10">
        <f t="shared" si="3"/>
      </c>
      <c r="L366" s="17">
        <f>IF(A366&gt;$H$5,"",MATCH(A366,'[1]粘贴_账务明细'!$O$4:$O$3003,0))</f>
      </c>
    </row>
    <row r="367">
      <c r="A367" s="10" t="n">
        <v>339</v>
      </c>
      <c r="B367" s="6">
        <f>IF($L367="","",INDEX('[1]粘贴_账务明细'!$A$4:$A$3003,$L367))</f>
      </c>
      <c r="C367" s="16">
        <f>IF($L367="","",INDEX('[1]粘贴_账务明细'!$H$4:$H$3003,$L367))</f>
      </c>
      <c r="D367" s="11">
        <f>IF($L367="","",SUMIFS('[1]粘贴_账务明细'!$K$4:$K$3003,'[1]粘贴_账务明细'!$A$4:$A$3003,$B367,'[1]粘贴_账务明细'!$L$4:$L$3003,"订单收入")+SUMIFS('[1]粘贴_账务明细'!$K$4:$K$3003,'[1]粘贴_账务明细'!$A$4:$A$3003,$B367,'[1]粘贴_账务明细'!$L$4:$L$3003,"优惠券结算"))</f>
      </c>
      <c r="E367" s="11">
        <f t="shared" si="0"/>
      </c>
      <c r="F367" s="11">
        <f>IF($L367="","",-SUMIFS('[1]粘贴_账务明细'!$K$4:$K$3003,'[1]粘贴_账务明细'!$A$4:$A$3003,$B367,'[1]粘贴_账务明细'!$L$4:$L$3003,"百亿补贴技术服务费"))</f>
      </c>
      <c r="G367" s="11">
        <f>IF($L367="","",SUMIFS('[1]粘贴_服务费返还'!$M$4:$M$3003,'[1]粘贴_服务费返还'!$N$4:$N$3003,$B367,'[1]粘贴_服务费返还'!$O$4:$O$3003,"返还"))</f>
      </c>
      <c r="H367" s="11">
        <f>IF($L367="","",SUMIFS('[1]粘贴_服务费返还'!$M$4:$M$3003,'[1]粘贴_服务费返还'!$N$4:$N$3003,$B367,'[1]粘贴_服务费返还'!$O$4:$O$3003,"扣回"))</f>
      </c>
      <c r="I367" s="11">
        <f t="shared" si="1"/>
      </c>
      <c r="J367" s="6">
        <f t="shared" si="2"/>
      </c>
      <c r="K367" s="10">
        <f t="shared" si="3"/>
      </c>
      <c r="L367" s="17">
        <f>IF(A367&gt;$H$5,"",MATCH(A367,'[1]粘贴_账务明细'!$O$4:$O$3003,0))</f>
      </c>
    </row>
    <row r="368">
      <c r="A368" s="10" t="n">
        <v>340</v>
      </c>
      <c r="B368" s="6">
        <f>IF($L368="","",INDEX('[1]粘贴_账务明细'!$A$4:$A$3003,$L368))</f>
      </c>
      <c r="C368" s="16">
        <f>IF($L368="","",INDEX('[1]粘贴_账务明细'!$H$4:$H$3003,$L368))</f>
      </c>
      <c r="D368" s="11">
        <f>IF($L368="","",SUMIFS('[1]粘贴_账务明细'!$K$4:$K$3003,'[1]粘贴_账务明细'!$A$4:$A$3003,$B368,'[1]粘贴_账务明细'!$L$4:$L$3003,"订单收入")+SUMIFS('[1]粘贴_账务明细'!$K$4:$K$3003,'[1]粘贴_账务明细'!$A$4:$A$3003,$B368,'[1]粘贴_账务明细'!$L$4:$L$3003,"优惠券结算"))</f>
      </c>
      <c r="E368" s="11">
        <f t="shared" si="0"/>
      </c>
      <c r="F368" s="11">
        <f>IF($L368="","",-SUMIFS('[1]粘贴_账务明细'!$K$4:$K$3003,'[1]粘贴_账务明细'!$A$4:$A$3003,$B368,'[1]粘贴_账务明细'!$L$4:$L$3003,"百亿补贴技术服务费"))</f>
      </c>
      <c r="G368" s="11">
        <f>IF($L368="","",SUMIFS('[1]粘贴_服务费返还'!$M$4:$M$3003,'[1]粘贴_服务费返还'!$N$4:$N$3003,$B368,'[1]粘贴_服务费返还'!$O$4:$O$3003,"返还"))</f>
      </c>
      <c r="H368" s="11">
        <f>IF($L368="","",SUMIFS('[1]粘贴_服务费返还'!$M$4:$M$3003,'[1]粘贴_服务费返还'!$N$4:$N$3003,$B368,'[1]粘贴_服务费返还'!$O$4:$O$3003,"扣回"))</f>
      </c>
      <c r="I368" s="11">
        <f t="shared" si="1"/>
      </c>
      <c r="J368" s="6">
        <f t="shared" si="2"/>
      </c>
      <c r="K368" s="10">
        <f t="shared" si="3"/>
      </c>
      <c r="L368" s="17">
        <f>IF(A368&gt;$H$5,"",MATCH(A368,'[1]粘贴_账务明细'!$O$4:$O$3003,0))</f>
      </c>
    </row>
    <row r="369">
      <c r="A369" s="10" t="n">
        <v>341</v>
      </c>
      <c r="B369" s="6">
        <f>IF($L369="","",INDEX('[1]粘贴_账务明细'!$A$4:$A$3003,$L369))</f>
      </c>
      <c r="C369" s="16">
        <f>IF($L369="","",INDEX('[1]粘贴_账务明细'!$H$4:$H$3003,$L369))</f>
      </c>
      <c r="D369" s="11">
        <f>IF($L369="","",SUMIFS('[1]粘贴_账务明细'!$K$4:$K$3003,'[1]粘贴_账务明细'!$A$4:$A$3003,$B369,'[1]粘贴_账务明细'!$L$4:$L$3003,"订单收入")+SUMIFS('[1]粘贴_账务明细'!$K$4:$K$3003,'[1]粘贴_账务明细'!$A$4:$A$3003,$B369,'[1]粘贴_账务明细'!$L$4:$L$3003,"优惠券结算"))</f>
      </c>
      <c r="E369" s="11">
        <f t="shared" si="0"/>
      </c>
      <c r="F369" s="11">
        <f>IF($L369="","",-SUMIFS('[1]粘贴_账务明细'!$K$4:$K$3003,'[1]粘贴_账务明细'!$A$4:$A$3003,$B369,'[1]粘贴_账务明细'!$L$4:$L$3003,"百亿补贴技术服务费"))</f>
      </c>
      <c r="G369" s="11">
        <f>IF($L369="","",SUMIFS('[1]粘贴_服务费返还'!$M$4:$M$3003,'[1]粘贴_服务费返还'!$N$4:$N$3003,$B369,'[1]粘贴_服务费返还'!$O$4:$O$3003,"返还"))</f>
      </c>
      <c r="H369" s="11">
        <f>IF($L369="","",SUMIFS('[1]粘贴_服务费返还'!$M$4:$M$3003,'[1]粘贴_服务费返还'!$N$4:$N$3003,$B369,'[1]粘贴_服务费返还'!$O$4:$O$3003,"扣回"))</f>
      </c>
      <c r="I369" s="11">
        <f t="shared" si="1"/>
      </c>
      <c r="J369" s="6">
        <f t="shared" si="2"/>
      </c>
      <c r="K369" s="10">
        <f t="shared" si="3"/>
      </c>
      <c r="L369" s="17">
        <f>IF(A369&gt;$H$5,"",MATCH(A369,'[1]粘贴_账务明细'!$O$4:$O$3003,0))</f>
      </c>
    </row>
    <row r="370">
      <c r="A370" s="10" t="n">
        <v>342</v>
      </c>
      <c r="B370" s="6">
        <f>IF($L370="","",INDEX('[1]粘贴_账务明细'!$A$4:$A$3003,$L370))</f>
      </c>
      <c r="C370" s="16">
        <f>IF($L370="","",INDEX('[1]粘贴_账务明细'!$H$4:$H$3003,$L370))</f>
      </c>
      <c r="D370" s="11">
        <f>IF($L370="","",SUMIFS('[1]粘贴_账务明细'!$K$4:$K$3003,'[1]粘贴_账务明细'!$A$4:$A$3003,$B370,'[1]粘贴_账务明细'!$L$4:$L$3003,"订单收入")+SUMIFS('[1]粘贴_账务明细'!$K$4:$K$3003,'[1]粘贴_账务明细'!$A$4:$A$3003,$B370,'[1]粘贴_账务明细'!$L$4:$L$3003,"优惠券结算"))</f>
      </c>
      <c r="E370" s="11">
        <f t="shared" si="0"/>
      </c>
      <c r="F370" s="11">
        <f>IF($L370="","",-SUMIFS('[1]粘贴_账务明细'!$K$4:$K$3003,'[1]粘贴_账务明细'!$A$4:$A$3003,$B370,'[1]粘贴_账务明细'!$L$4:$L$3003,"百亿补贴技术服务费"))</f>
      </c>
      <c r="G370" s="11">
        <f>IF($L370="","",SUMIFS('[1]粘贴_服务费返还'!$M$4:$M$3003,'[1]粘贴_服务费返还'!$N$4:$N$3003,$B370,'[1]粘贴_服务费返还'!$O$4:$O$3003,"返还"))</f>
      </c>
      <c r="H370" s="11">
        <f>IF($L370="","",SUMIFS('[1]粘贴_服务费返还'!$M$4:$M$3003,'[1]粘贴_服务费返还'!$N$4:$N$3003,$B370,'[1]粘贴_服务费返还'!$O$4:$O$3003,"扣回"))</f>
      </c>
      <c r="I370" s="11">
        <f t="shared" si="1"/>
      </c>
      <c r="J370" s="6">
        <f t="shared" si="2"/>
      </c>
      <c r="K370" s="10">
        <f t="shared" si="3"/>
      </c>
      <c r="L370" s="17">
        <f>IF(A370&gt;$H$5,"",MATCH(A370,'[1]粘贴_账务明细'!$O$4:$O$3003,0))</f>
      </c>
    </row>
    <row r="371">
      <c r="A371" s="10" t="n">
        <v>343</v>
      </c>
      <c r="B371" s="6">
        <f>IF($L371="","",INDEX('[1]粘贴_账务明细'!$A$4:$A$3003,$L371))</f>
      </c>
      <c r="C371" s="16">
        <f>IF($L371="","",INDEX('[1]粘贴_账务明细'!$H$4:$H$3003,$L371))</f>
      </c>
      <c r="D371" s="11">
        <f>IF($L371="","",SUMIFS('[1]粘贴_账务明细'!$K$4:$K$3003,'[1]粘贴_账务明细'!$A$4:$A$3003,$B371,'[1]粘贴_账务明细'!$L$4:$L$3003,"订单收入")+SUMIFS('[1]粘贴_账务明细'!$K$4:$K$3003,'[1]粘贴_账务明细'!$A$4:$A$3003,$B371,'[1]粘贴_账务明细'!$L$4:$L$3003,"优惠券结算"))</f>
      </c>
      <c r="E371" s="11">
        <f t="shared" si="0"/>
      </c>
      <c r="F371" s="11">
        <f>IF($L371="","",-SUMIFS('[1]粘贴_账务明细'!$K$4:$K$3003,'[1]粘贴_账务明细'!$A$4:$A$3003,$B371,'[1]粘贴_账务明细'!$L$4:$L$3003,"百亿补贴技术服务费"))</f>
      </c>
      <c r="G371" s="11">
        <f>IF($L371="","",SUMIFS('[1]粘贴_服务费返还'!$M$4:$M$3003,'[1]粘贴_服务费返还'!$N$4:$N$3003,$B371,'[1]粘贴_服务费返还'!$O$4:$O$3003,"返还"))</f>
      </c>
      <c r="H371" s="11">
        <f>IF($L371="","",SUMIFS('[1]粘贴_服务费返还'!$M$4:$M$3003,'[1]粘贴_服务费返还'!$N$4:$N$3003,$B371,'[1]粘贴_服务费返还'!$O$4:$O$3003,"扣回"))</f>
      </c>
      <c r="I371" s="11">
        <f t="shared" si="1"/>
      </c>
      <c r="J371" s="6">
        <f t="shared" si="2"/>
      </c>
      <c r="K371" s="10">
        <f t="shared" si="3"/>
      </c>
      <c r="L371" s="17">
        <f>IF(A371&gt;$H$5,"",MATCH(A371,'[1]粘贴_账务明细'!$O$4:$O$3003,0))</f>
      </c>
    </row>
    <row r="372">
      <c r="A372" s="10" t="n">
        <v>344</v>
      </c>
      <c r="B372" s="6">
        <f>IF($L372="","",INDEX('[1]粘贴_账务明细'!$A$4:$A$3003,$L372))</f>
      </c>
      <c r="C372" s="16">
        <f>IF($L372="","",INDEX('[1]粘贴_账务明细'!$H$4:$H$3003,$L372))</f>
      </c>
      <c r="D372" s="11">
        <f>IF($L372="","",SUMIFS('[1]粘贴_账务明细'!$K$4:$K$3003,'[1]粘贴_账务明细'!$A$4:$A$3003,$B372,'[1]粘贴_账务明细'!$L$4:$L$3003,"订单收入")+SUMIFS('[1]粘贴_账务明细'!$K$4:$K$3003,'[1]粘贴_账务明细'!$A$4:$A$3003,$B372,'[1]粘贴_账务明细'!$L$4:$L$3003,"优惠券结算"))</f>
      </c>
      <c r="E372" s="11">
        <f t="shared" si="0"/>
      </c>
      <c r="F372" s="11">
        <f>IF($L372="","",-SUMIFS('[1]粘贴_账务明细'!$K$4:$K$3003,'[1]粘贴_账务明细'!$A$4:$A$3003,$B372,'[1]粘贴_账务明细'!$L$4:$L$3003,"百亿补贴技术服务费"))</f>
      </c>
      <c r="G372" s="11">
        <f>IF($L372="","",SUMIFS('[1]粘贴_服务费返还'!$M$4:$M$3003,'[1]粘贴_服务费返还'!$N$4:$N$3003,$B372,'[1]粘贴_服务费返还'!$O$4:$O$3003,"返还"))</f>
      </c>
      <c r="H372" s="11">
        <f>IF($L372="","",SUMIFS('[1]粘贴_服务费返还'!$M$4:$M$3003,'[1]粘贴_服务费返还'!$N$4:$N$3003,$B372,'[1]粘贴_服务费返还'!$O$4:$O$3003,"扣回"))</f>
      </c>
      <c r="I372" s="11">
        <f t="shared" si="1"/>
      </c>
      <c r="J372" s="6">
        <f t="shared" si="2"/>
      </c>
      <c r="K372" s="10">
        <f t="shared" si="3"/>
      </c>
      <c r="L372" s="17">
        <f>IF(A372&gt;$H$5,"",MATCH(A372,'[1]粘贴_账务明细'!$O$4:$O$3003,0))</f>
      </c>
    </row>
    <row r="373">
      <c r="A373" s="10" t="n">
        <v>345</v>
      </c>
      <c r="B373" s="6">
        <f>IF($L373="","",INDEX('[1]粘贴_账务明细'!$A$4:$A$3003,$L373))</f>
      </c>
      <c r="C373" s="16">
        <f>IF($L373="","",INDEX('[1]粘贴_账务明细'!$H$4:$H$3003,$L373))</f>
      </c>
      <c r="D373" s="11">
        <f>IF($L373="","",SUMIFS('[1]粘贴_账务明细'!$K$4:$K$3003,'[1]粘贴_账务明细'!$A$4:$A$3003,$B373,'[1]粘贴_账务明细'!$L$4:$L$3003,"订单收入")+SUMIFS('[1]粘贴_账务明细'!$K$4:$K$3003,'[1]粘贴_账务明细'!$A$4:$A$3003,$B373,'[1]粘贴_账务明细'!$L$4:$L$3003,"优惠券结算"))</f>
      </c>
      <c r="E373" s="11">
        <f t="shared" si="0"/>
      </c>
      <c r="F373" s="11">
        <f>IF($L373="","",-SUMIFS('[1]粘贴_账务明细'!$K$4:$K$3003,'[1]粘贴_账务明细'!$A$4:$A$3003,$B373,'[1]粘贴_账务明细'!$L$4:$L$3003,"百亿补贴技术服务费"))</f>
      </c>
      <c r="G373" s="11">
        <f>IF($L373="","",SUMIFS('[1]粘贴_服务费返还'!$M$4:$M$3003,'[1]粘贴_服务费返还'!$N$4:$N$3003,$B373,'[1]粘贴_服务费返还'!$O$4:$O$3003,"返还"))</f>
      </c>
      <c r="H373" s="11">
        <f>IF($L373="","",SUMIFS('[1]粘贴_服务费返还'!$M$4:$M$3003,'[1]粘贴_服务费返还'!$N$4:$N$3003,$B373,'[1]粘贴_服务费返还'!$O$4:$O$3003,"扣回"))</f>
      </c>
      <c r="I373" s="11">
        <f t="shared" si="1"/>
      </c>
      <c r="J373" s="6">
        <f t="shared" si="2"/>
      </c>
      <c r="K373" s="10">
        <f t="shared" si="3"/>
      </c>
      <c r="L373" s="17">
        <f>IF(A373&gt;$H$5,"",MATCH(A373,'[1]粘贴_账务明细'!$O$4:$O$3003,0))</f>
      </c>
    </row>
    <row r="374">
      <c r="A374" s="10" t="n">
        <v>346</v>
      </c>
      <c r="B374" s="6">
        <f>IF($L374="","",INDEX('[1]粘贴_账务明细'!$A$4:$A$3003,$L374))</f>
      </c>
      <c r="C374" s="16">
        <f>IF($L374="","",INDEX('[1]粘贴_账务明细'!$H$4:$H$3003,$L374))</f>
      </c>
      <c r="D374" s="11">
        <f>IF($L374="","",SUMIFS('[1]粘贴_账务明细'!$K$4:$K$3003,'[1]粘贴_账务明细'!$A$4:$A$3003,$B374,'[1]粘贴_账务明细'!$L$4:$L$3003,"订单收入")+SUMIFS('[1]粘贴_账务明细'!$K$4:$K$3003,'[1]粘贴_账务明细'!$A$4:$A$3003,$B374,'[1]粘贴_账务明细'!$L$4:$L$3003,"优惠券结算"))</f>
      </c>
      <c r="E374" s="11">
        <f t="shared" si="0"/>
      </c>
      <c r="F374" s="11">
        <f>IF($L374="","",-SUMIFS('[1]粘贴_账务明细'!$K$4:$K$3003,'[1]粘贴_账务明细'!$A$4:$A$3003,$B374,'[1]粘贴_账务明细'!$L$4:$L$3003,"百亿补贴技术服务费"))</f>
      </c>
      <c r="G374" s="11">
        <f>IF($L374="","",SUMIFS('[1]粘贴_服务费返还'!$M$4:$M$3003,'[1]粘贴_服务费返还'!$N$4:$N$3003,$B374,'[1]粘贴_服务费返还'!$O$4:$O$3003,"返还"))</f>
      </c>
      <c r="H374" s="11">
        <f>IF($L374="","",SUMIFS('[1]粘贴_服务费返还'!$M$4:$M$3003,'[1]粘贴_服务费返还'!$N$4:$N$3003,$B374,'[1]粘贴_服务费返还'!$O$4:$O$3003,"扣回"))</f>
      </c>
      <c r="I374" s="11">
        <f t="shared" si="1"/>
      </c>
      <c r="J374" s="6">
        <f t="shared" si="2"/>
      </c>
      <c r="K374" s="10">
        <f t="shared" si="3"/>
      </c>
      <c r="L374" s="17">
        <f>IF(A374&gt;$H$5,"",MATCH(A374,'[1]粘贴_账务明细'!$O$4:$O$3003,0))</f>
      </c>
    </row>
    <row r="375">
      <c r="A375" s="10" t="n">
        <v>347</v>
      </c>
      <c r="B375" s="6">
        <f>IF($L375="","",INDEX('[1]粘贴_账务明细'!$A$4:$A$3003,$L375))</f>
      </c>
      <c r="C375" s="16">
        <f>IF($L375="","",INDEX('[1]粘贴_账务明细'!$H$4:$H$3003,$L375))</f>
      </c>
      <c r="D375" s="11">
        <f>IF($L375="","",SUMIFS('[1]粘贴_账务明细'!$K$4:$K$3003,'[1]粘贴_账务明细'!$A$4:$A$3003,$B375,'[1]粘贴_账务明细'!$L$4:$L$3003,"订单收入")+SUMIFS('[1]粘贴_账务明细'!$K$4:$K$3003,'[1]粘贴_账务明细'!$A$4:$A$3003,$B375,'[1]粘贴_账务明细'!$L$4:$L$3003,"优惠券结算"))</f>
      </c>
      <c r="E375" s="11">
        <f t="shared" si="0"/>
      </c>
      <c r="F375" s="11">
        <f>IF($L375="","",-SUMIFS('[1]粘贴_账务明细'!$K$4:$K$3003,'[1]粘贴_账务明细'!$A$4:$A$3003,$B375,'[1]粘贴_账务明细'!$L$4:$L$3003,"百亿补贴技术服务费"))</f>
      </c>
      <c r="G375" s="11">
        <f>IF($L375="","",SUMIFS('[1]粘贴_服务费返还'!$M$4:$M$3003,'[1]粘贴_服务费返还'!$N$4:$N$3003,$B375,'[1]粘贴_服务费返还'!$O$4:$O$3003,"返还"))</f>
      </c>
      <c r="H375" s="11">
        <f>IF($L375="","",SUMIFS('[1]粘贴_服务费返还'!$M$4:$M$3003,'[1]粘贴_服务费返还'!$N$4:$N$3003,$B375,'[1]粘贴_服务费返还'!$O$4:$O$3003,"扣回"))</f>
      </c>
      <c r="I375" s="11">
        <f t="shared" si="1"/>
      </c>
      <c r="J375" s="6">
        <f t="shared" si="2"/>
      </c>
      <c r="K375" s="10">
        <f t="shared" si="3"/>
      </c>
      <c r="L375" s="17">
        <f>IF(A375&gt;$H$5,"",MATCH(A375,'[1]粘贴_账务明细'!$O$4:$O$3003,0))</f>
      </c>
    </row>
    <row r="376">
      <c r="A376" s="10" t="n">
        <v>348</v>
      </c>
      <c r="B376" s="6">
        <f>IF($L376="","",INDEX('[1]粘贴_账务明细'!$A$4:$A$3003,$L376))</f>
      </c>
      <c r="C376" s="16">
        <f>IF($L376="","",INDEX('[1]粘贴_账务明细'!$H$4:$H$3003,$L376))</f>
      </c>
      <c r="D376" s="11">
        <f>IF($L376="","",SUMIFS('[1]粘贴_账务明细'!$K$4:$K$3003,'[1]粘贴_账务明细'!$A$4:$A$3003,$B376,'[1]粘贴_账务明细'!$L$4:$L$3003,"订单收入")+SUMIFS('[1]粘贴_账务明细'!$K$4:$K$3003,'[1]粘贴_账务明细'!$A$4:$A$3003,$B376,'[1]粘贴_账务明细'!$L$4:$L$3003,"优惠券结算"))</f>
      </c>
      <c r="E376" s="11">
        <f t="shared" si="0"/>
      </c>
      <c r="F376" s="11">
        <f>IF($L376="","",-SUMIFS('[1]粘贴_账务明细'!$K$4:$K$3003,'[1]粘贴_账务明细'!$A$4:$A$3003,$B376,'[1]粘贴_账务明细'!$L$4:$L$3003,"百亿补贴技术服务费"))</f>
      </c>
      <c r="G376" s="11">
        <f>IF($L376="","",SUMIFS('[1]粘贴_服务费返还'!$M$4:$M$3003,'[1]粘贴_服务费返还'!$N$4:$N$3003,$B376,'[1]粘贴_服务费返还'!$O$4:$O$3003,"返还"))</f>
      </c>
      <c r="H376" s="11">
        <f>IF($L376="","",SUMIFS('[1]粘贴_服务费返还'!$M$4:$M$3003,'[1]粘贴_服务费返还'!$N$4:$N$3003,$B376,'[1]粘贴_服务费返还'!$O$4:$O$3003,"扣回"))</f>
      </c>
      <c r="I376" s="11">
        <f t="shared" si="1"/>
      </c>
      <c r="J376" s="6">
        <f t="shared" si="2"/>
      </c>
      <c r="K376" s="10">
        <f t="shared" si="3"/>
      </c>
      <c r="L376" s="17">
        <f>IF(A376&gt;$H$5,"",MATCH(A376,'[1]粘贴_账务明细'!$O$4:$O$3003,0))</f>
      </c>
    </row>
    <row r="377">
      <c r="A377" s="10" t="n">
        <v>349</v>
      </c>
      <c r="B377" s="6">
        <f>IF($L377="","",INDEX('[1]粘贴_账务明细'!$A$4:$A$3003,$L377))</f>
      </c>
      <c r="C377" s="16">
        <f>IF($L377="","",INDEX('[1]粘贴_账务明细'!$H$4:$H$3003,$L377))</f>
      </c>
      <c r="D377" s="11">
        <f>IF($L377="","",SUMIFS('[1]粘贴_账务明细'!$K$4:$K$3003,'[1]粘贴_账务明细'!$A$4:$A$3003,$B377,'[1]粘贴_账务明细'!$L$4:$L$3003,"订单收入")+SUMIFS('[1]粘贴_账务明细'!$K$4:$K$3003,'[1]粘贴_账务明细'!$A$4:$A$3003,$B377,'[1]粘贴_账务明细'!$L$4:$L$3003,"优惠券结算"))</f>
      </c>
      <c r="E377" s="11">
        <f t="shared" si="0"/>
      </c>
      <c r="F377" s="11">
        <f>IF($L377="","",-SUMIFS('[1]粘贴_账务明细'!$K$4:$K$3003,'[1]粘贴_账务明细'!$A$4:$A$3003,$B377,'[1]粘贴_账务明细'!$L$4:$L$3003,"百亿补贴技术服务费"))</f>
      </c>
      <c r="G377" s="11">
        <f>IF($L377="","",SUMIFS('[1]粘贴_服务费返还'!$M$4:$M$3003,'[1]粘贴_服务费返还'!$N$4:$N$3003,$B377,'[1]粘贴_服务费返还'!$O$4:$O$3003,"返还"))</f>
      </c>
      <c r="H377" s="11">
        <f>IF($L377="","",SUMIFS('[1]粘贴_服务费返还'!$M$4:$M$3003,'[1]粘贴_服务费返还'!$N$4:$N$3003,$B377,'[1]粘贴_服务费返还'!$O$4:$O$3003,"扣回"))</f>
      </c>
      <c r="I377" s="11">
        <f t="shared" si="1"/>
      </c>
      <c r="J377" s="6">
        <f t="shared" si="2"/>
      </c>
      <c r="K377" s="10">
        <f t="shared" si="3"/>
      </c>
      <c r="L377" s="17">
        <f>IF(A377&gt;$H$5,"",MATCH(A377,'[1]粘贴_账务明细'!$O$4:$O$3003,0))</f>
      </c>
    </row>
    <row r="378">
      <c r="A378" s="10" t="n">
        <v>350</v>
      </c>
      <c r="B378" s="6">
        <f>IF($L378="","",INDEX('[1]粘贴_账务明细'!$A$4:$A$3003,$L378))</f>
      </c>
      <c r="C378" s="16">
        <f>IF($L378="","",INDEX('[1]粘贴_账务明细'!$H$4:$H$3003,$L378))</f>
      </c>
      <c r="D378" s="11">
        <f>IF($L378="","",SUMIFS('[1]粘贴_账务明细'!$K$4:$K$3003,'[1]粘贴_账务明细'!$A$4:$A$3003,$B378,'[1]粘贴_账务明细'!$L$4:$L$3003,"订单收入")+SUMIFS('[1]粘贴_账务明细'!$K$4:$K$3003,'[1]粘贴_账务明细'!$A$4:$A$3003,$B378,'[1]粘贴_账务明细'!$L$4:$L$3003,"优惠券结算"))</f>
      </c>
      <c r="E378" s="11">
        <f t="shared" si="0"/>
      </c>
      <c r="F378" s="11">
        <f>IF($L378="","",-SUMIFS('[1]粘贴_账务明细'!$K$4:$K$3003,'[1]粘贴_账务明细'!$A$4:$A$3003,$B378,'[1]粘贴_账务明细'!$L$4:$L$3003,"百亿补贴技术服务费"))</f>
      </c>
      <c r="G378" s="11">
        <f>IF($L378="","",SUMIFS('[1]粘贴_服务费返还'!$M$4:$M$3003,'[1]粘贴_服务费返还'!$N$4:$N$3003,$B378,'[1]粘贴_服务费返还'!$O$4:$O$3003,"返还"))</f>
      </c>
      <c r="H378" s="11">
        <f>IF($L378="","",SUMIFS('[1]粘贴_服务费返还'!$M$4:$M$3003,'[1]粘贴_服务费返还'!$N$4:$N$3003,$B378,'[1]粘贴_服务费返还'!$O$4:$O$3003,"扣回"))</f>
      </c>
      <c r="I378" s="11">
        <f t="shared" si="1"/>
      </c>
      <c r="J378" s="6">
        <f t="shared" si="2"/>
      </c>
      <c r="K378" s="10">
        <f t="shared" si="3"/>
      </c>
      <c r="L378" s="17">
        <f>IF(A378&gt;$H$5,"",MATCH(A378,'[1]粘贴_账务明细'!$O$4:$O$3003,0))</f>
      </c>
    </row>
    <row r="379">
      <c r="A379" s="10" t="n">
        <v>351</v>
      </c>
      <c r="B379" s="6">
        <f>IF($L379="","",INDEX('[1]粘贴_账务明细'!$A$4:$A$3003,$L379))</f>
      </c>
      <c r="C379" s="16">
        <f>IF($L379="","",INDEX('[1]粘贴_账务明细'!$H$4:$H$3003,$L379))</f>
      </c>
      <c r="D379" s="11">
        <f>IF($L379="","",SUMIFS('[1]粘贴_账务明细'!$K$4:$K$3003,'[1]粘贴_账务明细'!$A$4:$A$3003,$B379,'[1]粘贴_账务明细'!$L$4:$L$3003,"订单收入")+SUMIFS('[1]粘贴_账务明细'!$K$4:$K$3003,'[1]粘贴_账务明细'!$A$4:$A$3003,$B379,'[1]粘贴_账务明细'!$L$4:$L$3003,"优惠券结算"))</f>
      </c>
      <c r="E379" s="11">
        <f t="shared" si="0"/>
      </c>
      <c r="F379" s="11">
        <f>IF($L379="","",-SUMIFS('[1]粘贴_账务明细'!$K$4:$K$3003,'[1]粘贴_账务明细'!$A$4:$A$3003,$B379,'[1]粘贴_账务明细'!$L$4:$L$3003,"百亿补贴技术服务费"))</f>
      </c>
      <c r="G379" s="11">
        <f>IF($L379="","",SUMIFS('[1]粘贴_服务费返还'!$M$4:$M$3003,'[1]粘贴_服务费返还'!$N$4:$N$3003,$B379,'[1]粘贴_服务费返还'!$O$4:$O$3003,"返还"))</f>
      </c>
      <c r="H379" s="11">
        <f>IF($L379="","",SUMIFS('[1]粘贴_服务费返还'!$M$4:$M$3003,'[1]粘贴_服务费返还'!$N$4:$N$3003,$B379,'[1]粘贴_服务费返还'!$O$4:$O$3003,"扣回"))</f>
      </c>
      <c r="I379" s="11">
        <f t="shared" si="1"/>
      </c>
      <c r="J379" s="6">
        <f t="shared" si="2"/>
      </c>
      <c r="K379" s="10">
        <f t="shared" si="3"/>
      </c>
      <c r="L379" s="17">
        <f>IF(A379&gt;$H$5,"",MATCH(A379,'[1]粘贴_账务明细'!$O$4:$O$3003,0))</f>
      </c>
    </row>
    <row r="380">
      <c r="A380" s="10" t="n">
        <v>352</v>
      </c>
      <c r="B380" s="6">
        <f>IF($L380="","",INDEX('[1]粘贴_账务明细'!$A$4:$A$3003,$L380))</f>
      </c>
      <c r="C380" s="16">
        <f>IF($L380="","",INDEX('[1]粘贴_账务明细'!$H$4:$H$3003,$L380))</f>
      </c>
      <c r="D380" s="11">
        <f>IF($L380="","",SUMIFS('[1]粘贴_账务明细'!$K$4:$K$3003,'[1]粘贴_账务明细'!$A$4:$A$3003,$B380,'[1]粘贴_账务明细'!$L$4:$L$3003,"订单收入")+SUMIFS('[1]粘贴_账务明细'!$K$4:$K$3003,'[1]粘贴_账务明细'!$A$4:$A$3003,$B380,'[1]粘贴_账务明细'!$L$4:$L$3003,"优惠券结算"))</f>
      </c>
      <c r="E380" s="11">
        <f t="shared" si="0"/>
      </c>
      <c r="F380" s="11">
        <f>IF($L380="","",-SUMIFS('[1]粘贴_账务明细'!$K$4:$K$3003,'[1]粘贴_账务明细'!$A$4:$A$3003,$B380,'[1]粘贴_账务明细'!$L$4:$L$3003,"百亿补贴技术服务费"))</f>
      </c>
      <c r="G380" s="11">
        <f>IF($L380="","",SUMIFS('[1]粘贴_服务费返还'!$M$4:$M$3003,'[1]粘贴_服务费返还'!$N$4:$N$3003,$B380,'[1]粘贴_服务费返还'!$O$4:$O$3003,"返还"))</f>
      </c>
      <c r="H380" s="11">
        <f>IF($L380="","",SUMIFS('[1]粘贴_服务费返还'!$M$4:$M$3003,'[1]粘贴_服务费返还'!$N$4:$N$3003,$B380,'[1]粘贴_服务费返还'!$O$4:$O$3003,"扣回"))</f>
      </c>
      <c r="I380" s="11">
        <f t="shared" si="1"/>
      </c>
      <c r="J380" s="6">
        <f t="shared" si="2"/>
      </c>
      <c r="K380" s="10">
        <f t="shared" si="3"/>
      </c>
      <c r="L380" s="17">
        <f>IF(A380&gt;$H$5,"",MATCH(A380,'[1]粘贴_账务明细'!$O$4:$O$3003,0))</f>
      </c>
    </row>
    <row r="381">
      <c r="A381" s="10" t="n">
        <v>353</v>
      </c>
      <c r="B381" s="6">
        <f>IF($L381="","",INDEX('[1]粘贴_账务明细'!$A$4:$A$3003,$L381))</f>
      </c>
      <c r="C381" s="16">
        <f>IF($L381="","",INDEX('[1]粘贴_账务明细'!$H$4:$H$3003,$L381))</f>
      </c>
      <c r="D381" s="11">
        <f>IF($L381="","",SUMIFS('[1]粘贴_账务明细'!$K$4:$K$3003,'[1]粘贴_账务明细'!$A$4:$A$3003,$B381,'[1]粘贴_账务明细'!$L$4:$L$3003,"订单收入")+SUMIFS('[1]粘贴_账务明细'!$K$4:$K$3003,'[1]粘贴_账务明细'!$A$4:$A$3003,$B381,'[1]粘贴_账务明细'!$L$4:$L$3003,"优惠券结算"))</f>
      </c>
      <c r="E381" s="11">
        <f t="shared" si="0"/>
      </c>
      <c r="F381" s="11">
        <f>IF($L381="","",-SUMIFS('[1]粘贴_账务明细'!$K$4:$K$3003,'[1]粘贴_账务明细'!$A$4:$A$3003,$B381,'[1]粘贴_账务明细'!$L$4:$L$3003,"百亿补贴技术服务费"))</f>
      </c>
      <c r="G381" s="11">
        <f>IF($L381="","",SUMIFS('[1]粘贴_服务费返还'!$M$4:$M$3003,'[1]粘贴_服务费返还'!$N$4:$N$3003,$B381,'[1]粘贴_服务费返还'!$O$4:$O$3003,"返还"))</f>
      </c>
      <c r="H381" s="11">
        <f>IF($L381="","",SUMIFS('[1]粘贴_服务费返还'!$M$4:$M$3003,'[1]粘贴_服务费返还'!$N$4:$N$3003,$B381,'[1]粘贴_服务费返还'!$O$4:$O$3003,"扣回"))</f>
      </c>
      <c r="I381" s="11">
        <f t="shared" si="1"/>
      </c>
      <c r="J381" s="6">
        <f t="shared" si="2"/>
      </c>
      <c r="K381" s="10">
        <f t="shared" si="3"/>
      </c>
      <c r="L381" s="17">
        <f>IF(A381&gt;$H$5,"",MATCH(A381,'[1]粘贴_账务明细'!$O$4:$O$3003,0))</f>
      </c>
    </row>
    <row r="382">
      <c r="A382" s="10" t="n">
        <v>354</v>
      </c>
      <c r="B382" s="6">
        <f>IF($L382="","",INDEX('[1]粘贴_账务明细'!$A$4:$A$3003,$L382))</f>
      </c>
      <c r="C382" s="16">
        <f>IF($L382="","",INDEX('[1]粘贴_账务明细'!$H$4:$H$3003,$L382))</f>
      </c>
      <c r="D382" s="11">
        <f>IF($L382="","",SUMIFS('[1]粘贴_账务明细'!$K$4:$K$3003,'[1]粘贴_账务明细'!$A$4:$A$3003,$B382,'[1]粘贴_账务明细'!$L$4:$L$3003,"订单收入")+SUMIFS('[1]粘贴_账务明细'!$K$4:$K$3003,'[1]粘贴_账务明细'!$A$4:$A$3003,$B382,'[1]粘贴_账务明细'!$L$4:$L$3003,"优惠券结算"))</f>
      </c>
      <c r="E382" s="11">
        <f t="shared" si="0"/>
      </c>
      <c r="F382" s="11">
        <f>IF($L382="","",-SUMIFS('[1]粘贴_账务明细'!$K$4:$K$3003,'[1]粘贴_账务明细'!$A$4:$A$3003,$B382,'[1]粘贴_账务明细'!$L$4:$L$3003,"百亿补贴技术服务费"))</f>
      </c>
      <c r="G382" s="11">
        <f>IF($L382="","",SUMIFS('[1]粘贴_服务费返还'!$M$4:$M$3003,'[1]粘贴_服务费返还'!$N$4:$N$3003,$B382,'[1]粘贴_服务费返还'!$O$4:$O$3003,"返还"))</f>
      </c>
      <c r="H382" s="11">
        <f>IF($L382="","",SUMIFS('[1]粘贴_服务费返还'!$M$4:$M$3003,'[1]粘贴_服务费返还'!$N$4:$N$3003,$B382,'[1]粘贴_服务费返还'!$O$4:$O$3003,"扣回"))</f>
      </c>
      <c r="I382" s="11">
        <f t="shared" si="1"/>
      </c>
      <c r="J382" s="6">
        <f t="shared" si="2"/>
      </c>
      <c r="K382" s="10">
        <f t="shared" si="3"/>
      </c>
      <c r="L382" s="17">
        <f>IF(A382&gt;$H$5,"",MATCH(A382,'[1]粘贴_账务明细'!$O$4:$O$3003,0))</f>
      </c>
    </row>
    <row r="383">
      <c r="A383" s="10" t="n">
        <v>355</v>
      </c>
      <c r="B383" s="6">
        <f>IF($L383="","",INDEX('[1]粘贴_账务明细'!$A$4:$A$3003,$L383))</f>
      </c>
      <c r="C383" s="16">
        <f>IF($L383="","",INDEX('[1]粘贴_账务明细'!$H$4:$H$3003,$L383))</f>
      </c>
      <c r="D383" s="11">
        <f>IF($L383="","",SUMIFS('[1]粘贴_账务明细'!$K$4:$K$3003,'[1]粘贴_账务明细'!$A$4:$A$3003,$B383,'[1]粘贴_账务明细'!$L$4:$L$3003,"订单收入")+SUMIFS('[1]粘贴_账务明细'!$K$4:$K$3003,'[1]粘贴_账务明细'!$A$4:$A$3003,$B383,'[1]粘贴_账务明细'!$L$4:$L$3003,"优惠券结算"))</f>
      </c>
      <c r="E383" s="11">
        <f t="shared" si="0"/>
      </c>
      <c r="F383" s="11">
        <f>IF($L383="","",-SUMIFS('[1]粘贴_账务明细'!$K$4:$K$3003,'[1]粘贴_账务明细'!$A$4:$A$3003,$B383,'[1]粘贴_账务明细'!$L$4:$L$3003,"百亿补贴技术服务费"))</f>
      </c>
      <c r="G383" s="11">
        <f>IF($L383="","",SUMIFS('[1]粘贴_服务费返还'!$M$4:$M$3003,'[1]粘贴_服务费返还'!$N$4:$N$3003,$B383,'[1]粘贴_服务费返还'!$O$4:$O$3003,"返还"))</f>
      </c>
      <c r="H383" s="11">
        <f>IF($L383="","",SUMIFS('[1]粘贴_服务费返还'!$M$4:$M$3003,'[1]粘贴_服务费返还'!$N$4:$N$3003,$B383,'[1]粘贴_服务费返还'!$O$4:$O$3003,"扣回"))</f>
      </c>
      <c r="I383" s="11">
        <f t="shared" si="1"/>
      </c>
      <c r="J383" s="6">
        <f t="shared" si="2"/>
      </c>
      <c r="K383" s="10">
        <f t="shared" si="3"/>
      </c>
      <c r="L383" s="17">
        <f>IF(A383&gt;$H$5,"",MATCH(A383,'[1]粘贴_账务明细'!$O$4:$O$3003,0))</f>
      </c>
    </row>
    <row r="384">
      <c r="A384" s="10" t="n">
        <v>356</v>
      </c>
      <c r="B384" s="6">
        <f>IF($L384="","",INDEX('[1]粘贴_账务明细'!$A$4:$A$3003,$L384))</f>
      </c>
      <c r="C384" s="16">
        <f>IF($L384="","",INDEX('[1]粘贴_账务明细'!$H$4:$H$3003,$L384))</f>
      </c>
      <c r="D384" s="11">
        <f>IF($L384="","",SUMIFS('[1]粘贴_账务明细'!$K$4:$K$3003,'[1]粘贴_账务明细'!$A$4:$A$3003,$B384,'[1]粘贴_账务明细'!$L$4:$L$3003,"订单收入")+SUMIFS('[1]粘贴_账务明细'!$K$4:$K$3003,'[1]粘贴_账务明细'!$A$4:$A$3003,$B384,'[1]粘贴_账务明细'!$L$4:$L$3003,"优惠券结算"))</f>
      </c>
      <c r="E384" s="11">
        <f t="shared" si="0"/>
      </c>
      <c r="F384" s="11">
        <f>IF($L384="","",-SUMIFS('[1]粘贴_账务明细'!$K$4:$K$3003,'[1]粘贴_账务明细'!$A$4:$A$3003,$B384,'[1]粘贴_账务明细'!$L$4:$L$3003,"百亿补贴技术服务费"))</f>
      </c>
      <c r="G384" s="11">
        <f>IF($L384="","",SUMIFS('[1]粘贴_服务费返还'!$M$4:$M$3003,'[1]粘贴_服务费返还'!$N$4:$N$3003,$B384,'[1]粘贴_服务费返还'!$O$4:$O$3003,"返还"))</f>
      </c>
      <c r="H384" s="11">
        <f>IF($L384="","",SUMIFS('[1]粘贴_服务费返还'!$M$4:$M$3003,'[1]粘贴_服务费返还'!$N$4:$N$3003,$B384,'[1]粘贴_服务费返还'!$O$4:$O$3003,"扣回"))</f>
      </c>
      <c r="I384" s="11">
        <f t="shared" si="1"/>
      </c>
      <c r="J384" s="6">
        <f t="shared" si="2"/>
      </c>
      <c r="K384" s="10">
        <f t="shared" si="3"/>
      </c>
      <c r="L384" s="17">
        <f>IF(A384&gt;$H$5,"",MATCH(A384,'[1]粘贴_账务明细'!$O$4:$O$3003,0))</f>
      </c>
    </row>
    <row r="385">
      <c r="A385" s="10" t="n">
        <v>357</v>
      </c>
      <c r="B385" s="6">
        <f>IF($L385="","",INDEX('[1]粘贴_账务明细'!$A$4:$A$3003,$L385))</f>
      </c>
      <c r="C385" s="16">
        <f>IF($L385="","",INDEX('[1]粘贴_账务明细'!$H$4:$H$3003,$L385))</f>
      </c>
      <c r="D385" s="11">
        <f>IF($L385="","",SUMIFS('[1]粘贴_账务明细'!$K$4:$K$3003,'[1]粘贴_账务明细'!$A$4:$A$3003,$B385,'[1]粘贴_账务明细'!$L$4:$L$3003,"订单收入")+SUMIFS('[1]粘贴_账务明细'!$K$4:$K$3003,'[1]粘贴_账务明细'!$A$4:$A$3003,$B385,'[1]粘贴_账务明细'!$L$4:$L$3003,"优惠券结算"))</f>
      </c>
      <c r="E385" s="11">
        <f t="shared" si="0"/>
      </c>
      <c r="F385" s="11">
        <f>IF($L385="","",-SUMIFS('[1]粘贴_账务明细'!$K$4:$K$3003,'[1]粘贴_账务明细'!$A$4:$A$3003,$B385,'[1]粘贴_账务明细'!$L$4:$L$3003,"百亿补贴技术服务费"))</f>
      </c>
      <c r="G385" s="11">
        <f>IF($L385="","",SUMIFS('[1]粘贴_服务费返还'!$M$4:$M$3003,'[1]粘贴_服务费返还'!$N$4:$N$3003,$B385,'[1]粘贴_服务费返还'!$O$4:$O$3003,"返还"))</f>
      </c>
      <c r="H385" s="11">
        <f>IF($L385="","",SUMIFS('[1]粘贴_服务费返还'!$M$4:$M$3003,'[1]粘贴_服务费返还'!$N$4:$N$3003,$B385,'[1]粘贴_服务费返还'!$O$4:$O$3003,"扣回"))</f>
      </c>
      <c r="I385" s="11">
        <f t="shared" si="1"/>
      </c>
      <c r="J385" s="6">
        <f t="shared" si="2"/>
      </c>
      <c r="K385" s="10">
        <f t="shared" si="3"/>
      </c>
      <c r="L385" s="17">
        <f>IF(A385&gt;$H$5,"",MATCH(A385,'[1]粘贴_账务明细'!$O$4:$O$3003,0))</f>
      </c>
    </row>
    <row r="386">
      <c r="A386" s="10" t="n">
        <v>358</v>
      </c>
      <c r="B386" s="6">
        <f>IF($L386="","",INDEX('[1]粘贴_账务明细'!$A$4:$A$3003,$L386))</f>
      </c>
      <c r="C386" s="16">
        <f>IF($L386="","",INDEX('[1]粘贴_账务明细'!$H$4:$H$3003,$L386))</f>
      </c>
      <c r="D386" s="11">
        <f>IF($L386="","",SUMIFS('[1]粘贴_账务明细'!$K$4:$K$3003,'[1]粘贴_账务明细'!$A$4:$A$3003,$B386,'[1]粘贴_账务明细'!$L$4:$L$3003,"订单收入")+SUMIFS('[1]粘贴_账务明细'!$K$4:$K$3003,'[1]粘贴_账务明细'!$A$4:$A$3003,$B386,'[1]粘贴_账务明细'!$L$4:$L$3003,"优惠券结算"))</f>
      </c>
      <c r="E386" s="11">
        <f t="shared" si="0"/>
      </c>
      <c r="F386" s="11">
        <f>IF($L386="","",-SUMIFS('[1]粘贴_账务明细'!$K$4:$K$3003,'[1]粘贴_账务明细'!$A$4:$A$3003,$B386,'[1]粘贴_账务明细'!$L$4:$L$3003,"百亿补贴技术服务费"))</f>
      </c>
      <c r="G386" s="11">
        <f>IF($L386="","",SUMIFS('[1]粘贴_服务费返还'!$M$4:$M$3003,'[1]粘贴_服务费返还'!$N$4:$N$3003,$B386,'[1]粘贴_服务费返还'!$O$4:$O$3003,"返还"))</f>
      </c>
      <c r="H386" s="11">
        <f>IF($L386="","",SUMIFS('[1]粘贴_服务费返还'!$M$4:$M$3003,'[1]粘贴_服务费返还'!$N$4:$N$3003,$B386,'[1]粘贴_服务费返还'!$O$4:$O$3003,"扣回"))</f>
      </c>
      <c r="I386" s="11">
        <f t="shared" si="1"/>
      </c>
      <c r="J386" s="6">
        <f t="shared" si="2"/>
      </c>
      <c r="K386" s="10">
        <f t="shared" si="3"/>
      </c>
      <c r="L386" s="17">
        <f>IF(A386&gt;$H$5,"",MATCH(A386,'[1]粘贴_账务明细'!$O$4:$O$3003,0))</f>
      </c>
    </row>
    <row r="387">
      <c r="A387" s="10" t="n">
        <v>359</v>
      </c>
      <c r="B387" s="6">
        <f>IF($L387="","",INDEX('[1]粘贴_账务明细'!$A$4:$A$3003,$L387))</f>
      </c>
      <c r="C387" s="16">
        <f>IF($L387="","",INDEX('[1]粘贴_账务明细'!$H$4:$H$3003,$L387))</f>
      </c>
      <c r="D387" s="11">
        <f>IF($L387="","",SUMIFS('[1]粘贴_账务明细'!$K$4:$K$3003,'[1]粘贴_账务明细'!$A$4:$A$3003,$B387,'[1]粘贴_账务明细'!$L$4:$L$3003,"订单收入")+SUMIFS('[1]粘贴_账务明细'!$K$4:$K$3003,'[1]粘贴_账务明细'!$A$4:$A$3003,$B387,'[1]粘贴_账务明细'!$L$4:$L$3003,"优惠券结算"))</f>
      </c>
      <c r="E387" s="11">
        <f t="shared" si="0"/>
      </c>
      <c r="F387" s="11">
        <f>IF($L387="","",-SUMIFS('[1]粘贴_账务明细'!$K$4:$K$3003,'[1]粘贴_账务明细'!$A$4:$A$3003,$B387,'[1]粘贴_账务明细'!$L$4:$L$3003,"百亿补贴技术服务费"))</f>
      </c>
      <c r="G387" s="11">
        <f>IF($L387="","",SUMIFS('[1]粘贴_服务费返还'!$M$4:$M$3003,'[1]粘贴_服务费返还'!$N$4:$N$3003,$B387,'[1]粘贴_服务费返还'!$O$4:$O$3003,"返还"))</f>
      </c>
      <c r="H387" s="11">
        <f>IF($L387="","",SUMIFS('[1]粘贴_服务费返还'!$M$4:$M$3003,'[1]粘贴_服务费返还'!$N$4:$N$3003,$B387,'[1]粘贴_服务费返还'!$O$4:$O$3003,"扣回"))</f>
      </c>
      <c r="I387" s="11">
        <f t="shared" si="1"/>
      </c>
      <c r="J387" s="6">
        <f t="shared" si="2"/>
      </c>
      <c r="K387" s="10">
        <f t="shared" si="3"/>
      </c>
      <c r="L387" s="17">
        <f>IF(A387&gt;$H$5,"",MATCH(A387,'[1]粘贴_账务明细'!$O$4:$O$3003,0))</f>
      </c>
    </row>
    <row r="388">
      <c r="A388" s="10" t="n">
        <v>360</v>
      </c>
      <c r="B388" s="6">
        <f>IF($L388="","",INDEX('[1]粘贴_账务明细'!$A$4:$A$3003,$L388))</f>
      </c>
      <c r="C388" s="16">
        <f>IF($L388="","",INDEX('[1]粘贴_账务明细'!$H$4:$H$3003,$L388))</f>
      </c>
      <c r="D388" s="11">
        <f>IF($L388="","",SUMIFS('[1]粘贴_账务明细'!$K$4:$K$3003,'[1]粘贴_账务明细'!$A$4:$A$3003,$B388,'[1]粘贴_账务明细'!$L$4:$L$3003,"订单收入")+SUMIFS('[1]粘贴_账务明细'!$K$4:$K$3003,'[1]粘贴_账务明细'!$A$4:$A$3003,$B388,'[1]粘贴_账务明细'!$L$4:$L$3003,"优惠券结算"))</f>
      </c>
      <c r="E388" s="11">
        <f t="shared" si="0"/>
      </c>
      <c r="F388" s="11">
        <f>IF($L388="","",-SUMIFS('[1]粘贴_账务明细'!$K$4:$K$3003,'[1]粘贴_账务明细'!$A$4:$A$3003,$B388,'[1]粘贴_账务明细'!$L$4:$L$3003,"百亿补贴技术服务费"))</f>
      </c>
      <c r="G388" s="11">
        <f>IF($L388="","",SUMIFS('[1]粘贴_服务费返还'!$M$4:$M$3003,'[1]粘贴_服务费返还'!$N$4:$N$3003,$B388,'[1]粘贴_服务费返还'!$O$4:$O$3003,"返还"))</f>
      </c>
      <c r="H388" s="11">
        <f>IF($L388="","",SUMIFS('[1]粘贴_服务费返还'!$M$4:$M$3003,'[1]粘贴_服务费返还'!$N$4:$N$3003,$B388,'[1]粘贴_服务费返还'!$O$4:$O$3003,"扣回"))</f>
      </c>
      <c r="I388" s="11">
        <f t="shared" si="1"/>
      </c>
      <c r="J388" s="6">
        <f t="shared" si="2"/>
      </c>
      <c r="K388" s="10">
        <f t="shared" si="3"/>
      </c>
      <c r="L388" s="17">
        <f>IF(A388&gt;$H$5,"",MATCH(A388,'[1]粘贴_账务明细'!$O$4:$O$3003,0))</f>
      </c>
    </row>
    <row r="389">
      <c r="A389" s="10" t="n">
        <v>361</v>
      </c>
      <c r="B389" s="6">
        <f>IF($L389="","",INDEX('[1]粘贴_账务明细'!$A$4:$A$3003,$L389))</f>
      </c>
      <c r="C389" s="16">
        <f>IF($L389="","",INDEX('[1]粘贴_账务明细'!$H$4:$H$3003,$L389))</f>
      </c>
      <c r="D389" s="11">
        <f>IF($L389="","",SUMIFS('[1]粘贴_账务明细'!$K$4:$K$3003,'[1]粘贴_账务明细'!$A$4:$A$3003,$B389,'[1]粘贴_账务明细'!$L$4:$L$3003,"订单收入")+SUMIFS('[1]粘贴_账务明细'!$K$4:$K$3003,'[1]粘贴_账务明细'!$A$4:$A$3003,$B389,'[1]粘贴_账务明细'!$L$4:$L$3003,"优惠券结算"))</f>
      </c>
      <c r="E389" s="11">
        <f t="shared" si="0"/>
      </c>
      <c r="F389" s="11">
        <f>IF($L389="","",-SUMIFS('[1]粘贴_账务明细'!$K$4:$K$3003,'[1]粘贴_账务明细'!$A$4:$A$3003,$B389,'[1]粘贴_账务明细'!$L$4:$L$3003,"百亿补贴技术服务费"))</f>
      </c>
      <c r="G389" s="11">
        <f>IF($L389="","",SUMIFS('[1]粘贴_服务费返还'!$M$4:$M$3003,'[1]粘贴_服务费返还'!$N$4:$N$3003,$B389,'[1]粘贴_服务费返还'!$O$4:$O$3003,"返还"))</f>
      </c>
      <c r="H389" s="11">
        <f>IF($L389="","",SUMIFS('[1]粘贴_服务费返还'!$M$4:$M$3003,'[1]粘贴_服务费返还'!$N$4:$N$3003,$B389,'[1]粘贴_服务费返还'!$O$4:$O$3003,"扣回"))</f>
      </c>
      <c r="I389" s="11">
        <f t="shared" si="1"/>
      </c>
      <c r="J389" s="6">
        <f t="shared" si="2"/>
      </c>
      <c r="K389" s="10">
        <f t="shared" si="3"/>
      </c>
      <c r="L389" s="17">
        <f>IF(A389&gt;$H$5,"",MATCH(A389,'[1]粘贴_账务明细'!$O$4:$O$3003,0))</f>
      </c>
    </row>
    <row r="390">
      <c r="A390" s="10" t="n">
        <v>362</v>
      </c>
      <c r="B390" s="6">
        <f>IF($L390="","",INDEX('[1]粘贴_账务明细'!$A$4:$A$3003,$L390))</f>
      </c>
      <c r="C390" s="16">
        <f>IF($L390="","",INDEX('[1]粘贴_账务明细'!$H$4:$H$3003,$L390))</f>
      </c>
      <c r="D390" s="11">
        <f>IF($L390="","",SUMIFS('[1]粘贴_账务明细'!$K$4:$K$3003,'[1]粘贴_账务明细'!$A$4:$A$3003,$B390,'[1]粘贴_账务明细'!$L$4:$L$3003,"订单收入")+SUMIFS('[1]粘贴_账务明细'!$K$4:$K$3003,'[1]粘贴_账务明细'!$A$4:$A$3003,$B390,'[1]粘贴_账务明细'!$L$4:$L$3003,"优惠券结算"))</f>
      </c>
      <c r="E390" s="11">
        <f t="shared" si="0"/>
      </c>
      <c r="F390" s="11">
        <f>IF($L390="","",-SUMIFS('[1]粘贴_账务明细'!$K$4:$K$3003,'[1]粘贴_账务明细'!$A$4:$A$3003,$B390,'[1]粘贴_账务明细'!$L$4:$L$3003,"百亿补贴技术服务费"))</f>
      </c>
      <c r="G390" s="11">
        <f>IF($L390="","",SUMIFS('[1]粘贴_服务费返还'!$M$4:$M$3003,'[1]粘贴_服务费返还'!$N$4:$N$3003,$B390,'[1]粘贴_服务费返还'!$O$4:$O$3003,"返还"))</f>
      </c>
      <c r="H390" s="11">
        <f>IF($L390="","",SUMIFS('[1]粘贴_服务费返还'!$M$4:$M$3003,'[1]粘贴_服务费返还'!$N$4:$N$3003,$B390,'[1]粘贴_服务费返还'!$O$4:$O$3003,"扣回"))</f>
      </c>
      <c r="I390" s="11">
        <f t="shared" si="1"/>
      </c>
      <c r="J390" s="6">
        <f t="shared" si="2"/>
      </c>
      <c r="K390" s="10">
        <f t="shared" si="3"/>
      </c>
      <c r="L390" s="17">
        <f>IF(A390&gt;$H$5,"",MATCH(A390,'[1]粘贴_账务明细'!$O$4:$O$3003,0))</f>
      </c>
    </row>
    <row r="391">
      <c r="A391" s="10" t="n">
        <v>363</v>
      </c>
      <c r="B391" s="6">
        <f>IF($L391="","",INDEX('[1]粘贴_账务明细'!$A$4:$A$3003,$L391))</f>
      </c>
      <c r="C391" s="16">
        <f>IF($L391="","",INDEX('[1]粘贴_账务明细'!$H$4:$H$3003,$L391))</f>
      </c>
      <c r="D391" s="11">
        <f>IF($L391="","",SUMIFS('[1]粘贴_账务明细'!$K$4:$K$3003,'[1]粘贴_账务明细'!$A$4:$A$3003,$B391,'[1]粘贴_账务明细'!$L$4:$L$3003,"订单收入")+SUMIFS('[1]粘贴_账务明细'!$K$4:$K$3003,'[1]粘贴_账务明细'!$A$4:$A$3003,$B391,'[1]粘贴_账务明细'!$L$4:$L$3003,"优惠券结算"))</f>
      </c>
      <c r="E391" s="11">
        <f t="shared" si="0"/>
      </c>
      <c r="F391" s="11">
        <f>IF($L391="","",-SUMIFS('[1]粘贴_账务明细'!$K$4:$K$3003,'[1]粘贴_账务明细'!$A$4:$A$3003,$B391,'[1]粘贴_账务明细'!$L$4:$L$3003,"百亿补贴技术服务费"))</f>
      </c>
      <c r="G391" s="11">
        <f>IF($L391="","",SUMIFS('[1]粘贴_服务费返还'!$M$4:$M$3003,'[1]粘贴_服务费返还'!$N$4:$N$3003,$B391,'[1]粘贴_服务费返还'!$O$4:$O$3003,"返还"))</f>
      </c>
      <c r="H391" s="11">
        <f>IF($L391="","",SUMIFS('[1]粘贴_服务费返还'!$M$4:$M$3003,'[1]粘贴_服务费返还'!$N$4:$N$3003,$B391,'[1]粘贴_服务费返还'!$O$4:$O$3003,"扣回"))</f>
      </c>
      <c r="I391" s="11">
        <f t="shared" si="1"/>
      </c>
      <c r="J391" s="6">
        <f t="shared" si="2"/>
      </c>
      <c r="K391" s="10">
        <f t="shared" si="3"/>
      </c>
      <c r="L391" s="17">
        <f>IF(A391&gt;$H$5,"",MATCH(A391,'[1]粘贴_账务明细'!$O$4:$O$3003,0))</f>
      </c>
    </row>
    <row r="392">
      <c r="A392" s="10" t="n">
        <v>364</v>
      </c>
      <c r="B392" s="6">
        <f>IF($L392="","",INDEX('[1]粘贴_账务明细'!$A$4:$A$3003,$L392))</f>
      </c>
      <c r="C392" s="16">
        <f>IF($L392="","",INDEX('[1]粘贴_账务明细'!$H$4:$H$3003,$L392))</f>
      </c>
      <c r="D392" s="11">
        <f>IF($L392="","",SUMIFS('[1]粘贴_账务明细'!$K$4:$K$3003,'[1]粘贴_账务明细'!$A$4:$A$3003,$B392,'[1]粘贴_账务明细'!$L$4:$L$3003,"订单收入")+SUMIFS('[1]粘贴_账务明细'!$K$4:$K$3003,'[1]粘贴_账务明细'!$A$4:$A$3003,$B392,'[1]粘贴_账务明细'!$L$4:$L$3003,"优惠券结算"))</f>
      </c>
      <c r="E392" s="11">
        <f t="shared" si="0"/>
      </c>
      <c r="F392" s="11">
        <f>IF($L392="","",-SUMIFS('[1]粘贴_账务明细'!$K$4:$K$3003,'[1]粘贴_账务明细'!$A$4:$A$3003,$B392,'[1]粘贴_账务明细'!$L$4:$L$3003,"百亿补贴技术服务费"))</f>
      </c>
      <c r="G392" s="11">
        <f>IF($L392="","",SUMIFS('[1]粘贴_服务费返还'!$M$4:$M$3003,'[1]粘贴_服务费返还'!$N$4:$N$3003,$B392,'[1]粘贴_服务费返还'!$O$4:$O$3003,"返还"))</f>
      </c>
      <c r="H392" s="11">
        <f>IF($L392="","",SUMIFS('[1]粘贴_服务费返还'!$M$4:$M$3003,'[1]粘贴_服务费返还'!$N$4:$N$3003,$B392,'[1]粘贴_服务费返还'!$O$4:$O$3003,"扣回"))</f>
      </c>
      <c r="I392" s="11">
        <f t="shared" si="1"/>
      </c>
      <c r="J392" s="6">
        <f t="shared" si="2"/>
      </c>
      <c r="K392" s="10">
        <f t="shared" si="3"/>
      </c>
      <c r="L392" s="17">
        <f>IF(A392&gt;$H$5,"",MATCH(A392,'[1]粘贴_账务明细'!$O$4:$O$3003,0))</f>
      </c>
    </row>
    <row r="393">
      <c r="A393" s="10" t="n">
        <v>365</v>
      </c>
      <c r="B393" s="6">
        <f>IF($L393="","",INDEX('[1]粘贴_账务明细'!$A$4:$A$3003,$L393))</f>
      </c>
      <c r="C393" s="16">
        <f>IF($L393="","",INDEX('[1]粘贴_账务明细'!$H$4:$H$3003,$L393))</f>
      </c>
      <c r="D393" s="11">
        <f>IF($L393="","",SUMIFS('[1]粘贴_账务明细'!$K$4:$K$3003,'[1]粘贴_账务明细'!$A$4:$A$3003,$B393,'[1]粘贴_账务明细'!$L$4:$L$3003,"订单收入")+SUMIFS('[1]粘贴_账务明细'!$K$4:$K$3003,'[1]粘贴_账务明细'!$A$4:$A$3003,$B393,'[1]粘贴_账务明细'!$L$4:$L$3003,"优惠券结算"))</f>
      </c>
      <c r="E393" s="11">
        <f t="shared" si="0"/>
      </c>
      <c r="F393" s="11">
        <f>IF($L393="","",-SUMIFS('[1]粘贴_账务明细'!$K$4:$K$3003,'[1]粘贴_账务明细'!$A$4:$A$3003,$B393,'[1]粘贴_账务明细'!$L$4:$L$3003,"百亿补贴技术服务费"))</f>
      </c>
      <c r="G393" s="11">
        <f>IF($L393="","",SUMIFS('[1]粘贴_服务费返还'!$M$4:$M$3003,'[1]粘贴_服务费返还'!$N$4:$N$3003,$B393,'[1]粘贴_服务费返还'!$O$4:$O$3003,"返还"))</f>
      </c>
      <c r="H393" s="11">
        <f>IF($L393="","",SUMIFS('[1]粘贴_服务费返还'!$M$4:$M$3003,'[1]粘贴_服务费返还'!$N$4:$N$3003,$B393,'[1]粘贴_服务费返还'!$O$4:$O$3003,"扣回"))</f>
      </c>
      <c r="I393" s="11">
        <f t="shared" si="1"/>
      </c>
      <c r="J393" s="6">
        <f t="shared" si="2"/>
      </c>
      <c r="K393" s="10">
        <f t="shared" si="3"/>
      </c>
      <c r="L393" s="17">
        <f>IF(A393&gt;$H$5,"",MATCH(A393,'[1]粘贴_账务明细'!$O$4:$O$3003,0))</f>
      </c>
    </row>
    <row r="394">
      <c r="A394" s="10" t="n">
        <v>366</v>
      </c>
      <c r="B394" s="6">
        <f>IF($L394="","",INDEX('[1]粘贴_账务明细'!$A$4:$A$3003,$L394))</f>
      </c>
      <c r="C394" s="16">
        <f>IF($L394="","",INDEX('[1]粘贴_账务明细'!$H$4:$H$3003,$L394))</f>
      </c>
      <c r="D394" s="11">
        <f>IF($L394="","",SUMIFS('[1]粘贴_账务明细'!$K$4:$K$3003,'[1]粘贴_账务明细'!$A$4:$A$3003,$B394,'[1]粘贴_账务明细'!$L$4:$L$3003,"订单收入")+SUMIFS('[1]粘贴_账务明细'!$K$4:$K$3003,'[1]粘贴_账务明细'!$A$4:$A$3003,$B394,'[1]粘贴_账务明细'!$L$4:$L$3003,"优惠券结算"))</f>
      </c>
      <c r="E394" s="11">
        <f t="shared" si="0"/>
      </c>
      <c r="F394" s="11">
        <f>IF($L394="","",-SUMIFS('[1]粘贴_账务明细'!$K$4:$K$3003,'[1]粘贴_账务明细'!$A$4:$A$3003,$B394,'[1]粘贴_账务明细'!$L$4:$L$3003,"百亿补贴技术服务费"))</f>
      </c>
      <c r="G394" s="11">
        <f>IF($L394="","",SUMIFS('[1]粘贴_服务费返还'!$M$4:$M$3003,'[1]粘贴_服务费返还'!$N$4:$N$3003,$B394,'[1]粘贴_服务费返还'!$O$4:$O$3003,"返还"))</f>
      </c>
      <c r="H394" s="11">
        <f>IF($L394="","",SUMIFS('[1]粘贴_服务费返还'!$M$4:$M$3003,'[1]粘贴_服务费返还'!$N$4:$N$3003,$B394,'[1]粘贴_服务费返还'!$O$4:$O$3003,"扣回"))</f>
      </c>
      <c r="I394" s="11">
        <f t="shared" si="1"/>
      </c>
      <c r="J394" s="6">
        <f t="shared" si="2"/>
      </c>
      <c r="K394" s="10">
        <f t="shared" si="3"/>
      </c>
      <c r="L394" s="17">
        <f>IF(A394&gt;$H$5,"",MATCH(A394,'[1]粘贴_账务明细'!$O$4:$O$3003,0))</f>
      </c>
    </row>
    <row r="395">
      <c r="A395" s="10" t="n">
        <v>367</v>
      </c>
      <c r="B395" s="6">
        <f>IF($L395="","",INDEX('[1]粘贴_账务明细'!$A$4:$A$3003,$L395))</f>
      </c>
      <c r="C395" s="16">
        <f>IF($L395="","",INDEX('[1]粘贴_账务明细'!$H$4:$H$3003,$L395))</f>
      </c>
      <c r="D395" s="11">
        <f>IF($L395="","",SUMIFS('[1]粘贴_账务明细'!$K$4:$K$3003,'[1]粘贴_账务明细'!$A$4:$A$3003,$B395,'[1]粘贴_账务明细'!$L$4:$L$3003,"订单收入")+SUMIFS('[1]粘贴_账务明细'!$K$4:$K$3003,'[1]粘贴_账务明细'!$A$4:$A$3003,$B395,'[1]粘贴_账务明细'!$L$4:$L$3003,"优惠券结算"))</f>
      </c>
      <c r="E395" s="11">
        <f t="shared" si="0"/>
      </c>
      <c r="F395" s="11">
        <f>IF($L395="","",-SUMIFS('[1]粘贴_账务明细'!$K$4:$K$3003,'[1]粘贴_账务明细'!$A$4:$A$3003,$B395,'[1]粘贴_账务明细'!$L$4:$L$3003,"百亿补贴技术服务费"))</f>
      </c>
      <c r="G395" s="11">
        <f>IF($L395="","",SUMIFS('[1]粘贴_服务费返还'!$M$4:$M$3003,'[1]粘贴_服务费返还'!$N$4:$N$3003,$B395,'[1]粘贴_服务费返还'!$O$4:$O$3003,"返还"))</f>
      </c>
      <c r="H395" s="11">
        <f>IF($L395="","",SUMIFS('[1]粘贴_服务费返还'!$M$4:$M$3003,'[1]粘贴_服务费返还'!$N$4:$N$3003,$B395,'[1]粘贴_服务费返还'!$O$4:$O$3003,"扣回"))</f>
      </c>
      <c r="I395" s="11">
        <f t="shared" si="1"/>
      </c>
      <c r="J395" s="6">
        <f t="shared" si="2"/>
      </c>
      <c r="K395" s="10">
        <f t="shared" si="3"/>
      </c>
      <c r="L395" s="17">
        <f>IF(A395&gt;$H$5,"",MATCH(A395,'[1]粘贴_账务明细'!$O$4:$O$3003,0))</f>
      </c>
    </row>
    <row r="396">
      <c r="A396" s="10" t="n">
        <v>368</v>
      </c>
      <c r="B396" s="6">
        <f>IF($L396="","",INDEX('[1]粘贴_账务明细'!$A$4:$A$3003,$L396))</f>
      </c>
      <c r="C396" s="16">
        <f>IF($L396="","",INDEX('[1]粘贴_账务明细'!$H$4:$H$3003,$L396))</f>
      </c>
      <c r="D396" s="11">
        <f>IF($L396="","",SUMIFS('[1]粘贴_账务明细'!$K$4:$K$3003,'[1]粘贴_账务明细'!$A$4:$A$3003,$B396,'[1]粘贴_账务明细'!$L$4:$L$3003,"订单收入")+SUMIFS('[1]粘贴_账务明细'!$K$4:$K$3003,'[1]粘贴_账务明细'!$A$4:$A$3003,$B396,'[1]粘贴_账务明细'!$L$4:$L$3003,"优惠券结算"))</f>
      </c>
      <c r="E396" s="11">
        <f t="shared" si="0"/>
      </c>
      <c r="F396" s="11">
        <f>IF($L396="","",-SUMIFS('[1]粘贴_账务明细'!$K$4:$K$3003,'[1]粘贴_账务明细'!$A$4:$A$3003,$B396,'[1]粘贴_账务明细'!$L$4:$L$3003,"百亿补贴技术服务费"))</f>
      </c>
      <c r="G396" s="11">
        <f>IF($L396="","",SUMIFS('[1]粘贴_服务费返还'!$M$4:$M$3003,'[1]粘贴_服务费返还'!$N$4:$N$3003,$B396,'[1]粘贴_服务费返还'!$O$4:$O$3003,"返还"))</f>
      </c>
      <c r="H396" s="11">
        <f>IF($L396="","",SUMIFS('[1]粘贴_服务费返还'!$M$4:$M$3003,'[1]粘贴_服务费返还'!$N$4:$N$3003,$B396,'[1]粘贴_服务费返还'!$O$4:$O$3003,"扣回"))</f>
      </c>
      <c r="I396" s="11">
        <f t="shared" si="1"/>
      </c>
      <c r="J396" s="6">
        <f t="shared" si="2"/>
      </c>
      <c r="K396" s="10">
        <f t="shared" si="3"/>
      </c>
      <c r="L396" s="17">
        <f>IF(A396&gt;$H$5,"",MATCH(A396,'[1]粘贴_账务明细'!$O$4:$O$3003,0))</f>
      </c>
    </row>
    <row r="397">
      <c r="A397" s="10" t="n">
        <v>369</v>
      </c>
      <c r="B397" s="6">
        <f>IF($L397="","",INDEX('[1]粘贴_账务明细'!$A$4:$A$3003,$L397))</f>
      </c>
      <c r="C397" s="16">
        <f>IF($L397="","",INDEX('[1]粘贴_账务明细'!$H$4:$H$3003,$L397))</f>
      </c>
      <c r="D397" s="11">
        <f>IF($L397="","",SUMIFS('[1]粘贴_账务明细'!$K$4:$K$3003,'[1]粘贴_账务明细'!$A$4:$A$3003,$B397,'[1]粘贴_账务明细'!$L$4:$L$3003,"订单收入")+SUMIFS('[1]粘贴_账务明细'!$K$4:$K$3003,'[1]粘贴_账务明细'!$A$4:$A$3003,$B397,'[1]粘贴_账务明细'!$L$4:$L$3003,"优惠券结算"))</f>
      </c>
      <c r="E397" s="11">
        <f t="shared" si="0"/>
      </c>
      <c r="F397" s="11">
        <f>IF($L397="","",-SUMIFS('[1]粘贴_账务明细'!$K$4:$K$3003,'[1]粘贴_账务明细'!$A$4:$A$3003,$B397,'[1]粘贴_账务明细'!$L$4:$L$3003,"百亿补贴技术服务费"))</f>
      </c>
      <c r="G397" s="11">
        <f>IF($L397="","",SUMIFS('[1]粘贴_服务费返还'!$M$4:$M$3003,'[1]粘贴_服务费返还'!$N$4:$N$3003,$B397,'[1]粘贴_服务费返还'!$O$4:$O$3003,"返还"))</f>
      </c>
      <c r="H397" s="11">
        <f>IF($L397="","",SUMIFS('[1]粘贴_服务费返还'!$M$4:$M$3003,'[1]粘贴_服务费返还'!$N$4:$N$3003,$B397,'[1]粘贴_服务费返还'!$O$4:$O$3003,"扣回"))</f>
      </c>
      <c r="I397" s="11">
        <f t="shared" si="1"/>
      </c>
      <c r="J397" s="6">
        <f t="shared" si="2"/>
      </c>
      <c r="K397" s="10">
        <f t="shared" si="3"/>
      </c>
      <c r="L397" s="17">
        <f>IF(A397&gt;$H$5,"",MATCH(A397,'[1]粘贴_账务明细'!$O$4:$O$3003,0))</f>
      </c>
    </row>
    <row r="398">
      <c r="A398" s="10" t="n">
        <v>370</v>
      </c>
      <c r="B398" s="6">
        <f>IF($L398="","",INDEX('[1]粘贴_账务明细'!$A$4:$A$3003,$L398))</f>
      </c>
      <c r="C398" s="16">
        <f>IF($L398="","",INDEX('[1]粘贴_账务明细'!$H$4:$H$3003,$L398))</f>
      </c>
      <c r="D398" s="11">
        <f>IF($L398="","",SUMIFS('[1]粘贴_账务明细'!$K$4:$K$3003,'[1]粘贴_账务明细'!$A$4:$A$3003,$B398,'[1]粘贴_账务明细'!$L$4:$L$3003,"订单收入")+SUMIFS('[1]粘贴_账务明细'!$K$4:$K$3003,'[1]粘贴_账务明细'!$A$4:$A$3003,$B398,'[1]粘贴_账务明细'!$L$4:$L$3003,"优惠券结算"))</f>
      </c>
      <c r="E398" s="11">
        <f t="shared" si="0"/>
      </c>
      <c r="F398" s="11">
        <f>IF($L398="","",-SUMIFS('[1]粘贴_账务明细'!$K$4:$K$3003,'[1]粘贴_账务明细'!$A$4:$A$3003,$B398,'[1]粘贴_账务明细'!$L$4:$L$3003,"百亿补贴技术服务费"))</f>
      </c>
      <c r="G398" s="11">
        <f>IF($L398="","",SUMIFS('[1]粘贴_服务费返还'!$M$4:$M$3003,'[1]粘贴_服务费返还'!$N$4:$N$3003,$B398,'[1]粘贴_服务费返还'!$O$4:$O$3003,"返还"))</f>
      </c>
      <c r="H398" s="11">
        <f>IF($L398="","",SUMIFS('[1]粘贴_服务费返还'!$M$4:$M$3003,'[1]粘贴_服务费返还'!$N$4:$N$3003,$B398,'[1]粘贴_服务费返还'!$O$4:$O$3003,"扣回"))</f>
      </c>
      <c r="I398" s="11">
        <f t="shared" si="1"/>
      </c>
      <c r="J398" s="6">
        <f t="shared" si="2"/>
      </c>
      <c r="K398" s="10">
        <f t="shared" si="3"/>
      </c>
      <c r="L398" s="17">
        <f>IF(A398&gt;$H$5,"",MATCH(A398,'[1]粘贴_账务明细'!$O$4:$O$3003,0))</f>
      </c>
    </row>
    <row r="399">
      <c r="A399" s="10" t="n">
        <v>371</v>
      </c>
      <c r="B399" s="6">
        <f>IF($L399="","",INDEX('[1]粘贴_账务明细'!$A$4:$A$3003,$L399))</f>
      </c>
      <c r="C399" s="16">
        <f>IF($L399="","",INDEX('[1]粘贴_账务明细'!$H$4:$H$3003,$L399))</f>
      </c>
      <c r="D399" s="11">
        <f>IF($L399="","",SUMIFS('[1]粘贴_账务明细'!$K$4:$K$3003,'[1]粘贴_账务明细'!$A$4:$A$3003,$B399,'[1]粘贴_账务明细'!$L$4:$L$3003,"订单收入")+SUMIFS('[1]粘贴_账务明细'!$K$4:$K$3003,'[1]粘贴_账务明细'!$A$4:$A$3003,$B399,'[1]粘贴_账务明细'!$L$4:$L$3003,"优惠券结算"))</f>
      </c>
      <c r="E399" s="11">
        <f t="shared" si="0"/>
      </c>
      <c r="F399" s="11">
        <f>IF($L399="","",-SUMIFS('[1]粘贴_账务明细'!$K$4:$K$3003,'[1]粘贴_账务明细'!$A$4:$A$3003,$B399,'[1]粘贴_账务明细'!$L$4:$L$3003,"百亿补贴技术服务费"))</f>
      </c>
      <c r="G399" s="11">
        <f>IF($L399="","",SUMIFS('[1]粘贴_服务费返还'!$M$4:$M$3003,'[1]粘贴_服务费返还'!$N$4:$N$3003,$B399,'[1]粘贴_服务费返还'!$O$4:$O$3003,"返还"))</f>
      </c>
      <c r="H399" s="11">
        <f>IF($L399="","",SUMIFS('[1]粘贴_服务费返还'!$M$4:$M$3003,'[1]粘贴_服务费返还'!$N$4:$N$3003,$B399,'[1]粘贴_服务费返还'!$O$4:$O$3003,"扣回"))</f>
      </c>
      <c r="I399" s="11">
        <f t="shared" si="1"/>
      </c>
      <c r="J399" s="6">
        <f t="shared" si="2"/>
      </c>
      <c r="K399" s="10">
        <f t="shared" si="3"/>
      </c>
      <c r="L399" s="17">
        <f>IF(A399&gt;$H$5,"",MATCH(A399,'[1]粘贴_账务明细'!$O$4:$O$3003,0))</f>
      </c>
    </row>
    <row r="400">
      <c r="A400" s="10" t="n">
        <v>372</v>
      </c>
      <c r="B400" s="6">
        <f>IF($L400="","",INDEX('[1]粘贴_账务明细'!$A$4:$A$3003,$L400))</f>
      </c>
      <c r="C400" s="16">
        <f>IF($L400="","",INDEX('[1]粘贴_账务明细'!$H$4:$H$3003,$L400))</f>
      </c>
      <c r="D400" s="11">
        <f>IF($L400="","",SUMIFS('[1]粘贴_账务明细'!$K$4:$K$3003,'[1]粘贴_账务明细'!$A$4:$A$3003,$B400,'[1]粘贴_账务明细'!$L$4:$L$3003,"订单收入")+SUMIFS('[1]粘贴_账务明细'!$K$4:$K$3003,'[1]粘贴_账务明细'!$A$4:$A$3003,$B400,'[1]粘贴_账务明细'!$L$4:$L$3003,"优惠券结算"))</f>
      </c>
      <c r="E400" s="11">
        <f t="shared" si="0"/>
      </c>
      <c r="F400" s="11">
        <f>IF($L400="","",-SUMIFS('[1]粘贴_账务明细'!$K$4:$K$3003,'[1]粘贴_账务明细'!$A$4:$A$3003,$B400,'[1]粘贴_账务明细'!$L$4:$L$3003,"百亿补贴技术服务费"))</f>
      </c>
      <c r="G400" s="11">
        <f>IF($L400="","",SUMIFS('[1]粘贴_服务费返还'!$M$4:$M$3003,'[1]粘贴_服务费返还'!$N$4:$N$3003,$B400,'[1]粘贴_服务费返还'!$O$4:$O$3003,"返还"))</f>
      </c>
      <c r="H400" s="11">
        <f>IF($L400="","",SUMIFS('[1]粘贴_服务费返还'!$M$4:$M$3003,'[1]粘贴_服务费返还'!$N$4:$N$3003,$B400,'[1]粘贴_服务费返还'!$O$4:$O$3003,"扣回"))</f>
      </c>
      <c r="I400" s="11">
        <f t="shared" si="1"/>
      </c>
      <c r="J400" s="6">
        <f t="shared" si="2"/>
      </c>
      <c r="K400" s="10">
        <f t="shared" si="3"/>
      </c>
      <c r="L400" s="17">
        <f>IF(A400&gt;$H$5,"",MATCH(A400,'[1]粘贴_账务明细'!$O$4:$O$3003,0))</f>
      </c>
    </row>
    <row r="401">
      <c r="A401" s="10" t="n">
        <v>373</v>
      </c>
      <c r="B401" s="6">
        <f>IF($L401="","",INDEX('[1]粘贴_账务明细'!$A$4:$A$3003,$L401))</f>
      </c>
      <c r="C401" s="16">
        <f>IF($L401="","",INDEX('[1]粘贴_账务明细'!$H$4:$H$3003,$L401))</f>
      </c>
      <c r="D401" s="11">
        <f>IF($L401="","",SUMIFS('[1]粘贴_账务明细'!$K$4:$K$3003,'[1]粘贴_账务明细'!$A$4:$A$3003,$B401,'[1]粘贴_账务明细'!$L$4:$L$3003,"订单收入")+SUMIFS('[1]粘贴_账务明细'!$K$4:$K$3003,'[1]粘贴_账务明细'!$A$4:$A$3003,$B401,'[1]粘贴_账务明细'!$L$4:$L$3003,"优惠券结算"))</f>
      </c>
      <c r="E401" s="11">
        <f t="shared" si="0"/>
      </c>
      <c r="F401" s="11">
        <f>IF($L401="","",-SUMIFS('[1]粘贴_账务明细'!$K$4:$K$3003,'[1]粘贴_账务明细'!$A$4:$A$3003,$B401,'[1]粘贴_账务明细'!$L$4:$L$3003,"百亿补贴技术服务费"))</f>
      </c>
      <c r="G401" s="11">
        <f>IF($L401="","",SUMIFS('[1]粘贴_服务费返还'!$M$4:$M$3003,'[1]粘贴_服务费返还'!$N$4:$N$3003,$B401,'[1]粘贴_服务费返还'!$O$4:$O$3003,"返还"))</f>
      </c>
      <c r="H401" s="11">
        <f>IF($L401="","",SUMIFS('[1]粘贴_服务费返还'!$M$4:$M$3003,'[1]粘贴_服务费返还'!$N$4:$N$3003,$B401,'[1]粘贴_服务费返还'!$O$4:$O$3003,"扣回"))</f>
      </c>
      <c r="I401" s="11">
        <f t="shared" si="1"/>
      </c>
      <c r="J401" s="6">
        <f t="shared" si="2"/>
      </c>
      <c r="K401" s="10">
        <f t="shared" si="3"/>
      </c>
      <c r="L401" s="17">
        <f>IF(A401&gt;$H$5,"",MATCH(A401,'[1]粘贴_账务明细'!$O$4:$O$3003,0))</f>
      </c>
    </row>
    <row r="402">
      <c r="A402" s="10" t="n">
        <v>374</v>
      </c>
      <c r="B402" s="6">
        <f>IF($L402="","",INDEX('[1]粘贴_账务明细'!$A$4:$A$3003,$L402))</f>
      </c>
      <c r="C402" s="16">
        <f>IF($L402="","",INDEX('[1]粘贴_账务明细'!$H$4:$H$3003,$L402))</f>
      </c>
      <c r="D402" s="11">
        <f>IF($L402="","",SUMIFS('[1]粘贴_账务明细'!$K$4:$K$3003,'[1]粘贴_账务明细'!$A$4:$A$3003,$B402,'[1]粘贴_账务明细'!$L$4:$L$3003,"订单收入")+SUMIFS('[1]粘贴_账务明细'!$K$4:$K$3003,'[1]粘贴_账务明细'!$A$4:$A$3003,$B402,'[1]粘贴_账务明细'!$L$4:$L$3003,"优惠券结算"))</f>
      </c>
      <c r="E402" s="11">
        <f t="shared" si="0"/>
      </c>
      <c r="F402" s="11">
        <f>IF($L402="","",-SUMIFS('[1]粘贴_账务明细'!$K$4:$K$3003,'[1]粘贴_账务明细'!$A$4:$A$3003,$B402,'[1]粘贴_账务明细'!$L$4:$L$3003,"百亿补贴技术服务费"))</f>
      </c>
      <c r="G402" s="11">
        <f>IF($L402="","",SUMIFS('[1]粘贴_服务费返还'!$M$4:$M$3003,'[1]粘贴_服务费返还'!$N$4:$N$3003,$B402,'[1]粘贴_服务费返还'!$O$4:$O$3003,"返还"))</f>
      </c>
      <c r="H402" s="11">
        <f>IF($L402="","",SUMIFS('[1]粘贴_服务费返还'!$M$4:$M$3003,'[1]粘贴_服务费返还'!$N$4:$N$3003,$B402,'[1]粘贴_服务费返还'!$O$4:$O$3003,"扣回"))</f>
      </c>
      <c r="I402" s="11">
        <f t="shared" si="1"/>
      </c>
      <c r="J402" s="6">
        <f t="shared" si="2"/>
      </c>
      <c r="K402" s="10">
        <f t="shared" si="3"/>
      </c>
      <c r="L402" s="17">
        <f>IF(A402&gt;$H$5,"",MATCH(A402,'[1]粘贴_账务明细'!$O$4:$O$3003,0))</f>
      </c>
    </row>
    <row r="403">
      <c r="A403" s="10" t="n">
        <v>375</v>
      </c>
      <c r="B403" s="6">
        <f>IF($L403="","",INDEX('[1]粘贴_账务明细'!$A$4:$A$3003,$L403))</f>
      </c>
      <c r="C403" s="16">
        <f>IF($L403="","",INDEX('[1]粘贴_账务明细'!$H$4:$H$3003,$L403))</f>
      </c>
      <c r="D403" s="11">
        <f>IF($L403="","",SUMIFS('[1]粘贴_账务明细'!$K$4:$K$3003,'[1]粘贴_账务明细'!$A$4:$A$3003,$B403,'[1]粘贴_账务明细'!$L$4:$L$3003,"订单收入")+SUMIFS('[1]粘贴_账务明细'!$K$4:$K$3003,'[1]粘贴_账务明细'!$A$4:$A$3003,$B403,'[1]粘贴_账务明细'!$L$4:$L$3003,"优惠券结算"))</f>
      </c>
      <c r="E403" s="11">
        <f t="shared" si="0"/>
      </c>
      <c r="F403" s="11">
        <f>IF($L403="","",-SUMIFS('[1]粘贴_账务明细'!$K$4:$K$3003,'[1]粘贴_账务明细'!$A$4:$A$3003,$B403,'[1]粘贴_账务明细'!$L$4:$L$3003,"百亿补贴技术服务费"))</f>
      </c>
      <c r="G403" s="11">
        <f>IF($L403="","",SUMIFS('[1]粘贴_服务费返还'!$M$4:$M$3003,'[1]粘贴_服务费返还'!$N$4:$N$3003,$B403,'[1]粘贴_服务费返还'!$O$4:$O$3003,"返还"))</f>
      </c>
      <c r="H403" s="11">
        <f>IF($L403="","",SUMIFS('[1]粘贴_服务费返还'!$M$4:$M$3003,'[1]粘贴_服务费返还'!$N$4:$N$3003,$B403,'[1]粘贴_服务费返还'!$O$4:$O$3003,"扣回"))</f>
      </c>
      <c r="I403" s="11">
        <f t="shared" si="1"/>
      </c>
      <c r="J403" s="6">
        <f t="shared" si="2"/>
      </c>
      <c r="K403" s="10">
        <f t="shared" si="3"/>
      </c>
      <c r="L403" s="17">
        <f>IF(A403&gt;$H$5,"",MATCH(A403,'[1]粘贴_账务明细'!$O$4:$O$3003,0))</f>
      </c>
    </row>
    <row r="404">
      <c r="A404" s="10" t="n">
        <v>376</v>
      </c>
      <c r="B404" s="6">
        <f>IF($L404="","",INDEX('[1]粘贴_账务明细'!$A$4:$A$3003,$L404))</f>
      </c>
      <c r="C404" s="16">
        <f>IF($L404="","",INDEX('[1]粘贴_账务明细'!$H$4:$H$3003,$L404))</f>
      </c>
      <c r="D404" s="11">
        <f>IF($L404="","",SUMIFS('[1]粘贴_账务明细'!$K$4:$K$3003,'[1]粘贴_账务明细'!$A$4:$A$3003,$B404,'[1]粘贴_账务明细'!$L$4:$L$3003,"订单收入")+SUMIFS('[1]粘贴_账务明细'!$K$4:$K$3003,'[1]粘贴_账务明细'!$A$4:$A$3003,$B404,'[1]粘贴_账务明细'!$L$4:$L$3003,"优惠券结算"))</f>
      </c>
      <c r="E404" s="11">
        <f t="shared" si="0"/>
      </c>
      <c r="F404" s="11">
        <f>IF($L404="","",-SUMIFS('[1]粘贴_账务明细'!$K$4:$K$3003,'[1]粘贴_账务明细'!$A$4:$A$3003,$B404,'[1]粘贴_账务明细'!$L$4:$L$3003,"百亿补贴技术服务费"))</f>
      </c>
      <c r="G404" s="11">
        <f>IF($L404="","",SUMIFS('[1]粘贴_服务费返还'!$M$4:$M$3003,'[1]粘贴_服务费返还'!$N$4:$N$3003,$B404,'[1]粘贴_服务费返还'!$O$4:$O$3003,"返还"))</f>
      </c>
      <c r="H404" s="11">
        <f>IF($L404="","",SUMIFS('[1]粘贴_服务费返还'!$M$4:$M$3003,'[1]粘贴_服务费返还'!$N$4:$N$3003,$B404,'[1]粘贴_服务费返还'!$O$4:$O$3003,"扣回"))</f>
      </c>
      <c r="I404" s="11">
        <f t="shared" si="1"/>
      </c>
      <c r="J404" s="6">
        <f t="shared" si="2"/>
      </c>
      <c r="K404" s="10">
        <f t="shared" si="3"/>
      </c>
      <c r="L404" s="17">
        <f>IF(A404&gt;$H$5,"",MATCH(A404,'[1]粘贴_账务明细'!$O$4:$O$3003,0))</f>
      </c>
    </row>
    <row r="405">
      <c r="A405" s="10" t="n">
        <v>377</v>
      </c>
      <c r="B405" s="6">
        <f>IF($L405="","",INDEX('[1]粘贴_账务明细'!$A$4:$A$3003,$L405))</f>
      </c>
      <c r="C405" s="16">
        <f>IF($L405="","",INDEX('[1]粘贴_账务明细'!$H$4:$H$3003,$L405))</f>
      </c>
      <c r="D405" s="11">
        <f>IF($L405="","",SUMIFS('[1]粘贴_账务明细'!$K$4:$K$3003,'[1]粘贴_账务明细'!$A$4:$A$3003,$B405,'[1]粘贴_账务明细'!$L$4:$L$3003,"订单收入")+SUMIFS('[1]粘贴_账务明细'!$K$4:$K$3003,'[1]粘贴_账务明细'!$A$4:$A$3003,$B405,'[1]粘贴_账务明细'!$L$4:$L$3003,"优惠券结算"))</f>
      </c>
      <c r="E405" s="11">
        <f t="shared" si="0"/>
      </c>
      <c r="F405" s="11">
        <f>IF($L405="","",-SUMIFS('[1]粘贴_账务明细'!$K$4:$K$3003,'[1]粘贴_账务明细'!$A$4:$A$3003,$B405,'[1]粘贴_账务明细'!$L$4:$L$3003,"百亿补贴技术服务费"))</f>
      </c>
      <c r="G405" s="11">
        <f>IF($L405="","",SUMIFS('[1]粘贴_服务费返还'!$M$4:$M$3003,'[1]粘贴_服务费返还'!$N$4:$N$3003,$B405,'[1]粘贴_服务费返还'!$O$4:$O$3003,"返还"))</f>
      </c>
      <c r="H405" s="11">
        <f>IF($L405="","",SUMIFS('[1]粘贴_服务费返还'!$M$4:$M$3003,'[1]粘贴_服务费返还'!$N$4:$N$3003,$B405,'[1]粘贴_服务费返还'!$O$4:$O$3003,"扣回"))</f>
      </c>
      <c r="I405" s="11">
        <f t="shared" si="1"/>
      </c>
      <c r="J405" s="6">
        <f t="shared" si="2"/>
      </c>
      <c r="K405" s="10">
        <f t="shared" si="3"/>
      </c>
      <c r="L405" s="17">
        <f>IF(A405&gt;$H$5,"",MATCH(A405,'[1]粘贴_账务明细'!$O$4:$O$3003,0))</f>
      </c>
    </row>
    <row r="406">
      <c r="A406" s="10" t="n">
        <v>378</v>
      </c>
      <c r="B406" s="6">
        <f>IF($L406="","",INDEX('[1]粘贴_账务明细'!$A$4:$A$3003,$L406))</f>
      </c>
      <c r="C406" s="16">
        <f>IF($L406="","",INDEX('[1]粘贴_账务明细'!$H$4:$H$3003,$L406))</f>
      </c>
      <c r="D406" s="11">
        <f>IF($L406="","",SUMIFS('[1]粘贴_账务明细'!$K$4:$K$3003,'[1]粘贴_账务明细'!$A$4:$A$3003,$B406,'[1]粘贴_账务明细'!$L$4:$L$3003,"订单收入")+SUMIFS('[1]粘贴_账务明细'!$K$4:$K$3003,'[1]粘贴_账务明细'!$A$4:$A$3003,$B406,'[1]粘贴_账务明细'!$L$4:$L$3003,"优惠券结算"))</f>
      </c>
      <c r="E406" s="11">
        <f t="shared" si="0"/>
      </c>
      <c r="F406" s="11">
        <f>IF($L406="","",-SUMIFS('[1]粘贴_账务明细'!$K$4:$K$3003,'[1]粘贴_账务明细'!$A$4:$A$3003,$B406,'[1]粘贴_账务明细'!$L$4:$L$3003,"百亿补贴技术服务费"))</f>
      </c>
      <c r="G406" s="11">
        <f>IF($L406="","",SUMIFS('[1]粘贴_服务费返还'!$M$4:$M$3003,'[1]粘贴_服务费返还'!$N$4:$N$3003,$B406,'[1]粘贴_服务费返还'!$O$4:$O$3003,"返还"))</f>
      </c>
      <c r="H406" s="11">
        <f>IF($L406="","",SUMIFS('[1]粘贴_服务费返还'!$M$4:$M$3003,'[1]粘贴_服务费返还'!$N$4:$N$3003,$B406,'[1]粘贴_服务费返还'!$O$4:$O$3003,"扣回"))</f>
      </c>
      <c r="I406" s="11">
        <f t="shared" si="1"/>
      </c>
      <c r="J406" s="6">
        <f t="shared" si="2"/>
      </c>
      <c r="K406" s="10">
        <f t="shared" si="3"/>
      </c>
      <c r="L406" s="17">
        <f>IF(A406&gt;$H$5,"",MATCH(A406,'[1]粘贴_账务明细'!$O$4:$O$3003,0))</f>
      </c>
    </row>
    <row r="407">
      <c r="A407" s="10" t="n">
        <v>379</v>
      </c>
      <c r="B407" s="6">
        <f>IF($L407="","",INDEX('[1]粘贴_账务明细'!$A$4:$A$3003,$L407))</f>
      </c>
      <c r="C407" s="16">
        <f>IF($L407="","",INDEX('[1]粘贴_账务明细'!$H$4:$H$3003,$L407))</f>
      </c>
      <c r="D407" s="11">
        <f>IF($L407="","",SUMIFS('[1]粘贴_账务明细'!$K$4:$K$3003,'[1]粘贴_账务明细'!$A$4:$A$3003,$B407,'[1]粘贴_账务明细'!$L$4:$L$3003,"订单收入")+SUMIFS('[1]粘贴_账务明细'!$K$4:$K$3003,'[1]粘贴_账务明细'!$A$4:$A$3003,$B407,'[1]粘贴_账务明细'!$L$4:$L$3003,"优惠券结算"))</f>
      </c>
      <c r="E407" s="11">
        <f t="shared" si="0"/>
      </c>
      <c r="F407" s="11">
        <f>IF($L407="","",-SUMIFS('[1]粘贴_账务明细'!$K$4:$K$3003,'[1]粘贴_账务明细'!$A$4:$A$3003,$B407,'[1]粘贴_账务明细'!$L$4:$L$3003,"百亿补贴技术服务费"))</f>
      </c>
      <c r="G407" s="11">
        <f>IF($L407="","",SUMIFS('[1]粘贴_服务费返还'!$M$4:$M$3003,'[1]粘贴_服务费返还'!$N$4:$N$3003,$B407,'[1]粘贴_服务费返还'!$O$4:$O$3003,"返还"))</f>
      </c>
      <c r="H407" s="11">
        <f>IF($L407="","",SUMIFS('[1]粘贴_服务费返还'!$M$4:$M$3003,'[1]粘贴_服务费返还'!$N$4:$N$3003,$B407,'[1]粘贴_服务费返还'!$O$4:$O$3003,"扣回"))</f>
      </c>
      <c r="I407" s="11">
        <f t="shared" si="1"/>
      </c>
      <c r="J407" s="6">
        <f t="shared" si="2"/>
      </c>
      <c r="K407" s="10">
        <f t="shared" si="3"/>
      </c>
      <c r="L407" s="17">
        <f>IF(A407&gt;$H$5,"",MATCH(A407,'[1]粘贴_账务明细'!$O$4:$O$3003,0))</f>
      </c>
    </row>
    <row r="408">
      <c r="A408" s="10" t="n">
        <v>380</v>
      </c>
      <c r="B408" s="6">
        <f>IF($L408="","",INDEX('[1]粘贴_账务明细'!$A$4:$A$3003,$L408))</f>
      </c>
      <c r="C408" s="16">
        <f>IF($L408="","",INDEX('[1]粘贴_账务明细'!$H$4:$H$3003,$L408))</f>
      </c>
      <c r="D408" s="11">
        <f>IF($L408="","",SUMIFS('[1]粘贴_账务明细'!$K$4:$K$3003,'[1]粘贴_账务明细'!$A$4:$A$3003,$B408,'[1]粘贴_账务明细'!$L$4:$L$3003,"订单收入")+SUMIFS('[1]粘贴_账务明细'!$K$4:$K$3003,'[1]粘贴_账务明细'!$A$4:$A$3003,$B408,'[1]粘贴_账务明细'!$L$4:$L$3003,"优惠券结算"))</f>
      </c>
      <c r="E408" s="11">
        <f t="shared" si="0"/>
      </c>
      <c r="F408" s="11">
        <f>IF($L408="","",-SUMIFS('[1]粘贴_账务明细'!$K$4:$K$3003,'[1]粘贴_账务明细'!$A$4:$A$3003,$B408,'[1]粘贴_账务明细'!$L$4:$L$3003,"百亿补贴技术服务费"))</f>
      </c>
      <c r="G408" s="11">
        <f>IF($L408="","",SUMIFS('[1]粘贴_服务费返还'!$M$4:$M$3003,'[1]粘贴_服务费返还'!$N$4:$N$3003,$B408,'[1]粘贴_服务费返还'!$O$4:$O$3003,"返还"))</f>
      </c>
      <c r="H408" s="11">
        <f>IF($L408="","",SUMIFS('[1]粘贴_服务费返还'!$M$4:$M$3003,'[1]粘贴_服务费返还'!$N$4:$N$3003,$B408,'[1]粘贴_服务费返还'!$O$4:$O$3003,"扣回"))</f>
      </c>
      <c r="I408" s="11">
        <f t="shared" si="1"/>
      </c>
      <c r="J408" s="6">
        <f t="shared" si="2"/>
      </c>
      <c r="K408" s="10">
        <f t="shared" si="3"/>
      </c>
      <c r="L408" s="17">
        <f>IF(A408&gt;$H$5,"",MATCH(A408,'[1]粘贴_账务明细'!$O$4:$O$3003,0))</f>
      </c>
    </row>
    <row r="409">
      <c r="A409" s="10" t="n">
        <v>381</v>
      </c>
      <c r="B409" s="6">
        <f>IF($L409="","",INDEX('[1]粘贴_账务明细'!$A$4:$A$3003,$L409))</f>
      </c>
      <c r="C409" s="16">
        <f>IF($L409="","",INDEX('[1]粘贴_账务明细'!$H$4:$H$3003,$L409))</f>
      </c>
      <c r="D409" s="11">
        <f>IF($L409="","",SUMIFS('[1]粘贴_账务明细'!$K$4:$K$3003,'[1]粘贴_账务明细'!$A$4:$A$3003,$B409,'[1]粘贴_账务明细'!$L$4:$L$3003,"订单收入")+SUMIFS('[1]粘贴_账务明细'!$K$4:$K$3003,'[1]粘贴_账务明细'!$A$4:$A$3003,$B409,'[1]粘贴_账务明细'!$L$4:$L$3003,"优惠券结算"))</f>
      </c>
      <c r="E409" s="11">
        <f t="shared" si="0"/>
      </c>
      <c r="F409" s="11">
        <f>IF($L409="","",-SUMIFS('[1]粘贴_账务明细'!$K$4:$K$3003,'[1]粘贴_账务明细'!$A$4:$A$3003,$B409,'[1]粘贴_账务明细'!$L$4:$L$3003,"百亿补贴技术服务费"))</f>
      </c>
      <c r="G409" s="11">
        <f>IF($L409="","",SUMIFS('[1]粘贴_服务费返还'!$M$4:$M$3003,'[1]粘贴_服务费返还'!$N$4:$N$3003,$B409,'[1]粘贴_服务费返还'!$O$4:$O$3003,"返还"))</f>
      </c>
      <c r="H409" s="11">
        <f>IF($L409="","",SUMIFS('[1]粘贴_服务费返还'!$M$4:$M$3003,'[1]粘贴_服务费返还'!$N$4:$N$3003,$B409,'[1]粘贴_服务费返还'!$O$4:$O$3003,"扣回"))</f>
      </c>
      <c r="I409" s="11">
        <f t="shared" si="1"/>
      </c>
      <c r="J409" s="6">
        <f t="shared" si="2"/>
      </c>
      <c r="K409" s="10">
        <f t="shared" si="3"/>
      </c>
      <c r="L409" s="17">
        <f>IF(A409&gt;$H$5,"",MATCH(A409,'[1]粘贴_账务明细'!$O$4:$O$3003,0))</f>
      </c>
    </row>
    <row r="410">
      <c r="A410" s="10" t="n">
        <v>382</v>
      </c>
      <c r="B410" s="6">
        <f>IF($L410="","",INDEX('[1]粘贴_账务明细'!$A$4:$A$3003,$L410))</f>
      </c>
      <c r="C410" s="16">
        <f>IF($L410="","",INDEX('[1]粘贴_账务明细'!$H$4:$H$3003,$L410))</f>
      </c>
      <c r="D410" s="11">
        <f>IF($L410="","",SUMIFS('[1]粘贴_账务明细'!$K$4:$K$3003,'[1]粘贴_账务明细'!$A$4:$A$3003,$B410,'[1]粘贴_账务明细'!$L$4:$L$3003,"订单收入")+SUMIFS('[1]粘贴_账务明细'!$K$4:$K$3003,'[1]粘贴_账务明细'!$A$4:$A$3003,$B410,'[1]粘贴_账务明细'!$L$4:$L$3003,"优惠券结算"))</f>
      </c>
      <c r="E410" s="11">
        <f t="shared" si="0"/>
      </c>
      <c r="F410" s="11">
        <f>IF($L410="","",-SUMIFS('[1]粘贴_账务明细'!$K$4:$K$3003,'[1]粘贴_账务明细'!$A$4:$A$3003,$B410,'[1]粘贴_账务明细'!$L$4:$L$3003,"百亿补贴技术服务费"))</f>
      </c>
      <c r="G410" s="11">
        <f>IF($L410="","",SUMIFS('[1]粘贴_服务费返还'!$M$4:$M$3003,'[1]粘贴_服务费返还'!$N$4:$N$3003,$B410,'[1]粘贴_服务费返还'!$O$4:$O$3003,"返还"))</f>
      </c>
      <c r="H410" s="11">
        <f>IF($L410="","",SUMIFS('[1]粘贴_服务费返还'!$M$4:$M$3003,'[1]粘贴_服务费返还'!$N$4:$N$3003,$B410,'[1]粘贴_服务费返还'!$O$4:$O$3003,"扣回"))</f>
      </c>
      <c r="I410" s="11">
        <f t="shared" si="1"/>
      </c>
      <c r="J410" s="6">
        <f t="shared" si="2"/>
      </c>
      <c r="K410" s="10">
        <f t="shared" si="3"/>
      </c>
      <c r="L410" s="17">
        <f>IF(A410&gt;$H$5,"",MATCH(A410,'[1]粘贴_账务明细'!$O$4:$O$3003,0))</f>
      </c>
    </row>
    <row r="411">
      <c r="A411" s="10" t="n">
        <v>383</v>
      </c>
      <c r="B411" s="6">
        <f>IF($L411="","",INDEX('[1]粘贴_账务明细'!$A$4:$A$3003,$L411))</f>
      </c>
      <c r="C411" s="16">
        <f>IF($L411="","",INDEX('[1]粘贴_账务明细'!$H$4:$H$3003,$L411))</f>
      </c>
      <c r="D411" s="11">
        <f>IF($L411="","",SUMIFS('[1]粘贴_账务明细'!$K$4:$K$3003,'[1]粘贴_账务明细'!$A$4:$A$3003,$B411,'[1]粘贴_账务明细'!$L$4:$L$3003,"订单收入")+SUMIFS('[1]粘贴_账务明细'!$K$4:$K$3003,'[1]粘贴_账务明细'!$A$4:$A$3003,$B411,'[1]粘贴_账务明细'!$L$4:$L$3003,"优惠券结算"))</f>
      </c>
      <c r="E411" s="11">
        <f t="shared" si="0"/>
      </c>
      <c r="F411" s="11">
        <f>IF($L411="","",-SUMIFS('[1]粘贴_账务明细'!$K$4:$K$3003,'[1]粘贴_账务明细'!$A$4:$A$3003,$B411,'[1]粘贴_账务明细'!$L$4:$L$3003,"百亿补贴技术服务费"))</f>
      </c>
      <c r="G411" s="11">
        <f>IF($L411="","",SUMIFS('[1]粘贴_服务费返还'!$M$4:$M$3003,'[1]粘贴_服务费返还'!$N$4:$N$3003,$B411,'[1]粘贴_服务费返还'!$O$4:$O$3003,"返还"))</f>
      </c>
      <c r="H411" s="11">
        <f>IF($L411="","",SUMIFS('[1]粘贴_服务费返还'!$M$4:$M$3003,'[1]粘贴_服务费返还'!$N$4:$N$3003,$B411,'[1]粘贴_服务费返还'!$O$4:$O$3003,"扣回"))</f>
      </c>
      <c r="I411" s="11">
        <f t="shared" si="1"/>
      </c>
      <c r="J411" s="6">
        <f t="shared" si="2"/>
      </c>
      <c r="K411" s="10">
        <f t="shared" si="3"/>
      </c>
      <c r="L411" s="17">
        <f>IF(A411&gt;$H$5,"",MATCH(A411,'[1]粘贴_账务明细'!$O$4:$O$3003,0))</f>
      </c>
    </row>
    <row r="412">
      <c r="A412" s="10" t="n">
        <v>384</v>
      </c>
      <c r="B412" s="6">
        <f>IF($L412="","",INDEX('[1]粘贴_账务明细'!$A$4:$A$3003,$L412))</f>
      </c>
      <c r="C412" s="16">
        <f>IF($L412="","",INDEX('[1]粘贴_账务明细'!$H$4:$H$3003,$L412))</f>
      </c>
      <c r="D412" s="11">
        <f>IF($L412="","",SUMIFS('[1]粘贴_账务明细'!$K$4:$K$3003,'[1]粘贴_账务明细'!$A$4:$A$3003,$B412,'[1]粘贴_账务明细'!$L$4:$L$3003,"订单收入")+SUMIFS('[1]粘贴_账务明细'!$K$4:$K$3003,'[1]粘贴_账务明细'!$A$4:$A$3003,$B412,'[1]粘贴_账务明细'!$L$4:$L$3003,"优惠券结算"))</f>
      </c>
      <c r="E412" s="11">
        <f t="shared" si="0"/>
      </c>
      <c r="F412" s="11">
        <f>IF($L412="","",-SUMIFS('[1]粘贴_账务明细'!$K$4:$K$3003,'[1]粘贴_账务明细'!$A$4:$A$3003,$B412,'[1]粘贴_账务明细'!$L$4:$L$3003,"百亿补贴技术服务费"))</f>
      </c>
      <c r="G412" s="11">
        <f>IF($L412="","",SUMIFS('[1]粘贴_服务费返还'!$M$4:$M$3003,'[1]粘贴_服务费返还'!$N$4:$N$3003,$B412,'[1]粘贴_服务费返还'!$O$4:$O$3003,"返还"))</f>
      </c>
      <c r="H412" s="11">
        <f>IF($L412="","",SUMIFS('[1]粘贴_服务费返还'!$M$4:$M$3003,'[1]粘贴_服务费返还'!$N$4:$N$3003,$B412,'[1]粘贴_服务费返还'!$O$4:$O$3003,"扣回"))</f>
      </c>
      <c r="I412" s="11">
        <f t="shared" si="1"/>
      </c>
      <c r="J412" s="6">
        <f t="shared" si="2"/>
      </c>
      <c r="K412" s="10">
        <f t="shared" si="3"/>
      </c>
      <c r="L412" s="17">
        <f>IF(A412&gt;$H$5,"",MATCH(A412,'[1]粘贴_账务明细'!$O$4:$O$3003,0))</f>
      </c>
    </row>
    <row r="413">
      <c r="A413" s="10" t="n">
        <v>385</v>
      </c>
      <c r="B413" s="6">
        <f>IF($L413="","",INDEX('[1]粘贴_账务明细'!$A$4:$A$3003,$L413))</f>
      </c>
      <c r="C413" s="16">
        <f>IF($L413="","",INDEX('[1]粘贴_账务明细'!$H$4:$H$3003,$L413))</f>
      </c>
      <c r="D413" s="11">
        <f>IF($L413="","",SUMIFS('[1]粘贴_账务明细'!$K$4:$K$3003,'[1]粘贴_账务明细'!$A$4:$A$3003,$B413,'[1]粘贴_账务明细'!$L$4:$L$3003,"订单收入")+SUMIFS('[1]粘贴_账务明细'!$K$4:$K$3003,'[1]粘贴_账务明细'!$A$4:$A$3003,$B413,'[1]粘贴_账务明细'!$L$4:$L$3003,"优惠券结算"))</f>
      </c>
      <c r="E413" s="11">
        <f t="shared" si="0"/>
      </c>
      <c r="F413" s="11">
        <f>IF($L413="","",-SUMIFS('[1]粘贴_账务明细'!$K$4:$K$3003,'[1]粘贴_账务明细'!$A$4:$A$3003,$B413,'[1]粘贴_账务明细'!$L$4:$L$3003,"百亿补贴技术服务费"))</f>
      </c>
      <c r="G413" s="11">
        <f>IF($L413="","",SUMIFS('[1]粘贴_服务费返还'!$M$4:$M$3003,'[1]粘贴_服务费返还'!$N$4:$N$3003,$B413,'[1]粘贴_服务费返还'!$O$4:$O$3003,"返还"))</f>
      </c>
      <c r="H413" s="11">
        <f>IF($L413="","",SUMIFS('[1]粘贴_服务费返还'!$M$4:$M$3003,'[1]粘贴_服务费返还'!$N$4:$N$3003,$B413,'[1]粘贴_服务费返还'!$O$4:$O$3003,"扣回"))</f>
      </c>
      <c r="I413" s="11">
        <f t="shared" si="1"/>
      </c>
      <c r="J413" s="6">
        <f t="shared" si="2"/>
      </c>
      <c r="K413" s="10">
        <f t="shared" si="3"/>
      </c>
      <c r="L413" s="17">
        <f>IF(A413&gt;$H$5,"",MATCH(A413,'[1]粘贴_账务明细'!$O$4:$O$3003,0))</f>
      </c>
    </row>
    <row r="414">
      <c r="A414" s="10" t="n">
        <v>386</v>
      </c>
      <c r="B414" s="6">
        <f>IF($L414="","",INDEX('[1]粘贴_账务明细'!$A$4:$A$3003,$L414))</f>
      </c>
      <c r="C414" s="16">
        <f>IF($L414="","",INDEX('[1]粘贴_账务明细'!$H$4:$H$3003,$L414))</f>
      </c>
      <c r="D414" s="11">
        <f>IF($L414="","",SUMIFS('[1]粘贴_账务明细'!$K$4:$K$3003,'[1]粘贴_账务明细'!$A$4:$A$3003,$B414,'[1]粘贴_账务明细'!$L$4:$L$3003,"订单收入")+SUMIFS('[1]粘贴_账务明细'!$K$4:$K$3003,'[1]粘贴_账务明细'!$A$4:$A$3003,$B414,'[1]粘贴_账务明细'!$L$4:$L$3003,"优惠券结算"))</f>
      </c>
      <c r="E414" s="11">
        <f t="shared" si="0"/>
      </c>
      <c r="F414" s="11">
        <f>IF($L414="","",-SUMIFS('[1]粘贴_账务明细'!$K$4:$K$3003,'[1]粘贴_账务明细'!$A$4:$A$3003,$B414,'[1]粘贴_账务明细'!$L$4:$L$3003,"百亿补贴技术服务费"))</f>
      </c>
      <c r="G414" s="11">
        <f>IF($L414="","",SUMIFS('[1]粘贴_服务费返还'!$M$4:$M$3003,'[1]粘贴_服务费返还'!$N$4:$N$3003,$B414,'[1]粘贴_服务费返还'!$O$4:$O$3003,"返还"))</f>
      </c>
      <c r="H414" s="11">
        <f>IF($L414="","",SUMIFS('[1]粘贴_服务费返还'!$M$4:$M$3003,'[1]粘贴_服务费返还'!$N$4:$N$3003,$B414,'[1]粘贴_服务费返还'!$O$4:$O$3003,"扣回"))</f>
      </c>
      <c r="I414" s="11">
        <f t="shared" si="1"/>
      </c>
      <c r="J414" s="6">
        <f t="shared" si="2"/>
      </c>
      <c r="K414" s="10">
        <f t="shared" si="3"/>
      </c>
      <c r="L414" s="17">
        <f>IF(A414&gt;$H$5,"",MATCH(A414,'[1]粘贴_账务明细'!$O$4:$O$3003,0))</f>
      </c>
    </row>
    <row r="415">
      <c r="A415" s="10" t="n">
        <v>387</v>
      </c>
      <c r="B415" s="6">
        <f>IF($L415="","",INDEX('[1]粘贴_账务明细'!$A$4:$A$3003,$L415))</f>
      </c>
      <c r="C415" s="16">
        <f>IF($L415="","",INDEX('[1]粘贴_账务明细'!$H$4:$H$3003,$L415))</f>
      </c>
      <c r="D415" s="11">
        <f>IF($L415="","",SUMIFS('[1]粘贴_账务明细'!$K$4:$K$3003,'[1]粘贴_账务明细'!$A$4:$A$3003,$B415,'[1]粘贴_账务明细'!$L$4:$L$3003,"订单收入")+SUMIFS('[1]粘贴_账务明细'!$K$4:$K$3003,'[1]粘贴_账务明细'!$A$4:$A$3003,$B415,'[1]粘贴_账务明细'!$L$4:$L$3003,"优惠券结算"))</f>
      </c>
      <c r="E415" s="11">
        <f t="shared" si="0"/>
      </c>
      <c r="F415" s="11">
        <f>IF($L415="","",-SUMIFS('[1]粘贴_账务明细'!$K$4:$K$3003,'[1]粘贴_账务明细'!$A$4:$A$3003,$B415,'[1]粘贴_账务明细'!$L$4:$L$3003,"百亿补贴技术服务费"))</f>
      </c>
      <c r="G415" s="11">
        <f>IF($L415="","",SUMIFS('[1]粘贴_服务费返还'!$M$4:$M$3003,'[1]粘贴_服务费返还'!$N$4:$N$3003,$B415,'[1]粘贴_服务费返还'!$O$4:$O$3003,"返还"))</f>
      </c>
      <c r="H415" s="11">
        <f>IF($L415="","",SUMIFS('[1]粘贴_服务费返还'!$M$4:$M$3003,'[1]粘贴_服务费返还'!$N$4:$N$3003,$B415,'[1]粘贴_服务费返还'!$O$4:$O$3003,"扣回"))</f>
      </c>
      <c r="I415" s="11">
        <f t="shared" si="1"/>
      </c>
      <c r="J415" s="6">
        <f t="shared" si="2"/>
      </c>
      <c r="K415" s="10">
        <f t="shared" si="3"/>
      </c>
      <c r="L415" s="17">
        <f>IF(A415&gt;$H$5,"",MATCH(A415,'[1]粘贴_账务明细'!$O$4:$O$3003,0))</f>
      </c>
    </row>
    <row r="416">
      <c r="A416" s="10" t="n">
        <v>388</v>
      </c>
      <c r="B416" s="6">
        <f>IF($L416="","",INDEX('[1]粘贴_账务明细'!$A$4:$A$3003,$L416))</f>
      </c>
      <c r="C416" s="16">
        <f>IF($L416="","",INDEX('[1]粘贴_账务明细'!$H$4:$H$3003,$L416))</f>
      </c>
      <c r="D416" s="11">
        <f>IF($L416="","",SUMIFS('[1]粘贴_账务明细'!$K$4:$K$3003,'[1]粘贴_账务明细'!$A$4:$A$3003,$B416,'[1]粘贴_账务明细'!$L$4:$L$3003,"订单收入")+SUMIFS('[1]粘贴_账务明细'!$K$4:$K$3003,'[1]粘贴_账务明细'!$A$4:$A$3003,$B416,'[1]粘贴_账务明细'!$L$4:$L$3003,"优惠券结算"))</f>
      </c>
      <c r="E416" s="11">
        <f t="shared" si="0"/>
      </c>
      <c r="F416" s="11">
        <f>IF($L416="","",-SUMIFS('[1]粘贴_账务明细'!$K$4:$K$3003,'[1]粘贴_账务明细'!$A$4:$A$3003,$B416,'[1]粘贴_账务明细'!$L$4:$L$3003,"百亿补贴技术服务费"))</f>
      </c>
      <c r="G416" s="11">
        <f>IF($L416="","",SUMIFS('[1]粘贴_服务费返还'!$M$4:$M$3003,'[1]粘贴_服务费返还'!$N$4:$N$3003,$B416,'[1]粘贴_服务费返还'!$O$4:$O$3003,"返还"))</f>
      </c>
      <c r="H416" s="11">
        <f>IF($L416="","",SUMIFS('[1]粘贴_服务费返还'!$M$4:$M$3003,'[1]粘贴_服务费返还'!$N$4:$N$3003,$B416,'[1]粘贴_服务费返还'!$O$4:$O$3003,"扣回"))</f>
      </c>
      <c r="I416" s="11">
        <f t="shared" si="1"/>
      </c>
      <c r="J416" s="6">
        <f t="shared" si="2"/>
      </c>
      <c r="K416" s="10">
        <f t="shared" si="3"/>
      </c>
      <c r="L416" s="17">
        <f>IF(A416&gt;$H$5,"",MATCH(A416,'[1]粘贴_账务明细'!$O$4:$O$3003,0))</f>
      </c>
    </row>
    <row r="417">
      <c r="A417" s="10" t="n">
        <v>389</v>
      </c>
      <c r="B417" s="6">
        <f>IF($L417="","",INDEX('[1]粘贴_账务明细'!$A$4:$A$3003,$L417))</f>
      </c>
      <c r="C417" s="16">
        <f>IF($L417="","",INDEX('[1]粘贴_账务明细'!$H$4:$H$3003,$L417))</f>
      </c>
      <c r="D417" s="11">
        <f>IF($L417="","",SUMIFS('[1]粘贴_账务明细'!$K$4:$K$3003,'[1]粘贴_账务明细'!$A$4:$A$3003,$B417,'[1]粘贴_账务明细'!$L$4:$L$3003,"订单收入")+SUMIFS('[1]粘贴_账务明细'!$K$4:$K$3003,'[1]粘贴_账务明细'!$A$4:$A$3003,$B417,'[1]粘贴_账务明细'!$L$4:$L$3003,"优惠券结算"))</f>
      </c>
      <c r="E417" s="11">
        <f t="shared" si="0"/>
      </c>
      <c r="F417" s="11">
        <f>IF($L417="","",-SUMIFS('[1]粘贴_账务明细'!$K$4:$K$3003,'[1]粘贴_账务明细'!$A$4:$A$3003,$B417,'[1]粘贴_账务明细'!$L$4:$L$3003,"百亿补贴技术服务费"))</f>
      </c>
      <c r="G417" s="11">
        <f>IF($L417="","",SUMIFS('[1]粘贴_服务费返还'!$M$4:$M$3003,'[1]粘贴_服务费返还'!$N$4:$N$3003,$B417,'[1]粘贴_服务费返还'!$O$4:$O$3003,"返还"))</f>
      </c>
      <c r="H417" s="11">
        <f>IF($L417="","",SUMIFS('[1]粘贴_服务费返还'!$M$4:$M$3003,'[1]粘贴_服务费返还'!$N$4:$N$3003,$B417,'[1]粘贴_服务费返还'!$O$4:$O$3003,"扣回"))</f>
      </c>
      <c r="I417" s="11">
        <f t="shared" si="1"/>
      </c>
      <c r="J417" s="6">
        <f t="shared" si="2"/>
      </c>
      <c r="K417" s="10">
        <f t="shared" si="3"/>
      </c>
      <c r="L417" s="17">
        <f>IF(A417&gt;$H$5,"",MATCH(A417,'[1]粘贴_账务明细'!$O$4:$O$3003,0))</f>
      </c>
    </row>
    <row r="418">
      <c r="A418" s="10" t="n">
        <v>390</v>
      </c>
      <c r="B418" s="6">
        <f>IF($L418="","",INDEX('[1]粘贴_账务明细'!$A$4:$A$3003,$L418))</f>
      </c>
      <c r="C418" s="16">
        <f>IF($L418="","",INDEX('[1]粘贴_账务明细'!$H$4:$H$3003,$L418))</f>
      </c>
      <c r="D418" s="11">
        <f>IF($L418="","",SUMIFS('[1]粘贴_账务明细'!$K$4:$K$3003,'[1]粘贴_账务明细'!$A$4:$A$3003,$B418,'[1]粘贴_账务明细'!$L$4:$L$3003,"订单收入")+SUMIFS('[1]粘贴_账务明细'!$K$4:$K$3003,'[1]粘贴_账务明细'!$A$4:$A$3003,$B418,'[1]粘贴_账务明细'!$L$4:$L$3003,"优惠券结算"))</f>
      </c>
      <c r="E418" s="11">
        <f t="shared" si="0"/>
      </c>
      <c r="F418" s="11">
        <f>IF($L418="","",-SUMIFS('[1]粘贴_账务明细'!$K$4:$K$3003,'[1]粘贴_账务明细'!$A$4:$A$3003,$B418,'[1]粘贴_账务明细'!$L$4:$L$3003,"百亿补贴技术服务费"))</f>
      </c>
      <c r="G418" s="11">
        <f>IF($L418="","",SUMIFS('[1]粘贴_服务费返还'!$M$4:$M$3003,'[1]粘贴_服务费返还'!$N$4:$N$3003,$B418,'[1]粘贴_服务费返还'!$O$4:$O$3003,"返还"))</f>
      </c>
      <c r="H418" s="11">
        <f>IF($L418="","",SUMIFS('[1]粘贴_服务费返还'!$M$4:$M$3003,'[1]粘贴_服务费返还'!$N$4:$N$3003,$B418,'[1]粘贴_服务费返还'!$O$4:$O$3003,"扣回"))</f>
      </c>
      <c r="I418" s="11">
        <f t="shared" si="1"/>
      </c>
      <c r="J418" s="6">
        <f t="shared" si="2"/>
      </c>
      <c r="K418" s="10">
        <f t="shared" si="3"/>
      </c>
      <c r="L418" s="17">
        <f>IF(A418&gt;$H$5,"",MATCH(A418,'[1]粘贴_账务明细'!$O$4:$O$3003,0))</f>
      </c>
    </row>
    <row r="419">
      <c r="A419" s="10" t="n">
        <v>391</v>
      </c>
      <c r="B419" s="6">
        <f>IF($L419="","",INDEX('[1]粘贴_账务明细'!$A$4:$A$3003,$L419))</f>
      </c>
      <c r="C419" s="16">
        <f>IF($L419="","",INDEX('[1]粘贴_账务明细'!$H$4:$H$3003,$L419))</f>
      </c>
      <c r="D419" s="11">
        <f>IF($L419="","",SUMIFS('[1]粘贴_账务明细'!$K$4:$K$3003,'[1]粘贴_账务明细'!$A$4:$A$3003,$B419,'[1]粘贴_账务明细'!$L$4:$L$3003,"订单收入")+SUMIFS('[1]粘贴_账务明细'!$K$4:$K$3003,'[1]粘贴_账务明细'!$A$4:$A$3003,$B419,'[1]粘贴_账务明细'!$L$4:$L$3003,"优惠券结算"))</f>
      </c>
      <c r="E419" s="11">
        <f t="shared" si="0"/>
      </c>
      <c r="F419" s="11">
        <f>IF($L419="","",-SUMIFS('[1]粘贴_账务明细'!$K$4:$K$3003,'[1]粘贴_账务明细'!$A$4:$A$3003,$B419,'[1]粘贴_账务明细'!$L$4:$L$3003,"百亿补贴技术服务费"))</f>
      </c>
      <c r="G419" s="11">
        <f>IF($L419="","",SUMIFS('[1]粘贴_服务费返还'!$M$4:$M$3003,'[1]粘贴_服务费返还'!$N$4:$N$3003,$B419,'[1]粘贴_服务费返还'!$O$4:$O$3003,"返还"))</f>
      </c>
      <c r="H419" s="11">
        <f>IF($L419="","",SUMIFS('[1]粘贴_服务费返还'!$M$4:$M$3003,'[1]粘贴_服务费返还'!$N$4:$N$3003,$B419,'[1]粘贴_服务费返还'!$O$4:$O$3003,"扣回"))</f>
      </c>
      <c r="I419" s="11">
        <f t="shared" si="1"/>
      </c>
      <c r="J419" s="6">
        <f t="shared" si="2"/>
      </c>
      <c r="K419" s="10">
        <f t="shared" si="3"/>
      </c>
      <c r="L419" s="17">
        <f>IF(A419&gt;$H$5,"",MATCH(A419,'[1]粘贴_账务明细'!$O$4:$O$3003,0))</f>
      </c>
    </row>
    <row r="420">
      <c r="A420" s="10" t="n">
        <v>392</v>
      </c>
      <c r="B420" s="6">
        <f>IF($L420="","",INDEX('[1]粘贴_账务明细'!$A$4:$A$3003,$L420))</f>
      </c>
      <c r="C420" s="16">
        <f>IF($L420="","",INDEX('[1]粘贴_账务明细'!$H$4:$H$3003,$L420))</f>
      </c>
      <c r="D420" s="11">
        <f>IF($L420="","",SUMIFS('[1]粘贴_账务明细'!$K$4:$K$3003,'[1]粘贴_账务明细'!$A$4:$A$3003,$B420,'[1]粘贴_账务明细'!$L$4:$L$3003,"订单收入")+SUMIFS('[1]粘贴_账务明细'!$K$4:$K$3003,'[1]粘贴_账务明细'!$A$4:$A$3003,$B420,'[1]粘贴_账务明细'!$L$4:$L$3003,"优惠券结算"))</f>
      </c>
      <c r="E420" s="11">
        <f t="shared" si="0"/>
      </c>
      <c r="F420" s="11">
        <f>IF($L420="","",-SUMIFS('[1]粘贴_账务明细'!$K$4:$K$3003,'[1]粘贴_账务明细'!$A$4:$A$3003,$B420,'[1]粘贴_账务明细'!$L$4:$L$3003,"百亿补贴技术服务费"))</f>
      </c>
      <c r="G420" s="11">
        <f>IF($L420="","",SUMIFS('[1]粘贴_服务费返还'!$M$4:$M$3003,'[1]粘贴_服务费返还'!$N$4:$N$3003,$B420,'[1]粘贴_服务费返还'!$O$4:$O$3003,"返还"))</f>
      </c>
      <c r="H420" s="11">
        <f>IF($L420="","",SUMIFS('[1]粘贴_服务费返还'!$M$4:$M$3003,'[1]粘贴_服务费返还'!$N$4:$N$3003,$B420,'[1]粘贴_服务费返还'!$O$4:$O$3003,"扣回"))</f>
      </c>
      <c r="I420" s="11">
        <f t="shared" si="1"/>
      </c>
      <c r="J420" s="6">
        <f t="shared" si="2"/>
      </c>
      <c r="K420" s="10">
        <f t="shared" si="3"/>
      </c>
      <c r="L420" s="17">
        <f>IF(A420&gt;$H$5,"",MATCH(A420,'[1]粘贴_账务明细'!$O$4:$O$3003,0))</f>
      </c>
    </row>
    <row r="421">
      <c r="A421" s="10" t="n">
        <v>393</v>
      </c>
      <c r="B421" s="6">
        <f>IF($L421="","",INDEX('[1]粘贴_账务明细'!$A$4:$A$3003,$L421))</f>
      </c>
      <c r="C421" s="16">
        <f>IF($L421="","",INDEX('[1]粘贴_账务明细'!$H$4:$H$3003,$L421))</f>
      </c>
      <c r="D421" s="11">
        <f>IF($L421="","",SUMIFS('[1]粘贴_账务明细'!$K$4:$K$3003,'[1]粘贴_账务明细'!$A$4:$A$3003,$B421,'[1]粘贴_账务明细'!$L$4:$L$3003,"订单收入")+SUMIFS('[1]粘贴_账务明细'!$K$4:$K$3003,'[1]粘贴_账务明细'!$A$4:$A$3003,$B421,'[1]粘贴_账务明细'!$L$4:$L$3003,"优惠券结算"))</f>
      </c>
      <c r="E421" s="11">
        <f t="shared" si="0"/>
      </c>
      <c r="F421" s="11">
        <f>IF($L421="","",-SUMIFS('[1]粘贴_账务明细'!$K$4:$K$3003,'[1]粘贴_账务明细'!$A$4:$A$3003,$B421,'[1]粘贴_账务明细'!$L$4:$L$3003,"百亿补贴技术服务费"))</f>
      </c>
      <c r="G421" s="11">
        <f>IF($L421="","",SUMIFS('[1]粘贴_服务费返还'!$M$4:$M$3003,'[1]粘贴_服务费返还'!$N$4:$N$3003,$B421,'[1]粘贴_服务费返还'!$O$4:$O$3003,"返还"))</f>
      </c>
      <c r="H421" s="11">
        <f>IF($L421="","",SUMIFS('[1]粘贴_服务费返还'!$M$4:$M$3003,'[1]粘贴_服务费返还'!$N$4:$N$3003,$B421,'[1]粘贴_服务费返还'!$O$4:$O$3003,"扣回"))</f>
      </c>
      <c r="I421" s="11">
        <f t="shared" si="1"/>
      </c>
      <c r="J421" s="6">
        <f t="shared" si="2"/>
      </c>
      <c r="K421" s="10">
        <f t="shared" si="3"/>
      </c>
      <c r="L421" s="17">
        <f>IF(A421&gt;$H$5,"",MATCH(A421,'[1]粘贴_账务明细'!$O$4:$O$3003,0))</f>
      </c>
    </row>
    <row r="422">
      <c r="A422" s="10" t="n">
        <v>394</v>
      </c>
      <c r="B422" s="6">
        <f>IF($L422="","",INDEX('[1]粘贴_账务明细'!$A$4:$A$3003,$L422))</f>
      </c>
      <c r="C422" s="16">
        <f>IF($L422="","",INDEX('[1]粘贴_账务明细'!$H$4:$H$3003,$L422))</f>
      </c>
      <c r="D422" s="11">
        <f>IF($L422="","",SUMIFS('[1]粘贴_账务明细'!$K$4:$K$3003,'[1]粘贴_账务明细'!$A$4:$A$3003,$B422,'[1]粘贴_账务明细'!$L$4:$L$3003,"订单收入")+SUMIFS('[1]粘贴_账务明细'!$K$4:$K$3003,'[1]粘贴_账务明细'!$A$4:$A$3003,$B422,'[1]粘贴_账务明细'!$L$4:$L$3003,"优惠券结算"))</f>
      </c>
      <c r="E422" s="11">
        <f t="shared" si="0"/>
      </c>
      <c r="F422" s="11">
        <f>IF($L422="","",-SUMIFS('[1]粘贴_账务明细'!$K$4:$K$3003,'[1]粘贴_账务明细'!$A$4:$A$3003,$B422,'[1]粘贴_账务明细'!$L$4:$L$3003,"百亿补贴技术服务费"))</f>
      </c>
      <c r="G422" s="11">
        <f>IF($L422="","",SUMIFS('[1]粘贴_服务费返还'!$M$4:$M$3003,'[1]粘贴_服务费返还'!$N$4:$N$3003,$B422,'[1]粘贴_服务费返还'!$O$4:$O$3003,"返还"))</f>
      </c>
      <c r="H422" s="11">
        <f>IF($L422="","",SUMIFS('[1]粘贴_服务费返还'!$M$4:$M$3003,'[1]粘贴_服务费返还'!$N$4:$N$3003,$B422,'[1]粘贴_服务费返还'!$O$4:$O$3003,"扣回"))</f>
      </c>
      <c r="I422" s="11">
        <f t="shared" si="1"/>
      </c>
      <c r="J422" s="6">
        <f t="shared" si="2"/>
      </c>
      <c r="K422" s="10">
        <f t="shared" si="3"/>
      </c>
      <c r="L422" s="17">
        <f>IF(A422&gt;$H$5,"",MATCH(A422,'[1]粘贴_账务明细'!$O$4:$O$3003,0))</f>
      </c>
    </row>
    <row r="423">
      <c r="A423" s="10" t="n">
        <v>395</v>
      </c>
      <c r="B423" s="6">
        <f>IF($L423="","",INDEX('[1]粘贴_账务明细'!$A$4:$A$3003,$L423))</f>
      </c>
      <c r="C423" s="16">
        <f>IF($L423="","",INDEX('[1]粘贴_账务明细'!$H$4:$H$3003,$L423))</f>
      </c>
      <c r="D423" s="11">
        <f>IF($L423="","",SUMIFS('[1]粘贴_账务明细'!$K$4:$K$3003,'[1]粘贴_账务明细'!$A$4:$A$3003,$B423,'[1]粘贴_账务明细'!$L$4:$L$3003,"订单收入")+SUMIFS('[1]粘贴_账务明细'!$K$4:$K$3003,'[1]粘贴_账务明细'!$A$4:$A$3003,$B423,'[1]粘贴_账务明细'!$L$4:$L$3003,"优惠券结算"))</f>
      </c>
      <c r="E423" s="11">
        <f t="shared" si="0"/>
      </c>
      <c r="F423" s="11">
        <f>IF($L423="","",-SUMIFS('[1]粘贴_账务明细'!$K$4:$K$3003,'[1]粘贴_账务明细'!$A$4:$A$3003,$B423,'[1]粘贴_账务明细'!$L$4:$L$3003,"百亿补贴技术服务费"))</f>
      </c>
      <c r="G423" s="11">
        <f>IF($L423="","",SUMIFS('[1]粘贴_服务费返还'!$M$4:$M$3003,'[1]粘贴_服务费返还'!$N$4:$N$3003,$B423,'[1]粘贴_服务费返还'!$O$4:$O$3003,"返还"))</f>
      </c>
      <c r="H423" s="11">
        <f>IF($L423="","",SUMIFS('[1]粘贴_服务费返还'!$M$4:$M$3003,'[1]粘贴_服务费返还'!$N$4:$N$3003,$B423,'[1]粘贴_服务费返还'!$O$4:$O$3003,"扣回"))</f>
      </c>
      <c r="I423" s="11">
        <f t="shared" si="1"/>
      </c>
      <c r="J423" s="6">
        <f t="shared" si="2"/>
      </c>
      <c r="K423" s="10">
        <f t="shared" si="3"/>
      </c>
      <c r="L423" s="17">
        <f>IF(A423&gt;$H$5,"",MATCH(A423,'[1]粘贴_账务明细'!$O$4:$O$3003,0))</f>
      </c>
    </row>
    <row r="424">
      <c r="A424" s="10" t="n">
        <v>396</v>
      </c>
      <c r="B424" s="6">
        <f>IF($L424="","",INDEX('[1]粘贴_账务明细'!$A$4:$A$3003,$L424))</f>
      </c>
      <c r="C424" s="16">
        <f>IF($L424="","",INDEX('[1]粘贴_账务明细'!$H$4:$H$3003,$L424))</f>
      </c>
      <c r="D424" s="11">
        <f>IF($L424="","",SUMIFS('[1]粘贴_账务明细'!$K$4:$K$3003,'[1]粘贴_账务明细'!$A$4:$A$3003,$B424,'[1]粘贴_账务明细'!$L$4:$L$3003,"订单收入")+SUMIFS('[1]粘贴_账务明细'!$K$4:$K$3003,'[1]粘贴_账务明细'!$A$4:$A$3003,$B424,'[1]粘贴_账务明细'!$L$4:$L$3003,"优惠券结算"))</f>
      </c>
      <c r="E424" s="11">
        <f t="shared" si="0"/>
      </c>
      <c r="F424" s="11">
        <f>IF($L424="","",-SUMIFS('[1]粘贴_账务明细'!$K$4:$K$3003,'[1]粘贴_账务明细'!$A$4:$A$3003,$B424,'[1]粘贴_账务明细'!$L$4:$L$3003,"百亿补贴技术服务费"))</f>
      </c>
      <c r="G424" s="11">
        <f>IF($L424="","",SUMIFS('[1]粘贴_服务费返还'!$M$4:$M$3003,'[1]粘贴_服务费返还'!$N$4:$N$3003,$B424,'[1]粘贴_服务费返还'!$O$4:$O$3003,"返还"))</f>
      </c>
      <c r="H424" s="11">
        <f>IF($L424="","",SUMIFS('[1]粘贴_服务费返还'!$M$4:$M$3003,'[1]粘贴_服务费返还'!$N$4:$N$3003,$B424,'[1]粘贴_服务费返还'!$O$4:$O$3003,"扣回"))</f>
      </c>
      <c r="I424" s="11">
        <f t="shared" si="1"/>
      </c>
      <c r="J424" s="6">
        <f t="shared" si="2"/>
      </c>
      <c r="K424" s="10">
        <f t="shared" si="3"/>
      </c>
      <c r="L424" s="17">
        <f>IF(A424&gt;$H$5,"",MATCH(A424,'[1]粘贴_账务明细'!$O$4:$O$3003,0))</f>
      </c>
    </row>
    <row r="425">
      <c r="A425" s="10" t="n">
        <v>397</v>
      </c>
      <c r="B425" s="6">
        <f>IF($L425="","",INDEX('[1]粘贴_账务明细'!$A$4:$A$3003,$L425))</f>
      </c>
      <c r="C425" s="16">
        <f>IF($L425="","",INDEX('[1]粘贴_账务明细'!$H$4:$H$3003,$L425))</f>
      </c>
      <c r="D425" s="11">
        <f>IF($L425="","",SUMIFS('[1]粘贴_账务明细'!$K$4:$K$3003,'[1]粘贴_账务明细'!$A$4:$A$3003,$B425,'[1]粘贴_账务明细'!$L$4:$L$3003,"订单收入")+SUMIFS('[1]粘贴_账务明细'!$K$4:$K$3003,'[1]粘贴_账务明细'!$A$4:$A$3003,$B425,'[1]粘贴_账务明细'!$L$4:$L$3003,"优惠券结算"))</f>
      </c>
      <c r="E425" s="11">
        <f t="shared" si="0"/>
      </c>
      <c r="F425" s="11">
        <f>IF($L425="","",-SUMIFS('[1]粘贴_账务明细'!$K$4:$K$3003,'[1]粘贴_账务明细'!$A$4:$A$3003,$B425,'[1]粘贴_账务明细'!$L$4:$L$3003,"百亿补贴技术服务费"))</f>
      </c>
      <c r="G425" s="11">
        <f>IF($L425="","",SUMIFS('[1]粘贴_服务费返还'!$M$4:$M$3003,'[1]粘贴_服务费返还'!$N$4:$N$3003,$B425,'[1]粘贴_服务费返还'!$O$4:$O$3003,"返还"))</f>
      </c>
      <c r="H425" s="11">
        <f>IF($L425="","",SUMIFS('[1]粘贴_服务费返还'!$M$4:$M$3003,'[1]粘贴_服务费返还'!$N$4:$N$3003,$B425,'[1]粘贴_服务费返还'!$O$4:$O$3003,"扣回"))</f>
      </c>
      <c r="I425" s="11">
        <f t="shared" si="1"/>
      </c>
      <c r="J425" s="6">
        <f t="shared" si="2"/>
      </c>
      <c r="K425" s="10">
        <f t="shared" si="3"/>
      </c>
      <c r="L425" s="17">
        <f>IF(A425&gt;$H$5,"",MATCH(A425,'[1]粘贴_账务明细'!$O$4:$O$3003,0))</f>
      </c>
    </row>
    <row r="426">
      <c r="A426" s="10" t="n">
        <v>398</v>
      </c>
      <c r="B426" s="6">
        <f>IF($L426="","",INDEX('[1]粘贴_账务明细'!$A$4:$A$3003,$L426))</f>
      </c>
      <c r="C426" s="16">
        <f>IF($L426="","",INDEX('[1]粘贴_账务明细'!$H$4:$H$3003,$L426))</f>
      </c>
      <c r="D426" s="11">
        <f>IF($L426="","",SUMIFS('[1]粘贴_账务明细'!$K$4:$K$3003,'[1]粘贴_账务明细'!$A$4:$A$3003,$B426,'[1]粘贴_账务明细'!$L$4:$L$3003,"订单收入")+SUMIFS('[1]粘贴_账务明细'!$K$4:$K$3003,'[1]粘贴_账务明细'!$A$4:$A$3003,$B426,'[1]粘贴_账务明细'!$L$4:$L$3003,"优惠券结算"))</f>
      </c>
      <c r="E426" s="11">
        <f t="shared" si="0"/>
      </c>
      <c r="F426" s="11">
        <f>IF($L426="","",-SUMIFS('[1]粘贴_账务明细'!$K$4:$K$3003,'[1]粘贴_账务明细'!$A$4:$A$3003,$B426,'[1]粘贴_账务明细'!$L$4:$L$3003,"百亿补贴技术服务费"))</f>
      </c>
      <c r="G426" s="11">
        <f>IF($L426="","",SUMIFS('[1]粘贴_服务费返还'!$M$4:$M$3003,'[1]粘贴_服务费返还'!$N$4:$N$3003,$B426,'[1]粘贴_服务费返还'!$O$4:$O$3003,"返还"))</f>
      </c>
      <c r="H426" s="11">
        <f>IF($L426="","",SUMIFS('[1]粘贴_服务费返还'!$M$4:$M$3003,'[1]粘贴_服务费返还'!$N$4:$N$3003,$B426,'[1]粘贴_服务费返还'!$O$4:$O$3003,"扣回"))</f>
      </c>
      <c r="I426" s="11">
        <f t="shared" si="1"/>
      </c>
      <c r="J426" s="6">
        <f t="shared" si="2"/>
      </c>
      <c r="K426" s="10">
        <f t="shared" si="3"/>
      </c>
      <c r="L426" s="17">
        <f>IF(A426&gt;$H$5,"",MATCH(A426,'[1]粘贴_账务明细'!$O$4:$O$3003,0))</f>
      </c>
    </row>
    <row r="427">
      <c r="A427" s="10" t="n">
        <v>399</v>
      </c>
      <c r="B427" s="6">
        <f>IF($L427="","",INDEX('[1]粘贴_账务明细'!$A$4:$A$3003,$L427))</f>
      </c>
      <c r="C427" s="16">
        <f>IF($L427="","",INDEX('[1]粘贴_账务明细'!$H$4:$H$3003,$L427))</f>
      </c>
      <c r="D427" s="11">
        <f>IF($L427="","",SUMIFS('[1]粘贴_账务明细'!$K$4:$K$3003,'[1]粘贴_账务明细'!$A$4:$A$3003,$B427,'[1]粘贴_账务明细'!$L$4:$L$3003,"订单收入")+SUMIFS('[1]粘贴_账务明细'!$K$4:$K$3003,'[1]粘贴_账务明细'!$A$4:$A$3003,$B427,'[1]粘贴_账务明细'!$L$4:$L$3003,"优惠券结算"))</f>
      </c>
      <c r="E427" s="11">
        <f t="shared" si="0"/>
      </c>
      <c r="F427" s="11">
        <f>IF($L427="","",-SUMIFS('[1]粘贴_账务明细'!$K$4:$K$3003,'[1]粘贴_账务明细'!$A$4:$A$3003,$B427,'[1]粘贴_账务明细'!$L$4:$L$3003,"百亿补贴技术服务费"))</f>
      </c>
      <c r="G427" s="11">
        <f>IF($L427="","",SUMIFS('[1]粘贴_服务费返还'!$M$4:$M$3003,'[1]粘贴_服务费返还'!$N$4:$N$3003,$B427,'[1]粘贴_服务费返还'!$O$4:$O$3003,"返还"))</f>
      </c>
      <c r="H427" s="11">
        <f>IF($L427="","",SUMIFS('[1]粘贴_服务费返还'!$M$4:$M$3003,'[1]粘贴_服务费返还'!$N$4:$N$3003,$B427,'[1]粘贴_服务费返还'!$O$4:$O$3003,"扣回"))</f>
      </c>
      <c r="I427" s="11">
        <f t="shared" si="1"/>
      </c>
      <c r="J427" s="6">
        <f t="shared" si="2"/>
      </c>
      <c r="K427" s="10">
        <f t="shared" si="3"/>
      </c>
      <c r="L427" s="17">
        <f>IF(A427&gt;$H$5,"",MATCH(A427,'[1]粘贴_账务明细'!$O$4:$O$3003,0))</f>
      </c>
    </row>
    <row r="428">
      <c r="A428" s="10" t="n">
        <v>400</v>
      </c>
      <c r="B428" s="6">
        <f>IF($L428="","",INDEX('[1]粘贴_账务明细'!$A$4:$A$3003,$L428))</f>
      </c>
      <c r="C428" s="16">
        <f>IF($L428="","",INDEX('[1]粘贴_账务明细'!$H$4:$H$3003,$L428))</f>
      </c>
      <c r="D428" s="11">
        <f>IF($L428="","",SUMIFS('[1]粘贴_账务明细'!$K$4:$K$3003,'[1]粘贴_账务明细'!$A$4:$A$3003,$B428,'[1]粘贴_账务明细'!$L$4:$L$3003,"订单收入")+SUMIFS('[1]粘贴_账务明细'!$K$4:$K$3003,'[1]粘贴_账务明细'!$A$4:$A$3003,$B428,'[1]粘贴_账务明细'!$L$4:$L$3003,"优惠券结算"))</f>
      </c>
      <c r="E428" s="11">
        <f t="shared" si="0"/>
      </c>
      <c r="F428" s="11">
        <f>IF($L428="","",-SUMIFS('[1]粘贴_账务明细'!$K$4:$K$3003,'[1]粘贴_账务明细'!$A$4:$A$3003,$B428,'[1]粘贴_账务明细'!$L$4:$L$3003,"百亿补贴技术服务费"))</f>
      </c>
      <c r="G428" s="11">
        <f>IF($L428="","",SUMIFS('[1]粘贴_服务费返还'!$M$4:$M$3003,'[1]粘贴_服务费返还'!$N$4:$N$3003,$B428,'[1]粘贴_服务费返还'!$O$4:$O$3003,"返还"))</f>
      </c>
      <c r="H428" s="11">
        <f>IF($L428="","",SUMIFS('[1]粘贴_服务费返还'!$M$4:$M$3003,'[1]粘贴_服务费返还'!$N$4:$N$3003,$B428,'[1]粘贴_服务费返还'!$O$4:$O$3003,"扣回"))</f>
      </c>
      <c r="I428" s="11">
        <f t="shared" si="1"/>
      </c>
      <c r="J428" s="6">
        <f t="shared" si="2"/>
      </c>
      <c r="K428" s="10">
        <f t="shared" si="3"/>
      </c>
      <c r="L428" s="17">
        <f>IF(A428&gt;$H$5,"",MATCH(A428,'[1]粘贴_账务明细'!$O$4:$O$3003,0))</f>
      </c>
    </row>
  </sheetData>
  <autoFilter ref="A28:K428"/>
  <mergeCells count="10">
    <mergeCell ref="A2:L2"/>
    <mergeCell ref="E10:G10"/>
    <mergeCell ref="E11:G11"/>
    <mergeCell ref="E5:G5"/>
    <mergeCell ref="A1:L1"/>
    <mergeCell ref="E8:G8"/>
    <mergeCell ref="E9:G9"/>
    <mergeCell ref="E12:G12"/>
    <mergeCell ref="E7:G7"/>
    <mergeCell ref="E6:G6"/>
  </mergeCells>
  <conditionalFormatting sqref="J29:J428">
    <cfRule type="expression" priority="1" dxfId="0">
      <formula>OR(J29="扣了还没返",LEFT(J29,2)="少返",LEFT(J29,2)="返了")</formula>
    </cfRule>
    <cfRule type="expression" priority="2" dxfId="1">
      <formula>J29="已返还"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X305"/>
  <sheetViews>
    <sheetView showGridLines="1" tabSelected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8" customWidth="1" min="2" max="2"/>
    <col width="9" customWidth="1" min="3" max="3"/>
    <col width="13" customWidth="1" min="4" max="4"/>
    <col width="9" customWidth="1" min="5" max="5"/>
    <col width="13" customWidth="1" min="6" max="6"/>
    <col width="9" customWidth="1" min="7" max="7"/>
    <col width="11" customWidth="1" min="8" max="8"/>
    <col width="13" customWidth="1" min="9" max="9"/>
    <col width="9" customWidth="1" min="10" max="10"/>
    <col width="13" customWidth="1" min="11" max="11"/>
    <col width="18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 ht="26" customHeight="1">
      <c r="A1" s="1" t="inlineStr">
        <is>
          <t>A076 库存（期初＋采购－销售＝结存）</t>
        </is>
      </c>
    </row>
    <row r="2" ht="48" customHeight="1">
      <c r="A2" s="3" t="inlineStr">
        <is>
          <t>成本算法：全期一次加权平均——每个商品 加权单价＝（期初金额＋采购金额）÷（期初数量＋采购数量），销售成本＝销售数量×加权单价。期初取的是上传的管家婆库存表（你说不太准），盘点后到录入本「基础资料」改期初数量、单价。右边 12 列是年份内各月销售数量（利润表算各月成本用）。采购、销售都是全部明细（不按年份截）；建议一年一套录入本，年底把结存抄成下一年期初。</t>
        </is>
      </c>
    </row>
    <row r="3"/>
    <row r="4" ht="30" customHeight="1">
      <c r="A4" s="5" t="inlineStr">
        <is>
          <t>商品名称</t>
        </is>
      </c>
      <c r="B4" s="5" t="inlineStr">
        <is>
          <t>品牌</t>
        </is>
      </c>
      <c r="C4" s="5" t="inlineStr">
        <is>
          <t>期初数量</t>
        </is>
      </c>
      <c r="D4" s="5" t="inlineStr">
        <is>
          <t>期初金额</t>
        </is>
      </c>
      <c r="E4" s="5" t="inlineStr">
        <is>
          <t>采购数量</t>
        </is>
      </c>
      <c r="F4" s="5" t="inlineStr">
        <is>
          <t>采购金额</t>
        </is>
      </c>
      <c r="G4" s="5" t="inlineStr">
        <is>
          <t>销售数量</t>
        </is>
      </c>
      <c r="H4" s="5" t="inlineStr">
        <is>
          <t>加权单价</t>
        </is>
      </c>
      <c r="I4" s="5" t="inlineStr">
        <is>
          <t>销售成本</t>
        </is>
      </c>
      <c r="J4" s="5" t="inlineStr">
        <is>
          <t>结存数量</t>
        </is>
      </c>
      <c r="K4" s="5" t="inlineStr">
        <is>
          <t>结存金额</t>
        </is>
      </c>
      <c r="L4" s="5" t="inlineStr">
        <is>
          <t>提示</t>
        </is>
      </c>
      <c r="M4" s="15" t="n">
        <v>1</v>
      </c>
      <c r="N4" s="15" t="n">
        <v>2</v>
      </c>
      <c r="O4" s="15" t="n">
        <v>3</v>
      </c>
      <c r="P4" s="15" t="n">
        <v>4</v>
      </c>
      <c r="Q4" s="15" t="n">
        <v>5</v>
      </c>
      <c r="R4" s="15" t="n">
        <v>6</v>
      </c>
      <c r="S4" s="15" t="n">
        <v>7</v>
      </c>
      <c r="T4" s="15" t="n">
        <v>8</v>
      </c>
      <c r="U4" s="15" t="n">
        <v>9</v>
      </c>
      <c r="V4" s="15" t="n">
        <v>10</v>
      </c>
      <c r="W4" s="15" t="n">
        <v>11</v>
      </c>
      <c r="X4" s="15" t="n">
        <v>12</v>
      </c>
    </row>
    <row r="5">
      <c r="A5" s="8" t="inlineStr">
        <is>
          <t>合计</t>
        </is>
      </c>
      <c r="B5" s="8" t="n"/>
      <c r="C5" s="9">
        <f>SUM(C6:C305)</f>
        <v>5081</v>
      </c>
      <c r="D5" s="9">
        <f>SUM(D6:D305)</f>
        <v>12275943.63</v>
      </c>
      <c r="E5" s="9">
        <f>SUM(E6:E305)</f>
        <v>2584302.51</v>
      </c>
      <c r="F5" s="9">
        <f>SUM(F6:F305)</f>
        <v>2813917.82</v>
      </c>
      <c r="G5" s="9">
        <f>SUM(G6:G305)</f>
        <v>2584260.51</v>
      </c>
      <c r="H5" s="9" t="n"/>
      <c r="I5" s="9">
        <f>SUM(I6:I305)</f>
        <v>3234755.84</v>
      </c>
      <c r="J5" s="9">
        <f>SUM(J6:J305)</f>
        <v>5123</v>
      </c>
      <c r="K5" s="9">
        <f>SUM(K6:K305)</f>
        <v>11855105.61</v>
      </c>
      <c r="L5" s="20">
        <f>IF(ROUND(SUM('[1]销售出库'!$R$4:$R$2003)-G5,2)&lt;&gt;0,"有 "&amp;ROUND(SUM('[1]销售出库'!$R$4:$R$2003)-G5,2)&amp;" 个销售数量的商品不在基础资料","")&amp;IF(ROUND(SUM('[1]采购入库'!$U$4:$U$2003)-E5,2)&lt;&gt;0,"；采购有 "&amp;ROUND(SUM('[1]采购入库'!$U$4:$U$2003)-E5,2)&amp;" 个不在基础资料","")</f>
      </c>
      <c r="M5" s="9">
        <f>SUM(M6:M305)</f>
        <v>0</v>
      </c>
      <c r="N5" s="9">
        <f>SUM(N6:N305)</f>
        <v>0</v>
      </c>
      <c r="O5" s="9">
        <f>SUM(O6:O305)</f>
        <v>0</v>
      </c>
      <c r="P5" s="9">
        <f>SUM(P6:P305)</f>
        <v>0</v>
      </c>
      <c r="Q5" s="9">
        <f>SUM(Q6:Q305)</f>
        <v>0</v>
      </c>
      <c r="R5" s="9">
        <f>SUM(R6:R305)</f>
        <v>0</v>
      </c>
      <c r="S5" s="9">
        <f>SUM(S6:S305)</f>
        <v>0</v>
      </c>
      <c r="T5" s="9">
        <f>SUM(T6:T305)</f>
        <v>0</v>
      </c>
      <c r="U5" s="9">
        <f>SUM(U6:U305)</f>
        <v>2584044.51</v>
      </c>
      <c r="V5" s="9">
        <f>SUM(V6:V305)</f>
        <v>216</v>
      </c>
      <c r="W5" s="9">
        <f>SUM(W6:W305)</f>
        <v>0</v>
      </c>
      <c r="X5" s="9">
        <f>SUM(X6:X305)</f>
        <v>0</v>
      </c>
    </row>
    <row r="6">
      <c r="A6" s="6" t="str">
        <f>IF('[1]基础资料'!$P$5="","",'[1]基础资料'!$P$5)</f>
        <v>华硕无双M3452UA8845 16+512银色（原封）</v>
      </c>
      <c r="B6" s="6" t="str">
        <f>IF(A6="","",'[1]基础资料'!$Q$5&amp;"")</f>
        <v>华硕</v>
      </c>
      <c r="C6" s="21">
        <f>IF(A6="",0,N('[1]基础资料'!$S$5))</f>
        <v>8</v>
      </c>
      <c r="D6" s="11">
        <f>IF(A6="",0,N('[1]基础资料'!$U$5))</f>
        <v>36560</v>
      </c>
      <c r="E6" s="21">
        <f>IF(A6="",0,SUMIFS('[1]采购入库'!$U$4:$U$2003,'[1]采购入库'!$I$4:$I$2003,$A6))</f>
        <v>42</v>
      </c>
      <c r="F6" s="11">
        <f>IF(A6="",0,SUMIFS('[1]采购入库'!$V$4:$V$2003,'[1]采购入库'!$I$4:$I$2003,$A6))</f>
        <v>191940</v>
      </c>
      <c r="G6" s="21">
        <f>IF(A6="",0,SUMIFS('[1]销售出库'!$R$4:$R$2003,'[1]销售出库'!$H$4:$H$2003,$A6))</f>
        <v>34</v>
      </c>
      <c r="H6" s="11">
        <f t="shared" ref="H6:H305" si="3">IF(C6+E6&gt;0,ROUND((D6+F6)/(C6+E6),4),0)</f>
        <v>4570</v>
      </c>
      <c r="I6" s="11">
        <f t="shared" ref="I6:I305" si="0">ROUND(G6*H6,2)</f>
        <v>155380</v>
      </c>
      <c r="J6" s="21">
        <f t="shared" ref="J6:J305" si="1">C6+E6-G6</f>
        <v>16</v>
      </c>
      <c r="K6" s="11">
        <f t="shared" ref="K6:K305" si="2">ROUND(D6+F6-I6,2)</f>
        <v>73120</v>
      </c>
      <c r="L6" s="6">
        <f t="shared" ref="L6:L305" si="4">IF(A6="","",IF(J6&lt;0,"负库存：漏记采购或期初不准",IF(AND(G6&gt;0,C6+E6=0),"没进货就卖了","")))</f>
      </c>
      <c r="M6" s="21">
        <f>IF($A6="",0,SUMIFS('[1]销售出库'!$R$4:$R$2003,'[1]销售出库'!$H$4:$H$2003,$A6,'[1]销售出库'!$Q$4:$Q$2003,'首页'!$B$4*100+M$4))</f>
        <v>0</v>
      </c>
      <c r="N6" s="21">
        <f>IF($A6="",0,SUMIFS('[1]销售出库'!$R$4:$R$2003,'[1]销售出库'!$H$4:$H$2003,$A6,'[1]销售出库'!$Q$4:$Q$2003,'首页'!$B$4*100+N$4))</f>
        <v>0</v>
      </c>
      <c r="O6" s="21">
        <f>IF($A6="",0,SUMIFS('[1]销售出库'!$R$4:$R$2003,'[1]销售出库'!$H$4:$H$2003,$A6,'[1]销售出库'!$Q$4:$Q$2003,'首页'!$B$4*100+O$4))</f>
        <v>0</v>
      </c>
      <c r="P6" s="21">
        <f>IF($A6="",0,SUMIFS('[1]销售出库'!$R$4:$R$2003,'[1]销售出库'!$H$4:$H$2003,$A6,'[1]销售出库'!$Q$4:$Q$2003,'首页'!$B$4*100+P$4))</f>
        <v>0</v>
      </c>
      <c r="Q6" s="21">
        <f>IF($A6="",0,SUMIFS('[1]销售出库'!$R$4:$R$2003,'[1]销售出库'!$H$4:$H$2003,$A6,'[1]销售出库'!$Q$4:$Q$2003,'首页'!$B$4*100+Q$4))</f>
        <v>0</v>
      </c>
      <c r="R6" s="21">
        <f>IF($A6="",0,SUMIFS('[1]销售出库'!$R$4:$R$2003,'[1]销售出库'!$H$4:$H$2003,$A6,'[1]销售出库'!$Q$4:$Q$2003,'首页'!$B$4*100+R$4))</f>
        <v>0</v>
      </c>
      <c r="S6" s="21">
        <f>IF($A6="",0,SUMIFS('[1]销售出库'!$R$4:$R$2003,'[1]销售出库'!$H$4:$H$2003,$A6,'[1]销售出库'!$Q$4:$Q$2003,'首页'!$B$4*100+S$4))</f>
        <v>0</v>
      </c>
      <c r="T6" s="21">
        <f>IF($A6="",0,SUMIFS('[1]销售出库'!$R$4:$R$2003,'[1]销售出库'!$H$4:$H$2003,$A6,'[1]销售出库'!$Q$4:$Q$2003,'首页'!$B$4*100+T$4))</f>
        <v>0</v>
      </c>
      <c r="U6" s="21">
        <f>IF($A6="",0,SUMIFS('[1]销售出库'!$R$4:$R$2003,'[1]销售出库'!$H$4:$H$2003,$A6,'[1]销售出库'!$Q$4:$Q$2003,'首页'!$B$4*100+U$4))</f>
        <v>34</v>
      </c>
      <c r="V6" s="21">
        <f>IF($A6="",0,SUMIFS('[1]销售出库'!$R$4:$R$2003,'[1]销售出库'!$H$4:$H$2003,$A6,'[1]销售出库'!$Q$4:$Q$2003,'首页'!$B$4*100+V$4))</f>
        <v>0</v>
      </c>
      <c r="W6" s="21">
        <f>IF($A6="",0,SUMIFS('[1]销售出库'!$R$4:$R$2003,'[1]销售出库'!$H$4:$H$2003,$A6,'[1]销售出库'!$Q$4:$Q$2003,'首页'!$B$4*100+W$4))</f>
        <v>0</v>
      </c>
      <c r="X6" s="21">
        <f>IF($A6="",0,SUMIFS('[1]销售出库'!$R$4:$R$2003,'[1]销售出库'!$H$4:$H$2003,$A6,'[1]销售出库'!$Q$4:$Q$2003,'首页'!$B$4*100+X$4))</f>
        <v>0</v>
      </c>
    </row>
    <row r="7">
      <c r="A7" s="6" t="str">
        <f>IF('[1]基础资料'!$P$6="","",'[1]基础资料'!$P$6)</f>
        <v>S3652AA325 U5-325H 16 512 银-无畏16</v>
      </c>
      <c r="B7" s="6" t="str">
        <f>IF(A7="","",'[1]基础资料'!$Q$6&amp;"")</f>
        <v>华硕</v>
      </c>
      <c r="C7" s="21">
        <f>IF(A7="",0,N('[1]基础资料'!$S$6))</f>
        <v>20</v>
      </c>
      <c r="D7" s="11">
        <f>IF(A7="",0,N('[1]基础资料'!$U$6))</f>
        <v>104000</v>
      </c>
      <c r="E7" s="21">
        <f>IF(A7="",0,SUMIFS('[1]采购入库'!$U$4:$U$2003,'[1]采购入库'!$I$4:$I$2003,$A7))</f>
        <v>0</v>
      </c>
      <c r="F7" s="11">
        <f>IF(A7="",0,SUMIFS('[1]采购入库'!$V$4:$V$2003,'[1]采购入库'!$I$4:$I$2003,$A7))</f>
        <v>0</v>
      </c>
      <c r="G7" s="21">
        <f>IF(A7="",0,SUMIFS('[1]销售出库'!$R$4:$R$2003,'[1]销售出库'!$H$4:$H$2003,$A7))</f>
        <v>0</v>
      </c>
      <c r="H7" s="11">
        <f t="shared" si="3"/>
        <v>5200</v>
      </c>
      <c r="I7" s="11">
        <f t="shared" si="0"/>
        <v>0</v>
      </c>
      <c r="J7" s="21">
        <f t="shared" si="1"/>
        <v>20</v>
      </c>
      <c r="K7" s="11">
        <f t="shared" si="2"/>
        <v>104000</v>
      </c>
      <c r="L7" s="6">
        <f t="shared" si="4"/>
      </c>
      <c r="M7" s="21">
        <f>IF($A7="",0,SUMIFS('[1]销售出库'!$R$4:$R$2003,'[1]销售出库'!$H$4:$H$2003,$A7,'[1]销售出库'!$Q$4:$Q$2003,'首页'!$B$4*100+M$4))</f>
        <v>0</v>
      </c>
      <c r="N7" s="21">
        <f>IF($A7="",0,SUMIFS('[1]销售出库'!$R$4:$R$2003,'[1]销售出库'!$H$4:$H$2003,$A7,'[1]销售出库'!$Q$4:$Q$2003,'首页'!$B$4*100+N$4))</f>
        <v>0</v>
      </c>
      <c r="O7" s="21">
        <f>IF($A7="",0,SUMIFS('[1]销售出库'!$R$4:$R$2003,'[1]销售出库'!$H$4:$H$2003,$A7,'[1]销售出库'!$Q$4:$Q$2003,'首页'!$B$4*100+O$4))</f>
        <v>0</v>
      </c>
      <c r="P7" s="21">
        <f>IF($A7="",0,SUMIFS('[1]销售出库'!$R$4:$R$2003,'[1]销售出库'!$H$4:$H$2003,$A7,'[1]销售出库'!$Q$4:$Q$2003,'首页'!$B$4*100+P$4))</f>
        <v>0</v>
      </c>
      <c r="Q7" s="21">
        <f>IF($A7="",0,SUMIFS('[1]销售出库'!$R$4:$R$2003,'[1]销售出库'!$H$4:$H$2003,$A7,'[1]销售出库'!$Q$4:$Q$2003,'首页'!$B$4*100+Q$4))</f>
        <v>0</v>
      </c>
      <c r="R7" s="21">
        <f>IF($A7="",0,SUMIFS('[1]销售出库'!$R$4:$R$2003,'[1]销售出库'!$H$4:$H$2003,$A7,'[1]销售出库'!$Q$4:$Q$2003,'首页'!$B$4*100+R$4))</f>
        <v>0</v>
      </c>
      <c r="S7" s="21">
        <f>IF($A7="",0,SUMIFS('[1]销售出库'!$R$4:$R$2003,'[1]销售出库'!$H$4:$H$2003,$A7,'[1]销售出库'!$Q$4:$Q$2003,'首页'!$B$4*100+S$4))</f>
        <v>0</v>
      </c>
      <c r="T7" s="21">
        <f>IF($A7="",0,SUMIFS('[1]销售出库'!$R$4:$R$2003,'[1]销售出库'!$H$4:$H$2003,$A7,'[1]销售出库'!$Q$4:$Q$2003,'首页'!$B$4*100+T$4))</f>
        <v>0</v>
      </c>
      <c r="U7" s="21">
        <f>IF($A7="",0,SUMIFS('[1]销售出库'!$R$4:$R$2003,'[1]销售出库'!$H$4:$H$2003,$A7,'[1]销售出库'!$Q$4:$Q$2003,'首页'!$B$4*100+U$4))</f>
        <v>0</v>
      </c>
      <c r="V7" s="21">
        <f>IF($A7="",0,SUMIFS('[1]销售出库'!$R$4:$R$2003,'[1]销售出库'!$H$4:$H$2003,$A7,'[1]销售出库'!$Q$4:$Q$2003,'首页'!$B$4*100+V$4))</f>
        <v>0</v>
      </c>
      <c r="W7" s="21">
        <f>IF($A7="",0,SUMIFS('[1]销售出库'!$R$4:$R$2003,'[1]销售出库'!$H$4:$H$2003,$A7,'[1]销售出库'!$Q$4:$Q$2003,'首页'!$B$4*100+W$4))</f>
        <v>0</v>
      </c>
      <c r="X7" s="21">
        <f>IF($A7="",0,SUMIFS('[1]销售出库'!$R$4:$R$2003,'[1]销售出库'!$H$4:$H$2003,$A7,'[1]销售出库'!$Q$4:$Q$2003,'首页'!$B$4*100+X$4))</f>
        <v>0</v>
      </c>
    </row>
    <row r="8">
      <c r="A8" s="6" t="str">
        <f>IF('[1]基础资料'!$P$7="","",'[1]基础资料'!$P$7)</f>
        <v>联想小新Pro 16GT U5 338H 32+1T 灰</v>
      </c>
      <c r="B8" s="6" t="str">
        <f>IF(A8="","",'[1]基础资料'!$Q$7&amp;"")</f>
        <v>联想</v>
      </c>
      <c r="C8" s="21">
        <f>IF(A8="",0,N('[1]基础资料'!$S$7))</f>
        <v>18</v>
      </c>
      <c r="D8" s="11">
        <f>IF(A8="",0,N('[1]基础资料'!$U$7))</f>
        <v>162104.21</v>
      </c>
      <c r="E8" s="21">
        <f>IF(A8="",0,SUMIFS('[1]采购入库'!$U$4:$U$2003,'[1]采购入库'!$I$4:$I$2003,$A8))</f>
        <v>17</v>
      </c>
      <c r="F8" s="11">
        <f>IF(A8="",0,SUMIFS('[1]采购入库'!$V$4:$V$2003,'[1]采购入库'!$I$4:$I$2003,$A8))</f>
        <v>152750</v>
      </c>
      <c r="G8" s="21">
        <f>IF(A8="",0,SUMIFS('[1]销售出库'!$R$4:$R$2003,'[1]销售出库'!$H$4:$H$2003,$A8))</f>
        <v>1</v>
      </c>
      <c r="H8" s="11">
        <f t="shared" si="3"/>
        <v>8995.8346</v>
      </c>
      <c r="I8" s="11">
        <f t="shared" si="0"/>
        <v>8995.83</v>
      </c>
      <c r="J8" s="21">
        <f t="shared" si="1"/>
        <v>34</v>
      </c>
      <c r="K8" s="11">
        <f t="shared" si="2"/>
        <v>305858.38</v>
      </c>
      <c r="L8" s="6">
        <f t="shared" si="4"/>
      </c>
      <c r="M8" s="21">
        <f>IF($A8="",0,SUMIFS('[1]销售出库'!$R$4:$R$2003,'[1]销售出库'!$H$4:$H$2003,$A8,'[1]销售出库'!$Q$4:$Q$2003,'首页'!$B$4*100+M$4))</f>
        <v>0</v>
      </c>
      <c r="N8" s="21">
        <f>IF($A8="",0,SUMIFS('[1]销售出库'!$R$4:$R$2003,'[1]销售出库'!$H$4:$H$2003,$A8,'[1]销售出库'!$Q$4:$Q$2003,'首页'!$B$4*100+N$4))</f>
        <v>0</v>
      </c>
      <c r="O8" s="21">
        <f>IF($A8="",0,SUMIFS('[1]销售出库'!$R$4:$R$2003,'[1]销售出库'!$H$4:$H$2003,$A8,'[1]销售出库'!$Q$4:$Q$2003,'首页'!$B$4*100+O$4))</f>
        <v>0</v>
      </c>
      <c r="P8" s="21">
        <f>IF($A8="",0,SUMIFS('[1]销售出库'!$R$4:$R$2003,'[1]销售出库'!$H$4:$H$2003,$A8,'[1]销售出库'!$Q$4:$Q$2003,'首页'!$B$4*100+P$4))</f>
        <v>0</v>
      </c>
      <c r="Q8" s="21">
        <f>IF($A8="",0,SUMIFS('[1]销售出库'!$R$4:$R$2003,'[1]销售出库'!$H$4:$H$2003,$A8,'[1]销售出库'!$Q$4:$Q$2003,'首页'!$B$4*100+Q$4))</f>
        <v>0</v>
      </c>
      <c r="R8" s="21">
        <f>IF($A8="",0,SUMIFS('[1]销售出库'!$R$4:$R$2003,'[1]销售出库'!$H$4:$H$2003,$A8,'[1]销售出库'!$Q$4:$Q$2003,'首页'!$B$4*100+R$4))</f>
        <v>0</v>
      </c>
      <c r="S8" s="21">
        <f>IF($A8="",0,SUMIFS('[1]销售出库'!$R$4:$R$2003,'[1]销售出库'!$H$4:$H$2003,$A8,'[1]销售出库'!$Q$4:$Q$2003,'首页'!$B$4*100+S$4))</f>
        <v>0</v>
      </c>
      <c r="T8" s="21">
        <f>IF($A8="",0,SUMIFS('[1]销售出库'!$R$4:$R$2003,'[1]销售出库'!$H$4:$H$2003,$A8,'[1]销售出库'!$Q$4:$Q$2003,'首页'!$B$4*100+T$4))</f>
        <v>0</v>
      </c>
      <c r="U8" s="21">
        <f>IF($A8="",0,SUMIFS('[1]销售出库'!$R$4:$R$2003,'[1]销售出库'!$H$4:$H$2003,$A8,'[1]销售出库'!$Q$4:$Q$2003,'首页'!$B$4*100+U$4))</f>
        <v>0</v>
      </c>
      <c r="V8" s="21">
        <f>IF($A8="",0,SUMIFS('[1]销售出库'!$R$4:$R$2003,'[1]销售出库'!$H$4:$H$2003,$A8,'[1]销售出库'!$Q$4:$Q$2003,'首页'!$B$4*100+V$4))</f>
        <v>1</v>
      </c>
      <c r="W8" s="21">
        <f>IF($A8="",0,SUMIFS('[1]销售出库'!$R$4:$R$2003,'[1]销售出库'!$H$4:$H$2003,$A8,'[1]销售出库'!$Q$4:$Q$2003,'首页'!$B$4*100+W$4))</f>
        <v>0</v>
      </c>
      <c r="X8" s="21">
        <f>IF($A8="",0,SUMIFS('[1]销售出库'!$R$4:$R$2003,'[1]销售出库'!$H$4:$H$2003,$A8,'[1]销售出库'!$Q$4:$Q$2003,'首页'!$B$4*100+X$4))</f>
        <v>0</v>
      </c>
    </row>
    <row r="9">
      <c r="A9" s="6" t="str">
        <f>IF('[1]基础资料'!$P$8="","",'[1]基础资料'!$P$8)</f>
        <v>联想平板拯救者Y700 五代 24G+1TB碳晶黑WIFI</v>
      </c>
      <c r="B9" s="6" t="str">
        <f>IF(A9="","",'[1]基础资料'!$Q$8&amp;"")</f>
        <v>平板</v>
      </c>
      <c r="C9" s="21">
        <f>IF(A9="",0,N('[1]基础资料'!$S$8))</f>
        <v>80</v>
      </c>
      <c r="D9" s="11">
        <f>IF(A9="",0,N('[1]基础资料'!$U$8))</f>
        <v>396195.12</v>
      </c>
      <c r="E9" s="21">
        <f>IF(A9="",0,SUMIFS('[1]采购入库'!$U$4:$U$2003,'[1]采购入库'!$I$4:$I$2003,$A9))</f>
        <v>0</v>
      </c>
      <c r="F9" s="11">
        <f>IF(A9="",0,SUMIFS('[1]采购入库'!$V$4:$V$2003,'[1]采购入库'!$I$4:$I$2003,$A9))</f>
        <v>0</v>
      </c>
      <c r="G9" s="21">
        <f>IF(A9="",0,SUMIFS('[1]销售出库'!$R$4:$R$2003,'[1]销售出库'!$H$4:$H$2003,$A9))</f>
        <v>2</v>
      </c>
      <c r="H9" s="11">
        <f t="shared" si="3"/>
        <v>4952.439</v>
      </c>
      <c r="I9" s="11">
        <f t="shared" si="0"/>
        <v>9904.88</v>
      </c>
      <c r="J9" s="21">
        <f t="shared" si="1"/>
        <v>78</v>
      </c>
      <c r="K9" s="11">
        <f t="shared" si="2"/>
        <v>386290.24</v>
      </c>
      <c r="L9" s="6">
        <f t="shared" si="4"/>
      </c>
      <c r="M9" s="21">
        <f>IF($A9="",0,SUMIFS('[1]销售出库'!$R$4:$R$2003,'[1]销售出库'!$H$4:$H$2003,$A9,'[1]销售出库'!$Q$4:$Q$2003,'首页'!$B$4*100+M$4))</f>
        <v>0</v>
      </c>
      <c r="N9" s="21">
        <f>IF($A9="",0,SUMIFS('[1]销售出库'!$R$4:$R$2003,'[1]销售出库'!$H$4:$H$2003,$A9,'[1]销售出库'!$Q$4:$Q$2003,'首页'!$B$4*100+N$4))</f>
        <v>0</v>
      </c>
      <c r="O9" s="21">
        <f>IF($A9="",0,SUMIFS('[1]销售出库'!$R$4:$R$2003,'[1]销售出库'!$H$4:$H$2003,$A9,'[1]销售出库'!$Q$4:$Q$2003,'首页'!$B$4*100+O$4))</f>
        <v>0</v>
      </c>
      <c r="P9" s="21">
        <f>IF($A9="",0,SUMIFS('[1]销售出库'!$R$4:$R$2003,'[1]销售出库'!$H$4:$H$2003,$A9,'[1]销售出库'!$Q$4:$Q$2003,'首页'!$B$4*100+P$4))</f>
        <v>0</v>
      </c>
      <c r="Q9" s="21">
        <f>IF($A9="",0,SUMIFS('[1]销售出库'!$R$4:$R$2003,'[1]销售出库'!$H$4:$H$2003,$A9,'[1]销售出库'!$Q$4:$Q$2003,'首页'!$B$4*100+Q$4))</f>
        <v>0</v>
      </c>
      <c r="R9" s="21">
        <f>IF($A9="",0,SUMIFS('[1]销售出库'!$R$4:$R$2003,'[1]销售出库'!$H$4:$H$2003,$A9,'[1]销售出库'!$Q$4:$Q$2003,'首页'!$B$4*100+R$4))</f>
        <v>0</v>
      </c>
      <c r="S9" s="21">
        <f>IF($A9="",0,SUMIFS('[1]销售出库'!$R$4:$R$2003,'[1]销售出库'!$H$4:$H$2003,$A9,'[1]销售出库'!$Q$4:$Q$2003,'首页'!$B$4*100+S$4))</f>
        <v>0</v>
      </c>
      <c r="T9" s="21">
        <f>IF($A9="",0,SUMIFS('[1]销售出库'!$R$4:$R$2003,'[1]销售出库'!$H$4:$H$2003,$A9,'[1]销售出库'!$Q$4:$Q$2003,'首页'!$B$4*100+T$4))</f>
        <v>0</v>
      </c>
      <c r="U9" s="21">
        <f>IF($A9="",0,SUMIFS('[1]销售出库'!$R$4:$R$2003,'[1]销售出库'!$H$4:$H$2003,$A9,'[1]销售出库'!$Q$4:$Q$2003,'首页'!$B$4*100+U$4))</f>
        <v>1</v>
      </c>
      <c r="V9" s="21">
        <f>IF($A9="",0,SUMIFS('[1]销售出库'!$R$4:$R$2003,'[1]销售出库'!$H$4:$H$2003,$A9,'[1]销售出库'!$Q$4:$Q$2003,'首页'!$B$4*100+V$4))</f>
        <v>1</v>
      </c>
      <c r="W9" s="21">
        <f>IF($A9="",0,SUMIFS('[1]销售出库'!$R$4:$R$2003,'[1]销售出库'!$H$4:$H$2003,$A9,'[1]销售出库'!$Q$4:$Q$2003,'首页'!$B$4*100+W$4))</f>
        <v>0</v>
      </c>
      <c r="X9" s="21">
        <f>IF($A9="",0,SUMIFS('[1]销售出库'!$R$4:$R$2003,'[1]销售出库'!$H$4:$H$2003,$A9,'[1]销售出库'!$Q$4:$Q$2003,'首页'!$B$4*100+X$4))</f>
        <v>0</v>
      </c>
    </row>
    <row r="10">
      <c r="A10" s="6" t="str">
        <f>IF('[1]基础资料'!$P$9="","",'[1]基础资料'!$P$9)</f>
        <v>小新Pro16 2026 Ultra7-356H/32GB/1TB</v>
      </c>
      <c r="B10" s="6" t="str">
        <f>IF(A10="","",'[1]基础资料'!$Q$9&amp;"")</f>
        <v>联想</v>
      </c>
      <c r="C10" s="21">
        <f>IF(A10="",0,N('[1]基础资料'!$S$9))</f>
        <v>63</v>
      </c>
      <c r="D10" s="11">
        <f>IF(A10="",0,N('[1]基础资料'!$U$9))</f>
        <v>512575.08</v>
      </c>
      <c r="E10" s="21">
        <f>IF(A10="",0,SUMIFS('[1]采购入库'!$U$4:$U$2003,'[1]采购入库'!$I$4:$I$2003,$A10))</f>
        <v>9</v>
      </c>
      <c r="F10" s="11">
        <f>IF(A10="",0,SUMIFS('[1]采购入库'!$V$4:$V$2003,'[1]采购入库'!$I$4:$I$2003,$A10))</f>
        <v>75040</v>
      </c>
      <c r="G10" s="21">
        <f>IF(A10="",0,SUMIFS('[1]销售出库'!$R$4:$R$2003,'[1]销售出库'!$H$4:$H$2003,$A10))</f>
        <v>1</v>
      </c>
      <c r="H10" s="11">
        <f t="shared" si="3"/>
        <v>8161.3206</v>
      </c>
      <c r="I10" s="11">
        <f t="shared" si="0"/>
        <v>8161.32</v>
      </c>
      <c r="J10" s="21">
        <f t="shared" si="1"/>
        <v>71</v>
      </c>
      <c r="K10" s="11">
        <f t="shared" si="2"/>
        <v>579453.76</v>
      </c>
      <c r="L10" s="6">
        <f t="shared" si="4"/>
      </c>
      <c r="M10" s="21">
        <f>IF($A10="",0,SUMIFS('[1]销售出库'!$R$4:$R$2003,'[1]销售出库'!$H$4:$H$2003,$A10,'[1]销售出库'!$Q$4:$Q$2003,'首页'!$B$4*100+M$4))</f>
        <v>0</v>
      </c>
      <c r="N10" s="21">
        <f>IF($A10="",0,SUMIFS('[1]销售出库'!$R$4:$R$2003,'[1]销售出库'!$H$4:$H$2003,$A10,'[1]销售出库'!$Q$4:$Q$2003,'首页'!$B$4*100+N$4))</f>
        <v>0</v>
      </c>
      <c r="O10" s="21">
        <f>IF($A10="",0,SUMIFS('[1]销售出库'!$R$4:$R$2003,'[1]销售出库'!$H$4:$H$2003,$A10,'[1]销售出库'!$Q$4:$Q$2003,'首页'!$B$4*100+O$4))</f>
        <v>0</v>
      </c>
      <c r="P10" s="21">
        <f>IF($A10="",0,SUMIFS('[1]销售出库'!$R$4:$R$2003,'[1]销售出库'!$H$4:$H$2003,$A10,'[1]销售出库'!$Q$4:$Q$2003,'首页'!$B$4*100+P$4))</f>
        <v>0</v>
      </c>
      <c r="Q10" s="21">
        <f>IF($A10="",0,SUMIFS('[1]销售出库'!$R$4:$R$2003,'[1]销售出库'!$H$4:$H$2003,$A10,'[1]销售出库'!$Q$4:$Q$2003,'首页'!$B$4*100+Q$4))</f>
        <v>0</v>
      </c>
      <c r="R10" s="21">
        <f>IF($A10="",0,SUMIFS('[1]销售出库'!$R$4:$R$2003,'[1]销售出库'!$H$4:$H$2003,$A10,'[1]销售出库'!$Q$4:$Q$2003,'首页'!$B$4*100+R$4))</f>
        <v>0</v>
      </c>
      <c r="S10" s="21">
        <f>IF($A10="",0,SUMIFS('[1]销售出库'!$R$4:$R$2003,'[1]销售出库'!$H$4:$H$2003,$A10,'[1]销售出库'!$Q$4:$Q$2003,'首页'!$B$4*100+S$4))</f>
        <v>0</v>
      </c>
      <c r="T10" s="21">
        <f>IF($A10="",0,SUMIFS('[1]销售出库'!$R$4:$R$2003,'[1]销售出库'!$H$4:$H$2003,$A10,'[1]销售出库'!$Q$4:$Q$2003,'首页'!$B$4*100+T$4))</f>
        <v>0</v>
      </c>
      <c r="U10" s="21">
        <f>IF($A10="",0,SUMIFS('[1]销售出库'!$R$4:$R$2003,'[1]销售出库'!$H$4:$H$2003,$A10,'[1]销售出库'!$Q$4:$Q$2003,'首页'!$B$4*100+U$4))</f>
        <v>1</v>
      </c>
      <c r="V10" s="21">
        <f>IF($A10="",0,SUMIFS('[1]销售出库'!$R$4:$R$2003,'[1]销售出库'!$H$4:$H$2003,$A10,'[1]销售出库'!$Q$4:$Q$2003,'首页'!$B$4*100+V$4))</f>
        <v>0</v>
      </c>
      <c r="W10" s="21">
        <f>IF($A10="",0,SUMIFS('[1]销售出库'!$R$4:$R$2003,'[1]销售出库'!$H$4:$H$2003,$A10,'[1]销售出库'!$Q$4:$Q$2003,'首页'!$B$4*100+W$4))</f>
        <v>0</v>
      </c>
      <c r="X10" s="21">
        <f>IF($A10="",0,SUMIFS('[1]销售出库'!$R$4:$R$2003,'[1]销售出库'!$H$4:$H$2003,$A10,'[1]销售出库'!$Q$4:$Q$2003,'首页'!$B$4*100+X$4))</f>
        <v>0</v>
      </c>
    </row>
    <row r="11">
      <c r="A11" s="6" t="str">
        <f>IF('[1]基础资料'!$P$10="","",'[1]基础资料'!$P$10)</f>
        <v>联想平板 拯救者Y900 13 极光紫16+512wifi</v>
      </c>
      <c r="B11" s="6" t="str">
        <f>IF(A11="","",'[1]基础资料'!$Q$10&amp;"")</f>
        <v>平板</v>
      </c>
      <c r="C11" s="21">
        <f>IF(A11="",0,N('[1]基础资料'!$S$10))</f>
        <v>32</v>
      </c>
      <c r="D11" s="11">
        <f>IF(A11="",0,N('[1]基础资料'!$U$10))</f>
        <v>106370.72</v>
      </c>
      <c r="E11" s="21">
        <f>IF(A11="",0,SUMIFS('[1]采购入库'!$U$4:$U$2003,'[1]采购入库'!$I$4:$I$2003,$A11))</f>
        <v>30</v>
      </c>
      <c r="F11" s="11">
        <f>IF(A11="",0,SUMIFS('[1]采购入库'!$V$4:$V$2003,'[1]采购入库'!$I$4:$I$2003,$A11))</f>
        <v>93570</v>
      </c>
      <c r="G11" s="21">
        <f>IF(A11="",0,SUMIFS('[1]销售出库'!$R$4:$R$2003,'[1]销售出库'!$H$4:$H$2003,$A11))</f>
        <v>38</v>
      </c>
      <c r="H11" s="11">
        <f t="shared" si="3"/>
        <v>3224.8503</v>
      </c>
      <c r="I11" s="11">
        <f t="shared" si="0"/>
        <v>122544.31</v>
      </c>
      <c r="J11" s="21">
        <f t="shared" si="1"/>
        <v>24</v>
      </c>
      <c r="K11" s="11">
        <f t="shared" si="2"/>
        <v>77396.41</v>
      </c>
      <c r="L11" s="6">
        <f t="shared" si="4"/>
      </c>
      <c r="M11" s="21">
        <f>IF($A11="",0,SUMIFS('[1]销售出库'!$R$4:$R$2003,'[1]销售出库'!$H$4:$H$2003,$A11,'[1]销售出库'!$Q$4:$Q$2003,'首页'!$B$4*100+M$4))</f>
        <v>0</v>
      </c>
      <c r="N11" s="21">
        <f>IF($A11="",0,SUMIFS('[1]销售出库'!$R$4:$R$2003,'[1]销售出库'!$H$4:$H$2003,$A11,'[1]销售出库'!$Q$4:$Q$2003,'首页'!$B$4*100+N$4))</f>
        <v>0</v>
      </c>
      <c r="O11" s="21">
        <f>IF($A11="",0,SUMIFS('[1]销售出库'!$R$4:$R$2003,'[1]销售出库'!$H$4:$H$2003,$A11,'[1]销售出库'!$Q$4:$Q$2003,'首页'!$B$4*100+O$4))</f>
        <v>0</v>
      </c>
      <c r="P11" s="21">
        <f>IF($A11="",0,SUMIFS('[1]销售出库'!$R$4:$R$2003,'[1]销售出库'!$H$4:$H$2003,$A11,'[1]销售出库'!$Q$4:$Q$2003,'首页'!$B$4*100+P$4))</f>
        <v>0</v>
      </c>
      <c r="Q11" s="21">
        <f>IF($A11="",0,SUMIFS('[1]销售出库'!$R$4:$R$2003,'[1]销售出库'!$H$4:$H$2003,$A11,'[1]销售出库'!$Q$4:$Q$2003,'首页'!$B$4*100+Q$4))</f>
        <v>0</v>
      </c>
      <c r="R11" s="21">
        <f>IF($A11="",0,SUMIFS('[1]销售出库'!$R$4:$R$2003,'[1]销售出库'!$H$4:$H$2003,$A11,'[1]销售出库'!$Q$4:$Q$2003,'首页'!$B$4*100+R$4))</f>
        <v>0</v>
      </c>
      <c r="S11" s="21">
        <f>IF($A11="",0,SUMIFS('[1]销售出库'!$R$4:$R$2003,'[1]销售出库'!$H$4:$H$2003,$A11,'[1]销售出库'!$Q$4:$Q$2003,'首页'!$B$4*100+S$4))</f>
        <v>0</v>
      </c>
      <c r="T11" s="21">
        <f>IF($A11="",0,SUMIFS('[1]销售出库'!$R$4:$R$2003,'[1]销售出库'!$H$4:$H$2003,$A11,'[1]销售出库'!$Q$4:$Q$2003,'首页'!$B$4*100+T$4))</f>
        <v>0</v>
      </c>
      <c r="U11" s="21">
        <f>IF($A11="",0,SUMIFS('[1]销售出库'!$R$4:$R$2003,'[1]销售出库'!$H$4:$H$2003,$A11,'[1]销售出库'!$Q$4:$Q$2003,'首页'!$B$4*100+U$4))</f>
        <v>0</v>
      </c>
      <c r="V11" s="21">
        <f>IF($A11="",0,SUMIFS('[1]销售出库'!$R$4:$R$2003,'[1]销售出库'!$H$4:$H$2003,$A11,'[1]销售出库'!$Q$4:$Q$2003,'首页'!$B$4*100+V$4))</f>
        <v>38</v>
      </c>
      <c r="W11" s="21">
        <f>IF($A11="",0,SUMIFS('[1]销售出库'!$R$4:$R$2003,'[1]销售出库'!$H$4:$H$2003,$A11,'[1]销售出库'!$Q$4:$Q$2003,'首页'!$B$4*100+W$4))</f>
        <v>0</v>
      </c>
      <c r="X11" s="21">
        <f>IF($A11="",0,SUMIFS('[1]销售出库'!$R$4:$R$2003,'[1]销售出库'!$H$4:$H$2003,$A11,'[1]销售出库'!$Q$4:$Q$2003,'首页'!$B$4*100+X$4))</f>
        <v>0</v>
      </c>
    </row>
    <row r="12">
      <c r="A12" s="6" t="str">
        <f>IF('[1]基础资料'!$P$11="","",'[1]基础资料'!$P$11)</f>
        <v>联想拯救者Y900 11 8+128WIFI碳晶黑</v>
      </c>
      <c r="B12" s="6" t="str">
        <f>IF(A12="","",'[1]基础资料'!$Q$11&amp;"")</f>
        <v>平板</v>
      </c>
      <c r="C12" s="21">
        <f>IF(A12="",0,N('[1]基础资料'!$S$11))</f>
        <v>96</v>
      </c>
      <c r="D12" s="11">
        <f>IF(A12="",0,N('[1]基础资料'!$U$11))</f>
        <v>181264.62</v>
      </c>
      <c r="E12" s="21">
        <f>IF(A12="",0,SUMIFS('[1]采购入库'!$U$4:$U$2003,'[1]采购入库'!$I$4:$I$2003,$A12))</f>
        <v>7</v>
      </c>
      <c r="F12" s="11">
        <f>IF(A12="",0,SUMIFS('[1]采购入库'!$V$4:$V$2003,'[1]采购入库'!$I$4:$I$2003,$A12))</f>
        <v>11660</v>
      </c>
      <c r="G12" s="21">
        <f>IF(A12="",0,SUMIFS('[1]销售出库'!$R$4:$R$2003,'[1]销售出库'!$H$4:$H$2003,$A12))</f>
        <v>8</v>
      </c>
      <c r="H12" s="11">
        <f t="shared" si="3"/>
        <v>1873.0546</v>
      </c>
      <c r="I12" s="11">
        <f t="shared" si="0"/>
        <v>14984.44</v>
      </c>
      <c r="J12" s="21">
        <f t="shared" si="1"/>
        <v>95</v>
      </c>
      <c r="K12" s="11">
        <f t="shared" si="2"/>
        <v>177940.18</v>
      </c>
      <c r="L12" s="6">
        <f t="shared" si="4"/>
      </c>
      <c r="M12" s="21">
        <f>IF($A12="",0,SUMIFS('[1]销售出库'!$R$4:$R$2003,'[1]销售出库'!$H$4:$H$2003,$A12,'[1]销售出库'!$Q$4:$Q$2003,'首页'!$B$4*100+M$4))</f>
        <v>0</v>
      </c>
      <c r="N12" s="21">
        <f>IF($A12="",0,SUMIFS('[1]销售出库'!$R$4:$R$2003,'[1]销售出库'!$H$4:$H$2003,$A12,'[1]销售出库'!$Q$4:$Q$2003,'首页'!$B$4*100+N$4))</f>
        <v>0</v>
      </c>
      <c r="O12" s="21">
        <f>IF($A12="",0,SUMIFS('[1]销售出库'!$R$4:$R$2003,'[1]销售出库'!$H$4:$H$2003,$A12,'[1]销售出库'!$Q$4:$Q$2003,'首页'!$B$4*100+O$4))</f>
        <v>0</v>
      </c>
      <c r="P12" s="21">
        <f>IF($A12="",0,SUMIFS('[1]销售出库'!$R$4:$R$2003,'[1]销售出库'!$H$4:$H$2003,$A12,'[1]销售出库'!$Q$4:$Q$2003,'首页'!$B$4*100+P$4))</f>
        <v>0</v>
      </c>
      <c r="Q12" s="21">
        <f>IF($A12="",0,SUMIFS('[1]销售出库'!$R$4:$R$2003,'[1]销售出库'!$H$4:$H$2003,$A12,'[1]销售出库'!$Q$4:$Q$2003,'首页'!$B$4*100+Q$4))</f>
        <v>0</v>
      </c>
      <c r="R12" s="21">
        <f>IF($A12="",0,SUMIFS('[1]销售出库'!$R$4:$R$2003,'[1]销售出库'!$H$4:$H$2003,$A12,'[1]销售出库'!$Q$4:$Q$2003,'首页'!$B$4*100+R$4))</f>
        <v>0</v>
      </c>
      <c r="S12" s="21">
        <f>IF($A12="",0,SUMIFS('[1]销售出库'!$R$4:$R$2003,'[1]销售出库'!$H$4:$H$2003,$A12,'[1]销售出库'!$Q$4:$Q$2003,'首页'!$B$4*100+S$4))</f>
        <v>0</v>
      </c>
      <c r="T12" s="21">
        <f>IF($A12="",0,SUMIFS('[1]销售出库'!$R$4:$R$2003,'[1]销售出库'!$H$4:$H$2003,$A12,'[1]销售出库'!$Q$4:$Q$2003,'首页'!$B$4*100+T$4))</f>
        <v>0</v>
      </c>
      <c r="U12" s="21">
        <f>IF($A12="",0,SUMIFS('[1]销售出库'!$R$4:$R$2003,'[1]销售出库'!$H$4:$H$2003,$A12,'[1]销售出库'!$Q$4:$Q$2003,'首页'!$B$4*100+U$4))</f>
        <v>0</v>
      </c>
      <c r="V12" s="21">
        <f>IF($A12="",0,SUMIFS('[1]销售出库'!$R$4:$R$2003,'[1]销售出库'!$H$4:$H$2003,$A12,'[1]销售出库'!$Q$4:$Q$2003,'首页'!$B$4*100+V$4))</f>
        <v>8</v>
      </c>
      <c r="W12" s="21">
        <f>IF($A12="",0,SUMIFS('[1]销售出库'!$R$4:$R$2003,'[1]销售出库'!$H$4:$H$2003,$A12,'[1]销售出库'!$Q$4:$Q$2003,'首页'!$B$4*100+W$4))</f>
        <v>0</v>
      </c>
      <c r="X12" s="21">
        <f>IF($A12="",0,SUMIFS('[1]销售出库'!$R$4:$R$2003,'[1]销售出库'!$H$4:$H$2003,$A12,'[1]销售出库'!$Q$4:$Q$2003,'首页'!$B$4*100+X$4))</f>
        <v>0</v>
      </c>
    </row>
    <row r="13">
      <c r="A13" s="6" t="str">
        <f>IF('[1]基础资料'!$P$12="","",'[1]基础资料'!$P$12)</f>
        <v>小新Pro16 Ultra5 135H 24GB 1TB</v>
      </c>
      <c r="B13" s="6" t="str">
        <f>IF(A13="","",'[1]基础资料'!$Q$12&amp;"")</f>
        <v>联想</v>
      </c>
      <c r="C13" s="21">
        <f>IF(A13="",0,N('[1]基础资料'!$S$12))</f>
        <v>14</v>
      </c>
      <c r="D13" s="11">
        <f>IF(A13="",0,N('[1]基础资料'!$U$12))</f>
        <v>88669</v>
      </c>
      <c r="E13" s="21">
        <f>IF(A13="",0,SUMIFS('[1]采购入库'!$U$4:$U$2003,'[1]采购入库'!$I$4:$I$2003,$A13))</f>
        <v>0</v>
      </c>
      <c r="F13" s="11">
        <f>IF(A13="",0,SUMIFS('[1]采购入库'!$V$4:$V$2003,'[1]采购入库'!$I$4:$I$2003,$A13))</f>
        <v>0</v>
      </c>
      <c r="G13" s="21">
        <f>IF(A13="",0,SUMIFS('[1]销售出库'!$R$4:$R$2003,'[1]销售出库'!$H$4:$H$2003,$A13))</f>
        <v>6</v>
      </c>
      <c r="H13" s="11">
        <f t="shared" si="3"/>
        <v>6333.5</v>
      </c>
      <c r="I13" s="11">
        <f t="shared" si="0"/>
        <v>38001</v>
      </c>
      <c r="J13" s="21">
        <f t="shared" si="1"/>
        <v>8</v>
      </c>
      <c r="K13" s="11">
        <f t="shared" si="2"/>
        <v>50668</v>
      </c>
      <c r="L13" s="6">
        <f t="shared" si="4"/>
      </c>
      <c r="M13" s="21">
        <f>IF($A13="",0,SUMIFS('[1]销售出库'!$R$4:$R$2003,'[1]销售出库'!$H$4:$H$2003,$A13,'[1]销售出库'!$Q$4:$Q$2003,'首页'!$B$4*100+M$4))</f>
        <v>0</v>
      </c>
      <c r="N13" s="21">
        <f>IF($A13="",0,SUMIFS('[1]销售出库'!$R$4:$R$2003,'[1]销售出库'!$H$4:$H$2003,$A13,'[1]销售出库'!$Q$4:$Q$2003,'首页'!$B$4*100+N$4))</f>
        <v>0</v>
      </c>
      <c r="O13" s="21">
        <f>IF($A13="",0,SUMIFS('[1]销售出库'!$R$4:$R$2003,'[1]销售出库'!$H$4:$H$2003,$A13,'[1]销售出库'!$Q$4:$Q$2003,'首页'!$B$4*100+O$4))</f>
        <v>0</v>
      </c>
      <c r="P13" s="21">
        <f>IF($A13="",0,SUMIFS('[1]销售出库'!$R$4:$R$2003,'[1]销售出库'!$H$4:$H$2003,$A13,'[1]销售出库'!$Q$4:$Q$2003,'首页'!$B$4*100+P$4))</f>
        <v>0</v>
      </c>
      <c r="Q13" s="21">
        <f>IF($A13="",0,SUMIFS('[1]销售出库'!$R$4:$R$2003,'[1]销售出库'!$H$4:$H$2003,$A13,'[1]销售出库'!$Q$4:$Q$2003,'首页'!$B$4*100+Q$4))</f>
        <v>0</v>
      </c>
      <c r="R13" s="21">
        <f>IF($A13="",0,SUMIFS('[1]销售出库'!$R$4:$R$2003,'[1]销售出库'!$H$4:$H$2003,$A13,'[1]销售出库'!$Q$4:$Q$2003,'首页'!$B$4*100+R$4))</f>
        <v>0</v>
      </c>
      <c r="S13" s="21">
        <f>IF($A13="",0,SUMIFS('[1]销售出库'!$R$4:$R$2003,'[1]销售出库'!$H$4:$H$2003,$A13,'[1]销售出库'!$Q$4:$Q$2003,'首页'!$B$4*100+S$4))</f>
        <v>0</v>
      </c>
      <c r="T13" s="21">
        <f>IF($A13="",0,SUMIFS('[1]销售出库'!$R$4:$R$2003,'[1]销售出库'!$H$4:$H$2003,$A13,'[1]销售出库'!$Q$4:$Q$2003,'首页'!$B$4*100+T$4))</f>
        <v>0</v>
      </c>
      <c r="U13" s="21">
        <f>IF($A13="",0,SUMIFS('[1]销售出库'!$R$4:$R$2003,'[1]销售出库'!$H$4:$H$2003,$A13,'[1]销售出库'!$Q$4:$Q$2003,'首页'!$B$4*100+U$4))</f>
        <v>6</v>
      </c>
      <c r="V13" s="21">
        <f>IF($A13="",0,SUMIFS('[1]销售出库'!$R$4:$R$2003,'[1]销售出库'!$H$4:$H$2003,$A13,'[1]销售出库'!$Q$4:$Q$2003,'首页'!$B$4*100+V$4))</f>
        <v>0</v>
      </c>
      <c r="W13" s="21">
        <f>IF($A13="",0,SUMIFS('[1]销售出库'!$R$4:$R$2003,'[1]销售出库'!$H$4:$H$2003,$A13,'[1]销售出库'!$Q$4:$Q$2003,'首页'!$B$4*100+W$4))</f>
        <v>0</v>
      </c>
      <c r="X13" s="21">
        <f>IF($A13="",0,SUMIFS('[1]销售出库'!$R$4:$R$2003,'[1]销售出库'!$H$4:$H$2003,$A13,'[1]销售出库'!$Q$4:$Q$2003,'首页'!$B$4*100+X$4))</f>
        <v>0</v>
      </c>
    </row>
    <row r="14">
      <c r="A14" s="6" t="str">
        <f>IF('[1]基础资料'!$P$13="","",'[1]基础资料'!$P$13)</f>
        <v>联想Y900 11 12+512黑色WIFI</v>
      </c>
      <c r="B14" s="6" t="str">
        <f>IF(A14="","",'[1]基础资料'!$Q$13&amp;"")</f>
        <v>平板</v>
      </c>
      <c r="C14" s="21">
        <f>IF(A14="",0,N('[1]基础资料'!$S$13))</f>
        <v>8</v>
      </c>
      <c r="D14" s="11">
        <f>IF(A14="",0,N('[1]基础资料'!$U$13))</f>
        <v>19600</v>
      </c>
      <c r="E14" s="21">
        <f>IF(A14="",0,SUMIFS('[1]采购入库'!$U$4:$U$2003,'[1]采购入库'!$I$4:$I$2003,$A14))</f>
        <v>20</v>
      </c>
      <c r="F14" s="11">
        <f>IF(A14="",0,SUMIFS('[1]采购入库'!$V$4:$V$2003,'[1]采购入库'!$I$4:$I$2003,$A14))</f>
        <v>49000</v>
      </c>
      <c r="G14" s="21">
        <f>IF(A14="",0,SUMIFS('[1]销售出库'!$R$4:$R$2003,'[1]销售出库'!$H$4:$H$2003,$A14))</f>
        <v>13</v>
      </c>
      <c r="H14" s="11">
        <f t="shared" si="3"/>
        <v>2450</v>
      </c>
      <c r="I14" s="11">
        <f t="shared" si="0"/>
        <v>31850</v>
      </c>
      <c r="J14" s="21">
        <f t="shared" si="1"/>
        <v>15</v>
      </c>
      <c r="K14" s="11">
        <f t="shared" si="2"/>
        <v>36750</v>
      </c>
      <c r="L14" s="6">
        <f t="shared" si="4"/>
      </c>
      <c r="M14" s="21">
        <f>IF($A14="",0,SUMIFS('[1]销售出库'!$R$4:$R$2003,'[1]销售出库'!$H$4:$H$2003,$A14,'[1]销售出库'!$Q$4:$Q$2003,'首页'!$B$4*100+M$4))</f>
        <v>0</v>
      </c>
      <c r="N14" s="21">
        <f>IF($A14="",0,SUMIFS('[1]销售出库'!$R$4:$R$2003,'[1]销售出库'!$H$4:$H$2003,$A14,'[1]销售出库'!$Q$4:$Q$2003,'首页'!$B$4*100+N$4))</f>
        <v>0</v>
      </c>
      <c r="O14" s="21">
        <f>IF($A14="",0,SUMIFS('[1]销售出库'!$R$4:$R$2003,'[1]销售出库'!$H$4:$H$2003,$A14,'[1]销售出库'!$Q$4:$Q$2003,'首页'!$B$4*100+O$4))</f>
        <v>0</v>
      </c>
      <c r="P14" s="21">
        <f>IF($A14="",0,SUMIFS('[1]销售出库'!$R$4:$R$2003,'[1]销售出库'!$H$4:$H$2003,$A14,'[1]销售出库'!$Q$4:$Q$2003,'首页'!$B$4*100+P$4))</f>
        <v>0</v>
      </c>
      <c r="Q14" s="21">
        <f>IF($A14="",0,SUMIFS('[1]销售出库'!$R$4:$R$2003,'[1]销售出库'!$H$4:$H$2003,$A14,'[1]销售出库'!$Q$4:$Q$2003,'首页'!$B$4*100+Q$4))</f>
        <v>0</v>
      </c>
      <c r="R14" s="21">
        <f>IF($A14="",0,SUMIFS('[1]销售出库'!$R$4:$R$2003,'[1]销售出库'!$H$4:$H$2003,$A14,'[1]销售出库'!$Q$4:$Q$2003,'首页'!$B$4*100+R$4))</f>
        <v>0</v>
      </c>
      <c r="S14" s="21">
        <f>IF($A14="",0,SUMIFS('[1]销售出库'!$R$4:$R$2003,'[1]销售出库'!$H$4:$H$2003,$A14,'[1]销售出库'!$Q$4:$Q$2003,'首页'!$B$4*100+S$4))</f>
        <v>0</v>
      </c>
      <c r="T14" s="21">
        <f>IF($A14="",0,SUMIFS('[1]销售出库'!$R$4:$R$2003,'[1]销售出库'!$H$4:$H$2003,$A14,'[1]销售出库'!$Q$4:$Q$2003,'首页'!$B$4*100+T$4))</f>
        <v>0</v>
      </c>
      <c r="U14" s="21">
        <f>IF($A14="",0,SUMIFS('[1]销售出库'!$R$4:$R$2003,'[1]销售出库'!$H$4:$H$2003,$A14,'[1]销售出库'!$Q$4:$Q$2003,'首页'!$B$4*100+U$4))</f>
        <v>3</v>
      </c>
      <c r="V14" s="21">
        <f>IF($A14="",0,SUMIFS('[1]销售出库'!$R$4:$R$2003,'[1]销售出库'!$H$4:$H$2003,$A14,'[1]销售出库'!$Q$4:$Q$2003,'首页'!$B$4*100+V$4))</f>
        <v>10</v>
      </c>
      <c r="W14" s="21">
        <f>IF($A14="",0,SUMIFS('[1]销售出库'!$R$4:$R$2003,'[1]销售出库'!$H$4:$H$2003,$A14,'[1]销售出库'!$Q$4:$Q$2003,'首页'!$B$4*100+W$4))</f>
        <v>0</v>
      </c>
      <c r="X14" s="21">
        <f>IF($A14="",0,SUMIFS('[1]销售出库'!$R$4:$R$2003,'[1]销售出库'!$H$4:$H$2003,$A14,'[1]销售出库'!$Q$4:$Q$2003,'首页'!$B$4*100+X$4))</f>
        <v>0</v>
      </c>
    </row>
    <row r="15">
      <c r="A15" s="6" t="str">
        <f>IF('[1]基础资料'!$P$14="","",'[1]基础资料'!$P$14)</f>
        <v>联想拯救者Y700 五代 12+512 WIFI碳晶黑</v>
      </c>
      <c r="B15" s="6" t="str">
        <f>IF(A15="","",'[1]基础资料'!$Q$14&amp;"")</f>
        <v>平板</v>
      </c>
      <c r="C15" s="21">
        <f>IF(A15="",0,N('[1]基础资料'!$S$14))</f>
        <v>80</v>
      </c>
      <c r="D15" s="11">
        <f>IF(A15="",0,N('[1]基础资料'!$U$14))</f>
        <v>272120</v>
      </c>
      <c r="E15" s="21">
        <f>IF(A15="",0,SUMIFS('[1]采购入库'!$U$4:$U$2003,'[1]采购入库'!$I$4:$I$2003,$A15))</f>
        <v>6</v>
      </c>
      <c r="F15" s="11">
        <f>IF(A15="",0,SUMIFS('[1]采购入库'!$V$4:$V$2003,'[1]采购入库'!$I$4:$I$2003,$A15))</f>
        <v>20520</v>
      </c>
      <c r="G15" s="21">
        <f>IF(A15="",0,SUMIFS('[1]销售出库'!$R$4:$R$2003,'[1]销售出库'!$H$4:$H$2003,$A15))</f>
        <v>0</v>
      </c>
      <c r="H15" s="11">
        <f t="shared" si="3"/>
        <v>3402.7907</v>
      </c>
      <c r="I15" s="11">
        <f t="shared" si="0"/>
        <v>0</v>
      </c>
      <c r="J15" s="21">
        <f t="shared" si="1"/>
        <v>86</v>
      </c>
      <c r="K15" s="11">
        <f t="shared" si="2"/>
        <v>292640</v>
      </c>
      <c r="L15" s="6">
        <f t="shared" si="4"/>
      </c>
      <c r="M15" s="21">
        <f>IF($A15="",0,SUMIFS('[1]销售出库'!$R$4:$R$2003,'[1]销售出库'!$H$4:$H$2003,$A15,'[1]销售出库'!$Q$4:$Q$2003,'首页'!$B$4*100+M$4))</f>
        <v>0</v>
      </c>
      <c r="N15" s="21">
        <f>IF($A15="",0,SUMIFS('[1]销售出库'!$R$4:$R$2003,'[1]销售出库'!$H$4:$H$2003,$A15,'[1]销售出库'!$Q$4:$Q$2003,'首页'!$B$4*100+N$4))</f>
        <v>0</v>
      </c>
      <c r="O15" s="21">
        <f>IF($A15="",0,SUMIFS('[1]销售出库'!$R$4:$R$2003,'[1]销售出库'!$H$4:$H$2003,$A15,'[1]销售出库'!$Q$4:$Q$2003,'首页'!$B$4*100+O$4))</f>
        <v>0</v>
      </c>
      <c r="P15" s="21">
        <f>IF($A15="",0,SUMIFS('[1]销售出库'!$R$4:$R$2003,'[1]销售出库'!$H$4:$H$2003,$A15,'[1]销售出库'!$Q$4:$Q$2003,'首页'!$B$4*100+P$4))</f>
        <v>0</v>
      </c>
      <c r="Q15" s="21">
        <f>IF($A15="",0,SUMIFS('[1]销售出库'!$R$4:$R$2003,'[1]销售出库'!$H$4:$H$2003,$A15,'[1]销售出库'!$Q$4:$Q$2003,'首页'!$B$4*100+Q$4))</f>
        <v>0</v>
      </c>
      <c r="R15" s="21">
        <f>IF($A15="",0,SUMIFS('[1]销售出库'!$R$4:$R$2003,'[1]销售出库'!$H$4:$H$2003,$A15,'[1]销售出库'!$Q$4:$Q$2003,'首页'!$B$4*100+R$4))</f>
        <v>0</v>
      </c>
      <c r="S15" s="21">
        <f>IF($A15="",0,SUMIFS('[1]销售出库'!$R$4:$R$2003,'[1]销售出库'!$H$4:$H$2003,$A15,'[1]销售出库'!$Q$4:$Q$2003,'首页'!$B$4*100+S$4))</f>
        <v>0</v>
      </c>
      <c r="T15" s="21">
        <f>IF($A15="",0,SUMIFS('[1]销售出库'!$R$4:$R$2003,'[1]销售出库'!$H$4:$H$2003,$A15,'[1]销售出库'!$Q$4:$Q$2003,'首页'!$B$4*100+T$4))</f>
        <v>0</v>
      </c>
      <c r="U15" s="21">
        <f>IF($A15="",0,SUMIFS('[1]销售出库'!$R$4:$R$2003,'[1]销售出库'!$H$4:$H$2003,$A15,'[1]销售出库'!$Q$4:$Q$2003,'首页'!$B$4*100+U$4))</f>
        <v>0</v>
      </c>
      <c r="V15" s="21">
        <f>IF($A15="",0,SUMIFS('[1]销售出库'!$R$4:$R$2003,'[1]销售出库'!$H$4:$H$2003,$A15,'[1]销售出库'!$Q$4:$Q$2003,'首页'!$B$4*100+V$4))</f>
        <v>0</v>
      </c>
      <c r="W15" s="21">
        <f>IF($A15="",0,SUMIFS('[1]销售出库'!$R$4:$R$2003,'[1]销售出库'!$H$4:$H$2003,$A15,'[1]销售出库'!$Q$4:$Q$2003,'首页'!$B$4*100+W$4))</f>
        <v>0</v>
      </c>
      <c r="X15" s="21">
        <f>IF($A15="",0,SUMIFS('[1]销售出库'!$R$4:$R$2003,'[1]销售出库'!$H$4:$H$2003,$A15,'[1]销售出库'!$Q$4:$Q$2003,'首页'!$B$4*100+X$4))</f>
        <v>0</v>
      </c>
    </row>
    <row r="16">
      <c r="A16" s="6" t="str">
        <f>IF('[1]基础资料'!$P$15="","",'[1]基础资料'!$P$15)</f>
        <v>iPhone 17 Pro Max 256GB 星宇橙色</v>
      </c>
      <c r="B16" s="6" t="str">
        <f>IF(A16="","",'[1]基础资料'!$Q$15&amp;"")</f>
        <v>苹果</v>
      </c>
      <c r="C16" s="21">
        <f>IF(A16="",0,N('[1]基础资料'!$S$15))</f>
        <v>120</v>
      </c>
      <c r="D16" s="11">
        <f>IF(A16="",0,N('[1]基础资料'!$U$15))</f>
        <v>1068535</v>
      </c>
      <c r="E16" s="21">
        <f>IF(A16="",0,SUMIFS('[1]采购入库'!$U$4:$U$2003,'[1]采购入库'!$I$4:$I$2003,$A16))</f>
        <v>0</v>
      </c>
      <c r="F16" s="11">
        <f>IF(A16="",0,SUMIFS('[1]采购入库'!$V$4:$V$2003,'[1]采购入库'!$I$4:$I$2003,$A16))</f>
        <v>0</v>
      </c>
      <c r="G16" s="21">
        <f>IF(A16="",0,SUMIFS('[1]销售出库'!$R$4:$R$2003,'[1]销售出库'!$H$4:$H$2003,$A16))</f>
        <v>0</v>
      </c>
      <c r="H16" s="11">
        <f t="shared" si="3"/>
        <v>8904.4583</v>
      </c>
      <c r="I16" s="11">
        <f t="shared" si="0"/>
        <v>0</v>
      </c>
      <c r="J16" s="21">
        <f t="shared" si="1"/>
        <v>120</v>
      </c>
      <c r="K16" s="11">
        <f t="shared" si="2"/>
        <v>1068535</v>
      </c>
      <c r="L16" s="6">
        <f t="shared" si="4"/>
      </c>
      <c r="M16" s="21">
        <f>IF($A16="",0,SUMIFS('[1]销售出库'!$R$4:$R$2003,'[1]销售出库'!$H$4:$H$2003,$A16,'[1]销售出库'!$Q$4:$Q$2003,'首页'!$B$4*100+M$4))</f>
        <v>0</v>
      </c>
      <c r="N16" s="21">
        <f>IF($A16="",0,SUMIFS('[1]销售出库'!$R$4:$R$2003,'[1]销售出库'!$H$4:$H$2003,$A16,'[1]销售出库'!$Q$4:$Q$2003,'首页'!$B$4*100+N$4))</f>
        <v>0</v>
      </c>
      <c r="O16" s="21">
        <f>IF($A16="",0,SUMIFS('[1]销售出库'!$R$4:$R$2003,'[1]销售出库'!$H$4:$H$2003,$A16,'[1]销售出库'!$Q$4:$Q$2003,'首页'!$B$4*100+O$4))</f>
        <v>0</v>
      </c>
      <c r="P16" s="21">
        <f>IF($A16="",0,SUMIFS('[1]销售出库'!$R$4:$R$2003,'[1]销售出库'!$H$4:$H$2003,$A16,'[1]销售出库'!$Q$4:$Q$2003,'首页'!$B$4*100+P$4))</f>
        <v>0</v>
      </c>
      <c r="Q16" s="21">
        <f>IF($A16="",0,SUMIFS('[1]销售出库'!$R$4:$R$2003,'[1]销售出库'!$H$4:$H$2003,$A16,'[1]销售出库'!$Q$4:$Q$2003,'首页'!$B$4*100+Q$4))</f>
        <v>0</v>
      </c>
      <c r="R16" s="21">
        <f>IF($A16="",0,SUMIFS('[1]销售出库'!$R$4:$R$2003,'[1]销售出库'!$H$4:$H$2003,$A16,'[1]销售出库'!$Q$4:$Q$2003,'首页'!$B$4*100+R$4))</f>
        <v>0</v>
      </c>
      <c r="S16" s="21">
        <f>IF($A16="",0,SUMIFS('[1]销售出库'!$R$4:$R$2003,'[1]销售出库'!$H$4:$H$2003,$A16,'[1]销售出库'!$Q$4:$Q$2003,'首页'!$B$4*100+S$4))</f>
        <v>0</v>
      </c>
      <c r="T16" s="21">
        <f>IF($A16="",0,SUMIFS('[1]销售出库'!$R$4:$R$2003,'[1]销售出库'!$H$4:$H$2003,$A16,'[1]销售出库'!$Q$4:$Q$2003,'首页'!$B$4*100+T$4))</f>
        <v>0</v>
      </c>
      <c r="U16" s="21">
        <f>IF($A16="",0,SUMIFS('[1]销售出库'!$R$4:$R$2003,'[1]销售出库'!$H$4:$H$2003,$A16,'[1]销售出库'!$Q$4:$Q$2003,'首页'!$B$4*100+U$4))</f>
        <v>0</v>
      </c>
      <c r="V16" s="21">
        <f>IF($A16="",0,SUMIFS('[1]销售出库'!$R$4:$R$2003,'[1]销售出库'!$H$4:$H$2003,$A16,'[1]销售出库'!$Q$4:$Q$2003,'首页'!$B$4*100+V$4))</f>
        <v>0</v>
      </c>
      <c r="W16" s="21">
        <f>IF($A16="",0,SUMIFS('[1]销售出库'!$R$4:$R$2003,'[1]销售出库'!$H$4:$H$2003,$A16,'[1]销售出库'!$Q$4:$Q$2003,'首页'!$B$4*100+W$4))</f>
        <v>0</v>
      </c>
      <c r="X16" s="21">
        <f>IF($A16="",0,SUMIFS('[1]销售出库'!$R$4:$R$2003,'[1]销售出库'!$H$4:$H$2003,$A16,'[1]销售出库'!$Q$4:$Q$2003,'首页'!$B$4*100+X$4))</f>
        <v>0</v>
      </c>
    </row>
    <row r="17">
      <c r="A17" s="6" t="str">
        <f>IF('[1]基础资料'!$P$16="","",'[1]基础资料'!$P$16)</f>
        <v>iPhone17 Pro Max 512GB星宇橙色</v>
      </c>
      <c r="B17" s="6" t="str">
        <f>IF(A17="","",'[1]基础资料'!$Q$16&amp;"")</f>
        <v>苹果</v>
      </c>
      <c r="C17" s="21">
        <f>IF(A17="",0,N('[1]基础资料'!$S$16))</f>
        <v>10</v>
      </c>
      <c r="D17" s="11">
        <f>IF(A17="",0,N('[1]基础资料'!$U$16))</f>
        <v>106000</v>
      </c>
      <c r="E17" s="21">
        <f>IF(A17="",0,SUMIFS('[1]采购入库'!$U$4:$U$2003,'[1]采购入库'!$I$4:$I$2003,$A17))</f>
        <v>0</v>
      </c>
      <c r="F17" s="11">
        <f>IF(A17="",0,SUMIFS('[1]采购入库'!$V$4:$V$2003,'[1]采购入库'!$I$4:$I$2003,$A17))</f>
        <v>0</v>
      </c>
      <c r="G17" s="21">
        <f>IF(A17="",0,SUMIFS('[1]销售出库'!$R$4:$R$2003,'[1]销售出库'!$H$4:$H$2003,$A17))</f>
        <v>0</v>
      </c>
      <c r="H17" s="11">
        <f t="shared" si="3"/>
        <v>10600</v>
      </c>
      <c r="I17" s="11">
        <f t="shared" si="0"/>
        <v>0</v>
      </c>
      <c r="J17" s="21">
        <f t="shared" si="1"/>
        <v>10</v>
      </c>
      <c r="K17" s="11">
        <f t="shared" si="2"/>
        <v>106000</v>
      </c>
      <c r="L17" s="6">
        <f t="shared" si="4"/>
      </c>
      <c r="M17" s="21">
        <f>IF($A17="",0,SUMIFS('[1]销售出库'!$R$4:$R$2003,'[1]销售出库'!$H$4:$H$2003,$A17,'[1]销售出库'!$Q$4:$Q$2003,'首页'!$B$4*100+M$4))</f>
        <v>0</v>
      </c>
      <c r="N17" s="21">
        <f>IF($A17="",0,SUMIFS('[1]销售出库'!$R$4:$R$2003,'[1]销售出库'!$H$4:$H$2003,$A17,'[1]销售出库'!$Q$4:$Q$2003,'首页'!$B$4*100+N$4))</f>
        <v>0</v>
      </c>
      <c r="O17" s="21">
        <f>IF($A17="",0,SUMIFS('[1]销售出库'!$R$4:$R$2003,'[1]销售出库'!$H$4:$H$2003,$A17,'[1]销售出库'!$Q$4:$Q$2003,'首页'!$B$4*100+O$4))</f>
        <v>0</v>
      </c>
      <c r="P17" s="21">
        <f>IF($A17="",0,SUMIFS('[1]销售出库'!$R$4:$R$2003,'[1]销售出库'!$H$4:$H$2003,$A17,'[1]销售出库'!$Q$4:$Q$2003,'首页'!$B$4*100+P$4))</f>
        <v>0</v>
      </c>
      <c r="Q17" s="21">
        <f>IF($A17="",0,SUMIFS('[1]销售出库'!$R$4:$R$2003,'[1]销售出库'!$H$4:$H$2003,$A17,'[1]销售出库'!$Q$4:$Q$2003,'首页'!$B$4*100+Q$4))</f>
        <v>0</v>
      </c>
      <c r="R17" s="21">
        <f>IF($A17="",0,SUMIFS('[1]销售出库'!$R$4:$R$2003,'[1]销售出库'!$H$4:$H$2003,$A17,'[1]销售出库'!$Q$4:$Q$2003,'首页'!$B$4*100+R$4))</f>
        <v>0</v>
      </c>
      <c r="S17" s="21">
        <f>IF($A17="",0,SUMIFS('[1]销售出库'!$R$4:$R$2003,'[1]销售出库'!$H$4:$H$2003,$A17,'[1]销售出库'!$Q$4:$Q$2003,'首页'!$B$4*100+S$4))</f>
        <v>0</v>
      </c>
      <c r="T17" s="21">
        <f>IF($A17="",0,SUMIFS('[1]销售出库'!$R$4:$R$2003,'[1]销售出库'!$H$4:$H$2003,$A17,'[1]销售出库'!$Q$4:$Q$2003,'首页'!$B$4*100+T$4))</f>
        <v>0</v>
      </c>
      <c r="U17" s="21">
        <f>IF($A17="",0,SUMIFS('[1]销售出库'!$R$4:$R$2003,'[1]销售出库'!$H$4:$H$2003,$A17,'[1]销售出库'!$Q$4:$Q$2003,'首页'!$B$4*100+U$4))</f>
        <v>0</v>
      </c>
      <c r="V17" s="21">
        <f>IF($A17="",0,SUMIFS('[1]销售出库'!$R$4:$R$2003,'[1]销售出库'!$H$4:$H$2003,$A17,'[1]销售出库'!$Q$4:$Q$2003,'首页'!$B$4*100+V$4))</f>
        <v>0</v>
      </c>
      <c r="W17" s="21">
        <f>IF($A17="",0,SUMIFS('[1]销售出库'!$R$4:$R$2003,'[1]销售出库'!$H$4:$H$2003,$A17,'[1]销售出库'!$Q$4:$Q$2003,'首页'!$B$4*100+W$4))</f>
        <v>0</v>
      </c>
      <c r="X17" s="21">
        <f>IF($A17="",0,SUMIFS('[1]销售出库'!$R$4:$R$2003,'[1]销售出库'!$H$4:$H$2003,$A17,'[1]销售出库'!$Q$4:$Q$2003,'首页'!$B$4*100+X$4))</f>
        <v>0</v>
      </c>
    </row>
    <row r="18">
      <c r="A18" s="6" t="str">
        <f>IF('[1]基础资料'!$P$17="","",'[1]基础资料'!$P$17)</f>
        <v>iPhone 17 Pro 256GB 银色</v>
      </c>
      <c r="B18" s="6" t="str">
        <f>IF(A18="","",'[1]基础资料'!$Q$17&amp;"")</f>
        <v>苹果</v>
      </c>
      <c r="C18" s="21">
        <f>IF(A18="",0,N('[1]基础资料'!$S$17))</f>
        <v>10</v>
      </c>
      <c r="D18" s="11">
        <f>IF(A18="",0,N('[1]基础资料'!$U$17))</f>
        <v>78700</v>
      </c>
      <c r="E18" s="21">
        <f>IF(A18="",0,SUMIFS('[1]采购入库'!$U$4:$U$2003,'[1]采购入库'!$I$4:$I$2003,$A18))</f>
        <v>0</v>
      </c>
      <c r="F18" s="11">
        <f>IF(A18="",0,SUMIFS('[1]采购入库'!$V$4:$V$2003,'[1]采购入库'!$I$4:$I$2003,$A18))</f>
        <v>0</v>
      </c>
      <c r="G18" s="21">
        <f>IF(A18="",0,SUMIFS('[1]销售出库'!$R$4:$R$2003,'[1]销售出库'!$H$4:$H$2003,$A18))</f>
        <v>0</v>
      </c>
      <c r="H18" s="11">
        <f t="shared" si="3"/>
        <v>7870</v>
      </c>
      <c r="I18" s="11">
        <f t="shared" si="0"/>
        <v>0</v>
      </c>
      <c r="J18" s="21">
        <f t="shared" si="1"/>
        <v>10</v>
      </c>
      <c r="K18" s="11">
        <f t="shared" si="2"/>
        <v>78700</v>
      </c>
      <c r="L18" s="6">
        <f t="shared" si="4"/>
      </c>
      <c r="M18" s="21">
        <f>IF($A18="",0,SUMIFS('[1]销售出库'!$R$4:$R$2003,'[1]销售出库'!$H$4:$H$2003,$A18,'[1]销售出库'!$Q$4:$Q$2003,'首页'!$B$4*100+M$4))</f>
        <v>0</v>
      </c>
      <c r="N18" s="21">
        <f>IF($A18="",0,SUMIFS('[1]销售出库'!$R$4:$R$2003,'[1]销售出库'!$H$4:$H$2003,$A18,'[1]销售出库'!$Q$4:$Q$2003,'首页'!$B$4*100+N$4))</f>
        <v>0</v>
      </c>
      <c r="O18" s="21">
        <f>IF($A18="",0,SUMIFS('[1]销售出库'!$R$4:$R$2003,'[1]销售出库'!$H$4:$H$2003,$A18,'[1]销售出库'!$Q$4:$Q$2003,'首页'!$B$4*100+O$4))</f>
        <v>0</v>
      </c>
      <c r="P18" s="21">
        <f>IF($A18="",0,SUMIFS('[1]销售出库'!$R$4:$R$2003,'[1]销售出库'!$H$4:$H$2003,$A18,'[1]销售出库'!$Q$4:$Q$2003,'首页'!$B$4*100+P$4))</f>
        <v>0</v>
      </c>
      <c r="Q18" s="21">
        <f>IF($A18="",0,SUMIFS('[1]销售出库'!$R$4:$R$2003,'[1]销售出库'!$H$4:$H$2003,$A18,'[1]销售出库'!$Q$4:$Q$2003,'首页'!$B$4*100+Q$4))</f>
        <v>0</v>
      </c>
      <c r="R18" s="21">
        <f>IF($A18="",0,SUMIFS('[1]销售出库'!$R$4:$R$2003,'[1]销售出库'!$H$4:$H$2003,$A18,'[1]销售出库'!$Q$4:$Q$2003,'首页'!$B$4*100+R$4))</f>
        <v>0</v>
      </c>
      <c r="S18" s="21">
        <f>IF($A18="",0,SUMIFS('[1]销售出库'!$R$4:$R$2003,'[1]销售出库'!$H$4:$H$2003,$A18,'[1]销售出库'!$Q$4:$Q$2003,'首页'!$B$4*100+S$4))</f>
        <v>0</v>
      </c>
      <c r="T18" s="21">
        <f>IF($A18="",0,SUMIFS('[1]销售出库'!$R$4:$R$2003,'[1]销售出库'!$H$4:$H$2003,$A18,'[1]销售出库'!$Q$4:$Q$2003,'首页'!$B$4*100+T$4))</f>
        <v>0</v>
      </c>
      <c r="U18" s="21">
        <f>IF($A18="",0,SUMIFS('[1]销售出库'!$R$4:$R$2003,'[1]销售出库'!$H$4:$H$2003,$A18,'[1]销售出库'!$Q$4:$Q$2003,'首页'!$B$4*100+U$4))</f>
        <v>0</v>
      </c>
      <c r="V18" s="21">
        <f>IF($A18="",0,SUMIFS('[1]销售出库'!$R$4:$R$2003,'[1]销售出库'!$H$4:$H$2003,$A18,'[1]销售出库'!$Q$4:$Q$2003,'首页'!$B$4*100+V$4))</f>
        <v>0</v>
      </c>
      <c r="W18" s="21">
        <f>IF($A18="",0,SUMIFS('[1]销售出库'!$R$4:$R$2003,'[1]销售出库'!$H$4:$H$2003,$A18,'[1]销售出库'!$Q$4:$Q$2003,'首页'!$B$4*100+W$4))</f>
        <v>0</v>
      </c>
      <c r="X18" s="21">
        <f>IF($A18="",0,SUMIFS('[1]销售出库'!$R$4:$R$2003,'[1]销售出库'!$H$4:$H$2003,$A18,'[1]销售出库'!$Q$4:$Q$2003,'首页'!$B$4*100+X$4))</f>
        <v>0</v>
      </c>
    </row>
    <row r="19">
      <c r="A19" s="6" t="str">
        <f>IF('[1]基础资料'!$P$18="","",'[1]基础资料'!$P$18)</f>
        <v>iPhone 17 Pro 256GB星宇橙色</v>
      </c>
      <c r="B19" s="6" t="str">
        <f>IF(A19="","",'[1]基础资料'!$Q$18&amp;"")</f>
        <v>苹果</v>
      </c>
      <c r="C19" s="21">
        <f>IF(A19="",0,N('[1]基础资料'!$S$18))</f>
        <v>2</v>
      </c>
      <c r="D19" s="11">
        <f>IF(A19="",0,N('[1]基础资料'!$U$18))</f>
        <v>15410</v>
      </c>
      <c r="E19" s="21">
        <f>IF(A19="",0,SUMIFS('[1]采购入库'!$U$4:$U$2003,'[1]采购入库'!$I$4:$I$2003,$A19))</f>
        <v>0</v>
      </c>
      <c r="F19" s="11">
        <f>IF(A19="",0,SUMIFS('[1]采购入库'!$V$4:$V$2003,'[1]采购入库'!$I$4:$I$2003,$A19))</f>
        <v>0</v>
      </c>
      <c r="G19" s="21">
        <f>IF(A19="",0,SUMIFS('[1]销售出库'!$R$4:$R$2003,'[1]销售出库'!$H$4:$H$2003,$A19))</f>
        <v>0</v>
      </c>
      <c r="H19" s="11">
        <f t="shared" si="3"/>
        <v>7705</v>
      </c>
      <c r="I19" s="11">
        <f t="shared" si="0"/>
        <v>0</v>
      </c>
      <c r="J19" s="21">
        <f t="shared" si="1"/>
        <v>2</v>
      </c>
      <c r="K19" s="11">
        <f t="shared" si="2"/>
        <v>15410</v>
      </c>
      <c r="L19" s="6">
        <f t="shared" si="4"/>
      </c>
      <c r="M19" s="21">
        <f>IF($A19="",0,SUMIFS('[1]销售出库'!$R$4:$R$2003,'[1]销售出库'!$H$4:$H$2003,$A19,'[1]销售出库'!$Q$4:$Q$2003,'首页'!$B$4*100+M$4))</f>
        <v>0</v>
      </c>
      <c r="N19" s="21">
        <f>IF($A19="",0,SUMIFS('[1]销售出库'!$R$4:$R$2003,'[1]销售出库'!$H$4:$H$2003,$A19,'[1]销售出库'!$Q$4:$Q$2003,'首页'!$B$4*100+N$4))</f>
        <v>0</v>
      </c>
      <c r="O19" s="21">
        <f>IF($A19="",0,SUMIFS('[1]销售出库'!$R$4:$R$2003,'[1]销售出库'!$H$4:$H$2003,$A19,'[1]销售出库'!$Q$4:$Q$2003,'首页'!$B$4*100+O$4))</f>
        <v>0</v>
      </c>
      <c r="P19" s="21">
        <f>IF($A19="",0,SUMIFS('[1]销售出库'!$R$4:$R$2003,'[1]销售出库'!$H$4:$H$2003,$A19,'[1]销售出库'!$Q$4:$Q$2003,'首页'!$B$4*100+P$4))</f>
        <v>0</v>
      </c>
      <c r="Q19" s="21">
        <f>IF($A19="",0,SUMIFS('[1]销售出库'!$R$4:$R$2003,'[1]销售出库'!$H$4:$H$2003,$A19,'[1]销售出库'!$Q$4:$Q$2003,'首页'!$B$4*100+Q$4))</f>
        <v>0</v>
      </c>
      <c r="R19" s="21">
        <f>IF($A19="",0,SUMIFS('[1]销售出库'!$R$4:$R$2003,'[1]销售出库'!$H$4:$H$2003,$A19,'[1]销售出库'!$Q$4:$Q$2003,'首页'!$B$4*100+R$4))</f>
        <v>0</v>
      </c>
      <c r="S19" s="21">
        <f>IF($A19="",0,SUMIFS('[1]销售出库'!$R$4:$R$2003,'[1]销售出库'!$H$4:$H$2003,$A19,'[1]销售出库'!$Q$4:$Q$2003,'首页'!$B$4*100+S$4))</f>
        <v>0</v>
      </c>
      <c r="T19" s="21">
        <f>IF($A19="",0,SUMIFS('[1]销售出库'!$R$4:$R$2003,'[1]销售出库'!$H$4:$H$2003,$A19,'[1]销售出库'!$Q$4:$Q$2003,'首页'!$B$4*100+T$4))</f>
        <v>0</v>
      </c>
      <c r="U19" s="21">
        <f>IF($A19="",0,SUMIFS('[1]销售出库'!$R$4:$R$2003,'[1]销售出库'!$H$4:$H$2003,$A19,'[1]销售出库'!$Q$4:$Q$2003,'首页'!$B$4*100+U$4))</f>
        <v>0</v>
      </c>
      <c r="V19" s="21">
        <f>IF($A19="",0,SUMIFS('[1]销售出库'!$R$4:$R$2003,'[1]销售出库'!$H$4:$H$2003,$A19,'[1]销售出库'!$Q$4:$Q$2003,'首页'!$B$4*100+V$4))</f>
        <v>0</v>
      </c>
      <c r="W19" s="21">
        <f>IF($A19="",0,SUMIFS('[1]销售出库'!$R$4:$R$2003,'[1]销售出库'!$H$4:$H$2003,$A19,'[1]销售出库'!$Q$4:$Q$2003,'首页'!$B$4*100+W$4))</f>
        <v>0</v>
      </c>
      <c r="X19" s="21">
        <f>IF($A19="",0,SUMIFS('[1]销售出库'!$R$4:$R$2003,'[1]销售出库'!$H$4:$H$2003,$A19,'[1]销售出库'!$Q$4:$Q$2003,'首页'!$B$4*100+X$4))</f>
        <v>0</v>
      </c>
    </row>
    <row r="20">
      <c r="A20" s="6" t="str">
        <f>IF('[1]基础资料'!$P$19="","",'[1]基础资料'!$P$19)</f>
        <v>iPhone 17 Pro Max 256GB 银色</v>
      </c>
      <c r="B20" s="6" t="str">
        <f>IF(A20="","",'[1]基础资料'!$Q$19&amp;"")</f>
        <v>苹果</v>
      </c>
      <c r="C20" s="21">
        <f>IF(A20="",0,N('[1]基础资料'!$S$19))</f>
        <v>35</v>
      </c>
      <c r="D20" s="11">
        <f>IF(A20="",0,N('[1]基础资料'!$U$19))</f>
        <v>312830</v>
      </c>
      <c r="E20" s="21">
        <f>IF(A20="",0,SUMIFS('[1]采购入库'!$U$4:$U$2003,'[1]采购入库'!$I$4:$I$2003,$A20))</f>
        <v>0</v>
      </c>
      <c r="F20" s="11">
        <f>IF(A20="",0,SUMIFS('[1]采购入库'!$V$4:$V$2003,'[1]采购入库'!$I$4:$I$2003,$A20))</f>
        <v>0</v>
      </c>
      <c r="G20" s="21">
        <f>IF(A20="",0,SUMIFS('[1]销售出库'!$R$4:$R$2003,'[1]销售出库'!$H$4:$H$2003,$A20))</f>
        <v>0</v>
      </c>
      <c r="H20" s="11">
        <f t="shared" si="3"/>
        <v>8938</v>
      </c>
      <c r="I20" s="11">
        <f t="shared" si="0"/>
        <v>0</v>
      </c>
      <c r="J20" s="21">
        <f t="shared" si="1"/>
        <v>35</v>
      </c>
      <c r="K20" s="11">
        <f t="shared" si="2"/>
        <v>312830</v>
      </c>
      <c r="L20" s="6">
        <f t="shared" si="4"/>
      </c>
      <c r="M20" s="21">
        <f>IF($A20="",0,SUMIFS('[1]销售出库'!$R$4:$R$2003,'[1]销售出库'!$H$4:$H$2003,$A20,'[1]销售出库'!$Q$4:$Q$2003,'首页'!$B$4*100+M$4))</f>
        <v>0</v>
      </c>
      <c r="N20" s="21">
        <f>IF($A20="",0,SUMIFS('[1]销售出库'!$R$4:$R$2003,'[1]销售出库'!$H$4:$H$2003,$A20,'[1]销售出库'!$Q$4:$Q$2003,'首页'!$B$4*100+N$4))</f>
        <v>0</v>
      </c>
      <c r="O20" s="21">
        <f>IF($A20="",0,SUMIFS('[1]销售出库'!$R$4:$R$2003,'[1]销售出库'!$H$4:$H$2003,$A20,'[1]销售出库'!$Q$4:$Q$2003,'首页'!$B$4*100+O$4))</f>
        <v>0</v>
      </c>
      <c r="P20" s="21">
        <f>IF($A20="",0,SUMIFS('[1]销售出库'!$R$4:$R$2003,'[1]销售出库'!$H$4:$H$2003,$A20,'[1]销售出库'!$Q$4:$Q$2003,'首页'!$B$4*100+P$4))</f>
        <v>0</v>
      </c>
      <c r="Q20" s="21">
        <f>IF($A20="",0,SUMIFS('[1]销售出库'!$R$4:$R$2003,'[1]销售出库'!$H$4:$H$2003,$A20,'[1]销售出库'!$Q$4:$Q$2003,'首页'!$B$4*100+Q$4))</f>
        <v>0</v>
      </c>
      <c r="R20" s="21">
        <f>IF($A20="",0,SUMIFS('[1]销售出库'!$R$4:$R$2003,'[1]销售出库'!$H$4:$H$2003,$A20,'[1]销售出库'!$Q$4:$Q$2003,'首页'!$B$4*100+R$4))</f>
        <v>0</v>
      </c>
      <c r="S20" s="21">
        <f>IF($A20="",0,SUMIFS('[1]销售出库'!$R$4:$R$2003,'[1]销售出库'!$H$4:$H$2003,$A20,'[1]销售出库'!$Q$4:$Q$2003,'首页'!$B$4*100+S$4))</f>
        <v>0</v>
      </c>
      <c r="T20" s="21">
        <f>IF($A20="",0,SUMIFS('[1]销售出库'!$R$4:$R$2003,'[1]销售出库'!$H$4:$H$2003,$A20,'[1]销售出库'!$Q$4:$Q$2003,'首页'!$B$4*100+T$4))</f>
        <v>0</v>
      </c>
      <c r="U20" s="21">
        <f>IF($A20="",0,SUMIFS('[1]销售出库'!$R$4:$R$2003,'[1]销售出库'!$H$4:$H$2003,$A20,'[1]销售出库'!$Q$4:$Q$2003,'首页'!$B$4*100+U$4))</f>
        <v>0</v>
      </c>
      <c r="V20" s="21">
        <f>IF($A20="",0,SUMIFS('[1]销售出库'!$R$4:$R$2003,'[1]销售出库'!$H$4:$H$2003,$A20,'[1]销售出库'!$Q$4:$Q$2003,'首页'!$B$4*100+V$4))</f>
        <v>0</v>
      </c>
      <c r="W20" s="21">
        <f>IF($A20="",0,SUMIFS('[1]销售出库'!$R$4:$R$2003,'[1]销售出库'!$H$4:$H$2003,$A20,'[1]销售出库'!$Q$4:$Q$2003,'首页'!$B$4*100+W$4))</f>
        <v>0</v>
      </c>
      <c r="X20" s="21">
        <f>IF($A20="",0,SUMIFS('[1]销售出库'!$R$4:$R$2003,'[1]销售出库'!$H$4:$H$2003,$A20,'[1]销售出库'!$Q$4:$Q$2003,'首页'!$B$4*100+X$4))</f>
        <v>0</v>
      </c>
    </row>
    <row r="21">
      <c r="A21" s="6" t="str">
        <f>IF('[1]基础资料'!$P$20="","",'[1]基础资料'!$P$20)</f>
        <v>荣耀平板X10 NDL2W09 6+128星空灰</v>
      </c>
      <c r="B21" s="6" t="str">
        <f>IF(A21="","",'[1]基础资料'!$Q$20&amp;"")</f>
        <v>平板</v>
      </c>
      <c r="C21" s="21">
        <f>IF(A21="",0,N('[1]基础资料'!$S$20))</f>
        <v>30</v>
      </c>
      <c r="D21" s="11">
        <f>IF(A21="",0,N('[1]基础资料'!$U$20))</f>
        <v>31392.29</v>
      </c>
      <c r="E21" s="21">
        <f>IF(A21="",0,SUMIFS('[1]采购入库'!$U$4:$U$2003,'[1]采购入库'!$I$4:$I$2003,$A21))</f>
        <v>0</v>
      </c>
      <c r="F21" s="11">
        <f>IF(A21="",0,SUMIFS('[1]采购入库'!$V$4:$V$2003,'[1]采购入库'!$I$4:$I$2003,$A21))</f>
        <v>0</v>
      </c>
      <c r="G21" s="21">
        <f>IF(A21="",0,SUMIFS('[1]销售出库'!$R$4:$R$2003,'[1]销售出库'!$H$4:$H$2003,$A21))</f>
        <v>10</v>
      </c>
      <c r="H21" s="11">
        <f t="shared" si="3"/>
        <v>1046.4097</v>
      </c>
      <c r="I21" s="11">
        <f t="shared" si="0"/>
        <v>10464.1</v>
      </c>
      <c r="J21" s="21">
        <f t="shared" si="1"/>
        <v>20</v>
      </c>
      <c r="K21" s="11">
        <f t="shared" si="2"/>
        <v>20928.19</v>
      </c>
      <c r="L21" s="6">
        <f t="shared" si="4"/>
      </c>
      <c r="M21" s="21">
        <f>IF($A21="",0,SUMIFS('[1]销售出库'!$R$4:$R$2003,'[1]销售出库'!$H$4:$H$2003,$A21,'[1]销售出库'!$Q$4:$Q$2003,'首页'!$B$4*100+M$4))</f>
        <v>0</v>
      </c>
      <c r="N21" s="21">
        <f>IF($A21="",0,SUMIFS('[1]销售出库'!$R$4:$R$2003,'[1]销售出库'!$H$4:$H$2003,$A21,'[1]销售出库'!$Q$4:$Q$2003,'首页'!$B$4*100+N$4))</f>
        <v>0</v>
      </c>
      <c r="O21" s="21">
        <f>IF($A21="",0,SUMIFS('[1]销售出库'!$R$4:$R$2003,'[1]销售出库'!$H$4:$H$2003,$A21,'[1]销售出库'!$Q$4:$Q$2003,'首页'!$B$4*100+O$4))</f>
        <v>0</v>
      </c>
      <c r="P21" s="21">
        <f>IF($A21="",0,SUMIFS('[1]销售出库'!$R$4:$R$2003,'[1]销售出库'!$H$4:$H$2003,$A21,'[1]销售出库'!$Q$4:$Q$2003,'首页'!$B$4*100+P$4))</f>
        <v>0</v>
      </c>
      <c r="Q21" s="21">
        <f>IF($A21="",0,SUMIFS('[1]销售出库'!$R$4:$R$2003,'[1]销售出库'!$H$4:$H$2003,$A21,'[1]销售出库'!$Q$4:$Q$2003,'首页'!$B$4*100+Q$4))</f>
        <v>0</v>
      </c>
      <c r="R21" s="21">
        <f>IF($A21="",0,SUMIFS('[1]销售出库'!$R$4:$R$2003,'[1]销售出库'!$H$4:$H$2003,$A21,'[1]销售出库'!$Q$4:$Q$2003,'首页'!$B$4*100+R$4))</f>
        <v>0</v>
      </c>
      <c r="S21" s="21">
        <f>IF($A21="",0,SUMIFS('[1]销售出库'!$R$4:$R$2003,'[1]销售出库'!$H$4:$H$2003,$A21,'[1]销售出库'!$Q$4:$Q$2003,'首页'!$B$4*100+S$4))</f>
        <v>0</v>
      </c>
      <c r="T21" s="21">
        <f>IF($A21="",0,SUMIFS('[1]销售出库'!$R$4:$R$2003,'[1]销售出库'!$H$4:$H$2003,$A21,'[1]销售出库'!$Q$4:$Q$2003,'首页'!$B$4*100+T$4))</f>
        <v>0</v>
      </c>
      <c r="U21" s="21">
        <f>IF($A21="",0,SUMIFS('[1]销售出库'!$R$4:$R$2003,'[1]销售出库'!$H$4:$H$2003,$A21,'[1]销售出库'!$Q$4:$Q$2003,'首页'!$B$4*100+U$4))</f>
        <v>10</v>
      </c>
      <c r="V21" s="21">
        <f>IF($A21="",0,SUMIFS('[1]销售出库'!$R$4:$R$2003,'[1]销售出库'!$H$4:$H$2003,$A21,'[1]销售出库'!$Q$4:$Q$2003,'首页'!$B$4*100+V$4))</f>
        <v>0</v>
      </c>
      <c r="W21" s="21">
        <f>IF($A21="",0,SUMIFS('[1]销售出库'!$R$4:$R$2003,'[1]销售出库'!$H$4:$H$2003,$A21,'[1]销售出库'!$Q$4:$Q$2003,'首页'!$B$4*100+W$4))</f>
        <v>0</v>
      </c>
      <c r="X21" s="21">
        <f>IF($A21="",0,SUMIFS('[1]销售出库'!$R$4:$R$2003,'[1]销售出库'!$H$4:$H$2003,$A21,'[1]销售出库'!$Q$4:$Q$2003,'首页'!$B$4*100+X$4))</f>
        <v>0</v>
      </c>
    </row>
    <row r="22">
      <c r="A22" s="6" t="str">
        <f>IF('[1]基础资料'!$P$21="","",'[1]基础资料'!$P$21)</f>
        <v>联想平板拯救者Y700 五代 12+256 星光紫WIFI</v>
      </c>
      <c r="B22" s="6" t="str">
        <f>IF(A22="","",'[1]基础资料'!$Q$21&amp;"")</f>
        <v>联想</v>
      </c>
      <c r="C22" s="21">
        <f>IF(A22="",0,N('[1]基础资料'!$S$21))</f>
        <v>57</v>
      </c>
      <c r="D22" s="11">
        <f>IF(A22="",0,N('[1]基础资料'!$U$21))</f>
        <v>171427.5</v>
      </c>
      <c r="E22" s="21">
        <f>IF(A22="",0,SUMIFS('[1]采购入库'!$U$4:$U$2003,'[1]采购入库'!$I$4:$I$2003,$A22))</f>
        <v>20</v>
      </c>
      <c r="F22" s="11">
        <f>IF(A22="",0,SUMIFS('[1]采购入库'!$V$4:$V$2003,'[1]采购入库'!$I$4:$I$2003,$A22))</f>
        <v>61000</v>
      </c>
      <c r="G22" s="21">
        <f>IF(A22="",0,SUMIFS('[1]销售出库'!$R$4:$R$2003,'[1]销售出库'!$H$4:$H$2003,$A22))</f>
        <v>23</v>
      </c>
      <c r="H22" s="11">
        <f t="shared" si="3"/>
        <v>3018.539</v>
      </c>
      <c r="I22" s="11">
        <f t="shared" si="0"/>
        <v>69426.4</v>
      </c>
      <c r="J22" s="21">
        <f t="shared" si="1"/>
        <v>54</v>
      </c>
      <c r="K22" s="11">
        <f t="shared" si="2"/>
        <v>163001.1</v>
      </c>
      <c r="L22" s="6">
        <f t="shared" si="4"/>
      </c>
      <c r="M22" s="21">
        <f>IF($A22="",0,SUMIFS('[1]销售出库'!$R$4:$R$2003,'[1]销售出库'!$H$4:$H$2003,$A22,'[1]销售出库'!$Q$4:$Q$2003,'首页'!$B$4*100+M$4))</f>
        <v>0</v>
      </c>
      <c r="N22" s="21">
        <f>IF($A22="",0,SUMIFS('[1]销售出库'!$R$4:$R$2003,'[1]销售出库'!$H$4:$H$2003,$A22,'[1]销售出库'!$Q$4:$Q$2003,'首页'!$B$4*100+N$4))</f>
        <v>0</v>
      </c>
      <c r="O22" s="21">
        <f>IF($A22="",0,SUMIFS('[1]销售出库'!$R$4:$R$2003,'[1]销售出库'!$H$4:$H$2003,$A22,'[1]销售出库'!$Q$4:$Q$2003,'首页'!$B$4*100+O$4))</f>
        <v>0</v>
      </c>
      <c r="P22" s="21">
        <f>IF($A22="",0,SUMIFS('[1]销售出库'!$R$4:$R$2003,'[1]销售出库'!$H$4:$H$2003,$A22,'[1]销售出库'!$Q$4:$Q$2003,'首页'!$B$4*100+P$4))</f>
        <v>0</v>
      </c>
      <c r="Q22" s="21">
        <f>IF($A22="",0,SUMIFS('[1]销售出库'!$R$4:$R$2003,'[1]销售出库'!$H$4:$H$2003,$A22,'[1]销售出库'!$Q$4:$Q$2003,'首页'!$B$4*100+Q$4))</f>
        <v>0</v>
      </c>
      <c r="R22" s="21">
        <f>IF($A22="",0,SUMIFS('[1]销售出库'!$R$4:$R$2003,'[1]销售出库'!$H$4:$H$2003,$A22,'[1]销售出库'!$Q$4:$Q$2003,'首页'!$B$4*100+R$4))</f>
        <v>0</v>
      </c>
      <c r="S22" s="21">
        <f>IF($A22="",0,SUMIFS('[1]销售出库'!$R$4:$R$2003,'[1]销售出库'!$H$4:$H$2003,$A22,'[1]销售出库'!$Q$4:$Q$2003,'首页'!$B$4*100+S$4))</f>
        <v>0</v>
      </c>
      <c r="T22" s="21">
        <f>IF($A22="",0,SUMIFS('[1]销售出库'!$R$4:$R$2003,'[1]销售出库'!$H$4:$H$2003,$A22,'[1]销售出库'!$Q$4:$Q$2003,'首页'!$B$4*100+T$4))</f>
        <v>0</v>
      </c>
      <c r="U22" s="21">
        <f>IF($A22="",0,SUMIFS('[1]销售出库'!$R$4:$R$2003,'[1]销售出库'!$H$4:$H$2003,$A22,'[1]销售出库'!$Q$4:$Q$2003,'首页'!$B$4*100+U$4))</f>
        <v>0</v>
      </c>
      <c r="V22" s="21">
        <f>IF($A22="",0,SUMIFS('[1]销售出库'!$R$4:$R$2003,'[1]销售出库'!$H$4:$H$2003,$A22,'[1]销售出库'!$Q$4:$Q$2003,'首页'!$B$4*100+V$4))</f>
        <v>23</v>
      </c>
      <c r="W22" s="21">
        <f>IF($A22="",0,SUMIFS('[1]销售出库'!$R$4:$R$2003,'[1]销售出库'!$H$4:$H$2003,$A22,'[1]销售出库'!$Q$4:$Q$2003,'首页'!$B$4*100+W$4))</f>
        <v>0</v>
      </c>
      <c r="X22" s="21">
        <f>IF($A22="",0,SUMIFS('[1]销售出库'!$R$4:$R$2003,'[1]销售出库'!$H$4:$H$2003,$A22,'[1]销售出库'!$Q$4:$Q$2003,'首页'!$B$4*100+X$4))</f>
        <v>0</v>
      </c>
    </row>
    <row r="23">
      <c r="A23" s="6" t="str">
        <f>IF('[1]基础资料'!$P$22="","",'[1]基础资料'!$P$22)</f>
        <v>联想平板拯救者Y700 五代 16+512 星光紫WIFI</v>
      </c>
      <c r="B23" s="6" t="str">
        <f>IF(A23="","",'[1]基础资料'!$Q$22&amp;"")</f>
        <v>联想</v>
      </c>
      <c r="C23" s="21">
        <f>IF(A23="",0,N('[1]基础资料'!$S$22))</f>
        <v>20</v>
      </c>
      <c r="D23" s="11">
        <f>IF(A23="",0,N('[1]基础资料'!$U$22))</f>
        <v>72600</v>
      </c>
      <c r="E23" s="21">
        <f>IF(A23="",0,SUMIFS('[1]采购入库'!$U$4:$U$2003,'[1]采购入库'!$I$4:$I$2003,$A23))</f>
        <v>0</v>
      </c>
      <c r="F23" s="11">
        <f>IF(A23="",0,SUMIFS('[1]采购入库'!$V$4:$V$2003,'[1]采购入库'!$I$4:$I$2003,$A23))</f>
        <v>0</v>
      </c>
      <c r="G23" s="21">
        <f>IF(A23="",0,SUMIFS('[1]销售出库'!$R$4:$R$2003,'[1]销售出库'!$H$4:$H$2003,$A23))</f>
        <v>0</v>
      </c>
      <c r="H23" s="11">
        <f t="shared" si="3"/>
        <v>3630</v>
      </c>
      <c r="I23" s="11">
        <f t="shared" si="0"/>
        <v>0</v>
      </c>
      <c r="J23" s="21">
        <f t="shared" si="1"/>
        <v>20</v>
      </c>
      <c r="K23" s="11">
        <f t="shared" si="2"/>
        <v>72600</v>
      </c>
      <c r="L23" s="6">
        <f t="shared" si="4"/>
      </c>
      <c r="M23" s="21">
        <f>IF($A23="",0,SUMIFS('[1]销售出库'!$R$4:$R$2003,'[1]销售出库'!$H$4:$H$2003,$A23,'[1]销售出库'!$Q$4:$Q$2003,'首页'!$B$4*100+M$4))</f>
        <v>0</v>
      </c>
      <c r="N23" s="21">
        <f>IF($A23="",0,SUMIFS('[1]销售出库'!$R$4:$R$2003,'[1]销售出库'!$H$4:$H$2003,$A23,'[1]销售出库'!$Q$4:$Q$2003,'首页'!$B$4*100+N$4))</f>
        <v>0</v>
      </c>
      <c r="O23" s="21">
        <f>IF($A23="",0,SUMIFS('[1]销售出库'!$R$4:$R$2003,'[1]销售出库'!$H$4:$H$2003,$A23,'[1]销售出库'!$Q$4:$Q$2003,'首页'!$B$4*100+O$4))</f>
        <v>0</v>
      </c>
      <c r="P23" s="21">
        <f>IF($A23="",0,SUMIFS('[1]销售出库'!$R$4:$R$2003,'[1]销售出库'!$H$4:$H$2003,$A23,'[1]销售出库'!$Q$4:$Q$2003,'首页'!$B$4*100+P$4))</f>
        <v>0</v>
      </c>
      <c r="Q23" s="21">
        <f>IF($A23="",0,SUMIFS('[1]销售出库'!$R$4:$R$2003,'[1]销售出库'!$H$4:$H$2003,$A23,'[1]销售出库'!$Q$4:$Q$2003,'首页'!$B$4*100+Q$4))</f>
        <v>0</v>
      </c>
      <c r="R23" s="21">
        <f>IF($A23="",0,SUMIFS('[1]销售出库'!$R$4:$R$2003,'[1]销售出库'!$H$4:$H$2003,$A23,'[1]销售出库'!$Q$4:$Q$2003,'首页'!$B$4*100+R$4))</f>
        <v>0</v>
      </c>
      <c r="S23" s="21">
        <f>IF($A23="",0,SUMIFS('[1]销售出库'!$R$4:$R$2003,'[1]销售出库'!$H$4:$H$2003,$A23,'[1]销售出库'!$Q$4:$Q$2003,'首页'!$B$4*100+S$4))</f>
        <v>0</v>
      </c>
      <c r="T23" s="21">
        <f>IF($A23="",0,SUMIFS('[1]销售出库'!$R$4:$R$2003,'[1]销售出库'!$H$4:$H$2003,$A23,'[1]销售出库'!$Q$4:$Q$2003,'首页'!$B$4*100+T$4))</f>
        <v>0</v>
      </c>
      <c r="U23" s="21">
        <f>IF($A23="",0,SUMIFS('[1]销售出库'!$R$4:$R$2003,'[1]销售出库'!$H$4:$H$2003,$A23,'[1]销售出库'!$Q$4:$Q$2003,'首页'!$B$4*100+U$4))</f>
        <v>0</v>
      </c>
      <c r="V23" s="21">
        <f>IF($A23="",0,SUMIFS('[1]销售出库'!$R$4:$R$2003,'[1]销售出库'!$H$4:$H$2003,$A23,'[1]销售出库'!$Q$4:$Q$2003,'首页'!$B$4*100+V$4))</f>
        <v>0</v>
      </c>
      <c r="W23" s="21">
        <f>IF($A23="",0,SUMIFS('[1]销售出库'!$R$4:$R$2003,'[1]销售出库'!$H$4:$H$2003,$A23,'[1]销售出库'!$Q$4:$Q$2003,'首页'!$B$4*100+W$4))</f>
        <v>0</v>
      </c>
      <c r="X23" s="21">
        <f>IF($A23="",0,SUMIFS('[1]销售出库'!$R$4:$R$2003,'[1]销售出库'!$H$4:$H$2003,$A23,'[1]销售出库'!$Q$4:$Q$2003,'首页'!$B$4*100+X$4))</f>
        <v>0</v>
      </c>
    </row>
    <row r="24">
      <c r="A24" s="6" t="str">
        <f>IF('[1]基础资料'!$P$23="","",'[1]基础资料'!$P$23)</f>
        <v>联想平板拯救者Y700 五代世界杯 12+256 莱茵绿WIFI</v>
      </c>
      <c r="B24" s="6" t="str">
        <f>IF(A24="","",'[1]基础资料'!$Q$23&amp;"")</f>
        <v>联想</v>
      </c>
      <c r="C24" s="21">
        <f>IF(A24="",0,N('[1]基础资料'!$S$23))</f>
        <v>87</v>
      </c>
      <c r="D24" s="11">
        <f>IF(A24="",0,N('[1]基础资料'!$U$23))</f>
        <v>287100</v>
      </c>
      <c r="E24" s="21">
        <f>IF(A24="",0,SUMIFS('[1]采购入库'!$U$4:$U$2003,'[1]采购入库'!$I$4:$I$2003,$A24))</f>
        <v>0</v>
      </c>
      <c r="F24" s="11">
        <f>IF(A24="",0,SUMIFS('[1]采购入库'!$V$4:$V$2003,'[1]采购入库'!$I$4:$I$2003,$A24))</f>
        <v>0</v>
      </c>
      <c r="G24" s="21">
        <f>IF(A24="",0,SUMIFS('[1]销售出库'!$R$4:$R$2003,'[1]销售出库'!$H$4:$H$2003,$A24))</f>
        <v>0</v>
      </c>
      <c r="H24" s="11">
        <f t="shared" si="3"/>
        <v>3300</v>
      </c>
      <c r="I24" s="11">
        <f t="shared" si="0"/>
        <v>0</v>
      </c>
      <c r="J24" s="21">
        <f t="shared" si="1"/>
        <v>87</v>
      </c>
      <c r="K24" s="11">
        <f t="shared" si="2"/>
        <v>287100</v>
      </c>
      <c r="L24" s="6">
        <f t="shared" si="4"/>
      </c>
      <c r="M24" s="21">
        <f>IF($A24="",0,SUMIFS('[1]销售出库'!$R$4:$R$2003,'[1]销售出库'!$H$4:$H$2003,$A24,'[1]销售出库'!$Q$4:$Q$2003,'首页'!$B$4*100+M$4))</f>
        <v>0</v>
      </c>
      <c r="N24" s="21">
        <f>IF($A24="",0,SUMIFS('[1]销售出库'!$R$4:$R$2003,'[1]销售出库'!$H$4:$H$2003,$A24,'[1]销售出库'!$Q$4:$Q$2003,'首页'!$B$4*100+N$4))</f>
        <v>0</v>
      </c>
      <c r="O24" s="21">
        <f>IF($A24="",0,SUMIFS('[1]销售出库'!$R$4:$R$2003,'[1]销售出库'!$H$4:$H$2003,$A24,'[1]销售出库'!$Q$4:$Q$2003,'首页'!$B$4*100+O$4))</f>
        <v>0</v>
      </c>
      <c r="P24" s="21">
        <f>IF($A24="",0,SUMIFS('[1]销售出库'!$R$4:$R$2003,'[1]销售出库'!$H$4:$H$2003,$A24,'[1]销售出库'!$Q$4:$Q$2003,'首页'!$B$4*100+P$4))</f>
        <v>0</v>
      </c>
      <c r="Q24" s="21">
        <f>IF($A24="",0,SUMIFS('[1]销售出库'!$R$4:$R$2003,'[1]销售出库'!$H$4:$H$2003,$A24,'[1]销售出库'!$Q$4:$Q$2003,'首页'!$B$4*100+Q$4))</f>
        <v>0</v>
      </c>
      <c r="R24" s="21">
        <f>IF($A24="",0,SUMIFS('[1]销售出库'!$R$4:$R$2003,'[1]销售出库'!$H$4:$H$2003,$A24,'[1]销售出库'!$Q$4:$Q$2003,'首页'!$B$4*100+R$4))</f>
        <v>0</v>
      </c>
      <c r="S24" s="21">
        <f>IF($A24="",0,SUMIFS('[1]销售出库'!$R$4:$R$2003,'[1]销售出库'!$H$4:$H$2003,$A24,'[1]销售出库'!$Q$4:$Q$2003,'首页'!$B$4*100+S$4))</f>
        <v>0</v>
      </c>
      <c r="T24" s="21">
        <f>IF($A24="",0,SUMIFS('[1]销售出库'!$R$4:$R$2003,'[1]销售出库'!$H$4:$H$2003,$A24,'[1]销售出库'!$Q$4:$Q$2003,'首页'!$B$4*100+T$4))</f>
        <v>0</v>
      </c>
      <c r="U24" s="21">
        <f>IF($A24="",0,SUMIFS('[1]销售出库'!$R$4:$R$2003,'[1]销售出库'!$H$4:$H$2003,$A24,'[1]销售出库'!$Q$4:$Q$2003,'首页'!$B$4*100+U$4))</f>
        <v>0</v>
      </c>
      <c r="V24" s="21">
        <f>IF($A24="",0,SUMIFS('[1]销售出库'!$R$4:$R$2003,'[1]销售出库'!$H$4:$H$2003,$A24,'[1]销售出库'!$Q$4:$Q$2003,'首页'!$B$4*100+V$4))</f>
        <v>0</v>
      </c>
      <c r="W24" s="21">
        <f>IF($A24="",0,SUMIFS('[1]销售出库'!$R$4:$R$2003,'[1]销售出库'!$H$4:$H$2003,$A24,'[1]销售出库'!$Q$4:$Q$2003,'首页'!$B$4*100+W$4))</f>
        <v>0</v>
      </c>
      <c r="X24" s="21">
        <f>IF($A24="",0,SUMIFS('[1]销售出库'!$R$4:$R$2003,'[1]销售出库'!$H$4:$H$2003,$A24,'[1]销售出库'!$Q$4:$Q$2003,'首页'!$B$4*100+X$4))</f>
        <v>0</v>
      </c>
    </row>
    <row r="25">
      <c r="A25" s="6" t="str">
        <f>IF('[1]基础资料'!$P$24="","",'[1]基础资料'!$P$24)</f>
        <v>联想平板拯救者Y700 DNF手游勇士版12+512</v>
      </c>
      <c r="B25" s="6" t="str">
        <f>IF(A25="","",'[1]基础资料'!$Q$24&amp;"")</f>
        <v>联想</v>
      </c>
      <c r="C25" s="21">
        <f>IF(A25="",0,N('[1]基础资料'!$S$24))</f>
        <v>75</v>
      </c>
      <c r="D25" s="11">
        <f>IF(A25="",0,N('[1]基础资料'!$U$24))</f>
        <v>257700</v>
      </c>
      <c r="E25" s="21">
        <f>IF(A25="",0,SUMIFS('[1]采购入库'!$U$4:$U$2003,'[1]采购入库'!$I$4:$I$2003,$A25))</f>
        <v>0</v>
      </c>
      <c r="F25" s="11">
        <f>IF(A25="",0,SUMIFS('[1]采购入库'!$V$4:$V$2003,'[1]采购入库'!$I$4:$I$2003,$A25))</f>
        <v>0</v>
      </c>
      <c r="G25" s="21">
        <f>IF(A25="",0,SUMIFS('[1]销售出库'!$R$4:$R$2003,'[1]销售出库'!$H$4:$H$2003,$A25))</f>
        <v>0</v>
      </c>
      <c r="H25" s="11">
        <f t="shared" si="3"/>
        <v>3436</v>
      </c>
      <c r="I25" s="11">
        <f t="shared" si="0"/>
        <v>0</v>
      </c>
      <c r="J25" s="21">
        <f t="shared" si="1"/>
        <v>75</v>
      </c>
      <c r="K25" s="11">
        <f t="shared" si="2"/>
        <v>257700</v>
      </c>
      <c r="L25" s="6">
        <f t="shared" si="4"/>
      </c>
      <c r="M25" s="21">
        <f>IF($A25="",0,SUMIFS('[1]销售出库'!$R$4:$R$2003,'[1]销售出库'!$H$4:$H$2003,$A25,'[1]销售出库'!$Q$4:$Q$2003,'首页'!$B$4*100+M$4))</f>
        <v>0</v>
      </c>
      <c r="N25" s="21">
        <f>IF($A25="",0,SUMIFS('[1]销售出库'!$R$4:$R$2003,'[1]销售出库'!$H$4:$H$2003,$A25,'[1]销售出库'!$Q$4:$Q$2003,'首页'!$B$4*100+N$4))</f>
        <v>0</v>
      </c>
      <c r="O25" s="21">
        <f>IF($A25="",0,SUMIFS('[1]销售出库'!$R$4:$R$2003,'[1]销售出库'!$H$4:$H$2003,$A25,'[1]销售出库'!$Q$4:$Q$2003,'首页'!$B$4*100+O$4))</f>
        <v>0</v>
      </c>
      <c r="P25" s="21">
        <f>IF($A25="",0,SUMIFS('[1]销售出库'!$R$4:$R$2003,'[1]销售出库'!$H$4:$H$2003,$A25,'[1]销售出库'!$Q$4:$Q$2003,'首页'!$B$4*100+P$4))</f>
        <v>0</v>
      </c>
      <c r="Q25" s="21">
        <f>IF($A25="",0,SUMIFS('[1]销售出库'!$R$4:$R$2003,'[1]销售出库'!$H$4:$H$2003,$A25,'[1]销售出库'!$Q$4:$Q$2003,'首页'!$B$4*100+Q$4))</f>
        <v>0</v>
      </c>
      <c r="R25" s="21">
        <f>IF($A25="",0,SUMIFS('[1]销售出库'!$R$4:$R$2003,'[1]销售出库'!$H$4:$H$2003,$A25,'[1]销售出库'!$Q$4:$Q$2003,'首页'!$B$4*100+R$4))</f>
        <v>0</v>
      </c>
      <c r="S25" s="21">
        <f>IF($A25="",0,SUMIFS('[1]销售出库'!$R$4:$R$2003,'[1]销售出库'!$H$4:$H$2003,$A25,'[1]销售出库'!$Q$4:$Q$2003,'首页'!$B$4*100+S$4))</f>
        <v>0</v>
      </c>
      <c r="T25" s="21">
        <f>IF($A25="",0,SUMIFS('[1]销售出库'!$R$4:$R$2003,'[1]销售出库'!$H$4:$H$2003,$A25,'[1]销售出库'!$Q$4:$Q$2003,'首页'!$B$4*100+T$4))</f>
        <v>0</v>
      </c>
      <c r="U25" s="21">
        <f>IF($A25="",0,SUMIFS('[1]销售出库'!$R$4:$R$2003,'[1]销售出库'!$H$4:$H$2003,$A25,'[1]销售出库'!$Q$4:$Q$2003,'首页'!$B$4*100+U$4))</f>
        <v>0</v>
      </c>
      <c r="V25" s="21">
        <f>IF($A25="",0,SUMIFS('[1]销售出库'!$R$4:$R$2003,'[1]销售出库'!$H$4:$H$2003,$A25,'[1]销售出库'!$Q$4:$Q$2003,'首页'!$B$4*100+V$4))</f>
        <v>0</v>
      </c>
      <c r="W25" s="21">
        <f>IF($A25="",0,SUMIFS('[1]销售出库'!$R$4:$R$2003,'[1]销售出库'!$H$4:$H$2003,$A25,'[1]销售出库'!$Q$4:$Q$2003,'首页'!$B$4*100+W$4))</f>
        <v>0</v>
      </c>
      <c r="X25" s="21">
        <f>IF($A25="",0,SUMIFS('[1]销售出库'!$R$4:$R$2003,'[1]销售出库'!$H$4:$H$2003,$A25,'[1]销售出库'!$Q$4:$Q$2003,'首页'!$B$4*100+X$4))</f>
        <v>0</v>
      </c>
    </row>
    <row r="26">
      <c r="A26" s="6" t="str">
        <f>IF('[1]基础资料'!$P$25="","",'[1]基础资料'!$P$25)</f>
        <v>联想平板拯救者Y700 五代世界杯 16+512 莱茵绿WIFI</v>
      </c>
      <c r="B26" s="6" t="str">
        <f>IF(A26="","",'[1]基础资料'!$Q$25&amp;"")</f>
        <v>联想</v>
      </c>
      <c r="C26" s="21">
        <f>IF(A26="",0,N('[1]基础资料'!$S$25))</f>
        <v>85</v>
      </c>
      <c r="D26" s="11">
        <f>IF(A26="",0,N('[1]基础资料'!$U$25))</f>
        <v>327250</v>
      </c>
      <c r="E26" s="21">
        <f>IF(A26="",0,SUMIFS('[1]采购入库'!$U$4:$U$2003,'[1]采购入库'!$I$4:$I$2003,$A26))</f>
        <v>0</v>
      </c>
      <c r="F26" s="11">
        <f>IF(A26="",0,SUMIFS('[1]采购入库'!$V$4:$V$2003,'[1]采购入库'!$I$4:$I$2003,$A26))</f>
        <v>0</v>
      </c>
      <c r="G26" s="21">
        <f>IF(A26="",0,SUMIFS('[1]销售出库'!$R$4:$R$2003,'[1]销售出库'!$H$4:$H$2003,$A26))</f>
        <v>0</v>
      </c>
      <c r="H26" s="11">
        <f t="shared" si="3"/>
        <v>3850</v>
      </c>
      <c r="I26" s="11">
        <f t="shared" si="0"/>
        <v>0</v>
      </c>
      <c r="J26" s="21">
        <f t="shared" si="1"/>
        <v>85</v>
      </c>
      <c r="K26" s="11">
        <f t="shared" si="2"/>
        <v>327250</v>
      </c>
      <c r="L26" s="6">
        <f t="shared" si="4"/>
      </c>
      <c r="M26" s="21">
        <f>IF($A26="",0,SUMIFS('[1]销售出库'!$R$4:$R$2003,'[1]销售出库'!$H$4:$H$2003,$A26,'[1]销售出库'!$Q$4:$Q$2003,'首页'!$B$4*100+M$4))</f>
        <v>0</v>
      </c>
      <c r="N26" s="21">
        <f>IF($A26="",0,SUMIFS('[1]销售出库'!$R$4:$R$2003,'[1]销售出库'!$H$4:$H$2003,$A26,'[1]销售出库'!$Q$4:$Q$2003,'首页'!$B$4*100+N$4))</f>
        <v>0</v>
      </c>
      <c r="O26" s="21">
        <f>IF($A26="",0,SUMIFS('[1]销售出库'!$R$4:$R$2003,'[1]销售出库'!$H$4:$H$2003,$A26,'[1]销售出库'!$Q$4:$Q$2003,'首页'!$B$4*100+O$4))</f>
        <v>0</v>
      </c>
      <c r="P26" s="21">
        <f>IF($A26="",0,SUMIFS('[1]销售出库'!$R$4:$R$2003,'[1]销售出库'!$H$4:$H$2003,$A26,'[1]销售出库'!$Q$4:$Q$2003,'首页'!$B$4*100+P$4))</f>
        <v>0</v>
      </c>
      <c r="Q26" s="21">
        <f>IF($A26="",0,SUMIFS('[1]销售出库'!$R$4:$R$2003,'[1]销售出库'!$H$4:$H$2003,$A26,'[1]销售出库'!$Q$4:$Q$2003,'首页'!$B$4*100+Q$4))</f>
        <v>0</v>
      </c>
      <c r="R26" s="21">
        <f>IF($A26="",0,SUMIFS('[1]销售出库'!$R$4:$R$2003,'[1]销售出库'!$H$4:$H$2003,$A26,'[1]销售出库'!$Q$4:$Q$2003,'首页'!$B$4*100+R$4))</f>
        <v>0</v>
      </c>
      <c r="S26" s="21">
        <f>IF($A26="",0,SUMIFS('[1]销售出库'!$R$4:$R$2003,'[1]销售出库'!$H$4:$H$2003,$A26,'[1]销售出库'!$Q$4:$Q$2003,'首页'!$B$4*100+S$4))</f>
        <v>0</v>
      </c>
      <c r="T26" s="21">
        <f>IF($A26="",0,SUMIFS('[1]销售出库'!$R$4:$R$2003,'[1]销售出库'!$H$4:$H$2003,$A26,'[1]销售出库'!$Q$4:$Q$2003,'首页'!$B$4*100+T$4))</f>
        <v>0</v>
      </c>
      <c r="U26" s="21">
        <f>IF($A26="",0,SUMIFS('[1]销售出库'!$R$4:$R$2003,'[1]销售出库'!$H$4:$H$2003,$A26,'[1]销售出库'!$Q$4:$Q$2003,'首页'!$B$4*100+U$4))</f>
        <v>0</v>
      </c>
      <c r="V26" s="21">
        <f>IF($A26="",0,SUMIFS('[1]销售出库'!$R$4:$R$2003,'[1]销售出库'!$H$4:$H$2003,$A26,'[1]销售出库'!$Q$4:$Q$2003,'首页'!$B$4*100+V$4))</f>
        <v>0</v>
      </c>
      <c r="W26" s="21">
        <f>IF($A26="",0,SUMIFS('[1]销售出库'!$R$4:$R$2003,'[1]销售出库'!$H$4:$H$2003,$A26,'[1]销售出库'!$Q$4:$Q$2003,'首页'!$B$4*100+W$4))</f>
        <v>0</v>
      </c>
      <c r="X26" s="21">
        <f>IF($A26="",0,SUMIFS('[1]销售出库'!$R$4:$R$2003,'[1]销售出库'!$H$4:$H$2003,$A26,'[1]销售出库'!$Q$4:$Q$2003,'首页'!$B$4*100+X$4))</f>
        <v>0</v>
      </c>
    </row>
    <row r="27">
      <c r="A27" s="6" t="str">
        <f>IF('[1]基础资料'!$P$26="","",'[1]基础资料'!$P$26)</f>
        <v>联想平板拯救者Y900 11+手写笔+键盘套装12+512白色</v>
      </c>
      <c r="B27" s="6" t="str">
        <f>IF(A27="","",'[1]基础资料'!$Q$26&amp;"")</f>
        <v>联想</v>
      </c>
      <c r="C27" s="21">
        <f>IF(A27="",0,N('[1]基础资料'!$S$26))</f>
        <v>21</v>
      </c>
      <c r="D27" s="11">
        <f>IF(A27="",0,N('[1]基础资料'!$U$26))</f>
        <v>68599.99</v>
      </c>
      <c r="E27" s="21">
        <f>IF(A27="",0,SUMIFS('[1]采购入库'!$U$4:$U$2003,'[1]采购入库'!$I$4:$I$2003,$A27))</f>
        <v>0</v>
      </c>
      <c r="F27" s="11">
        <f>IF(A27="",0,SUMIFS('[1]采购入库'!$V$4:$V$2003,'[1]采购入库'!$I$4:$I$2003,$A27))</f>
        <v>0</v>
      </c>
      <c r="G27" s="21">
        <f>IF(A27="",0,SUMIFS('[1]销售出库'!$R$4:$R$2003,'[1]销售出库'!$H$4:$H$2003,$A27))</f>
        <v>9</v>
      </c>
      <c r="H27" s="11">
        <f t="shared" si="3"/>
        <v>3266.6662</v>
      </c>
      <c r="I27" s="11">
        <f t="shared" si="0"/>
        <v>29400</v>
      </c>
      <c r="J27" s="21">
        <f t="shared" si="1"/>
        <v>12</v>
      </c>
      <c r="K27" s="11">
        <f t="shared" si="2"/>
        <v>39199.99</v>
      </c>
      <c r="L27" s="6">
        <f t="shared" si="4"/>
      </c>
      <c r="M27" s="21">
        <f>IF($A27="",0,SUMIFS('[1]销售出库'!$R$4:$R$2003,'[1]销售出库'!$H$4:$H$2003,$A27,'[1]销售出库'!$Q$4:$Q$2003,'首页'!$B$4*100+M$4))</f>
        <v>0</v>
      </c>
      <c r="N27" s="21">
        <f>IF($A27="",0,SUMIFS('[1]销售出库'!$R$4:$R$2003,'[1]销售出库'!$H$4:$H$2003,$A27,'[1]销售出库'!$Q$4:$Q$2003,'首页'!$B$4*100+N$4))</f>
        <v>0</v>
      </c>
      <c r="O27" s="21">
        <f>IF($A27="",0,SUMIFS('[1]销售出库'!$R$4:$R$2003,'[1]销售出库'!$H$4:$H$2003,$A27,'[1]销售出库'!$Q$4:$Q$2003,'首页'!$B$4*100+O$4))</f>
        <v>0</v>
      </c>
      <c r="P27" s="21">
        <f>IF($A27="",0,SUMIFS('[1]销售出库'!$R$4:$R$2003,'[1]销售出库'!$H$4:$H$2003,$A27,'[1]销售出库'!$Q$4:$Q$2003,'首页'!$B$4*100+P$4))</f>
        <v>0</v>
      </c>
      <c r="Q27" s="21">
        <f>IF($A27="",0,SUMIFS('[1]销售出库'!$R$4:$R$2003,'[1]销售出库'!$H$4:$H$2003,$A27,'[1]销售出库'!$Q$4:$Q$2003,'首页'!$B$4*100+Q$4))</f>
        <v>0</v>
      </c>
      <c r="R27" s="21">
        <f>IF($A27="",0,SUMIFS('[1]销售出库'!$R$4:$R$2003,'[1]销售出库'!$H$4:$H$2003,$A27,'[1]销售出库'!$Q$4:$Q$2003,'首页'!$B$4*100+R$4))</f>
        <v>0</v>
      </c>
      <c r="S27" s="21">
        <f>IF($A27="",0,SUMIFS('[1]销售出库'!$R$4:$R$2003,'[1]销售出库'!$H$4:$H$2003,$A27,'[1]销售出库'!$Q$4:$Q$2003,'首页'!$B$4*100+S$4))</f>
        <v>0</v>
      </c>
      <c r="T27" s="21">
        <f>IF($A27="",0,SUMIFS('[1]销售出库'!$R$4:$R$2003,'[1]销售出库'!$H$4:$H$2003,$A27,'[1]销售出库'!$Q$4:$Q$2003,'首页'!$B$4*100+T$4))</f>
        <v>0</v>
      </c>
      <c r="U27" s="21">
        <f>IF($A27="",0,SUMIFS('[1]销售出库'!$R$4:$R$2003,'[1]销售出库'!$H$4:$H$2003,$A27,'[1]销售出库'!$Q$4:$Q$2003,'首页'!$B$4*100+U$4))</f>
        <v>2</v>
      </c>
      <c r="V27" s="21">
        <f>IF($A27="",0,SUMIFS('[1]销售出库'!$R$4:$R$2003,'[1]销售出库'!$H$4:$H$2003,$A27,'[1]销售出库'!$Q$4:$Q$2003,'首页'!$B$4*100+V$4))</f>
        <v>7</v>
      </c>
      <c r="W27" s="21">
        <f>IF($A27="",0,SUMIFS('[1]销售出库'!$R$4:$R$2003,'[1]销售出库'!$H$4:$H$2003,$A27,'[1]销售出库'!$Q$4:$Q$2003,'首页'!$B$4*100+W$4))</f>
        <v>0</v>
      </c>
      <c r="X27" s="21">
        <f>IF($A27="",0,SUMIFS('[1]销售出库'!$R$4:$R$2003,'[1]销售出库'!$H$4:$H$2003,$A27,'[1]销售出库'!$Q$4:$Q$2003,'首页'!$B$4*100+X$4))</f>
        <v>0</v>
      </c>
    </row>
    <row r="28">
      <c r="A28" s="6" t="str">
        <f>IF('[1]基础资料'!$P$27="","",'[1]基础资料'!$P$27)</f>
        <v>联想平板拯救者Y900 11+手写笔+键盘套装12+512黑色</v>
      </c>
      <c r="B28" s="6" t="str">
        <f>IF(A28="","",'[1]基础资料'!$Q$27&amp;"")</f>
        <v>联想</v>
      </c>
      <c r="C28" s="21">
        <f>IF(A28="",0,N('[1]基础资料'!$S$27))</f>
        <v>40</v>
      </c>
      <c r="D28" s="11">
        <f>IF(A28="",0,N('[1]基础资料'!$U$27))</f>
        <v>130558.14</v>
      </c>
      <c r="E28" s="21">
        <f>IF(A28="",0,SUMIFS('[1]采购入库'!$U$4:$U$2003,'[1]采购入库'!$I$4:$I$2003,$A28))</f>
        <v>0</v>
      </c>
      <c r="F28" s="11">
        <f>IF(A28="",0,SUMIFS('[1]采购入库'!$V$4:$V$2003,'[1]采购入库'!$I$4:$I$2003,$A28))</f>
        <v>0</v>
      </c>
      <c r="G28" s="21">
        <f>IF(A28="",0,SUMIFS('[1]销售出库'!$R$4:$R$2003,'[1]销售出库'!$H$4:$H$2003,$A28))</f>
        <v>3</v>
      </c>
      <c r="H28" s="11">
        <f t="shared" si="3"/>
        <v>3263.9535</v>
      </c>
      <c r="I28" s="11">
        <f t="shared" si="0"/>
        <v>9791.86</v>
      </c>
      <c r="J28" s="21">
        <f t="shared" si="1"/>
        <v>37</v>
      </c>
      <c r="K28" s="11">
        <f t="shared" si="2"/>
        <v>120766.28</v>
      </c>
      <c r="L28" s="6">
        <f t="shared" si="4"/>
      </c>
      <c r="M28" s="21">
        <f>IF($A28="",0,SUMIFS('[1]销售出库'!$R$4:$R$2003,'[1]销售出库'!$H$4:$H$2003,$A28,'[1]销售出库'!$Q$4:$Q$2003,'首页'!$B$4*100+M$4))</f>
        <v>0</v>
      </c>
      <c r="N28" s="21">
        <f>IF($A28="",0,SUMIFS('[1]销售出库'!$R$4:$R$2003,'[1]销售出库'!$H$4:$H$2003,$A28,'[1]销售出库'!$Q$4:$Q$2003,'首页'!$B$4*100+N$4))</f>
        <v>0</v>
      </c>
      <c r="O28" s="21">
        <f>IF($A28="",0,SUMIFS('[1]销售出库'!$R$4:$R$2003,'[1]销售出库'!$H$4:$H$2003,$A28,'[1]销售出库'!$Q$4:$Q$2003,'首页'!$B$4*100+O$4))</f>
        <v>0</v>
      </c>
      <c r="P28" s="21">
        <f>IF($A28="",0,SUMIFS('[1]销售出库'!$R$4:$R$2003,'[1]销售出库'!$H$4:$H$2003,$A28,'[1]销售出库'!$Q$4:$Q$2003,'首页'!$B$4*100+P$4))</f>
        <v>0</v>
      </c>
      <c r="Q28" s="21">
        <f>IF($A28="",0,SUMIFS('[1]销售出库'!$R$4:$R$2003,'[1]销售出库'!$H$4:$H$2003,$A28,'[1]销售出库'!$Q$4:$Q$2003,'首页'!$B$4*100+Q$4))</f>
        <v>0</v>
      </c>
      <c r="R28" s="21">
        <f>IF($A28="",0,SUMIFS('[1]销售出库'!$R$4:$R$2003,'[1]销售出库'!$H$4:$H$2003,$A28,'[1]销售出库'!$Q$4:$Q$2003,'首页'!$B$4*100+R$4))</f>
        <v>0</v>
      </c>
      <c r="S28" s="21">
        <f>IF($A28="",0,SUMIFS('[1]销售出库'!$R$4:$R$2003,'[1]销售出库'!$H$4:$H$2003,$A28,'[1]销售出库'!$Q$4:$Q$2003,'首页'!$B$4*100+S$4))</f>
        <v>0</v>
      </c>
      <c r="T28" s="21">
        <f>IF($A28="",0,SUMIFS('[1]销售出库'!$R$4:$R$2003,'[1]销售出库'!$H$4:$H$2003,$A28,'[1]销售出库'!$Q$4:$Q$2003,'首页'!$B$4*100+T$4))</f>
        <v>0</v>
      </c>
      <c r="U28" s="21">
        <f>IF($A28="",0,SUMIFS('[1]销售出库'!$R$4:$R$2003,'[1]销售出库'!$H$4:$H$2003,$A28,'[1]销售出库'!$Q$4:$Q$2003,'首页'!$B$4*100+U$4))</f>
        <v>2</v>
      </c>
      <c r="V28" s="21">
        <f>IF($A28="",0,SUMIFS('[1]销售出库'!$R$4:$R$2003,'[1]销售出库'!$H$4:$H$2003,$A28,'[1]销售出库'!$Q$4:$Q$2003,'首页'!$B$4*100+V$4))</f>
        <v>1</v>
      </c>
      <c r="W28" s="21">
        <f>IF($A28="",0,SUMIFS('[1]销售出库'!$R$4:$R$2003,'[1]销售出库'!$H$4:$H$2003,$A28,'[1]销售出库'!$Q$4:$Q$2003,'首页'!$B$4*100+W$4))</f>
        <v>0</v>
      </c>
      <c r="X28" s="21">
        <f>IF($A28="",0,SUMIFS('[1]销售出库'!$R$4:$R$2003,'[1]销售出库'!$H$4:$H$2003,$A28,'[1]销售出库'!$Q$4:$Q$2003,'首页'!$B$4*100+X$4))</f>
        <v>0</v>
      </c>
    </row>
    <row r="29">
      <c r="A29" s="6" t="str">
        <f>IF('[1]基础资料'!$P$28="","",'[1]基础资料'!$P$28)</f>
        <v>联想平板拯救者Y900 11+手写笔+键盘套装12+256白色 WIFI</v>
      </c>
      <c r="B29" s="6" t="str">
        <f>IF(A29="","",'[1]基础资料'!$Q$28&amp;"")</f>
        <v>联想</v>
      </c>
      <c r="C29" s="21">
        <f>IF(A29="",0,N('[1]基础资料'!$S$28))</f>
        <v>32</v>
      </c>
      <c r="D29" s="11">
        <f>IF(A29="",0,N('[1]基础资料'!$U$28))</f>
        <v>92160</v>
      </c>
      <c r="E29" s="21">
        <f>IF(A29="",0,SUMIFS('[1]采购入库'!$U$4:$U$2003,'[1]采购入库'!$I$4:$I$2003,$A29))</f>
        <v>0</v>
      </c>
      <c r="F29" s="11">
        <f>IF(A29="",0,SUMIFS('[1]采购入库'!$V$4:$V$2003,'[1]采购入库'!$I$4:$I$2003,$A29))</f>
        <v>0</v>
      </c>
      <c r="G29" s="21">
        <f>IF(A29="",0,SUMIFS('[1]销售出库'!$R$4:$R$2003,'[1]销售出库'!$H$4:$H$2003,$A29))</f>
        <v>0</v>
      </c>
      <c r="H29" s="11">
        <f t="shared" si="3"/>
        <v>2880</v>
      </c>
      <c r="I29" s="11">
        <f t="shared" si="0"/>
        <v>0</v>
      </c>
      <c r="J29" s="21">
        <f t="shared" si="1"/>
        <v>32</v>
      </c>
      <c r="K29" s="11">
        <f t="shared" si="2"/>
        <v>92160</v>
      </c>
      <c r="L29" s="6">
        <f t="shared" si="4"/>
      </c>
      <c r="M29" s="21">
        <f>IF($A29="",0,SUMIFS('[1]销售出库'!$R$4:$R$2003,'[1]销售出库'!$H$4:$H$2003,$A29,'[1]销售出库'!$Q$4:$Q$2003,'首页'!$B$4*100+M$4))</f>
        <v>0</v>
      </c>
      <c r="N29" s="21">
        <f>IF($A29="",0,SUMIFS('[1]销售出库'!$R$4:$R$2003,'[1]销售出库'!$H$4:$H$2003,$A29,'[1]销售出库'!$Q$4:$Q$2003,'首页'!$B$4*100+N$4))</f>
        <v>0</v>
      </c>
      <c r="O29" s="21">
        <f>IF($A29="",0,SUMIFS('[1]销售出库'!$R$4:$R$2003,'[1]销售出库'!$H$4:$H$2003,$A29,'[1]销售出库'!$Q$4:$Q$2003,'首页'!$B$4*100+O$4))</f>
        <v>0</v>
      </c>
      <c r="P29" s="21">
        <f>IF($A29="",0,SUMIFS('[1]销售出库'!$R$4:$R$2003,'[1]销售出库'!$H$4:$H$2003,$A29,'[1]销售出库'!$Q$4:$Q$2003,'首页'!$B$4*100+P$4))</f>
        <v>0</v>
      </c>
      <c r="Q29" s="21">
        <f>IF($A29="",0,SUMIFS('[1]销售出库'!$R$4:$R$2003,'[1]销售出库'!$H$4:$H$2003,$A29,'[1]销售出库'!$Q$4:$Q$2003,'首页'!$B$4*100+Q$4))</f>
        <v>0</v>
      </c>
      <c r="R29" s="21">
        <f>IF($A29="",0,SUMIFS('[1]销售出库'!$R$4:$R$2003,'[1]销售出库'!$H$4:$H$2003,$A29,'[1]销售出库'!$Q$4:$Q$2003,'首页'!$B$4*100+R$4))</f>
        <v>0</v>
      </c>
      <c r="S29" s="21">
        <f>IF($A29="",0,SUMIFS('[1]销售出库'!$R$4:$R$2003,'[1]销售出库'!$H$4:$H$2003,$A29,'[1]销售出库'!$Q$4:$Q$2003,'首页'!$B$4*100+S$4))</f>
        <v>0</v>
      </c>
      <c r="T29" s="21">
        <f>IF($A29="",0,SUMIFS('[1]销售出库'!$R$4:$R$2003,'[1]销售出库'!$H$4:$H$2003,$A29,'[1]销售出库'!$Q$4:$Q$2003,'首页'!$B$4*100+T$4))</f>
        <v>0</v>
      </c>
      <c r="U29" s="21">
        <f>IF($A29="",0,SUMIFS('[1]销售出库'!$R$4:$R$2003,'[1]销售出库'!$H$4:$H$2003,$A29,'[1]销售出库'!$Q$4:$Q$2003,'首页'!$B$4*100+U$4))</f>
        <v>0</v>
      </c>
      <c r="V29" s="21">
        <f>IF($A29="",0,SUMIFS('[1]销售出库'!$R$4:$R$2003,'[1]销售出库'!$H$4:$H$2003,$A29,'[1]销售出库'!$Q$4:$Q$2003,'首页'!$B$4*100+V$4))</f>
        <v>0</v>
      </c>
      <c r="W29" s="21">
        <f>IF($A29="",0,SUMIFS('[1]销售出库'!$R$4:$R$2003,'[1]销售出库'!$H$4:$H$2003,$A29,'[1]销售出库'!$Q$4:$Q$2003,'首页'!$B$4*100+W$4))</f>
        <v>0</v>
      </c>
      <c r="X29" s="21">
        <f>IF($A29="",0,SUMIFS('[1]销售出库'!$R$4:$R$2003,'[1]销售出库'!$H$4:$H$2003,$A29,'[1]销售出库'!$Q$4:$Q$2003,'首页'!$B$4*100+X$4))</f>
        <v>0</v>
      </c>
    </row>
    <row r="30">
      <c r="A30" s="6" t="str">
        <f>IF('[1]基础资料'!$P$29="","",'[1]基础资料'!$P$29)</f>
        <v>联想平板拯救者Y900 11+手写笔+键盘套装12+256碳晶黑 WIFI</v>
      </c>
      <c r="B30" s="6" t="str">
        <f>IF(A30="","",'[1]基础资料'!$Q$29&amp;"")</f>
        <v>联想</v>
      </c>
      <c r="C30" s="21">
        <f>IF(A30="",0,N('[1]基础资料'!$S$29))</f>
        <v>48</v>
      </c>
      <c r="D30" s="11">
        <f>IF(A30="",0,N('[1]基础资料'!$U$29))</f>
        <v>138240</v>
      </c>
      <c r="E30" s="21">
        <f>IF(A30="",0,SUMIFS('[1]采购入库'!$U$4:$U$2003,'[1]采购入库'!$I$4:$I$2003,$A30))</f>
        <v>0</v>
      </c>
      <c r="F30" s="11">
        <f>IF(A30="",0,SUMIFS('[1]采购入库'!$V$4:$V$2003,'[1]采购入库'!$I$4:$I$2003,$A30))</f>
        <v>0</v>
      </c>
      <c r="G30" s="21">
        <f>IF(A30="",0,SUMIFS('[1]销售出库'!$R$4:$R$2003,'[1]销售出库'!$H$4:$H$2003,$A30))</f>
        <v>0</v>
      </c>
      <c r="H30" s="11">
        <f t="shared" si="3"/>
        <v>2880</v>
      </c>
      <c r="I30" s="11">
        <f t="shared" si="0"/>
        <v>0</v>
      </c>
      <c r="J30" s="21">
        <f t="shared" si="1"/>
        <v>48</v>
      </c>
      <c r="K30" s="11">
        <f t="shared" si="2"/>
        <v>138240</v>
      </c>
      <c r="L30" s="6">
        <f t="shared" si="4"/>
      </c>
      <c r="M30" s="21">
        <f>IF($A30="",0,SUMIFS('[1]销售出库'!$R$4:$R$2003,'[1]销售出库'!$H$4:$H$2003,$A30,'[1]销售出库'!$Q$4:$Q$2003,'首页'!$B$4*100+M$4))</f>
        <v>0</v>
      </c>
      <c r="N30" s="21">
        <f>IF($A30="",0,SUMIFS('[1]销售出库'!$R$4:$R$2003,'[1]销售出库'!$H$4:$H$2003,$A30,'[1]销售出库'!$Q$4:$Q$2003,'首页'!$B$4*100+N$4))</f>
        <v>0</v>
      </c>
      <c r="O30" s="21">
        <f>IF($A30="",0,SUMIFS('[1]销售出库'!$R$4:$R$2003,'[1]销售出库'!$H$4:$H$2003,$A30,'[1]销售出库'!$Q$4:$Q$2003,'首页'!$B$4*100+O$4))</f>
        <v>0</v>
      </c>
      <c r="P30" s="21">
        <f>IF($A30="",0,SUMIFS('[1]销售出库'!$R$4:$R$2003,'[1]销售出库'!$H$4:$H$2003,$A30,'[1]销售出库'!$Q$4:$Q$2003,'首页'!$B$4*100+P$4))</f>
        <v>0</v>
      </c>
      <c r="Q30" s="21">
        <f>IF($A30="",0,SUMIFS('[1]销售出库'!$R$4:$R$2003,'[1]销售出库'!$H$4:$H$2003,$A30,'[1]销售出库'!$Q$4:$Q$2003,'首页'!$B$4*100+Q$4))</f>
        <v>0</v>
      </c>
      <c r="R30" s="21">
        <f>IF($A30="",0,SUMIFS('[1]销售出库'!$R$4:$R$2003,'[1]销售出库'!$H$4:$H$2003,$A30,'[1]销售出库'!$Q$4:$Q$2003,'首页'!$B$4*100+R$4))</f>
        <v>0</v>
      </c>
      <c r="S30" s="21">
        <f>IF($A30="",0,SUMIFS('[1]销售出库'!$R$4:$R$2003,'[1]销售出库'!$H$4:$H$2003,$A30,'[1]销售出库'!$Q$4:$Q$2003,'首页'!$B$4*100+S$4))</f>
        <v>0</v>
      </c>
      <c r="T30" s="21">
        <f>IF($A30="",0,SUMIFS('[1]销售出库'!$R$4:$R$2003,'[1]销售出库'!$H$4:$H$2003,$A30,'[1]销售出库'!$Q$4:$Q$2003,'首页'!$B$4*100+T$4))</f>
        <v>0</v>
      </c>
      <c r="U30" s="21">
        <f>IF($A30="",0,SUMIFS('[1]销售出库'!$R$4:$R$2003,'[1]销售出库'!$H$4:$H$2003,$A30,'[1]销售出库'!$Q$4:$Q$2003,'首页'!$B$4*100+U$4))</f>
        <v>0</v>
      </c>
      <c r="V30" s="21">
        <f>IF($A30="",0,SUMIFS('[1]销售出库'!$R$4:$R$2003,'[1]销售出库'!$H$4:$H$2003,$A30,'[1]销售出库'!$Q$4:$Q$2003,'首页'!$B$4*100+V$4))</f>
        <v>0</v>
      </c>
      <c r="W30" s="21">
        <f>IF($A30="",0,SUMIFS('[1]销售出库'!$R$4:$R$2003,'[1]销售出库'!$H$4:$H$2003,$A30,'[1]销售出库'!$Q$4:$Q$2003,'首页'!$B$4*100+W$4))</f>
        <v>0</v>
      </c>
      <c r="X30" s="21">
        <f>IF($A30="",0,SUMIFS('[1]销售出库'!$R$4:$R$2003,'[1]销售出库'!$H$4:$H$2003,$A30,'[1]销售出库'!$Q$4:$Q$2003,'首页'!$B$4*100+X$4))</f>
        <v>0</v>
      </c>
    </row>
    <row r="31">
      <c r="A31" s="6" t="str">
        <f>IF('[1]基础资料'!$P$30="","",'[1]基础资料'!$P$30)</f>
        <v>联想平板 拯救者Y900 13 16+512白 WIFI</v>
      </c>
      <c r="B31" s="6" t="str">
        <f>IF(A31="","",'[1]基础资料'!$Q$30&amp;"")</f>
        <v>联想</v>
      </c>
      <c r="C31" s="21">
        <f>IF(A31="",0,N('[1]基础资料'!$S$30))</f>
        <v>53</v>
      </c>
      <c r="D31" s="11">
        <f>IF(A31="",0,N('[1]基础资料'!$U$30))</f>
        <v>179140</v>
      </c>
      <c r="E31" s="21">
        <f>IF(A31="",0,SUMIFS('[1]采购入库'!$U$4:$U$2003,'[1]采购入库'!$I$4:$I$2003,$A31))</f>
        <v>0</v>
      </c>
      <c r="F31" s="11">
        <f>IF(A31="",0,SUMIFS('[1]采购入库'!$V$4:$V$2003,'[1]采购入库'!$I$4:$I$2003,$A31))</f>
        <v>0</v>
      </c>
      <c r="G31" s="21">
        <f>IF(A31="",0,SUMIFS('[1]销售出库'!$R$4:$R$2003,'[1]销售出库'!$H$4:$H$2003,$A31))</f>
        <v>0</v>
      </c>
      <c r="H31" s="11">
        <f t="shared" si="3"/>
        <v>3380</v>
      </c>
      <c r="I31" s="11">
        <f t="shared" si="0"/>
        <v>0</v>
      </c>
      <c r="J31" s="21">
        <f t="shared" si="1"/>
        <v>53</v>
      </c>
      <c r="K31" s="11">
        <f t="shared" si="2"/>
        <v>179140</v>
      </c>
      <c r="L31" s="6">
        <f t="shared" si="4"/>
      </c>
      <c r="M31" s="21">
        <f>IF($A31="",0,SUMIFS('[1]销售出库'!$R$4:$R$2003,'[1]销售出库'!$H$4:$H$2003,$A31,'[1]销售出库'!$Q$4:$Q$2003,'首页'!$B$4*100+M$4))</f>
        <v>0</v>
      </c>
      <c r="N31" s="21">
        <f>IF($A31="",0,SUMIFS('[1]销售出库'!$R$4:$R$2003,'[1]销售出库'!$H$4:$H$2003,$A31,'[1]销售出库'!$Q$4:$Q$2003,'首页'!$B$4*100+N$4))</f>
        <v>0</v>
      </c>
      <c r="O31" s="21">
        <f>IF($A31="",0,SUMIFS('[1]销售出库'!$R$4:$R$2003,'[1]销售出库'!$H$4:$H$2003,$A31,'[1]销售出库'!$Q$4:$Q$2003,'首页'!$B$4*100+O$4))</f>
        <v>0</v>
      </c>
      <c r="P31" s="21">
        <f>IF($A31="",0,SUMIFS('[1]销售出库'!$R$4:$R$2003,'[1]销售出库'!$H$4:$H$2003,$A31,'[1]销售出库'!$Q$4:$Q$2003,'首页'!$B$4*100+P$4))</f>
        <v>0</v>
      </c>
      <c r="Q31" s="21">
        <f>IF($A31="",0,SUMIFS('[1]销售出库'!$R$4:$R$2003,'[1]销售出库'!$H$4:$H$2003,$A31,'[1]销售出库'!$Q$4:$Q$2003,'首页'!$B$4*100+Q$4))</f>
        <v>0</v>
      </c>
      <c r="R31" s="21">
        <f>IF($A31="",0,SUMIFS('[1]销售出库'!$R$4:$R$2003,'[1]销售出库'!$H$4:$H$2003,$A31,'[1]销售出库'!$Q$4:$Q$2003,'首页'!$B$4*100+R$4))</f>
        <v>0</v>
      </c>
      <c r="S31" s="21">
        <f>IF($A31="",0,SUMIFS('[1]销售出库'!$R$4:$R$2003,'[1]销售出库'!$H$4:$H$2003,$A31,'[1]销售出库'!$Q$4:$Q$2003,'首页'!$B$4*100+S$4))</f>
        <v>0</v>
      </c>
      <c r="T31" s="21">
        <f>IF($A31="",0,SUMIFS('[1]销售出库'!$R$4:$R$2003,'[1]销售出库'!$H$4:$H$2003,$A31,'[1]销售出库'!$Q$4:$Q$2003,'首页'!$B$4*100+T$4))</f>
        <v>0</v>
      </c>
      <c r="U31" s="21">
        <f>IF($A31="",0,SUMIFS('[1]销售出库'!$R$4:$R$2003,'[1]销售出库'!$H$4:$H$2003,$A31,'[1]销售出库'!$Q$4:$Q$2003,'首页'!$B$4*100+U$4))</f>
        <v>0</v>
      </c>
      <c r="V31" s="21">
        <f>IF($A31="",0,SUMIFS('[1]销售出库'!$R$4:$R$2003,'[1]销售出库'!$H$4:$H$2003,$A31,'[1]销售出库'!$Q$4:$Q$2003,'首页'!$B$4*100+V$4))</f>
        <v>0</v>
      </c>
      <c r="W31" s="21">
        <f>IF($A31="",0,SUMIFS('[1]销售出库'!$R$4:$R$2003,'[1]销售出库'!$H$4:$H$2003,$A31,'[1]销售出库'!$Q$4:$Q$2003,'首页'!$B$4*100+W$4))</f>
        <v>0</v>
      </c>
      <c r="X31" s="21">
        <f>IF($A31="",0,SUMIFS('[1]销售出库'!$R$4:$R$2003,'[1]销售出库'!$H$4:$H$2003,$A31,'[1]销售出库'!$Q$4:$Q$2003,'首页'!$B$4*100+X$4))</f>
        <v>0</v>
      </c>
    </row>
    <row r="32">
      <c r="A32" s="6" t="str">
        <f>IF('[1]基础资料'!$P$31="","",'[1]基础资料'!$P$31)</f>
        <v>联想拯救者Y900 11 8+128WIFI白色</v>
      </c>
      <c r="B32" s="6" t="str">
        <f>IF(A32="","",'[1]基础资料'!$Q$31&amp;"")</f>
        <v>平板</v>
      </c>
      <c r="C32" s="21">
        <f>IF(A32="",0,N('[1]基础资料'!$S$31))</f>
        <v>76</v>
      </c>
      <c r="D32" s="11">
        <f>IF(A32="",0,N('[1]基础资料'!$U$31))</f>
        <v>143848.05</v>
      </c>
      <c r="E32" s="21">
        <f>IF(A32="",0,SUMIFS('[1]采购入库'!$U$4:$U$2003,'[1]采购入库'!$I$4:$I$2003,$A32))</f>
        <v>0</v>
      </c>
      <c r="F32" s="11">
        <f>IF(A32="",0,SUMIFS('[1]采购入库'!$V$4:$V$2003,'[1]采购入库'!$I$4:$I$2003,$A32))</f>
        <v>0</v>
      </c>
      <c r="G32" s="21">
        <f>IF(A32="",0,SUMIFS('[1]销售出库'!$R$4:$R$2003,'[1]销售出库'!$H$4:$H$2003,$A32))</f>
        <v>4</v>
      </c>
      <c r="H32" s="11">
        <f t="shared" si="3"/>
        <v>1892.7375</v>
      </c>
      <c r="I32" s="11">
        <f t="shared" si="0"/>
        <v>7570.95</v>
      </c>
      <c r="J32" s="21">
        <f t="shared" si="1"/>
        <v>72</v>
      </c>
      <c r="K32" s="11">
        <f t="shared" si="2"/>
        <v>136277.1</v>
      </c>
      <c r="L32" s="6">
        <f t="shared" si="4"/>
      </c>
      <c r="M32" s="21">
        <f>IF($A32="",0,SUMIFS('[1]销售出库'!$R$4:$R$2003,'[1]销售出库'!$H$4:$H$2003,$A32,'[1]销售出库'!$Q$4:$Q$2003,'首页'!$B$4*100+M$4))</f>
        <v>0</v>
      </c>
      <c r="N32" s="21">
        <f>IF($A32="",0,SUMIFS('[1]销售出库'!$R$4:$R$2003,'[1]销售出库'!$H$4:$H$2003,$A32,'[1]销售出库'!$Q$4:$Q$2003,'首页'!$B$4*100+N$4))</f>
        <v>0</v>
      </c>
      <c r="O32" s="21">
        <f>IF($A32="",0,SUMIFS('[1]销售出库'!$R$4:$R$2003,'[1]销售出库'!$H$4:$H$2003,$A32,'[1]销售出库'!$Q$4:$Q$2003,'首页'!$B$4*100+O$4))</f>
        <v>0</v>
      </c>
      <c r="P32" s="21">
        <f>IF($A32="",0,SUMIFS('[1]销售出库'!$R$4:$R$2003,'[1]销售出库'!$H$4:$H$2003,$A32,'[1]销售出库'!$Q$4:$Q$2003,'首页'!$B$4*100+P$4))</f>
        <v>0</v>
      </c>
      <c r="Q32" s="21">
        <f>IF($A32="",0,SUMIFS('[1]销售出库'!$R$4:$R$2003,'[1]销售出库'!$H$4:$H$2003,$A32,'[1]销售出库'!$Q$4:$Q$2003,'首页'!$B$4*100+Q$4))</f>
        <v>0</v>
      </c>
      <c r="R32" s="21">
        <f>IF($A32="",0,SUMIFS('[1]销售出库'!$R$4:$R$2003,'[1]销售出库'!$H$4:$H$2003,$A32,'[1]销售出库'!$Q$4:$Q$2003,'首页'!$B$4*100+R$4))</f>
        <v>0</v>
      </c>
      <c r="S32" s="21">
        <f>IF($A32="",0,SUMIFS('[1]销售出库'!$R$4:$R$2003,'[1]销售出库'!$H$4:$H$2003,$A32,'[1]销售出库'!$Q$4:$Q$2003,'首页'!$B$4*100+S$4))</f>
        <v>0</v>
      </c>
      <c r="T32" s="21">
        <f>IF($A32="",0,SUMIFS('[1]销售出库'!$R$4:$R$2003,'[1]销售出库'!$H$4:$H$2003,$A32,'[1]销售出库'!$Q$4:$Q$2003,'首页'!$B$4*100+T$4))</f>
        <v>0</v>
      </c>
      <c r="U32" s="21">
        <f>IF($A32="",0,SUMIFS('[1]销售出库'!$R$4:$R$2003,'[1]销售出库'!$H$4:$H$2003,$A32,'[1]销售出库'!$Q$4:$Q$2003,'首页'!$B$4*100+U$4))</f>
        <v>0</v>
      </c>
      <c r="V32" s="21">
        <f>IF($A32="",0,SUMIFS('[1]销售出库'!$R$4:$R$2003,'[1]销售出库'!$H$4:$H$2003,$A32,'[1]销售出库'!$Q$4:$Q$2003,'首页'!$B$4*100+V$4))</f>
        <v>4</v>
      </c>
      <c r="W32" s="21">
        <f>IF($A32="",0,SUMIFS('[1]销售出库'!$R$4:$R$2003,'[1]销售出库'!$H$4:$H$2003,$A32,'[1]销售出库'!$Q$4:$Q$2003,'首页'!$B$4*100+W$4))</f>
        <v>0</v>
      </c>
      <c r="X32" s="21">
        <f>IF($A32="",0,SUMIFS('[1]销售出库'!$R$4:$R$2003,'[1]销售出库'!$H$4:$H$2003,$A32,'[1]销售出库'!$Q$4:$Q$2003,'首页'!$B$4*100+X$4))</f>
        <v>0</v>
      </c>
    </row>
    <row r="33">
      <c r="A33" s="6" t="str">
        <f>IF('[1]基础资料'!$P$32="","",'[1]基础资料'!$P$32)</f>
        <v>联想小新Pad Pro（二代）8+128灰色</v>
      </c>
      <c r="B33" s="6" t="str">
        <f>IF(A33="","",'[1]基础资料'!$Q$32&amp;"")</f>
        <v>联想</v>
      </c>
      <c r="C33" s="21">
        <f>IF(A33="",0,N('[1]基础资料'!$S$32))</f>
        <v>4</v>
      </c>
      <c r="D33" s="11">
        <f>IF(A33="",0,N('[1]基础资料'!$U$32))</f>
        <v>4860</v>
      </c>
      <c r="E33" s="21">
        <f>IF(A33="",0,SUMIFS('[1]采购入库'!$U$4:$U$2003,'[1]采购入库'!$I$4:$I$2003,$A33))</f>
        <v>0</v>
      </c>
      <c r="F33" s="11">
        <f>IF(A33="",0,SUMIFS('[1]采购入库'!$V$4:$V$2003,'[1]采购入库'!$I$4:$I$2003,$A33))</f>
        <v>0</v>
      </c>
      <c r="G33" s="21">
        <f>IF(A33="",0,SUMIFS('[1]销售出库'!$R$4:$R$2003,'[1]销售出库'!$H$4:$H$2003,$A33))</f>
        <v>0</v>
      </c>
      <c r="H33" s="11">
        <f t="shared" si="3"/>
        <v>1215</v>
      </c>
      <c r="I33" s="11">
        <f t="shared" si="0"/>
        <v>0</v>
      </c>
      <c r="J33" s="21">
        <f t="shared" si="1"/>
        <v>4</v>
      </c>
      <c r="K33" s="11">
        <f t="shared" si="2"/>
        <v>4860</v>
      </c>
      <c r="L33" s="6">
        <f t="shared" si="4"/>
      </c>
      <c r="M33" s="21">
        <f>IF($A33="",0,SUMIFS('[1]销售出库'!$R$4:$R$2003,'[1]销售出库'!$H$4:$H$2003,$A33,'[1]销售出库'!$Q$4:$Q$2003,'首页'!$B$4*100+M$4))</f>
        <v>0</v>
      </c>
      <c r="N33" s="21">
        <f>IF($A33="",0,SUMIFS('[1]销售出库'!$R$4:$R$2003,'[1]销售出库'!$H$4:$H$2003,$A33,'[1]销售出库'!$Q$4:$Q$2003,'首页'!$B$4*100+N$4))</f>
        <v>0</v>
      </c>
      <c r="O33" s="21">
        <f>IF($A33="",0,SUMIFS('[1]销售出库'!$R$4:$R$2003,'[1]销售出库'!$H$4:$H$2003,$A33,'[1]销售出库'!$Q$4:$Q$2003,'首页'!$B$4*100+O$4))</f>
        <v>0</v>
      </c>
      <c r="P33" s="21">
        <f>IF($A33="",0,SUMIFS('[1]销售出库'!$R$4:$R$2003,'[1]销售出库'!$H$4:$H$2003,$A33,'[1]销售出库'!$Q$4:$Q$2003,'首页'!$B$4*100+P$4))</f>
        <v>0</v>
      </c>
      <c r="Q33" s="21">
        <f>IF($A33="",0,SUMIFS('[1]销售出库'!$R$4:$R$2003,'[1]销售出库'!$H$4:$H$2003,$A33,'[1]销售出库'!$Q$4:$Q$2003,'首页'!$B$4*100+Q$4))</f>
        <v>0</v>
      </c>
      <c r="R33" s="21">
        <f>IF($A33="",0,SUMIFS('[1]销售出库'!$R$4:$R$2003,'[1]销售出库'!$H$4:$H$2003,$A33,'[1]销售出库'!$Q$4:$Q$2003,'首页'!$B$4*100+R$4))</f>
        <v>0</v>
      </c>
      <c r="S33" s="21">
        <f>IF($A33="",0,SUMIFS('[1]销售出库'!$R$4:$R$2003,'[1]销售出库'!$H$4:$H$2003,$A33,'[1]销售出库'!$Q$4:$Q$2003,'首页'!$B$4*100+S$4))</f>
        <v>0</v>
      </c>
      <c r="T33" s="21">
        <f>IF($A33="",0,SUMIFS('[1]销售出库'!$R$4:$R$2003,'[1]销售出库'!$H$4:$H$2003,$A33,'[1]销售出库'!$Q$4:$Q$2003,'首页'!$B$4*100+T$4))</f>
        <v>0</v>
      </c>
      <c r="U33" s="21">
        <f>IF($A33="",0,SUMIFS('[1]销售出库'!$R$4:$R$2003,'[1]销售出库'!$H$4:$H$2003,$A33,'[1]销售出库'!$Q$4:$Q$2003,'首页'!$B$4*100+U$4))</f>
        <v>0</v>
      </c>
      <c r="V33" s="21">
        <f>IF($A33="",0,SUMIFS('[1]销售出库'!$R$4:$R$2003,'[1]销售出库'!$H$4:$H$2003,$A33,'[1]销售出库'!$Q$4:$Q$2003,'首页'!$B$4*100+V$4))</f>
        <v>0</v>
      </c>
      <c r="W33" s="21">
        <f>IF($A33="",0,SUMIFS('[1]销售出库'!$R$4:$R$2003,'[1]销售出库'!$H$4:$H$2003,$A33,'[1]销售出库'!$Q$4:$Q$2003,'首页'!$B$4*100+W$4))</f>
        <v>0</v>
      </c>
      <c r="X33" s="21">
        <f>IF($A33="",0,SUMIFS('[1]销售出库'!$R$4:$R$2003,'[1]销售出库'!$H$4:$H$2003,$A33,'[1]销售出库'!$Q$4:$Q$2003,'首页'!$B$4*100+X$4))</f>
        <v>0</v>
      </c>
    </row>
    <row r="34">
      <c r="A34" s="6" t="str">
        <f>IF('[1]基础资料'!$P$33="","",'[1]基础资料'!$P$33)</f>
        <v>联想拯救者Y700平板五代碳晶黑,12GB+256GB,Wifi版</v>
      </c>
      <c r="B34" s="6" t="str">
        <f>IF(A34="","",'[1]基础资料'!$Q$33&amp;"")</f>
        <v>平板</v>
      </c>
      <c r="C34" s="21">
        <f>IF(A34="",0,N('[1]基础资料'!$S$33))</f>
        <v>288</v>
      </c>
      <c r="D34" s="11">
        <f>IF(A34="",0,N('[1]基础资料'!$U$33))</f>
        <v>858119.56</v>
      </c>
      <c r="E34" s="21">
        <f>IF(A34="",0,SUMIFS('[1]采购入库'!$U$4:$U$2003,'[1]采购入库'!$I$4:$I$2003,$A34))</f>
        <v>1</v>
      </c>
      <c r="F34" s="11">
        <f>IF(A34="",0,SUMIFS('[1]采购入库'!$V$4:$V$2003,'[1]采购入库'!$I$4:$I$2003,$A34))</f>
        <v>3080</v>
      </c>
      <c r="G34" s="21">
        <f>IF(A34="",0,SUMIFS('[1]销售出库'!$R$4:$R$2003,'[1]销售出库'!$H$4:$H$2003,$A34))</f>
        <v>0</v>
      </c>
      <c r="H34" s="11">
        <f t="shared" si="3"/>
        <v>2979.9293</v>
      </c>
      <c r="I34" s="11">
        <f t="shared" si="0"/>
        <v>0</v>
      </c>
      <c r="J34" s="21">
        <f t="shared" si="1"/>
        <v>289</v>
      </c>
      <c r="K34" s="11">
        <f t="shared" si="2"/>
        <v>861199.56</v>
      </c>
      <c r="L34" s="6">
        <f t="shared" si="4"/>
      </c>
      <c r="M34" s="21">
        <f>IF($A34="",0,SUMIFS('[1]销售出库'!$R$4:$R$2003,'[1]销售出库'!$H$4:$H$2003,$A34,'[1]销售出库'!$Q$4:$Q$2003,'首页'!$B$4*100+M$4))</f>
        <v>0</v>
      </c>
      <c r="N34" s="21">
        <f>IF($A34="",0,SUMIFS('[1]销售出库'!$R$4:$R$2003,'[1]销售出库'!$H$4:$H$2003,$A34,'[1]销售出库'!$Q$4:$Q$2003,'首页'!$B$4*100+N$4))</f>
        <v>0</v>
      </c>
      <c r="O34" s="21">
        <f>IF($A34="",0,SUMIFS('[1]销售出库'!$R$4:$R$2003,'[1]销售出库'!$H$4:$H$2003,$A34,'[1]销售出库'!$Q$4:$Q$2003,'首页'!$B$4*100+O$4))</f>
        <v>0</v>
      </c>
      <c r="P34" s="21">
        <f>IF($A34="",0,SUMIFS('[1]销售出库'!$R$4:$R$2003,'[1]销售出库'!$H$4:$H$2003,$A34,'[1]销售出库'!$Q$4:$Q$2003,'首页'!$B$4*100+P$4))</f>
        <v>0</v>
      </c>
      <c r="Q34" s="21">
        <f>IF($A34="",0,SUMIFS('[1]销售出库'!$R$4:$R$2003,'[1]销售出库'!$H$4:$H$2003,$A34,'[1]销售出库'!$Q$4:$Q$2003,'首页'!$B$4*100+Q$4))</f>
        <v>0</v>
      </c>
      <c r="R34" s="21">
        <f>IF($A34="",0,SUMIFS('[1]销售出库'!$R$4:$R$2003,'[1]销售出库'!$H$4:$H$2003,$A34,'[1]销售出库'!$Q$4:$Q$2003,'首页'!$B$4*100+R$4))</f>
        <v>0</v>
      </c>
      <c r="S34" s="21">
        <f>IF($A34="",0,SUMIFS('[1]销售出库'!$R$4:$R$2003,'[1]销售出库'!$H$4:$H$2003,$A34,'[1]销售出库'!$Q$4:$Q$2003,'首页'!$B$4*100+S$4))</f>
        <v>0</v>
      </c>
      <c r="T34" s="21">
        <f>IF($A34="",0,SUMIFS('[1]销售出库'!$R$4:$R$2003,'[1]销售出库'!$H$4:$H$2003,$A34,'[1]销售出库'!$Q$4:$Q$2003,'首页'!$B$4*100+T$4))</f>
        <v>0</v>
      </c>
      <c r="U34" s="21">
        <f>IF($A34="",0,SUMIFS('[1]销售出库'!$R$4:$R$2003,'[1]销售出库'!$H$4:$H$2003,$A34,'[1]销售出库'!$Q$4:$Q$2003,'首页'!$B$4*100+U$4))</f>
        <v>0</v>
      </c>
      <c r="V34" s="21">
        <f>IF($A34="",0,SUMIFS('[1]销售出库'!$R$4:$R$2003,'[1]销售出库'!$H$4:$H$2003,$A34,'[1]销售出库'!$Q$4:$Q$2003,'首页'!$B$4*100+V$4))</f>
        <v>0</v>
      </c>
      <c r="W34" s="21">
        <f>IF($A34="",0,SUMIFS('[1]销售出库'!$R$4:$R$2003,'[1]销售出库'!$H$4:$H$2003,$A34,'[1]销售出库'!$Q$4:$Q$2003,'首页'!$B$4*100+W$4))</f>
        <v>0</v>
      </c>
      <c r="X34" s="21">
        <f>IF($A34="",0,SUMIFS('[1]销售出库'!$R$4:$R$2003,'[1]销售出库'!$H$4:$H$2003,$A34,'[1]销售出库'!$Q$4:$Q$2003,'首页'!$B$4*100+X$4))</f>
        <v>0</v>
      </c>
    </row>
    <row r="35">
      <c r="A35" s="6" t="str">
        <f>IF('[1]基础资料'!$P$34="","",'[1]基础资料'!$P$34)</f>
        <v>联想拯救者Y900电竞平板旗舰版白色 冰魄白,8GB+256GB,Wifi版</v>
      </c>
      <c r="B35" s="6" t="str">
        <f>IF(A35="","",'[1]基础资料'!$Q$34&amp;"")</f>
        <v>平板</v>
      </c>
      <c r="C35" s="21">
        <f>IF(A35="",0,N('[1]基础资料'!$S$34))</f>
        <v>25</v>
      </c>
      <c r="D35" s="11">
        <f>IF(A35="",0,N('[1]基础资料'!$U$34))</f>
        <v>60516.8</v>
      </c>
      <c r="E35" s="21">
        <f>IF(A35="",0,SUMIFS('[1]采购入库'!$U$4:$U$2003,'[1]采购入库'!$I$4:$I$2003,$A35))</f>
        <v>0</v>
      </c>
      <c r="F35" s="11">
        <f>IF(A35="",0,SUMIFS('[1]采购入库'!$V$4:$V$2003,'[1]采购入库'!$I$4:$I$2003,$A35))</f>
        <v>0</v>
      </c>
      <c r="G35" s="21">
        <f>IF(A35="",0,SUMIFS('[1]销售出库'!$R$4:$R$2003,'[1]销售出库'!$H$4:$H$2003,$A35))</f>
        <v>0</v>
      </c>
      <c r="H35" s="11">
        <f t="shared" si="3"/>
        <v>2420.672</v>
      </c>
      <c r="I35" s="11">
        <f t="shared" si="0"/>
        <v>0</v>
      </c>
      <c r="J35" s="21">
        <f t="shared" si="1"/>
        <v>25</v>
      </c>
      <c r="K35" s="11">
        <f t="shared" si="2"/>
        <v>60516.8</v>
      </c>
      <c r="L35" s="6">
        <f t="shared" si="4"/>
      </c>
      <c r="M35" s="21">
        <f>IF($A35="",0,SUMIFS('[1]销售出库'!$R$4:$R$2003,'[1]销售出库'!$H$4:$H$2003,$A35,'[1]销售出库'!$Q$4:$Q$2003,'首页'!$B$4*100+M$4))</f>
        <v>0</v>
      </c>
      <c r="N35" s="21">
        <f>IF($A35="",0,SUMIFS('[1]销售出库'!$R$4:$R$2003,'[1]销售出库'!$H$4:$H$2003,$A35,'[1]销售出库'!$Q$4:$Q$2003,'首页'!$B$4*100+N$4))</f>
        <v>0</v>
      </c>
      <c r="O35" s="21">
        <f>IF($A35="",0,SUMIFS('[1]销售出库'!$R$4:$R$2003,'[1]销售出库'!$H$4:$H$2003,$A35,'[1]销售出库'!$Q$4:$Q$2003,'首页'!$B$4*100+O$4))</f>
        <v>0</v>
      </c>
      <c r="P35" s="21">
        <f>IF($A35="",0,SUMIFS('[1]销售出库'!$R$4:$R$2003,'[1]销售出库'!$H$4:$H$2003,$A35,'[1]销售出库'!$Q$4:$Q$2003,'首页'!$B$4*100+P$4))</f>
        <v>0</v>
      </c>
      <c r="Q35" s="21">
        <f>IF($A35="",0,SUMIFS('[1]销售出库'!$R$4:$R$2003,'[1]销售出库'!$H$4:$H$2003,$A35,'[1]销售出库'!$Q$4:$Q$2003,'首页'!$B$4*100+Q$4))</f>
        <v>0</v>
      </c>
      <c r="R35" s="21">
        <f>IF($A35="",0,SUMIFS('[1]销售出库'!$R$4:$R$2003,'[1]销售出库'!$H$4:$H$2003,$A35,'[1]销售出库'!$Q$4:$Q$2003,'首页'!$B$4*100+R$4))</f>
        <v>0</v>
      </c>
      <c r="S35" s="21">
        <f>IF($A35="",0,SUMIFS('[1]销售出库'!$R$4:$R$2003,'[1]销售出库'!$H$4:$H$2003,$A35,'[1]销售出库'!$Q$4:$Q$2003,'首页'!$B$4*100+S$4))</f>
        <v>0</v>
      </c>
      <c r="T35" s="21">
        <f>IF($A35="",0,SUMIFS('[1]销售出库'!$R$4:$R$2003,'[1]销售出库'!$H$4:$H$2003,$A35,'[1]销售出库'!$Q$4:$Q$2003,'首页'!$B$4*100+T$4))</f>
        <v>0</v>
      </c>
      <c r="U35" s="21">
        <f>IF($A35="",0,SUMIFS('[1]销售出库'!$R$4:$R$2003,'[1]销售出库'!$H$4:$H$2003,$A35,'[1]销售出库'!$Q$4:$Q$2003,'首页'!$B$4*100+U$4))</f>
        <v>0</v>
      </c>
      <c r="V35" s="21">
        <f>IF($A35="",0,SUMIFS('[1]销售出库'!$R$4:$R$2003,'[1]销售出库'!$H$4:$H$2003,$A35,'[1]销售出库'!$Q$4:$Q$2003,'首页'!$B$4*100+V$4))</f>
        <v>0</v>
      </c>
      <c r="W35" s="21">
        <f>IF($A35="",0,SUMIFS('[1]销售出库'!$R$4:$R$2003,'[1]销售出库'!$H$4:$H$2003,$A35,'[1]销售出库'!$Q$4:$Q$2003,'首页'!$B$4*100+W$4))</f>
        <v>0</v>
      </c>
      <c r="X35" s="21">
        <f>IF($A35="",0,SUMIFS('[1]销售出库'!$R$4:$R$2003,'[1]销售出库'!$H$4:$H$2003,$A35,'[1]销售出库'!$Q$4:$Q$2003,'首页'!$B$4*100+X$4))</f>
        <v>0</v>
      </c>
    </row>
    <row r="36">
      <c r="A36" s="6" t="str">
        <f>IF('[1]基础资料'!$P$35="","",'[1]基础资料'!$P$35)</f>
        <v>联想拯救者Y900电竞平板旗舰版深灰色 碳晶黑,8GB+256GB,Wifi版</v>
      </c>
      <c r="B36" s="6" t="str">
        <f>IF(A36="","",'[1]基础资料'!$Q$35&amp;"")</f>
        <v>平板</v>
      </c>
      <c r="C36" s="21">
        <f>IF(A36="",0,N('[1]基础资料'!$S$35))</f>
        <v>16</v>
      </c>
      <c r="D36" s="11">
        <f>IF(A36="",0,N('[1]基础资料'!$U$35))</f>
        <v>38778.18</v>
      </c>
      <c r="E36" s="21">
        <f>IF(A36="",0,SUMIFS('[1]采购入库'!$U$4:$U$2003,'[1]采购入库'!$I$4:$I$2003,$A36))</f>
        <v>0</v>
      </c>
      <c r="F36" s="11">
        <f>IF(A36="",0,SUMIFS('[1]采购入库'!$V$4:$V$2003,'[1]采购入库'!$I$4:$I$2003,$A36))</f>
        <v>0</v>
      </c>
      <c r="G36" s="21">
        <f>IF(A36="",0,SUMIFS('[1]销售出库'!$R$4:$R$2003,'[1]销售出库'!$H$4:$H$2003,$A36))</f>
        <v>0</v>
      </c>
      <c r="H36" s="11">
        <f t="shared" si="3"/>
        <v>2423.6363</v>
      </c>
      <c r="I36" s="11">
        <f t="shared" si="0"/>
        <v>0</v>
      </c>
      <c r="J36" s="21">
        <f t="shared" si="1"/>
        <v>16</v>
      </c>
      <c r="K36" s="11">
        <f t="shared" si="2"/>
        <v>38778.18</v>
      </c>
      <c r="L36" s="6">
        <f t="shared" si="4"/>
      </c>
      <c r="M36" s="21">
        <f>IF($A36="",0,SUMIFS('[1]销售出库'!$R$4:$R$2003,'[1]销售出库'!$H$4:$H$2003,$A36,'[1]销售出库'!$Q$4:$Q$2003,'首页'!$B$4*100+M$4))</f>
        <v>0</v>
      </c>
      <c r="N36" s="21">
        <f>IF($A36="",0,SUMIFS('[1]销售出库'!$R$4:$R$2003,'[1]销售出库'!$H$4:$H$2003,$A36,'[1]销售出库'!$Q$4:$Q$2003,'首页'!$B$4*100+N$4))</f>
        <v>0</v>
      </c>
      <c r="O36" s="21">
        <f>IF($A36="",0,SUMIFS('[1]销售出库'!$R$4:$R$2003,'[1]销售出库'!$H$4:$H$2003,$A36,'[1]销售出库'!$Q$4:$Q$2003,'首页'!$B$4*100+O$4))</f>
        <v>0</v>
      </c>
      <c r="P36" s="21">
        <f>IF($A36="",0,SUMIFS('[1]销售出库'!$R$4:$R$2003,'[1]销售出库'!$H$4:$H$2003,$A36,'[1]销售出库'!$Q$4:$Q$2003,'首页'!$B$4*100+P$4))</f>
        <v>0</v>
      </c>
      <c r="Q36" s="21">
        <f>IF($A36="",0,SUMIFS('[1]销售出库'!$R$4:$R$2003,'[1]销售出库'!$H$4:$H$2003,$A36,'[1]销售出库'!$Q$4:$Q$2003,'首页'!$B$4*100+Q$4))</f>
        <v>0</v>
      </c>
      <c r="R36" s="21">
        <f>IF($A36="",0,SUMIFS('[1]销售出库'!$R$4:$R$2003,'[1]销售出库'!$H$4:$H$2003,$A36,'[1]销售出库'!$Q$4:$Q$2003,'首页'!$B$4*100+R$4))</f>
        <v>0</v>
      </c>
      <c r="S36" s="21">
        <f>IF($A36="",0,SUMIFS('[1]销售出库'!$R$4:$R$2003,'[1]销售出库'!$H$4:$H$2003,$A36,'[1]销售出库'!$Q$4:$Q$2003,'首页'!$B$4*100+S$4))</f>
        <v>0</v>
      </c>
      <c r="T36" s="21">
        <f>IF($A36="",0,SUMIFS('[1]销售出库'!$R$4:$R$2003,'[1]销售出库'!$H$4:$H$2003,$A36,'[1]销售出库'!$Q$4:$Q$2003,'首页'!$B$4*100+T$4))</f>
        <v>0</v>
      </c>
      <c r="U36" s="21">
        <f>IF($A36="",0,SUMIFS('[1]销售出库'!$R$4:$R$2003,'[1]销售出库'!$H$4:$H$2003,$A36,'[1]销售出库'!$Q$4:$Q$2003,'首页'!$B$4*100+U$4))</f>
        <v>0</v>
      </c>
      <c r="V36" s="21">
        <f>IF($A36="",0,SUMIFS('[1]销售出库'!$R$4:$R$2003,'[1]销售出库'!$H$4:$H$2003,$A36,'[1]销售出库'!$Q$4:$Q$2003,'首页'!$B$4*100+V$4))</f>
        <v>0</v>
      </c>
      <c r="W36" s="21">
        <f>IF($A36="",0,SUMIFS('[1]销售出库'!$R$4:$R$2003,'[1]销售出库'!$H$4:$H$2003,$A36,'[1]销售出库'!$Q$4:$Q$2003,'首页'!$B$4*100+W$4))</f>
        <v>0</v>
      </c>
      <c r="X36" s="21">
        <f>IF($A36="",0,SUMIFS('[1]销售出库'!$R$4:$R$2003,'[1]销售出库'!$H$4:$H$2003,$A36,'[1]销售出库'!$Q$4:$Q$2003,'首页'!$B$4*100+X$4))</f>
        <v>0</v>
      </c>
    </row>
    <row r="37">
      <c r="A37" s="6" t="str">
        <f>IF('[1]基础资料'!$P$36="","",'[1]基础资料'!$P$36)</f>
        <v>联想拯救者Y700四代 8.8英寸AI游戏平板 骁龙8至尊版碳晶黑,16GB+512GB,Wifi版</v>
      </c>
      <c r="B37" s="6" t="str">
        <f>IF(A37="","",'[1]基础资料'!$Q$36&amp;"")</f>
        <v>联想</v>
      </c>
      <c r="C37" s="21">
        <f>IF(A37="",0,N('[1]基础资料'!$S$36))</f>
        <v>116</v>
      </c>
      <c r="D37" s="11">
        <f>IF(A37="",0,N('[1]基础资料'!$U$36))</f>
        <v>314472.71</v>
      </c>
      <c r="E37" s="21">
        <f>IF(A37="",0,SUMIFS('[1]采购入库'!$U$4:$U$2003,'[1]采购入库'!$I$4:$I$2003,$A37))</f>
        <v>0</v>
      </c>
      <c r="F37" s="11">
        <f>IF(A37="",0,SUMIFS('[1]采购入库'!$V$4:$V$2003,'[1]采购入库'!$I$4:$I$2003,$A37))</f>
        <v>0</v>
      </c>
      <c r="G37" s="21">
        <f>IF(A37="",0,SUMIFS('[1]销售出库'!$R$4:$R$2003,'[1]销售出库'!$H$4:$H$2003,$A37))</f>
        <v>0</v>
      </c>
      <c r="H37" s="11">
        <f t="shared" si="3"/>
        <v>2710.9716</v>
      </c>
      <c r="I37" s="11">
        <f t="shared" si="0"/>
        <v>0</v>
      </c>
      <c r="J37" s="21">
        <f t="shared" si="1"/>
        <v>116</v>
      </c>
      <c r="K37" s="11">
        <f t="shared" si="2"/>
        <v>314472.71</v>
      </c>
      <c r="L37" s="6">
        <f t="shared" si="4"/>
      </c>
      <c r="M37" s="21">
        <f>IF($A37="",0,SUMIFS('[1]销售出库'!$R$4:$R$2003,'[1]销售出库'!$H$4:$H$2003,$A37,'[1]销售出库'!$Q$4:$Q$2003,'首页'!$B$4*100+M$4))</f>
        <v>0</v>
      </c>
      <c r="N37" s="21">
        <f>IF($A37="",0,SUMIFS('[1]销售出库'!$R$4:$R$2003,'[1]销售出库'!$H$4:$H$2003,$A37,'[1]销售出库'!$Q$4:$Q$2003,'首页'!$B$4*100+N$4))</f>
        <v>0</v>
      </c>
      <c r="O37" s="21">
        <f>IF($A37="",0,SUMIFS('[1]销售出库'!$R$4:$R$2003,'[1]销售出库'!$H$4:$H$2003,$A37,'[1]销售出库'!$Q$4:$Q$2003,'首页'!$B$4*100+O$4))</f>
        <v>0</v>
      </c>
      <c r="P37" s="21">
        <f>IF($A37="",0,SUMIFS('[1]销售出库'!$R$4:$R$2003,'[1]销售出库'!$H$4:$H$2003,$A37,'[1]销售出库'!$Q$4:$Q$2003,'首页'!$B$4*100+P$4))</f>
        <v>0</v>
      </c>
      <c r="Q37" s="21">
        <f>IF($A37="",0,SUMIFS('[1]销售出库'!$R$4:$R$2003,'[1]销售出库'!$H$4:$H$2003,$A37,'[1]销售出库'!$Q$4:$Q$2003,'首页'!$B$4*100+Q$4))</f>
        <v>0</v>
      </c>
      <c r="R37" s="21">
        <f>IF($A37="",0,SUMIFS('[1]销售出库'!$R$4:$R$2003,'[1]销售出库'!$H$4:$H$2003,$A37,'[1]销售出库'!$Q$4:$Q$2003,'首页'!$B$4*100+R$4))</f>
        <v>0</v>
      </c>
      <c r="S37" s="21">
        <f>IF($A37="",0,SUMIFS('[1]销售出库'!$R$4:$R$2003,'[1]销售出库'!$H$4:$H$2003,$A37,'[1]销售出库'!$Q$4:$Q$2003,'首页'!$B$4*100+S$4))</f>
        <v>0</v>
      </c>
      <c r="T37" s="21">
        <f>IF($A37="",0,SUMIFS('[1]销售出库'!$R$4:$R$2003,'[1]销售出库'!$H$4:$H$2003,$A37,'[1]销售出库'!$Q$4:$Q$2003,'首页'!$B$4*100+T$4))</f>
        <v>0</v>
      </c>
      <c r="U37" s="21">
        <f>IF($A37="",0,SUMIFS('[1]销售出库'!$R$4:$R$2003,'[1]销售出库'!$H$4:$H$2003,$A37,'[1]销售出库'!$Q$4:$Q$2003,'首页'!$B$4*100+U$4))</f>
        <v>0</v>
      </c>
      <c r="V37" s="21">
        <f>IF($A37="",0,SUMIFS('[1]销售出库'!$R$4:$R$2003,'[1]销售出库'!$H$4:$H$2003,$A37,'[1]销售出库'!$Q$4:$Q$2003,'首页'!$B$4*100+V$4))</f>
        <v>0</v>
      </c>
      <c r="W37" s="21">
        <f>IF($A37="",0,SUMIFS('[1]销售出库'!$R$4:$R$2003,'[1]销售出库'!$H$4:$H$2003,$A37,'[1]销售出库'!$Q$4:$Q$2003,'首页'!$B$4*100+W$4))</f>
        <v>0</v>
      </c>
      <c r="X37" s="21">
        <f>IF($A37="",0,SUMIFS('[1]销售出库'!$R$4:$R$2003,'[1]销售出库'!$H$4:$H$2003,$A37,'[1]销售出库'!$Q$4:$Q$2003,'首页'!$B$4*100+X$4))</f>
        <v>0</v>
      </c>
    </row>
    <row r="38">
      <c r="A38" s="6" t="str">
        <f>IF('[1]基础资料'!$P$37="","",'[1]基础资料'!$P$37)</f>
        <v>联想拯救者Y700四代 8.8英寸AI游戏平板 骁龙8至尊版冰魄白,16GB+512GB,Wifi版</v>
      </c>
      <c r="B38" s="6" t="str">
        <f>IF(A38="","",'[1]基础资料'!$Q$37&amp;"")</f>
        <v>平板</v>
      </c>
      <c r="C38" s="21">
        <f>IF(A38="",0,N('[1]基础资料'!$S$37))</f>
        <v>119</v>
      </c>
      <c r="D38" s="11">
        <f>IF(A38="",0,N('[1]基础资料'!$U$37))</f>
        <v>319730.29</v>
      </c>
      <c r="E38" s="21">
        <f>IF(A38="",0,SUMIFS('[1]采购入库'!$U$4:$U$2003,'[1]采购入库'!$I$4:$I$2003,$A38))</f>
        <v>0</v>
      </c>
      <c r="F38" s="11">
        <f>IF(A38="",0,SUMIFS('[1]采购入库'!$V$4:$V$2003,'[1]采购入库'!$I$4:$I$2003,$A38))</f>
        <v>0</v>
      </c>
      <c r="G38" s="21">
        <f>IF(A38="",0,SUMIFS('[1]销售出库'!$R$4:$R$2003,'[1]销售出库'!$H$4:$H$2003,$A38))</f>
        <v>0</v>
      </c>
      <c r="H38" s="11">
        <f t="shared" si="3"/>
        <v>2686.8092</v>
      </c>
      <c r="I38" s="11">
        <f t="shared" si="0"/>
        <v>0</v>
      </c>
      <c r="J38" s="21">
        <f t="shared" si="1"/>
        <v>119</v>
      </c>
      <c r="K38" s="11">
        <f t="shared" si="2"/>
        <v>319730.29</v>
      </c>
      <c r="L38" s="6">
        <f t="shared" si="4"/>
      </c>
      <c r="M38" s="21">
        <f>IF($A38="",0,SUMIFS('[1]销售出库'!$R$4:$R$2003,'[1]销售出库'!$H$4:$H$2003,$A38,'[1]销售出库'!$Q$4:$Q$2003,'首页'!$B$4*100+M$4))</f>
        <v>0</v>
      </c>
      <c r="N38" s="21">
        <f>IF($A38="",0,SUMIFS('[1]销售出库'!$R$4:$R$2003,'[1]销售出库'!$H$4:$H$2003,$A38,'[1]销售出库'!$Q$4:$Q$2003,'首页'!$B$4*100+N$4))</f>
        <v>0</v>
      </c>
      <c r="O38" s="21">
        <f>IF($A38="",0,SUMIFS('[1]销售出库'!$R$4:$R$2003,'[1]销售出库'!$H$4:$H$2003,$A38,'[1]销售出库'!$Q$4:$Q$2003,'首页'!$B$4*100+O$4))</f>
        <v>0</v>
      </c>
      <c r="P38" s="21">
        <f>IF($A38="",0,SUMIFS('[1]销售出库'!$R$4:$R$2003,'[1]销售出库'!$H$4:$H$2003,$A38,'[1]销售出库'!$Q$4:$Q$2003,'首页'!$B$4*100+P$4))</f>
        <v>0</v>
      </c>
      <c r="Q38" s="21">
        <f>IF($A38="",0,SUMIFS('[1]销售出库'!$R$4:$R$2003,'[1]销售出库'!$H$4:$H$2003,$A38,'[1]销售出库'!$Q$4:$Q$2003,'首页'!$B$4*100+Q$4))</f>
        <v>0</v>
      </c>
      <c r="R38" s="21">
        <f>IF($A38="",0,SUMIFS('[1]销售出库'!$R$4:$R$2003,'[1]销售出库'!$H$4:$H$2003,$A38,'[1]销售出库'!$Q$4:$Q$2003,'首页'!$B$4*100+R$4))</f>
        <v>0</v>
      </c>
      <c r="S38" s="21">
        <f>IF($A38="",0,SUMIFS('[1]销售出库'!$R$4:$R$2003,'[1]销售出库'!$H$4:$H$2003,$A38,'[1]销售出库'!$Q$4:$Q$2003,'首页'!$B$4*100+S$4))</f>
        <v>0</v>
      </c>
      <c r="T38" s="21">
        <f>IF($A38="",0,SUMIFS('[1]销售出库'!$R$4:$R$2003,'[1]销售出库'!$H$4:$H$2003,$A38,'[1]销售出库'!$Q$4:$Q$2003,'首页'!$B$4*100+T$4))</f>
        <v>0</v>
      </c>
      <c r="U38" s="21">
        <f>IF($A38="",0,SUMIFS('[1]销售出库'!$R$4:$R$2003,'[1]销售出库'!$H$4:$H$2003,$A38,'[1]销售出库'!$Q$4:$Q$2003,'首页'!$B$4*100+U$4))</f>
        <v>0</v>
      </c>
      <c r="V38" s="21">
        <f>IF($A38="",0,SUMIFS('[1]销售出库'!$R$4:$R$2003,'[1]销售出库'!$H$4:$H$2003,$A38,'[1]销售出库'!$Q$4:$Q$2003,'首页'!$B$4*100+V$4))</f>
        <v>0</v>
      </c>
      <c r="W38" s="21">
        <f>IF($A38="",0,SUMIFS('[1]销售出库'!$R$4:$R$2003,'[1]销售出库'!$H$4:$H$2003,$A38,'[1]销售出库'!$Q$4:$Q$2003,'首页'!$B$4*100+W$4))</f>
        <v>0</v>
      </c>
      <c r="X38" s="21">
        <f>IF($A38="",0,SUMIFS('[1]销售出库'!$R$4:$R$2003,'[1]销售出库'!$H$4:$H$2003,$A38,'[1]销售出库'!$Q$4:$Q$2003,'首页'!$B$4*100+X$4))</f>
        <v>0</v>
      </c>
    </row>
    <row r="39">
      <c r="A39" s="6" t="str">
        <f>IF('[1]基础资料'!$P$38="","",'[1]基础资料'!$P$38)</f>
        <v>联想拯救Y700五代第五代骁龙8.8英寸16+512白wifi</v>
      </c>
      <c r="B39" s="6" t="str">
        <f>IF(A39="","",'[1]基础资料'!$Q$38&amp;"")</f>
        <v>平板</v>
      </c>
      <c r="C39" s="21">
        <f>IF(A39="",0,N('[1]基础资料'!$S$38))</f>
        <v>28</v>
      </c>
      <c r="D39" s="11">
        <f>IF(A39="",0,N('[1]基础资料'!$U$38))</f>
        <v>104160</v>
      </c>
      <c r="E39" s="21">
        <f>IF(A39="",0,SUMIFS('[1]采购入库'!$U$4:$U$2003,'[1]采购入库'!$I$4:$I$2003,$A39))</f>
        <v>0</v>
      </c>
      <c r="F39" s="11">
        <f>IF(A39="",0,SUMIFS('[1]采购入库'!$V$4:$V$2003,'[1]采购入库'!$I$4:$I$2003,$A39))</f>
        <v>0</v>
      </c>
      <c r="G39" s="21">
        <f>IF(A39="",0,SUMIFS('[1]销售出库'!$R$4:$R$2003,'[1]销售出库'!$H$4:$H$2003,$A39))</f>
        <v>0</v>
      </c>
      <c r="H39" s="11">
        <f t="shared" si="3"/>
        <v>3720</v>
      </c>
      <c r="I39" s="11">
        <f t="shared" si="0"/>
        <v>0</v>
      </c>
      <c r="J39" s="21">
        <f t="shared" si="1"/>
        <v>28</v>
      </c>
      <c r="K39" s="11">
        <f t="shared" si="2"/>
        <v>104160</v>
      </c>
      <c r="L39" s="6">
        <f t="shared" si="4"/>
      </c>
      <c r="M39" s="21">
        <f>IF($A39="",0,SUMIFS('[1]销售出库'!$R$4:$R$2003,'[1]销售出库'!$H$4:$H$2003,$A39,'[1]销售出库'!$Q$4:$Q$2003,'首页'!$B$4*100+M$4))</f>
        <v>0</v>
      </c>
      <c r="N39" s="21">
        <f>IF($A39="",0,SUMIFS('[1]销售出库'!$R$4:$R$2003,'[1]销售出库'!$H$4:$H$2003,$A39,'[1]销售出库'!$Q$4:$Q$2003,'首页'!$B$4*100+N$4))</f>
        <v>0</v>
      </c>
      <c r="O39" s="21">
        <f>IF($A39="",0,SUMIFS('[1]销售出库'!$R$4:$R$2003,'[1]销售出库'!$H$4:$H$2003,$A39,'[1]销售出库'!$Q$4:$Q$2003,'首页'!$B$4*100+O$4))</f>
        <v>0</v>
      </c>
      <c r="P39" s="21">
        <f>IF($A39="",0,SUMIFS('[1]销售出库'!$R$4:$R$2003,'[1]销售出库'!$H$4:$H$2003,$A39,'[1]销售出库'!$Q$4:$Q$2003,'首页'!$B$4*100+P$4))</f>
        <v>0</v>
      </c>
      <c r="Q39" s="21">
        <f>IF($A39="",0,SUMIFS('[1]销售出库'!$R$4:$R$2003,'[1]销售出库'!$H$4:$H$2003,$A39,'[1]销售出库'!$Q$4:$Q$2003,'首页'!$B$4*100+Q$4))</f>
        <v>0</v>
      </c>
      <c r="R39" s="21">
        <f>IF($A39="",0,SUMIFS('[1]销售出库'!$R$4:$R$2003,'[1]销售出库'!$H$4:$H$2003,$A39,'[1]销售出库'!$Q$4:$Q$2003,'首页'!$B$4*100+R$4))</f>
        <v>0</v>
      </c>
      <c r="S39" s="21">
        <f>IF($A39="",0,SUMIFS('[1]销售出库'!$R$4:$R$2003,'[1]销售出库'!$H$4:$H$2003,$A39,'[1]销售出库'!$Q$4:$Q$2003,'首页'!$B$4*100+S$4))</f>
        <v>0</v>
      </c>
      <c r="T39" s="21">
        <f>IF($A39="",0,SUMIFS('[1]销售出库'!$R$4:$R$2003,'[1]销售出库'!$H$4:$H$2003,$A39,'[1]销售出库'!$Q$4:$Q$2003,'首页'!$B$4*100+T$4))</f>
        <v>0</v>
      </c>
      <c r="U39" s="21">
        <f>IF($A39="",0,SUMIFS('[1]销售出库'!$R$4:$R$2003,'[1]销售出库'!$H$4:$H$2003,$A39,'[1]销售出库'!$Q$4:$Q$2003,'首页'!$B$4*100+U$4))</f>
        <v>0</v>
      </c>
      <c r="V39" s="21">
        <f>IF($A39="",0,SUMIFS('[1]销售出库'!$R$4:$R$2003,'[1]销售出库'!$H$4:$H$2003,$A39,'[1]销售出库'!$Q$4:$Q$2003,'首页'!$B$4*100+V$4))</f>
        <v>0</v>
      </c>
      <c r="W39" s="21">
        <f>IF($A39="",0,SUMIFS('[1]销售出库'!$R$4:$R$2003,'[1]销售出库'!$H$4:$H$2003,$A39,'[1]销售出库'!$Q$4:$Q$2003,'首页'!$B$4*100+W$4))</f>
        <v>0</v>
      </c>
      <c r="X39" s="21">
        <f>IF($A39="",0,SUMIFS('[1]销售出库'!$R$4:$R$2003,'[1]销售出库'!$H$4:$H$2003,$A39,'[1]销售出库'!$Q$4:$Q$2003,'首页'!$B$4*100+X$4))</f>
        <v>0</v>
      </c>
    </row>
    <row r="40">
      <c r="A40" s="6" t="str">
        <f>IF('[1]基础资料'!$P$39="","",'[1]基础资料'!$P$39)</f>
        <v>联想拯救Y700五代第五代骁龙8.8英寸12+256白wifi</v>
      </c>
      <c r="B40" s="6" t="str">
        <f>IF(A40="","",'[1]基础资料'!$Q$39&amp;"")</f>
        <v>平板</v>
      </c>
      <c r="C40" s="21">
        <f>IF(A40="",0,N('[1]基础资料'!$S$39))</f>
        <v>101</v>
      </c>
      <c r="D40" s="11">
        <f>IF(A40="",0,N('[1]基础资料'!$U$39))</f>
        <v>294263.14</v>
      </c>
      <c r="E40" s="21">
        <f>IF(A40="",0,SUMIFS('[1]采购入库'!$U$4:$U$2003,'[1]采购入库'!$I$4:$I$2003,$A40))</f>
        <v>0</v>
      </c>
      <c r="F40" s="11">
        <f>IF(A40="",0,SUMIFS('[1]采购入库'!$V$4:$V$2003,'[1]采购入库'!$I$4:$I$2003,$A40))</f>
        <v>0</v>
      </c>
      <c r="G40" s="21">
        <f>IF(A40="",0,SUMIFS('[1]销售出库'!$R$4:$R$2003,'[1]销售出库'!$H$4:$H$2003,$A40))</f>
        <v>0</v>
      </c>
      <c r="H40" s="11">
        <f t="shared" si="3"/>
        <v>2913.4964</v>
      </c>
      <c r="I40" s="11">
        <f t="shared" si="0"/>
        <v>0</v>
      </c>
      <c r="J40" s="21">
        <f t="shared" si="1"/>
        <v>101</v>
      </c>
      <c r="K40" s="11">
        <f t="shared" si="2"/>
        <v>294263.14</v>
      </c>
      <c r="L40" s="6">
        <f t="shared" si="4"/>
      </c>
      <c r="M40" s="21">
        <f>IF($A40="",0,SUMIFS('[1]销售出库'!$R$4:$R$2003,'[1]销售出库'!$H$4:$H$2003,$A40,'[1]销售出库'!$Q$4:$Q$2003,'首页'!$B$4*100+M$4))</f>
        <v>0</v>
      </c>
      <c r="N40" s="21">
        <f>IF($A40="",0,SUMIFS('[1]销售出库'!$R$4:$R$2003,'[1]销售出库'!$H$4:$H$2003,$A40,'[1]销售出库'!$Q$4:$Q$2003,'首页'!$B$4*100+N$4))</f>
        <v>0</v>
      </c>
      <c r="O40" s="21">
        <f>IF($A40="",0,SUMIFS('[1]销售出库'!$R$4:$R$2003,'[1]销售出库'!$H$4:$H$2003,$A40,'[1]销售出库'!$Q$4:$Q$2003,'首页'!$B$4*100+O$4))</f>
        <v>0</v>
      </c>
      <c r="P40" s="21">
        <f>IF($A40="",0,SUMIFS('[1]销售出库'!$R$4:$R$2003,'[1]销售出库'!$H$4:$H$2003,$A40,'[1]销售出库'!$Q$4:$Q$2003,'首页'!$B$4*100+P$4))</f>
        <v>0</v>
      </c>
      <c r="Q40" s="21">
        <f>IF($A40="",0,SUMIFS('[1]销售出库'!$R$4:$R$2003,'[1]销售出库'!$H$4:$H$2003,$A40,'[1]销售出库'!$Q$4:$Q$2003,'首页'!$B$4*100+Q$4))</f>
        <v>0</v>
      </c>
      <c r="R40" s="21">
        <f>IF($A40="",0,SUMIFS('[1]销售出库'!$R$4:$R$2003,'[1]销售出库'!$H$4:$H$2003,$A40,'[1]销售出库'!$Q$4:$Q$2003,'首页'!$B$4*100+R$4))</f>
        <v>0</v>
      </c>
      <c r="S40" s="21">
        <f>IF($A40="",0,SUMIFS('[1]销售出库'!$R$4:$R$2003,'[1]销售出库'!$H$4:$H$2003,$A40,'[1]销售出库'!$Q$4:$Q$2003,'首页'!$B$4*100+S$4))</f>
        <v>0</v>
      </c>
      <c r="T40" s="21">
        <f>IF($A40="",0,SUMIFS('[1]销售出库'!$R$4:$R$2003,'[1]销售出库'!$H$4:$H$2003,$A40,'[1]销售出库'!$Q$4:$Q$2003,'首页'!$B$4*100+T$4))</f>
        <v>0</v>
      </c>
      <c r="U40" s="21">
        <f>IF($A40="",0,SUMIFS('[1]销售出库'!$R$4:$R$2003,'[1]销售出库'!$H$4:$H$2003,$A40,'[1]销售出库'!$Q$4:$Q$2003,'首页'!$B$4*100+U$4))</f>
        <v>0</v>
      </c>
      <c r="V40" s="21">
        <f>IF($A40="",0,SUMIFS('[1]销售出库'!$R$4:$R$2003,'[1]销售出库'!$H$4:$H$2003,$A40,'[1]销售出库'!$Q$4:$Q$2003,'首页'!$B$4*100+V$4))</f>
        <v>0</v>
      </c>
      <c r="W40" s="21">
        <f>IF($A40="",0,SUMIFS('[1]销售出库'!$R$4:$R$2003,'[1]销售出库'!$H$4:$H$2003,$A40,'[1]销售出库'!$Q$4:$Q$2003,'首页'!$B$4*100+W$4))</f>
        <v>0</v>
      </c>
      <c r="X40" s="21">
        <f>IF($A40="",0,SUMIFS('[1]销售出库'!$R$4:$R$2003,'[1]销售出库'!$H$4:$H$2003,$A40,'[1]销售出库'!$Q$4:$Q$2003,'首页'!$B$4*100+X$4))</f>
        <v>0</v>
      </c>
    </row>
    <row r="41">
      <c r="A41" s="6" t="str">
        <f>IF('[1]基础资料'!$P$40="","",'[1]基础资料'!$P$40)</f>
        <v>联想手写笔Pro（第二代）AP602U</v>
      </c>
      <c r="B41" s="6" t="str">
        <f>IF(A41="","",'[1]基础资料'!$Q$40&amp;"")</f>
        <v>配件</v>
      </c>
      <c r="C41" s="21">
        <f>IF(A41="",0,N('[1]基础资料'!$S$40))</f>
        <v>196</v>
      </c>
      <c r="D41" s="11">
        <f>IF(A41="",0,N('[1]基础资料'!$U$40))</f>
        <v>51719.52</v>
      </c>
      <c r="E41" s="21">
        <f>IF(A41="",0,SUMIFS('[1]采购入库'!$U$4:$U$2003,'[1]采购入库'!$I$4:$I$2003,$A41))</f>
        <v>301</v>
      </c>
      <c r="F41" s="11">
        <f>IF(A41="",0,SUMIFS('[1]采购入库'!$V$4:$V$2003,'[1]采购入库'!$I$4:$I$2003,$A41))</f>
        <v>80066</v>
      </c>
      <c r="G41" s="21">
        <f>IF(A41="",0,SUMIFS('[1]销售出库'!$R$4:$R$2003,'[1]销售出库'!$H$4:$H$2003,$A41))</f>
        <v>105</v>
      </c>
      <c r="H41" s="11">
        <f t="shared" si="3"/>
        <v>265.162</v>
      </c>
      <c r="I41" s="11">
        <f t="shared" si="0"/>
        <v>27842.01</v>
      </c>
      <c r="J41" s="21">
        <f t="shared" si="1"/>
        <v>392</v>
      </c>
      <c r="K41" s="11">
        <f t="shared" si="2"/>
        <v>103943.51</v>
      </c>
      <c r="L41" s="6">
        <f t="shared" si="4"/>
      </c>
      <c r="M41" s="21">
        <f>IF($A41="",0,SUMIFS('[1]销售出库'!$R$4:$R$2003,'[1]销售出库'!$H$4:$H$2003,$A41,'[1]销售出库'!$Q$4:$Q$2003,'首页'!$B$4*100+M$4))</f>
        <v>0</v>
      </c>
      <c r="N41" s="21">
        <f>IF($A41="",0,SUMIFS('[1]销售出库'!$R$4:$R$2003,'[1]销售出库'!$H$4:$H$2003,$A41,'[1]销售出库'!$Q$4:$Q$2003,'首页'!$B$4*100+N$4))</f>
        <v>0</v>
      </c>
      <c r="O41" s="21">
        <f>IF($A41="",0,SUMIFS('[1]销售出库'!$R$4:$R$2003,'[1]销售出库'!$H$4:$H$2003,$A41,'[1]销售出库'!$Q$4:$Q$2003,'首页'!$B$4*100+O$4))</f>
        <v>0</v>
      </c>
      <c r="P41" s="21">
        <f>IF($A41="",0,SUMIFS('[1]销售出库'!$R$4:$R$2003,'[1]销售出库'!$H$4:$H$2003,$A41,'[1]销售出库'!$Q$4:$Q$2003,'首页'!$B$4*100+P$4))</f>
        <v>0</v>
      </c>
      <c r="Q41" s="21">
        <f>IF($A41="",0,SUMIFS('[1]销售出库'!$R$4:$R$2003,'[1]销售出库'!$H$4:$H$2003,$A41,'[1]销售出库'!$Q$4:$Q$2003,'首页'!$B$4*100+Q$4))</f>
        <v>0</v>
      </c>
      <c r="R41" s="21">
        <f>IF($A41="",0,SUMIFS('[1]销售出库'!$R$4:$R$2003,'[1]销售出库'!$H$4:$H$2003,$A41,'[1]销售出库'!$Q$4:$Q$2003,'首页'!$B$4*100+R$4))</f>
        <v>0</v>
      </c>
      <c r="S41" s="21">
        <f>IF($A41="",0,SUMIFS('[1]销售出库'!$R$4:$R$2003,'[1]销售出库'!$H$4:$H$2003,$A41,'[1]销售出库'!$Q$4:$Q$2003,'首页'!$B$4*100+S$4))</f>
        <v>0</v>
      </c>
      <c r="T41" s="21">
        <f>IF($A41="",0,SUMIFS('[1]销售出库'!$R$4:$R$2003,'[1]销售出库'!$H$4:$H$2003,$A41,'[1]销售出库'!$Q$4:$Q$2003,'首页'!$B$4*100+T$4))</f>
        <v>0</v>
      </c>
      <c r="U41" s="21">
        <f>IF($A41="",0,SUMIFS('[1]销售出库'!$R$4:$R$2003,'[1]销售出库'!$H$4:$H$2003,$A41,'[1]销售出库'!$Q$4:$Q$2003,'首页'!$B$4*100+U$4))</f>
        <v>105</v>
      </c>
      <c r="V41" s="21">
        <f>IF($A41="",0,SUMIFS('[1]销售出库'!$R$4:$R$2003,'[1]销售出库'!$H$4:$H$2003,$A41,'[1]销售出库'!$Q$4:$Q$2003,'首页'!$B$4*100+V$4))</f>
        <v>0</v>
      </c>
      <c r="W41" s="21">
        <f>IF($A41="",0,SUMIFS('[1]销售出库'!$R$4:$R$2003,'[1]销售出库'!$H$4:$H$2003,$A41,'[1]销售出库'!$Q$4:$Q$2003,'首页'!$B$4*100+W$4))</f>
        <v>0</v>
      </c>
      <c r="X41" s="21">
        <f>IF($A41="",0,SUMIFS('[1]销售出库'!$R$4:$R$2003,'[1]销售出库'!$H$4:$H$2003,$A41,'[1]销售出库'!$Q$4:$Q$2003,'首页'!$B$4*100+X$4))</f>
        <v>0</v>
      </c>
    </row>
    <row r="42">
      <c r="A42" s="6" t="str">
        <f>IF('[1]基础资料'!$P$41="","",'[1]基础资料'!$P$41)</f>
        <v>华硕主机内存条32G</v>
      </c>
      <c r="B42" s="6" t="str">
        <f>IF(A42="","",'[1]基础资料'!$Q$41&amp;"")</f>
        <v>配件</v>
      </c>
      <c r="C42" s="21">
        <f>IF(A42="",0,N('[1]基础资料'!$S$41))</f>
        <v>4</v>
      </c>
      <c r="D42" s="11">
        <f>IF(A42="",0,N('[1]基础资料'!$U$41))</f>
        <v>9200</v>
      </c>
      <c r="E42" s="21">
        <f>IF(A42="",0,SUMIFS('[1]采购入库'!$U$4:$U$2003,'[1]采购入库'!$I$4:$I$2003,$A42))</f>
        <v>0</v>
      </c>
      <c r="F42" s="11">
        <f>IF(A42="",0,SUMIFS('[1]采购入库'!$V$4:$V$2003,'[1]采购入库'!$I$4:$I$2003,$A42))</f>
        <v>0</v>
      </c>
      <c r="G42" s="21">
        <f>IF(A42="",0,SUMIFS('[1]销售出库'!$R$4:$R$2003,'[1]销售出库'!$H$4:$H$2003,$A42))</f>
        <v>0</v>
      </c>
      <c r="H42" s="11">
        <f t="shared" si="3"/>
        <v>2300</v>
      </c>
      <c r="I42" s="11">
        <f t="shared" si="0"/>
        <v>0</v>
      </c>
      <c r="J42" s="21">
        <f t="shared" si="1"/>
        <v>4</v>
      </c>
      <c r="K42" s="11">
        <f t="shared" si="2"/>
        <v>9200</v>
      </c>
      <c r="L42" s="6">
        <f t="shared" si="4"/>
      </c>
      <c r="M42" s="21">
        <f>IF($A42="",0,SUMIFS('[1]销售出库'!$R$4:$R$2003,'[1]销售出库'!$H$4:$H$2003,$A42,'[1]销售出库'!$Q$4:$Q$2003,'首页'!$B$4*100+M$4))</f>
        <v>0</v>
      </c>
      <c r="N42" s="21">
        <f>IF($A42="",0,SUMIFS('[1]销售出库'!$R$4:$R$2003,'[1]销售出库'!$H$4:$H$2003,$A42,'[1]销售出库'!$Q$4:$Q$2003,'首页'!$B$4*100+N$4))</f>
        <v>0</v>
      </c>
      <c r="O42" s="21">
        <f>IF($A42="",0,SUMIFS('[1]销售出库'!$R$4:$R$2003,'[1]销售出库'!$H$4:$H$2003,$A42,'[1]销售出库'!$Q$4:$Q$2003,'首页'!$B$4*100+O$4))</f>
        <v>0</v>
      </c>
      <c r="P42" s="21">
        <f>IF($A42="",0,SUMIFS('[1]销售出库'!$R$4:$R$2003,'[1]销售出库'!$H$4:$H$2003,$A42,'[1]销售出库'!$Q$4:$Q$2003,'首页'!$B$4*100+P$4))</f>
        <v>0</v>
      </c>
      <c r="Q42" s="21">
        <f>IF($A42="",0,SUMIFS('[1]销售出库'!$R$4:$R$2003,'[1]销售出库'!$H$4:$H$2003,$A42,'[1]销售出库'!$Q$4:$Q$2003,'首页'!$B$4*100+Q$4))</f>
        <v>0</v>
      </c>
      <c r="R42" s="21">
        <f>IF($A42="",0,SUMIFS('[1]销售出库'!$R$4:$R$2003,'[1]销售出库'!$H$4:$H$2003,$A42,'[1]销售出库'!$Q$4:$Q$2003,'首页'!$B$4*100+R$4))</f>
        <v>0</v>
      </c>
      <c r="S42" s="21">
        <f>IF($A42="",0,SUMIFS('[1]销售出库'!$R$4:$R$2003,'[1]销售出库'!$H$4:$H$2003,$A42,'[1]销售出库'!$Q$4:$Q$2003,'首页'!$B$4*100+S$4))</f>
        <v>0</v>
      </c>
      <c r="T42" s="21">
        <f>IF($A42="",0,SUMIFS('[1]销售出库'!$R$4:$R$2003,'[1]销售出库'!$H$4:$H$2003,$A42,'[1]销售出库'!$Q$4:$Q$2003,'首页'!$B$4*100+T$4))</f>
        <v>0</v>
      </c>
      <c r="U42" s="21">
        <f>IF($A42="",0,SUMIFS('[1]销售出库'!$R$4:$R$2003,'[1]销售出库'!$H$4:$H$2003,$A42,'[1]销售出库'!$Q$4:$Q$2003,'首页'!$B$4*100+U$4))</f>
        <v>0</v>
      </c>
      <c r="V42" s="21">
        <f>IF($A42="",0,SUMIFS('[1]销售出库'!$R$4:$R$2003,'[1]销售出库'!$H$4:$H$2003,$A42,'[1]销售出库'!$Q$4:$Q$2003,'首页'!$B$4*100+V$4))</f>
        <v>0</v>
      </c>
      <c r="W42" s="21">
        <f>IF($A42="",0,SUMIFS('[1]销售出库'!$R$4:$R$2003,'[1]销售出库'!$H$4:$H$2003,$A42,'[1]销售出库'!$Q$4:$Q$2003,'首页'!$B$4*100+W$4))</f>
        <v>0</v>
      </c>
      <c r="X42" s="21">
        <f>IF($A42="",0,SUMIFS('[1]销售出库'!$R$4:$R$2003,'[1]销售出库'!$H$4:$H$2003,$A42,'[1]销售出库'!$Q$4:$Q$2003,'首页'!$B$4*100+X$4))</f>
        <v>0</v>
      </c>
    </row>
    <row r="43">
      <c r="A43" s="6" t="str">
        <f>IF('[1]基础资料'!$P$42="","",'[1]基础资料'!$P$42)</f>
        <v>华硕主机内存条16G</v>
      </c>
      <c r="B43" s="6" t="str">
        <f>IF(A43="","",'[1]基础资料'!$Q$42&amp;"")</f>
        <v>配件</v>
      </c>
      <c r="C43" s="21">
        <f>IF(A43="",0,N('[1]基础资料'!$S$42))</f>
        <v>279</v>
      </c>
      <c r="D43" s="11">
        <f>IF(A43="",0,N('[1]基础资料'!$U$42))</f>
        <v>320850</v>
      </c>
      <c r="E43" s="21">
        <f>IF(A43="",0,SUMIFS('[1]采购入库'!$U$4:$U$2003,'[1]采购入库'!$I$4:$I$2003,$A43))</f>
        <v>0</v>
      </c>
      <c r="F43" s="11">
        <f>IF(A43="",0,SUMIFS('[1]采购入库'!$V$4:$V$2003,'[1]采购入库'!$I$4:$I$2003,$A43))</f>
        <v>0</v>
      </c>
      <c r="G43" s="21">
        <f>IF(A43="",0,SUMIFS('[1]销售出库'!$R$4:$R$2003,'[1]销售出库'!$H$4:$H$2003,$A43))</f>
        <v>0</v>
      </c>
      <c r="H43" s="11">
        <f t="shared" si="3"/>
        <v>1150</v>
      </c>
      <c r="I43" s="11">
        <f t="shared" si="0"/>
        <v>0</v>
      </c>
      <c r="J43" s="21">
        <f t="shared" si="1"/>
        <v>279</v>
      </c>
      <c r="K43" s="11">
        <f t="shared" si="2"/>
        <v>320850</v>
      </c>
      <c r="L43" s="6">
        <f t="shared" si="4"/>
      </c>
      <c r="M43" s="21">
        <f>IF($A43="",0,SUMIFS('[1]销售出库'!$R$4:$R$2003,'[1]销售出库'!$H$4:$H$2003,$A43,'[1]销售出库'!$Q$4:$Q$2003,'首页'!$B$4*100+M$4))</f>
        <v>0</v>
      </c>
      <c r="N43" s="21">
        <f>IF($A43="",0,SUMIFS('[1]销售出库'!$R$4:$R$2003,'[1]销售出库'!$H$4:$H$2003,$A43,'[1]销售出库'!$Q$4:$Q$2003,'首页'!$B$4*100+N$4))</f>
        <v>0</v>
      </c>
      <c r="O43" s="21">
        <f>IF($A43="",0,SUMIFS('[1]销售出库'!$R$4:$R$2003,'[1]销售出库'!$H$4:$H$2003,$A43,'[1]销售出库'!$Q$4:$Q$2003,'首页'!$B$4*100+O$4))</f>
        <v>0</v>
      </c>
      <c r="P43" s="21">
        <f>IF($A43="",0,SUMIFS('[1]销售出库'!$R$4:$R$2003,'[1]销售出库'!$H$4:$H$2003,$A43,'[1]销售出库'!$Q$4:$Q$2003,'首页'!$B$4*100+P$4))</f>
        <v>0</v>
      </c>
      <c r="Q43" s="21">
        <f>IF($A43="",0,SUMIFS('[1]销售出库'!$R$4:$R$2003,'[1]销售出库'!$H$4:$H$2003,$A43,'[1]销售出库'!$Q$4:$Q$2003,'首页'!$B$4*100+Q$4))</f>
        <v>0</v>
      </c>
      <c r="R43" s="21">
        <f>IF($A43="",0,SUMIFS('[1]销售出库'!$R$4:$R$2003,'[1]销售出库'!$H$4:$H$2003,$A43,'[1]销售出库'!$Q$4:$Q$2003,'首页'!$B$4*100+R$4))</f>
        <v>0</v>
      </c>
      <c r="S43" s="21">
        <f>IF($A43="",0,SUMIFS('[1]销售出库'!$R$4:$R$2003,'[1]销售出库'!$H$4:$H$2003,$A43,'[1]销售出库'!$Q$4:$Q$2003,'首页'!$B$4*100+S$4))</f>
        <v>0</v>
      </c>
      <c r="T43" s="21">
        <f>IF($A43="",0,SUMIFS('[1]销售出库'!$R$4:$R$2003,'[1]销售出库'!$H$4:$H$2003,$A43,'[1]销售出库'!$Q$4:$Q$2003,'首页'!$B$4*100+T$4))</f>
        <v>0</v>
      </c>
      <c r="U43" s="21">
        <f>IF($A43="",0,SUMIFS('[1]销售出库'!$R$4:$R$2003,'[1]销售出库'!$H$4:$H$2003,$A43,'[1]销售出库'!$Q$4:$Q$2003,'首页'!$B$4*100+U$4))</f>
        <v>0</v>
      </c>
      <c r="V43" s="21">
        <f>IF($A43="",0,SUMIFS('[1]销售出库'!$R$4:$R$2003,'[1]销售出库'!$H$4:$H$2003,$A43,'[1]销售出库'!$Q$4:$Q$2003,'首页'!$B$4*100+V$4))</f>
        <v>0</v>
      </c>
      <c r="W43" s="21">
        <f>IF($A43="",0,SUMIFS('[1]销售出库'!$R$4:$R$2003,'[1]销售出库'!$H$4:$H$2003,$A43,'[1]销售出库'!$Q$4:$Q$2003,'首页'!$B$4*100+W$4))</f>
        <v>0</v>
      </c>
      <c r="X43" s="21">
        <f>IF($A43="",0,SUMIFS('[1]销售出库'!$R$4:$R$2003,'[1]销售出库'!$H$4:$H$2003,$A43,'[1]销售出库'!$Q$4:$Q$2003,'首页'!$B$4*100+X$4))</f>
        <v>0</v>
      </c>
    </row>
    <row r="44">
      <c r="A44" s="6" t="str">
        <f>IF('[1]基础资料'!$P$43="","",'[1]基础资料'!$P$43)</f>
        <v>华硕主机破晓6X-S501SER</v>
      </c>
      <c r="B44" s="6" t="str">
        <f>IF(A44="","",'[1]基础资料'!$Q$43&amp;"")</f>
        <v>华硕</v>
      </c>
      <c r="C44" s="21">
        <f>IF(A44="",0,N('[1]基础资料'!$S$43))</f>
        <v>147</v>
      </c>
      <c r="D44" s="11">
        <f>IF(A44="",0,N('[1]基础资料'!$U$43))</f>
        <v>102900</v>
      </c>
      <c r="E44" s="21">
        <f>IF(A44="",0,SUMIFS('[1]采购入库'!$U$4:$U$2003,'[1]采购入库'!$I$4:$I$2003,$A44))</f>
        <v>0</v>
      </c>
      <c r="F44" s="11">
        <f>IF(A44="",0,SUMIFS('[1]采购入库'!$V$4:$V$2003,'[1]采购入库'!$I$4:$I$2003,$A44))</f>
        <v>0</v>
      </c>
      <c r="G44" s="21">
        <f>IF(A44="",0,SUMIFS('[1]销售出库'!$R$4:$R$2003,'[1]销售出库'!$H$4:$H$2003,$A44))</f>
        <v>0</v>
      </c>
      <c r="H44" s="11">
        <f t="shared" si="3"/>
        <v>700</v>
      </c>
      <c r="I44" s="11">
        <f t="shared" si="0"/>
        <v>0</v>
      </c>
      <c r="J44" s="21">
        <f t="shared" si="1"/>
        <v>147</v>
      </c>
      <c r="K44" s="11">
        <f t="shared" si="2"/>
        <v>102900</v>
      </c>
      <c r="L44" s="6">
        <f t="shared" si="4"/>
      </c>
      <c r="M44" s="21">
        <f>IF($A44="",0,SUMIFS('[1]销售出库'!$R$4:$R$2003,'[1]销售出库'!$H$4:$H$2003,$A44,'[1]销售出库'!$Q$4:$Q$2003,'首页'!$B$4*100+M$4))</f>
        <v>0</v>
      </c>
      <c r="N44" s="21">
        <f>IF($A44="",0,SUMIFS('[1]销售出库'!$R$4:$R$2003,'[1]销售出库'!$H$4:$H$2003,$A44,'[1]销售出库'!$Q$4:$Q$2003,'首页'!$B$4*100+N$4))</f>
        <v>0</v>
      </c>
      <c r="O44" s="21">
        <f>IF($A44="",0,SUMIFS('[1]销售出库'!$R$4:$R$2003,'[1]销售出库'!$H$4:$H$2003,$A44,'[1]销售出库'!$Q$4:$Q$2003,'首页'!$B$4*100+O$4))</f>
        <v>0</v>
      </c>
      <c r="P44" s="21">
        <f>IF($A44="",0,SUMIFS('[1]销售出库'!$R$4:$R$2003,'[1]销售出库'!$H$4:$H$2003,$A44,'[1]销售出库'!$Q$4:$Q$2003,'首页'!$B$4*100+P$4))</f>
        <v>0</v>
      </c>
      <c r="Q44" s="21">
        <f>IF($A44="",0,SUMIFS('[1]销售出库'!$R$4:$R$2003,'[1]销售出库'!$H$4:$H$2003,$A44,'[1]销售出库'!$Q$4:$Q$2003,'首页'!$B$4*100+Q$4))</f>
        <v>0</v>
      </c>
      <c r="R44" s="21">
        <f>IF($A44="",0,SUMIFS('[1]销售出库'!$R$4:$R$2003,'[1]销售出库'!$H$4:$H$2003,$A44,'[1]销售出库'!$Q$4:$Q$2003,'首页'!$B$4*100+R$4))</f>
        <v>0</v>
      </c>
      <c r="S44" s="21">
        <f>IF($A44="",0,SUMIFS('[1]销售出库'!$R$4:$R$2003,'[1]销售出库'!$H$4:$H$2003,$A44,'[1]销售出库'!$Q$4:$Q$2003,'首页'!$B$4*100+S$4))</f>
        <v>0</v>
      </c>
      <c r="T44" s="21">
        <f>IF($A44="",0,SUMIFS('[1]销售出库'!$R$4:$R$2003,'[1]销售出库'!$H$4:$H$2003,$A44,'[1]销售出库'!$Q$4:$Q$2003,'首页'!$B$4*100+T$4))</f>
        <v>0</v>
      </c>
      <c r="U44" s="21">
        <f>IF($A44="",0,SUMIFS('[1]销售出库'!$R$4:$R$2003,'[1]销售出库'!$H$4:$H$2003,$A44,'[1]销售出库'!$Q$4:$Q$2003,'首页'!$B$4*100+U$4))</f>
        <v>0</v>
      </c>
      <c r="V44" s="21">
        <f>IF($A44="",0,SUMIFS('[1]销售出库'!$R$4:$R$2003,'[1]销售出库'!$H$4:$H$2003,$A44,'[1]销售出库'!$Q$4:$Q$2003,'首页'!$B$4*100+V$4))</f>
        <v>0</v>
      </c>
      <c r="W44" s="21">
        <f>IF($A44="",0,SUMIFS('[1]销售出库'!$R$4:$R$2003,'[1]销售出库'!$H$4:$H$2003,$A44,'[1]销售出库'!$Q$4:$Q$2003,'首页'!$B$4*100+W$4))</f>
        <v>0</v>
      </c>
      <c r="X44" s="21">
        <f>IF($A44="",0,SUMIFS('[1]销售出库'!$R$4:$R$2003,'[1]销售出库'!$H$4:$H$2003,$A44,'[1]销售出库'!$Q$4:$Q$2003,'首页'!$B$4*100+X$4))</f>
        <v>0</v>
      </c>
    </row>
    <row r="45">
      <c r="A45" s="6" t="str">
        <f>IF('[1]基础资料'!$P$44="","",'[1]基础资料'!$P$44)</f>
        <v>天选6Pro FX608LM235 U5-235HX-16G-512G-RTX5060-高色域1K屏幕-青</v>
      </c>
      <c r="B45" s="6" t="str">
        <f>IF(A45="","",'[1]基础资料'!$Q$44&amp;"")</f>
        <v>华硕</v>
      </c>
      <c r="C45" s="21">
        <f>IF(A45="",0,N('[1]基础资料'!$S$44))</f>
        <v>72</v>
      </c>
      <c r="D45" s="11">
        <f>IF(A45="",0,N('[1]基础资料'!$U$44))</f>
        <v>514781.13</v>
      </c>
      <c r="E45" s="21">
        <f>IF(A45="",0,SUMIFS('[1]采购入库'!$U$4:$U$2003,'[1]采购入库'!$I$4:$I$2003,$A45))</f>
        <v>0</v>
      </c>
      <c r="F45" s="11">
        <f>IF(A45="",0,SUMIFS('[1]采购入库'!$V$4:$V$2003,'[1]采购入库'!$I$4:$I$2003,$A45))</f>
        <v>0</v>
      </c>
      <c r="G45" s="21">
        <f>IF(A45="",0,SUMIFS('[1]销售出库'!$R$4:$R$2003,'[1]销售出库'!$H$4:$H$2003,$A45))</f>
        <v>0</v>
      </c>
      <c r="H45" s="11">
        <f t="shared" si="3"/>
        <v>7149.7379</v>
      </c>
      <c r="I45" s="11">
        <f t="shared" si="0"/>
        <v>0</v>
      </c>
      <c r="J45" s="21">
        <f t="shared" si="1"/>
        <v>72</v>
      </c>
      <c r="K45" s="11">
        <f t="shared" si="2"/>
        <v>514781.13</v>
      </c>
      <c r="L45" s="6">
        <f t="shared" si="4"/>
      </c>
      <c r="M45" s="21">
        <f>IF($A45="",0,SUMIFS('[1]销售出库'!$R$4:$R$2003,'[1]销售出库'!$H$4:$H$2003,$A45,'[1]销售出库'!$Q$4:$Q$2003,'首页'!$B$4*100+M$4))</f>
        <v>0</v>
      </c>
      <c r="N45" s="21">
        <f>IF($A45="",0,SUMIFS('[1]销售出库'!$R$4:$R$2003,'[1]销售出库'!$H$4:$H$2003,$A45,'[1]销售出库'!$Q$4:$Q$2003,'首页'!$B$4*100+N$4))</f>
        <v>0</v>
      </c>
      <c r="O45" s="21">
        <f>IF($A45="",0,SUMIFS('[1]销售出库'!$R$4:$R$2003,'[1]销售出库'!$H$4:$H$2003,$A45,'[1]销售出库'!$Q$4:$Q$2003,'首页'!$B$4*100+O$4))</f>
        <v>0</v>
      </c>
      <c r="P45" s="21">
        <f>IF($A45="",0,SUMIFS('[1]销售出库'!$R$4:$R$2003,'[1]销售出库'!$H$4:$H$2003,$A45,'[1]销售出库'!$Q$4:$Q$2003,'首页'!$B$4*100+P$4))</f>
        <v>0</v>
      </c>
      <c r="Q45" s="21">
        <f>IF($A45="",0,SUMIFS('[1]销售出库'!$R$4:$R$2003,'[1]销售出库'!$H$4:$H$2003,$A45,'[1]销售出库'!$Q$4:$Q$2003,'首页'!$B$4*100+Q$4))</f>
        <v>0</v>
      </c>
      <c r="R45" s="21">
        <f>IF($A45="",0,SUMIFS('[1]销售出库'!$R$4:$R$2003,'[1]销售出库'!$H$4:$H$2003,$A45,'[1]销售出库'!$Q$4:$Q$2003,'首页'!$B$4*100+R$4))</f>
        <v>0</v>
      </c>
      <c r="S45" s="21">
        <f>IF($A45="",0,SUMIFS('[1]销售出库'!$R$4:$R$2003,'[1]销售出库'!$H$4:$H$2003,$A45,'[1]销售出库'!$Q$4:$Q$2003,'首页'!$B$4*100+S$4))</f>
        <v>0</v>
      </c>
      <c r="T45" s="21">
        <f>IF($A45="",0,SUMIFS('[1]销售出库'!$R$4:$R$2003,'[1]销售出库'!$H$4:$H$2003,$A45,'[1]销售出库'!$Q$4:$Q$2003,'首页'!$B$4*100+T$4))</f>
        <v>0</v>
      </c>
      <c r="U45" s="21">
        <f>IF($A45="",0,SUMIFS('[1]销售出库'!$R$4:$R$2003,'[1]销售出库'!$H$4:$H$2003,$A45,'[1]销售出库'!$Q$4:$Q$2003,'首页'!$B$4*100+U$4))</f>
        <v>0</v>
      </c>
      <c r="V45" s="21">
        <f>IF($A45="",0,SUMIFS('[1]销售出库'!$R$4:$R$2003,'[1]销售出库'!$H$4:$H$2003,$A45,'[1]销售出库'!$Q$4:$Q$2003,'首页'!$B$4*100+V$4))</f>
        <v>0</v>
      </c>
      <c r="W45" s="21">
        <f>IF($A45="",0,SUMIFS('[1]销售出库'!$R$4:$R$2003,'[1]销售出库'!$H$4:$H$2003,$A45,'[1]销售出库'!$Q$4:$Q$2003,'首页'!$B$4*100+W$4))</f>
        <v>0</v>
      </c>
      <c r="X45" s="21">
        <f>IF($A45="",0,SUMIFS('[1]销售出库'!$R$4:$R$2003,'[1]销售出库'!$H$4:$H$2003,$A45,'[1]销售出库'!$Q$4:$Q$2003,'首页'!$B$4*100+X$4))</f>
        <v>0</v>
      </c>
    </row>
    <row r="46">
      <c r="A46" s="6" t="str">
        <f>IF('[1]基础资料'!$P$45="","",'[1]基础资料'!$P$45)</f>
        <v>天选6Pro FX608LM235 U5-235HX-16G-512G-RTX5060-2.5K-灰</v>
      </c>
      <c r="B46" s="6" t="str">
        <f>IF(A46="","",'[1]基础资料'!$Q$45&amp;"")</f>
        <v>华硕</v>
      </c>
      <c r="C46" s="21">
        <f>IF(A46="",0,N('[1]基础资料'!$S$45))</f>
        <v>8</v>
      </c>
      <c r="D46" s="11">
        <f>IF(A46="",0,N('[1]基础资料'!$U$45))</f>
        <v>63950.4</v>
      </c>
      <c r="E46" s="21">
        <f>IF(A46="",0,SUMIFS('[1]采购入库'!$U$4:$U$2003,'[1]采购入库'!$I$4:$I$2003,$A46))</f>
        <v>0</v>
      </c>
      <c r="F46" s="11">
        <f>IF(A46="",0,SUMIFS('[1]采购入库'!$V$4:$V$2003,'[1]采购入库'!$I$4:$I$2003,$A46))</f>
        <v>0</v>
      </c>
      <c r="G46" s="21">
        <f>IF(A46="",0,SUMIFS('[1]销售出库'!$R$4:$R$2003,'[1]销售出库'!$H$4:$H$2003,$A46))</f>
        <v>0</v>
      </c>
      <c r="H46" s="11">
        <f t="shared" si="3"/>
        <v>7993.8</v>
      </c>
      <c r="I46" s="11">
        <f t="shared" si="0"/>
        <v>0</v>
      </c>
      <c r="J46" s="21">
        <f t="shared" si="1"/>
        <v>8</v>
      </c>
      <c r="K46" s="11">
        <f t="shared" si="2"/>
        <v>63950.4</v>
      </c>
      <c r="L46" s="6">
        <f t="shared" si="4"/>
      </c>
      <c r="M46" s="21">
        <f>IF($A46="",0,SUMIFS('[1]销售出库'!$R$4:$R$2003,'[1]销售出库'!$H$4:$H$2003,$A46,'[1]销售出库'!$Q$4:$Q$2003,'首页'!$B$4*100+M$4))</f>
        <v>0</v>
      </c>
      <c r="N46" s="21">
        <f>IF($A46="",0,SUMIFS('[1]销售出库'!$R$4:$R$2003,'[1]销售出库'!$H$4:$H$2003,$A46,'[1]销售出库'!$Q$4:$Q$2003,'首页'!$B$4*100+N$4))</f>
        <v>0</v>
      </c>
      <c r="O46" s="21">
        <f>IF($A46="",0,SUMIFS('[1]销售出库'!$R$4:$R$2003,'[1]销售出库'!$H$4:$H$2003,$A46,'[1]销售出库'!$Q$4:$Q$2003,'首页'!$B$4*100+O$4))</f>
        <v>0</v>
      </c>
      <c r="P46" s="21">
        <f>IF($A46="",0,SUMIFS('[1]销售出库'!$R$4:$R$2003,'[1]销售出库'!$H$4:$H$2003,$A46,'[1]销售出库'!$Q$4:$Q$2003,'首页'!$B$4*100+P$4))</f>
        <v>0</v>
      </c>
      <c r="Q46" s="21">
        <f>IF($A46="",0,SUMIFS('[1]销售出库'!$R$4:$R$2003,'[1]销售出库'!$H$4:$H$2003,$A46,'[1]销售出库'!$Q$4:$Q$2003,'首页'!$B$4*100+Q$4))</f>
        <v>0</v>
      </c>
      <c r="R46" s="21">
        <f>IF($A46="",0,SUMIFS('[1]销售出库'!$R$4:$R$2003,'[1]销售出库'!$H$4:$H$2003,$A46,'[1]销售出库'!$Q$4:$Q$2003,'首页'!$B$4*100+R$4))</f>
        <v>0</v>
      </c>
      <c r="S46" s="21">
        <f>IF($A46="",0,SUMIFS('[1]销售出库'!$R$4:$R$2003,'[1]销售出库'!$H$4:$H$2003,$A46,'[1]销售出库'!$Q$4:$Q$2003,'首页'!$B$4*100+S$4))</f>
        <v>0</v>
      </c>
      <c r="T46" s="21">
        <f>IF($A46="",0,SUMIFS('[1]销售出库'!$R$4:$R$2003,'[1]销售出库'!$H$4:$H$2003,$A46,'[1]销售出库'!$Q$4:$Q$2003,'首页'!$B$4*100+T$4))</f>
        <v>0</v>
      </c>
      <c r="U46" s="21">
        <f>IF($A46="",0,SUMIFS('[1]销售出库'!$R$4:$R$2003,'[1]销售出库'!$H$4:$H$2003,$A46,'[1]销售出库'!$Q$4:$Q$2003,'首页'!$B$4*100+U$4))</f>
        <v>0</v>
      </c>
      <c r="V46" s="21">
        <f>IF($A46="",0,SUMIFS('[1]销售出库'!$R$4:$R$2003,'[1]销售出库'!$H$4:$H$2003,$A46,'[1]销售出库'!$Q$4:$Q$2003,'首页'!$B$4*100+V$4))</f>
        <v>0</v>
      </c>
      <c r="W46" s="21">
        <f>IF($A46="",0,SUMIFS('[1]销售出库'!$R$4:$R$2003,'[1]销售出库'!$H$4:$H$2003,$A46,'[1]销售出库'!$Q$4:$Q$2003,'首页'!$B$4*100+W$4))</f>
        <v>0</v>
      </c>
      <c r="X46" s="21">
        <f>IF($A46="",0,SUMIFS('[1]销售出库'!$R$4:$R$2003,'[1]销售出库'!$H$4:$H$2003,$A46,'[1]销售出库'!$Q$4:$Q$2003,'首页'!$B$4*100+X$4))</f>
        <v>0</v>
      </c>
    </row>
    <row r="47">
      <c r="A47" s="6" t="str">
        <f>IF('[1]基础资料'!$P$46="","",'[1]基础资料'!$P$46)</f>
        <v>DJI OSMO MOBILE 7P 手机云台</v>
      </c>
      <c r="B47" s="6" t="str">
        <f>IF(A47="","",'[1]基础资料'!$Q$46&amp;"")</f>
        <v>大疆</v>
      </c>
      <c r="C47" s="21">
        <f>IF(A47="",0,N('[1]基础资料'!$S$46))</f>
        <v>1944</v>
      </c>
      <c r="D47" s="11">
        <f>IF(A47="",0,N('[1]基础资料'!$U$46))</f>
        <v>985192.57</v>
      </c>
      <c r="E47" s="21">
        <f>IF(A47="",0,SUMIFS('[1]采购入库'!$U$4:$U$2003,'[1]采购入库'!$I$4:$I$2003,$A47))</f>
        <v>0</v>
      </c>
      <c r="F47" s="11">
        <f>IF(A47="",0,SUMIFS('[1]采购入库'!$V$4:$V$2003,'[1]采购入库'!$I$4:$I$2003,$A47))</f>
        <v>0</v>
      </c>
      <c r="G47" s="21">
        <f>IF(A47="",0,SUMIFS('[1]销售出库'!$R$4:$R$2003,'[1]销售出库'!$H$4:$H$2003,$A47))</f>
        <v>21</v>
      </c>
      <c r="H47" s="11">
        <f t="shared" si="3"/>
        <v>506.7863</v>
      </c>
      <c r="I47" s="11">
        <f t="shared" si="0"/>
        <v>10642.51</v>
      </c>
      <c r="J47" s="21">
        <f t="shared" si="1"/>
        <v>1923</v>
      </c>
      <c r="K47" s="11">
        <f t="shared" si="2"/>
        <v>974550.06</v>
      </c>
      <c r="L47" s="6">
        <f t="shared" si="4"/>
      </c>
      <c r="M47" s="21">
        <f>IF($A47="",0,SUMIFS('[1]销售出库'!$R$4:$R$2003,'[1]销售出库'!$H$4:$H$2003,$A47,'[1]销售出库'!$Q$4:$Q$2003,'首页'!$B$4*100+M$4))</f>
        <v>0</v>
      </c>
      <c r="N47" s="21">
        <f>IF($A47="",0,SUMIFS('[1]销售出库'!$R$4:$R$2003,'[1]销售出库'!$H$4:$H$2003,$A47,'[1]销售出库'!$Q$4:$Q$2003,'首页'!$B$4*100+N$4))</f>
        <v>0</v>
      </c>
      <c r="O47" s="21">
        <f>IF($A47="",0,SUMIFS('[1]销售出库'!$R$4:$R$2003,'[1]销售出库'!$H$4:$H$2003,$A47,'[1]销售出库'!$Q$4:$Q$2003,'首页'!$B$4*100+O$4))</f>
        <v>0</v>
      </c>
      <c r="P47" s="21">
        <f>IF($A47="",0,SUMIFS('[1]销售出库'!$R$4:$R$2003,'[1]销售出库'!$H$4:$H$2003,$A47,'[1]销售出库'!$Q$4:$Q$2003,'首页'!$B$4*100+P$4))</f>
        <v>0</v>
      </c>
      <c r="Q47" s="21">
        <f>IF($A47="",0,SUMIFS('[1]销售出库'!$R$4:$R$2003,'[1]销售出库'!$H$4:$H$2003,$A47,'[1]销售出库'!$Q$4:$Q$2003,'首页'!$B$4*100+Q$4))</f>
        <v>0</v>
      </c>
      <c r="R47" s="21">
        <f>IF($A47="",0,SUMIFS('[1]销售出库'!$R$4:$R$2003,'[1]销售出库'!$H$4:$H$2003,$A47,'[1]销售出库'!$Q$4:$Q$2003,'首页'!$B$4*100+R$4))</f>
        <v>0</v>
      </c>
      <c r="S47" s="21">
        <f>IF($A47="",0,SUMIFS('[1]销售出库'!$R$4:$R$2003,'[1]销售出库'!$H$4:$H$2003,$A47,'[1]销售出库'!$Q$4:$Q$2003,'首页'!$B$4*100+S$4))</f>
        <v>0</v>
      </c>
      <c r="T47" s="21">
        <f>IF($A47="",0,SUMIFS('[1]销售出库'!$R$4:$R$2003,'[1]销售出库'!$H$4:$H$2003,$A47,'[1]销售出库'!$Q$4:$Q$2003,'首页'!$B$4*100+T$4))</f>
        <v>0</v>
      </c>
      <c r="U47" s="21">
        <f>IF($A47="",0,SUMIFS('[1]销售出库'!$R$4:$R$2003,'[1]销售出库'!$H$4:$H$2003,$A47,'[1]销售出库'!$Q$4:$Q$2003,'首页'!$B$4*100+U$4))</f>
        <v>7</v>
      </c>
      <c r="V47" s="21">
        <f>IF($A47="",0,SUMIFS('[1]销售出库'!$R$4:$R$2003,'[1]销售出库'!$H$4:$H$2003,$A47,'[1]销售出库'!$Q$4:$Q$2003,'首页'!$B$4*100+V$4))</f>
        <v>14</v>
      </c>
      <c r="W47" s="21">
        <f>IF($A47="",0,SUMIFS('[1]销售出库'!$R$4:$R$2003,'[1]销售出库'!$H$4:$H$2003,$A47,'[1]销售出库'!$Q$4:$Q$2003,'首页'!$B$4*100+W$4))</f>
        <v>0</v>
      </c>
      <c r="X47" s="21">
        <f>IF($A47="",0,SUMIFS('[1]销售出库'!$R$4:$R$2003,'[1]销售出库'!$H$4:$H$2003,$A47,'[1]销售出库'!$Q$4:$Q$2003,'首页'!$B$4*100+X$4))</f>
        <v>0</v>
      </c>
    </row>
    <row r="48">
      <c r="A48" s="6" t="str">
        <f>IF('[1]基础资料'!$P$47="","",'[1]基础资料'!$P$47)</f>
        <v>华硕无畏16SE 2026款 C5-320-16+512 1K 144hz 2.5k银</v>
      </c>
      <c r="B48" s="6" t="str">
        <f>IF(A48="","",'[1]基础资料'!$Q$47&amp;"")</f>
        <v>华硕</v>
      </c>
      <c r="C48" s="21">
        <f>IF(A48="",0,N('[1]基础资料'!$S$47))</f>
        <v>3</v>
      </c>
      <c r="D48" s="11">
        <f>IF(A48="",0,N('[1]基础资料'!$U$47))</f>
        <v>13890</v>
      </c>
      <c r="E48" s="21">
        <f>IF(A48="",0,SUMIFS('[1]采购入库'!$U$4:$U$2003,'[1]采购入库'!$I$4:$I$2003,$A48))</f>
        <v>3</v>
      </c>
      <c r="F48" s="11">
        <f>IF(A48="",0,SUMIFS('[1]采购入库'!$V$4:$V$2003,'[1]采购入库'!$I$4:$I$2003,$A48))</f>
        <v>13890</v>
      </c>
      <c r="G48" s="21">
        <f>IF(A48="",0,SUMIFS('[1]销售出库'!$R$4:$R$2003,'[1]销售出库'!$H$4:$H$2003,$A48))</f>
        <v>0</v>
      </c>
      <c r="H48" s="11">
        <f t="shared" si="3"/>
        <v>4630</v>
      </c>
      <c r="I48" s="11">
        <f t="shared" si="0"/>
        <v>0</v>
      </c>
      <c r="J48" s="21">
        <f t="shared" si="1"/>
        <v>6</v>
      </c>
      <c r="K48" s="11">
        <f t="shared" si="2"/>
        <v>27780</v>
      </c>
      <c r="L48" s="6">
        <f t="shared" si="4"/>
      </c>
      <c r="M48" s="21">
        <f>IF($A48="",0,SUMIFS('[1]销售出库'!$R$4:$R$2003,'[1]销售出库'!$H$4:$H$2003,$A48,'[1]销售出库'!$Q$4:$Q$2003,'首页'!$B$4*100+M$4))</f>
        <v>0</v>
      </c>
      <c r="N48" s="21">
        <f>IF($A48="",0,SUMIFS('[1]销售出库'!$R$4:$R$2003,'[1]销售出库'!$H$4:$H$2003,$A48,'[1]销售出库'!$Q$4:$Q$2003,'首页'!$B$4*100+N$4))</f>
        <v>0</v>
      </c>
      <c r="O48" s="21">
        <f>IF($A48="",0,SUMIFS('[1]销售出库'!$R$4:$R$2003,'[1]销售出库'!$H$4:$H$2003,$A48,'[1]销售出库'!$Q$4:$Q$2003,'首页'!$B$4*100+O$4))</f>
        <v>0</v>
      </c>
      <c r="P48" s="21">
        <f>IF($A48="",0,SUMIFS('[1]销售出库'!$R$4:$R$2003,'[1]销售出库'!$H$4:$H$2003,$A48,'[1]销售出库'!$Q$4:$Q$2003,'首页'!$B$4*100+P$4))</f>
        <v>0</v>
      </c>
      <c r="Q48" s="21">
        <f>IF($A48="",0,SUMIFS('[1]销售出库'!$R$4:$R$2003,'[1]销售出库'!$H$4:$H$2003,$A48,'[1]销售出库'!$Q$4:$Q$2003,'首页'!$B$4*100+Q$4))</f>
        <v>0</v>
      </c>
      <c r="R48" s="21">
        <f>IF($A48="",0,SUMIFS('[1]销售出库'!$R$4:$R$2003,'[1]销售出库'!$H$4:$H$2003,$A48,'[1]销售出库'!$Q$4:$Q$2003,'首页'!$B$4*100+R$4))</f>
        <v>0</v>
      </c>
      <c r="S48" s="21">
        <f>IF($A48="",0,SUMIFS('[1]销售出库'!$R$4:$R$2003,'[1]销售出库'!$H$4:$H$2003,$A48,'[1]销售出库'!$Q$4:$Q$2003,'首页'!$B$4*100+S$4))</f>
        <v>0</v>
      </c>
      <c r="T48" s="21">
        <f>IF($A48="",0,SUMIFS('[1]销售出库'!$R$4:$R$2003,'[1]销售出库'!$H$4:$H$2003,$A48,'[1]销售出库'!$Q$4:$Q$2003,'首页'!$B$4*100+T$4))</f>
        <v>0</v>
      </c>
      <c r="U48" s="21">
        <f>IF($A48="",0,SUMIFS('[1]销售出库'!$R$4:$R$2003,'[1]销售出库'!$H$4:$H$2003,$A48,'[1]销售出库'!$Q$4:$Q$2003,'首页'!$B$4*100+U$4))</f>
        <v>0</v>
      </c>
      <c r="V48" s="21">
        <f>IF($A48="",0,SUMIFS('[1]销售出库'!$R$4:$R$2003,'[1]销售出库'!$H$4:$H$2003,$A48,'[1]销售出库'!$Q$4:$Q$2003,'首页'!$B$4*100+V$4))</f>
        <v>0</v>
      </c>
      <c r="W48" s="21">
        <f>IF($A48="",0,SUMIFS('[1]销售出库'!$R$4:$R$2003,'[1]销售出库'!$H$4:$H$2003,$A48,'[1]销售出库'!$Q$4:$Q$2003,'首页'!$B$4*100+W$4))</f>
        <v>0</v>
      </c>
      <c r="X48" s="21">
        <f>IF($A48="",0,SUMIFS('[1]销售出库'!$R$4:$R$2003,'[1]销售出库'!$H$4:$H$2003,$A48,'[1]销售出库'!$Q$4:$Q$2003,'首页'!$B$4*100+X$4))</f>
        <v>0</v>
      </c>
    </row>
    <row r="49">
      <c r="A49" s="6" t="str">
        <f>IF('[1]基础资料'!$P$48="","",'[1]基础资料'!$P$48)</f>
        <v>联想小新Air15 2026 Core5 320/16GB/512GB灰色</v>
      </c>
      <c r="B49" s="6" t="str">
        <f>IF(A49="","",'[1]基础资料'!$Q$48&amp;"")</f>
        <v>联想</v>
      </c>
      <c r="C49" s="21">
        <f>IF(A49="",0,N('[1]基础资料'!$S$48))</f>
        <v>19</v>
      </c>
      <c r="D49" s="11">
        <f>IF(A49="",0,N('[1]基础资料'!$U$48))</f>
        <v>87970</v>
      </c>
      <c r="E49" s="21">
        <f>IF(A49="",0,SUMIFS('[1]采购入库'!$U$4:$U$2003,'[1]采购入库'!$I$4:$I$2003,$A49))</f>
        <v>0</v>
      </c>
      <c r="F49" s="11">
        <f>IF(A49="",0,SUMIFS('[1]采购入库'!$V$4:$V$2003,'[1]采购入库'!$I$4:$I$2003,$A49))</f>
        <v>0</v>
      </c>
      <c r="G49" s="21">
        <f>IF(A49="",0,SUMIFS('[1]销售出库'!$R$4:$R$2003,'[1]销售出库'!$H$4:$H$2003,$A49))</f>
        <v>0</v>
      </c>
      <c r="H49" s="11">
        <f t="shared" si="3"/>
        <v>4630</v>
      </c>
      <c r="I49" s="11">
        <f t="shared" si="0"/>
        <v>0</v>
      </c>
      <c r="J49" s="21">
        <f t="shared" si="1"/>
        <v>19</v>
      </c>
      <c r="K49" s="11">
        <f t="shared" si="2"/>
        <v>87970</v>
      </c>
      <c r="L49" s="6">
        <f t="shared" si="4"/>
      </c>
      <c r="M49" s="21">
        <f>IF($A49="",0,SUMIFS('[1]销售出库'!$R$4:$R$2003,'[1]销售出库'!$H$4:$H$2003,$A49,'[1]销售出库'!$Q$4:$Q$2003,'首页'!$B$4*100+M$4))</f>
        <v>0</v>
      </c>
      <c r="N49" s="21">
        <f>IF($A49="",0,SUMIFS('[1]销售出库'!$R$4:$R$2003,'[1]销售出库'!$H$4:$H$2003,$A49,'[1]销售出库'!$Q$4:$Q$2003,'首页'!$B$4*100+N$4))</f>
        <v>0</v>
      </c>
      <c r="O49" s="21">
        <f>IF($A49="",0,SUMIFS('[1]销售出库'!$R$4:$R$2003,'[1]销售出库'!$H$4:$H$2003,$A49,'[1]销售出库'!$Q$4:$Q$2003,'首页'!$B$4*100+O$4))</f>
        <v>0</v>
      </c>
      <c r="P49" s="21">
        <f>IF($A49="",0,SUMIFS('[1]销售出库'!$R$4:$R$2003,'[1]销售出库'!$H$4:$H$2003,$A49,'[1]销售出库'!$Q$4:$Q$2003,'首页'!$B$4*100+P$4))</f>
        <v>0</v>
      </c>
      <c r="Q49" s="21">
        <f>IF($A49="",0,SUMIFS('[1]销售出库'!$R$4:$R$2003,'[1]销售出库'!$H$4:$H$2003,$A49,'[1]销售出库'!$Q$4:$Q$2003,'首页'!$B$4*100+Q$4))</f>
        <v>0</v>
      </c>
      <c r="R49" s="21">
        <f>IF($A49="",0,SUMIFS('[1]销售出库'!$R$4:$R$2003,'[1]销售出库'!$H$4:$H$2003,$A49,'[1]销售出库'!$Q$4:$Q$2003,'首页'!$B$4*100+R$4))</f>
        <v>0</v>
      </c>
      <c r="S49" s="21">
        <f>IF($A49="",0,SUMIFS('[1]销售出库'!$R$4:$R$2003,'[1]销售出库'!$H$4:$H$2003,$A49,'[1]销售出库'!$Q$4:$Q$2003,'首页'!$B$4*100+S$4))</f>
        <v>0</v>
      </c>
      <c r="T49" s="21">
        <f>IF($A49="",0,SUMIFS('[1]销售出库'!$R$4:$R$2003,'[1]销售出库'!$H$4:$H$2003,$A49,'[1]销售出库'!$Q$4:$Q$2003,'首页'!$B$4*100+T$4))</f>
        <v>0</v>
      </c>
      <c r="U49" s="21">
        <f>IF($A49="",0,SUMIFS('[1]销售出库'!$R$4:$R$2003,'[1]销售出库'!$H$4:$H$2003,$A49,'[1]销售出库'!$Q$4:$Q$2003,'首页'!$B$4*100+U$4))</f>
        <v>0</v>
      </c>
      <c r="V49" s="21">
        <f>IF($A49="",0,SUMIFS('[1]销售出库'!$R$4:$R$2003,'[1]销售出库'!$H$4:$H$2003,$A49,'[1]销售出库'!$Q$4:$Q$2003,'首页'!$B$4*100+V$4))</f>
        <v>0</v>
      </c>
      <c r="W49" s="21">
        <f>IF($A49="",0,SUMIFS('[1]销售出库'!$R$4:$R$2003,'[1]销售出库'!$H$4:$H$2003,$A49,'[1]销售出库'!$Q$4:$Q$2003,'首页'!$B$4*100+W$4))</f>
        <v>0</v>
      </c>
      <c r="X49" s="21">
        <f>IF($A49="",0,SUMIFS('[1]销售出库'!$R$4:$R$2003,'[1]销售出库'!$H$4:$H$2003,$A49,'[1]销售出库'!$Q$4:$Q$2003,'首页'!$B$4*100+X$4))</f>
        <v>0</v>
      </c>
    </row>
    <row r="50">
      <c r="A50" s="6" t="str">
        <f>IF('[1]基础资料'!$P$49="","",'[1]基础资料'!$P$49)</f>
        <v>联想小新16 R7-255 16G 512  120Hz</v>
      </c>
      <c r="B50" s="6" t="str">
        <f>IF(A50="","",'[1]基础资料'!$Q$49&amp;"")</f>
        <v>联想</v>
      </c>
      <c r="C50" s="21">
        <f>IF(A50="",0,N('[1]基础资料'!$S$49))</f>
        <v>31</v>
      </c>
      <c r="D50" s="11">
        <f>IF(A50="",0,N('[1]基础资料'!$U$49))</f>
        <v>141812.42</v>
      </c>
      <c r="E50" s="21">
        <f>IF(A50="",0,SUMIFS('[1]采购入库'!$U$4:$U$2003,'[1]采购入库'!$I$4:$I$2003,$A50))</f>
        <v>3</v>
      </c>
      <c r="F50" s="11">
        <f>IF(A50="",0,SUMIFS('[1]采购入库'!$V$4:$V$2003,'[1]采购入库'!$I$4:$I$2003,$A50))</f>
        <v>15626</v>
      </c>
      <c r="G50" s="21">
        <f>IF(A50="",0,SUMIFS('[1]销售出库'!$R$4:$R$2003,'[1]销售出库'!$H$4:$H$2003,$A50))</f>
        <v>3</v>
      </c>
      <c r="H50" s="11">
        <f t="shared" si="3"/>
        <v>4630.5418</v>
      </c>
      <c r="I50" s="11">
        <f t="shared" si="0"/>
        <v>13891.63</v>
      </c>
      <c r="J50" s="21">
        <f t="shared" si="1"/>
        <v>31</v>
      </c>
      <c r="K50" s="11">
        <f t="shared" si="2"/>
        <v>143546.79</v>
      </c>
      <c r="L50" s="6">
        <f t="shared" si="4"/>
      </c>
      <c r="M50" s="21">
        <f>IF($A50="",0,SUMIFS('[1]销售出库'!$R$4:$R$2003,'[1]销售出库'!$H$4:$H$2003,$A50,'[1]销售出库'!$Q$4:$Q$2003,'首页'!$B$4*100+M$4))</f>
        <v>0</v>
      </c>
      <c r="N50" s="21">
        <f>IF($A50="",0,SUMIFS('[1]销售出库'!$R$4:$R$2003,'[1]销售出库'!$H$4:$H$2003,$A50,'[1]销售出库'!$Q$4:$Q$2003,'首页'!$B$4*100+N$4))</f>
        <v>0</v>
      </c>
      <c r="O50" s="21">
        <f>IF($A50="",0,SUMIFS('[1]销售出库'!$R$4:$R$2003,'[1]销售出库'!$H$4:$H$2003,$A50,'[1]销售出库'!$Q$4:$Q$2003,'首页'!$B$4*100+O$4))</f>
        <v>0</v>
      </c>
      <c r="P50" s="21">
        <f>IF($A50="",0,SUMIFS('[1]销售出库'!$R$4:$R$2003,'[1]销售出库'!$H$4:$H$2003,$A50,'[1]销售出库'!$Q$4:$Q$2003,'首页'!$B$4*100+P$4))</f>
        <v>0</v>
      </c>
      <c r="Q50" s="21">
        <f>IF($A50="",0,SUMIFS('[1]销售出库'!$R$4:$R$2003,'[1]销售出库'!$H$4:$H$2003,$A50,'[1]销售出库'!$Q$4:$Q$2003,'首页'!$B$4*100+Q$4))</f>
        <v>0</v>
      </c>
      <c r="R50" s="21">
        <f>IF($A50="",0,SUMIFS('[1]销售出库'!$R$4:$R$2003,'[1]销售出库'!$H$4:$H$2003,$A50,'[1]销售出库'!$Q$4:$Q$2003,'首页'!$B$4*100+R$4))</f>
        <v>0</v>
      </c>
      <c r="S50" s="21">
        <f>IF($A50="",0,SUMIFS('[1]销售出库'!$R$4:$R$2003,'[1]销售出库'!$H$4:$H$2003,$A50,'[1]销售出库'!$Q$4:$Q$2003,'首页'!$B$4*100+S$4))</f>
        <v>0</v>
      </c>
      <c r="T50" s="21">
        <f>IF($A50="",0,SUMIFS('[1]销售出库'!$R$4:$R$2003,'[1]销售出库'!$H$4:$H$2003,$A50,'[1]销售出库'!$Q$4:$Q$2003,'首页'!$B$4*100+T$4))</f>
        <v>0</v>
      </c>
      <c r="U50" s="21">
        <f>IF($A50="",0,SUMIFS('[1]销售出库'!$R$4:$R$2003,'[1]销售出库'!$H$4:$H$2003,$A50,'[1]销售出库'!$Q$4:$Q$2003,'首页'!$B$4*100+U$4))</f>
        <v>3</v>
      </c>
      <c r="V50" s="21">
        <f>IF($A50="",0,SUMIFS('[1]销售出库'!$R$4:$R$2003,'[1]销售出库'!$H$4:$H$2003,$A50,'[1]销售出库'!$Q$4:$Q$2003,'首页'!$B$4*100+V$4))</f>
        <v>0</v>
      </c>
      <c r="W50" s="21">
        <f>IF($A50="",0,SUMIFS('[1]销售出库'!$R$4:$R$2003,'[1]销售出库'!$H$4:$H$2003,$A50,'[1]销售出库'!$Q$4:$Q$2003,'首页'!$B$4*100+W$4))</f>
        <v>0</v>
      </c>
      <c r="X50" s="21">
        <f>IF($A50="",0,SUMIFS('[1]销售出库'!$R$4:$R$2003,'[1]销售出库'!$H$4:$H$2003,$A50,'[1]销售出库'!$Q$4:$Q$2003,'首页'!$B$4*100+X$4))</f>
        <v>0</v>
      </c>
    </row>
    <row r="51">
      <c r="A51" s="6" t="str">
        <f>IF('[1]基础资料'!$P$50="","",'[1]基础资料'!$P$50)</f>
        <v>联想小新16 R7-255 16G 512  60Hz</v>
      </c>
      <c r="B51" s="6" t="str">
        <f>IF(A51="","",'[1]基础资料'!$Q$50&amp;"")</f>
        <v>联想</v>
      </c>
      <c r="C51" s="21">
        <f>IF(A51="",0,N('[1]基础资料'!$S$50))</f>
        <v>43</v>
      </c>
      <c r="D51" s="11">
        <f>IF(A51="",0,N('[1]基础资料'!$U$50))</f>
        <v>166054.43</v>
      </c>
      <c r="E51" s="21">
        <f>IF(A51="",0,SUMIFS('[1]采购入库'!$U$4:$U$2003,'[1]采购入库'!$I$4:$I$2003,$A51))</f>
        <v>0</v>
      </c>
      <c r="F51" s="11">
        <f>IF(A51="",0,SUMIFS('[1]采购入库'!$V$4:$V$2003,'[1]采购入库'!$I$4:$I$2003,$A51))</f>
        <v>0</v>
      </c>
      <c r="G51" s="21">
        <f>IF(A51="",0,SUMIFS('[1]销售出库'!$R$4:$R$2003,'[1]销售出库'!$H$4:$H$2003,$A51))</f>
        <v>0</v>
      </c>
      <c r="H51" s="11">
        <f t="shared" si="3"/>
        <v>3861.7309</v>
      </c>
      <c r="I51" s="11">
        <f t="shared" si="0"/>
        <v>0</v>
      </c>
      <c r="J51" s="21">
        <f t="shared" si="1"/>
        <v>43</v>
      </c>
      <c r="K51" s="11">
        <f t="shared" si="2"/>
        <v>166054.43</v>
      </c>
      <c r="L51" s="6">
        <f t="shared" si="4"/>
      </c>
      <c r="M51" s="21">
        <f>IF($A51="",0,SUMIFS('[1]销售出库'!$R$4:$R$2003,'[1]销售出库'!$H$4:$H$2003,$A51,'[1]销售出库'!$Q$4:$Q$2003,'首页'!$B$4*100+M$4))</f>
        <v>0</v>
      </c>
      <c r="N51" s="21">
        <f>IF($A51="",0,SUMIFS('[1]销售出库'!$R$4:$R$2003,'[1]销售出库'!$H$4:$H$2003,$A51,'[1]销售出库'!$Q$4:$Q$2003,'首页'!$B$4*100+N$4))</f>
        <v>0</v>
      </c>
      <c r="O51" s="21">
        <f>IF($A51="",0,SUMIFS('[1]销售出库'!$R$4:$R$2003,'[1]销售出库'!$H$4:$H$2003,$A51,'[1]销售出库'!$Q$4:$Q$2003,'首页'!$B$4*100+O$4))</f>
        <v>0</v>
      </c>
      <c r="P51" s="21">
        <f>IF($A51="",0,SUMIFS('[1]销售出库'!$R$4:$R$2003,'[1]销售出库'!$H$4:$H$2003,$A51,'[1]销售出库'!$Q$4:$Q$2003,'首页'!$B$4*100+P$4))</f>
        <v>0</v>
      </c>
      <c r="Q51" s="21">
        <f>IF($A51="",0,SUMIFS('[1]销售出库'!$R$4:$R$2003,'[1]销售出库'!$H$4:$H$2003,$A51,'[1]销售出库'!$Q$4:$Q$2003,'首页'!$B$4*100+Q$4))</f>
        <v>0</v>
      </c>
      <c r="R51" s="21">
        <f>IF($A51="",0,SUMIFS('[1]销售出库'!$R$4:$R$2003,'[1]销售出库'!$H$4:$H$2003,$A51,'[1]销售出库'!$Q$4:$Q$2003,'首页'!$B$4*100+R$4))</f>
        <v>0</v>
      </c>
      <c r="S51" s="21">
        <f>IF($A51="",0,SUMIFS('[1]销售出库'!$R$4:$R$2003,'[1]销售出库'!$H$4:$H$2003,$A51,'[1]销售出库'!$Q$4:$Q$2003,'首页'!$B$4*100+S$4))</f>
        <v>0</v>
      </c>
      <c r="T51" s="21">
        <f>IF($A51="",0,SUMIFS('[1]销售出库'!$R$4:$R$2003,'[1]销售出库'!$H$4:$H$2003,$A51,'[1]销售出库'!$Q$4:$Q$2003,'首页'!$B$4*100+T$4))</f>
        <v>0</v>
      </c>
      <c r="U51" s="21">
        <f>IF($A51="",0,SUMIFS('[1]销售出库'!$R$4:$R$2003,'[1]销售出库'!$H$4:$H$2003,$A51,'[1]销售出库'!$Q$4:$Q$2003,'首页'!$B$4*100+U$4))</f>
        <v>0</v>
      </c>
      <c r="V51" s="21">
        <f>IF($A51="",0,SUMIFS('[1]销售出库'!$R$4:$R$2003,'[1]销售出库'!$H$4:$H$2003,$A51,'[1]销售出库'!$Q$4:$Q$2003,'首页'!$B$4*100+V$4))</f>
        <v>0</v>
      </c>
      <c r="W51" s="21">
        <f>IF($A51="",0,SUMIFS('[1]销售出库'!$R$4:$R$2003,'[1]销售出库'!$H$4:$H$2003,$A51,'[1]销售出库'!$Q$4:$Q$2003,'首页'!$B$4*100+W$4))</f>
        <v>0</v>
      </c>
      <c r="X51" s="21">
        <f>IF($A51="",0,SUMIFS('[1]销售出库'!$R$4:$R$2003,'[1]销售出库'!$H$4:$H$2003,$A51,'[1]销售出库'!$Q$4:$Q$2003,'首页'!$B$4*100+X$4))</f>
        <v>0</v>
      </c>
    </row>
    <row r="52">
      <c r="A52" s="6" t="str">
        <f>IF('[1]基础资料'!$P$51="","",'[1]基础资料'!$P$51)</f>
        <v>联想小新16C R7-8745Hs 16 512 灰色</v>
      </c>
      <c r="B52" s="6" t="str">
        <f>IF(A52="","",'[1]基础资料'!$Q$51&amp;"")</f>
        <v>联想</v>
      </c>
      <c r="C52" s="21">
        <f>IF(A52="",0,N('[1]基础资料'!$S$51))</f>
        <v>7</v>
      </c>
      <c r="D52" s="11">
        <f>IF(A52="",0,N('[1]基础资料'!$U$51))</f>
        <v>30180</v>
      </c>
      <c r="E52" s="21">
        <f>IF(A52="",0,SUMIFS('[1]采购入库'!$U$4:$U$2003,'[1]采购入库'!$I$4:$I$2003,$A52))</f>
        <v>0</v>
      </c>
      <c r="F52" s="11">
        <f>IF(A52="",0,SUMIFS('[1]采购入库'!$V$4:$V$2003,'[1]采购入库'!$I$4:$I$2003,$A52))</f>
        <v>0</v>
      </c>
      <c r="G52" s="21">
        <f>IF(A52="",0,SUMIFS('[1]销售出库'!$R$4:$R$2003,'[1]销售出库'!$H$4:$H$2003,$A52))</f>
        <v>0</v>
      </c>
      <c r="H52" s="11">
        <f t="shared" si="3"/>
        <v>4311.4286</v>
      </c>
      <c r="I52" s="11">
        <f t="shared" si="0"/>
        <v>0</v>
      </c>
      <c r="J52" s="21">
        <f t="shared" si="1"/>
        <v>7</v>
      </c>
      <c r="K52" s="11">
        <f t="shared" si="2"/>
        <v>30180</v>
      </c>
      <c r="L52" s="6">
        <f t="shared" si="4"/>
      </c>
      <c r="M52" s="21">
        <f>IF($A52="",0,SUMIFS('[1]销售出库'!$R$4:$R$2003,'[1]销售出库'!$H$4:$H$2003,$A52,'[1]销售出库'!$Q$4:$Q$2003,'首页'!$B$4*100+M$4))</f>
        <v>0</v>
      </c>
      <c r="N52" s="21">
        <f>IF($A52="",0,SUMIFS('[1]销售出库'!$R$4:$R$2003,'[1]销售出库'!$H$4:$H$2003,$A52,'[1]销售出库'!$Q$4:$Q$2003,'首页'!$B$4*100+N$4))</f>
        <v>0</v>
      </c>
      <c r="O52" s="21">
        <f>IF($A52="",0,SUMIFS('[1]销售出库'!$R$4:$R$2003,'[1]销售出库'!$H$4:$H$2003,$A52,'[1]销售出库'!$Q$4:$Q$2003,'首页'!$B$4*100+O$4))</f>
        <v>0</v>
      </c>
      <c r="P52" s="21">
        <f>IF($A52="",0,SUMIFS('[1]销售出库'!$R$4:$R$2003,'[1]销售出库'!$H$4:$H$2003,$A52,'[1]销售出库'!$Q$4:$Q$2003,'首页'!$B$4*100+P$4))</f>
        <v>0</v>
      </c>
      <c r="Q52" s="21">
        <f>IF($A52="",0,SUMIFS('[1]销售出库'!$R$4:$R$2003,'[1]销售出库'!$H$4:$H$2003,$A52,'[1]销售出库'!$Q$4:$Q$2003,'首页'!$B$4*100+Q$4))</f>
        <v>0</v>
      </c>
      <c r="R52" s="21">
        <f>IF($A52="",0,SUMIFS('[1]销售出库'!$R$4:$R$2003,'[1]销售出库'!$H$4:$H$2003,$A52,'[1]销售出库'!$Q$4:$Q$2003,'首页'!$B$4*100+R$4))</f>
        <v>0</v>
      </c>
      <c r="S52" s="21">
        <f>IF($A52="",0,SUMIFS('[1]销售出库'!$R$4:$R$2003,'[1]销售出库'!$H$4:$H$2003,$A52,'[1]销售出库'!$Q$4:$Q$2003,'首页'!$B$4*100+S$4))</f>
        <v>0</v>
      </c>
      <c r="T52" s="21">
        <f>IF($A52="",0,SUMIFS('[1]销售出库'!$R$4:$R$2003,'[1]销售出库'!$H$4:$H$2003,$A52,'[1]销售出库'!$Q$4:$Q$2003,'首页'!$B$4*100+T$4))</f>
        <v>0</v>
      </c>
      <c r="U52" s="21">
        <f>IF($A52="",0,SUMIFS('[1]销售出库'!$R$4:$R$2003,'[1]销售出库'!$H$4:$H$2003,$A52,'[1]销售出库'!$Q$4:$Q$2003,'首页'!$B$4*100+U$4))</f>
        <v>0</v>
      </c>
      <c r="V52" s="21">
        <f>IF($A52="",0,SUMIFS('[1]销售出库'!$R$4:$R$2003,'[1]销售出库'!$H$4:$H$2003,$A52,'[1]销售出库'!$Q$4:$Q$2003,'首页'!$B$4*100+V$4))</f>
        <v>0</v>
      </c>
      <c r="W52" s="21">
        <f>IF($A52="",0,SUMIFS('[1]销售出库'!$R$4:$R$2003,'[1]销售出库'!$H$4:$H$2003,$A52,'[1]销售出库'!$Q$4:$Q$2003,'首页'!$B$4*100+W$4))</f>
        <v>0</v>
      </c>
      <c r="X52" s="21">
        <f>IF($A52="",0,SUMIFS('[1]销售出库'!$R$4:$R$2003,'[1]销售出库'!$H$4:$H$2003,$A52,'[1]销售出库'!$Q$4:$Q$2003,'首页'!$B$4*100+X$4))</f>
        <v>0</v>
      </c>
    </row>
    <row r="53">
      <c r="A53" s="6" t="str">
        <f>IF('[1]基础资料'!$P$52="","",'[1]基础资料'!$P$52)</f>
        <v>联想小新Air14Ultra5-228V 120Hz 灰色,32GB,1TB SSD,官方标配</v>
      </c>
      <c r="B53" s="6" t="str">
        <f>IF(A53="","",'[1]基础资料'!$Q$52&amp;"")</f>
        <v>联想</v>
      </c>
      <c r="C53" s="21">
        <f>IF(A53="",0,N('[1]基础资料'!$S$52))</f>
        <v>18</v>
      </c>
      <c r="D53" s="11">
        <f>IF(A53="",0,N('[1]基础资料'!$U$52))</f>
        <v>124656</v>
      </c>
      <c r="E53" s="21">
        <f>IF(A53="",0,SUMIFS('[1]采购入库'!$U$4:$U$2003,'[1]采购入库'!$I$4:$I$2003,$A53))</f>
        <v>5</v>
      </c>
      <c r="F53" s="11">
        <f>IF(A53="",0,SUMIFS('[1]采购入库'!$V$4:$V$2003,'[1]采购入库'!$I$4:$I$2003,$A53))</f>
        <v>36440</v>
      </c>
      <c r="G53" s="21">
        <f>IF(A53="",0,SUMIFS('[1]销售出库'!$R$4:$R$2003,'[1]销售出库'!$H$4:$H$2003,$A53))</f>
        <v>0</v>
      </c>
      <c r="H53" s="11">
        <f t="shared" si="3"/>
        <v>7004.1739</v>
      </c>
      <c r="I53" s="11">
        <f t="shared" si="0"/>
        <v>0</v>
      </c>
      <c r="J53" s="21">
        <f t="shared" si="1"/>
        <v>23</v>
      </c>
      <c r="K53" s="11">
        <f t="shared" si="2"/>
        <v>161096</v>
      </c>
      <c r="L53" s="6">
        <f t="shared" si="4"/>
      </c>
      <c r="M53" s="21">
        <f>IF($A53="",0,SUMIFS('[1]销售出库'!$R$4:$R$2003,'[1]销售出库'!$H$4:$H$2003,$A53,'[1]销售出库'!$Q$4:$Q$2003,'首页'!$B$4*100+M$4))</f>
        <v>0</v>
      </c>
      <c r="N53" s="21">
        <f>IF($A53="",0,SUMIFS('[1]销售出库'!$R$4:$R$2003,'[1]销售出库'!$H$4:$H$2003,$A53,'[1]销售出库'!$Q$4:$Q$2003,'首页'!$B$4*100+N$4))</f>
        <v>0</v>
      </c>
      <c r="O53" s="21">
        <f>IF($A53="",0,SUMIFS('[1]销售出库'!$R$4:$R$2003,'[1]销售出库'!$H$4:$H$2003,$A53,'[1]销售出库'!$Q$4:$Q$2003,'首页'!$B$4*100+O$4))</f>
        <v>0</v>
      </c>
      <c r="P53" s="21">
        <f>IF($A53="",0,SUMIFS('[1]销售出库'!$R$4:$R$2003,'[1]销售出库'!$H$4:$H$2003,$A53,'[1]销售出库'!$Q$4:$Q$2003,'首页'!$B$4*100+P$4))</f>
        <v>0</v>
      </c>
      <c r="Q53" s="21">
        <f>IF($A53="",0,SUMIFS('[1]销售出库'!$R$4:$R$2003,'[1]销售出库'!$H$4:$H$2003,$A53,'[1]销售出库'!$Q$4:$Q$2003,'首页'!$B$4*100+Q$4))</f>
        <v>0</v>
      </c>
      <c r="R53" s="21">
        <f>IF($A53="",0,SUMIFS('[1]销售出库'!$R$4:$R$2003,'[1]销售出库'!$H$4:$H$2003,$A53,'[1]销售出库'!$Q$4:$Q$2003,'首页'!$B$4*100+R$4))</f>
        <v>0</v>
      </c>
      <c r="S53" s="21">
        <f>IF($A53="",0,SUMIFS('[1]销售出库'!$R$4:$R$2003,'[1]销售出库'!$H$4:$H$2003,$A53,'[1]销售出库'!$Q$4:$Q$2003,'首页'!$B$4*100+S$4))</f>
        <v>0</v>
      </c>
      <c r="T53" s="21">
        <f>IF($A53="",0,SUMIFS('[1]销售出库'!$R$4:$R$2003,'[1]销售出库'!$H$4:$H$2003,$A53,'[1]销售出库'!$Q$4:$Q$2003,'首页'!$B$4*100+T$4))</f>
        <v>0</v>
      </c>
      <c r="U53" s="21">
        <f>IF($A53="",0,SUMIFS('[1]销售出库'!$R$4:$R$2003,'[1]销售出库'!$H$4:$H$2003,$A53,'[1]销售出库'!$Q$4:$Q$2003,'首页'!$B$4*100+U$4))</f>
        <v>0</v>
      </c>
      <c r="V53" s="21">
        <f>IF($A53="",0,SUMIFS('[1]销售出库'!$R$4:$R$2003,'[1]销售出库'!$H$4:$H$2003,$A53,'[1]销售出库'!$Q$4:$Q$2003,'首页'!$B$4*100+V$4))</f>
        <v>0</v>
      </c>
      <c r="W53" s="21">
        <f>IF($A53="",0,SUMIFS('[1]销售出库'!$R$4:$R$2003,'[1]销售出库'!$H$4:$H$2003,$A53,'[1]销售出库'!$Q$4:$Q$2003,'首页'!$B$4*100+W$4))</f>
        <v>0</v>
      </c>
      <c r="X53" s="21">
        <f>IF($A53="",0,SUMIFS('[1]销售出库'!$R$4:$R$2003,'[1]销售出库'!$H$4:$H$2003,$A53,'[1]销售出库'!$Q$4:$Q$2003,'首页'!$B$4*100+X$4))</f>
        <v>0</v>
      </c>
    </row>
    <row r="54">
      <c r="A54" s="6" t="str">
        <f>IF('[1]基础资料'!$P$53="","",'[1]基础资料'!$P$53)</f>
        <v>联想小新Pro14 Ultra5-336H/32GB/1TB/集显</v>
      </c>
      <c r="B54" s="6" t="str">
        <f>IF(A54="","",'[1]基础资料'!$Q$53&amp;"")</f>
        <v>联想</v>
      </c>
      <c r="C54" s="21">
        <f>IF(A54="",0,N('[1]基础资料'!$S$53))</f>
        <v>8</v>
      </c>
      <c r="D54" s="11">
        <f>IF(A54="",0,N('[1]基础资料'!$U$53))</f>
        <v>58600</v>
      </c>
      <c r="E54" s="21">
        <f>IF(A54="",0,SUMIFS('[1]采购入库'!$U$4:$U$2003,'[1]采购入库'!$I$4:$I$2003,$A54))</f>
        <v>0</v>
      </c>
      <c r="F54" s="11">
        <f>IF(A54="",0,SUMIFS('[1]采购入库'!$V$4:$V$2003,'[1]采购入库'!$I$4:$I$2003,$A54))</f>
        <v>0</v>
      </c>
      <c r="G54" s="21">
        <f>IF(A54="",0,SUMIFS('[1]销售出库'!$R$4:$R$2003,'[1]销售出库'!$H$4:$H$2003,$A54))</f>
        <v>0</v>
      </c>
      <c r="H54" s="11">
        <f t="shared" si="3"/>
        <v>7325</v>
      </c>
      <c r="I54" s="11">
        <f t="shared" si="0"/>
        <v>0</v>
      </c>
      <c r="J54" s="21">
        <f t="shared" si="1"/>
        <v>8</v>
      </c>
      <c r="K54" s="11">
        <f t="shared" si="2"/>
        <v>58600</v>
      </c>
      <c r="L54" s="6">
        <f t="shared" si="4"/>
      </c>
      <c r="M54" s="21">
        <f>IF($A54="",0,SUMIFS('[1]销售出库'!$R$4:$R$2003,'[1]销售出库'!$H$4:$H$2003,$A54,'[1]销售出库'!$Q$4:$Q$2003,'首页'!$B$4*100+M$4))</f>
        <v>0</v>
      </c>
      <c r="N54" s="21">
        <f>IF($A54="",0,SUMIFS('[1]销售出库'!$R$4:$R$2003,'[1]销售出库'!$H$4:$H$2003,$A54,'[1]销售出库'!$Q$4:$Q$2003,'首页'!$B$4*100+N$4))</f>
        <v>0</v>
      </c>
      <c r="O54" s="21">
        <f>IF($A54="",0,SUMIFS('[1]销售出库'!$R$4:$R$2003,'[1]销售出库'!$H$4:$H$2003,$A54,'[1]销售出库'!$Q$4:$Q$2003,'首页'!$B$4*100+O$4))</f>
        <v>0</v>
      </c>
      <c r="P54" s="21">
        <f>IF($A54="",0,SUMIFS('[1]销售出库'!$R$4:$R$2003,'[1]销售出库'!$H$4:$H$2003,$A54,'[1]销售出库'!$Q$4:$Q$2003,'首页'!$B$4*100+P$4))</f>
        <v>0</v>
      </c>
      <c r="Q54" s="21">
        <f>IF($A54="",0,SUMIFS('[1]销售出库'!$R$4:$R$2003,'[1]销售出库'!$H$4:$H$2003,$A54,'[1]销售出库'!$Q$4:$Q$2003,'首页'!$B$4*100+Q$4))</f>
        <v>0</v>
      </c>
      <c r="R54" s="21">
        <f>IF($A54="",0,SUMIFS('[1]销售出库'!$R$4:$R$2003,'[1]销售出库'!$H$4:$H$2003,$A54,'[1]销售出库'!$Q$4:$Q$2003,'首页'!$B$4*100+R$4))</f>
        <v>0</v>
      </c>
      <c r="S54" s="21">
        <f>IF($A54="",0,SUMIFS('[1]销售出库'!$R$4:$R$2003,'[1]销售出库'!$H$4:$H$2003,$A54,'[1]销售出库'!$Q$4:$Q$2003,'首页'!$B$4*100+S$4))</f>
        <v>0</v>
      </c>
      <c r="T54" s="21">
        <f>IF($A54="",0,SUMIFS('[1]销售出库'!$R$4:$R$2003,'[1]销售出库'!$H$4:$H$2003,$A54,'[1]销售出库'!$Q$4:$Q$2003,'首页'!$B$4*100+T$4))</f>
        <v>0</v>
      </c>
      <c r="U54" s="21">
        <f>IF($A54="",0,SUMIFS('[1]销售出库'!$R$4:$R$2003,'[1]销售出库'!$H$4:$H$2003,$A54,'[1]销售出库'!$Q$4:$Q$2003,'首页'!$B$4*100+U$4))</f>
        <v>0</v>
      </c>
      <c r="V54" s="21">
        <f>IF($A54="",0,SUMIFS('[1]销售出库'!$R$4:$R$2003,'[1]销售出库'!$H$4:$H$2003,$A54,'[1]销售出库'!$Q$4:$Q$2003,'首页'!$B$4*100+V$4))</f>
        <v>0</v>
      </c>
      <c r="W54" s="21">
        <f>IF($A54="",0,SUMIFS('[1]销售出库'!$R$4:$R$2003,'[1]销售出库'!$H$4:$H$2003,$A54,'[1]销售出库'!$Q$4:$Q$2003,'首页'!$B$4*100+W$4))</f>
        <v>0</v>
      </c>
      <c r="X54" s="21">
        <f>IF($A54="",0,SUMIFS('[1]销售出库'!$R$4:$R$2003,'[1]销售出库'!$H$4:$H$2003,$A54,'[1]销售出库'!$Q$4:$Q$2003,'首页'!$B$4*100+X$4))</f>
        <v>0</v>
      </c>
    </row>
    <row r="55">
      <c r="A55" s="6" t="str">
        <f>IF('[1]基础资料'!$P$54="","",'[1]基础资料'!$P$54)</f>
        <v>小新14C R7-8745Hs-16G-512G-灰色</v>
      </c>
      <c r="B55" s="6" t="str">
        <f>IF(A55="","",'[1]基础资料'!$Q$54&amp;"")</f>
        <v>联想</v>
      </c>
      <c r="C55" s="21">
        <f>IF(A55="",0,N('[1]基础资料'!$S$54))</f>
        <v>15</v>
      </c>
      <c r="D55" s="11">
        <f>IF(A55="",0,N('[1]基础资料'!$U$54))</f>
        <v>60707.14</v>
      </c>
      <c r="E55" s="21">
        <f>IF(A55="",0,SUMIFS('[1]采购入库'!$U$4:$U$2003,'[1]采购入库'!$I$4:$I$2003,$A55))</f>
        <v>0</v>
      </c>
      <c r="F55" s="11">
        <f>IF(A55="",0,SUMIFS('[1]采购入库'!$V$4:$V$2003,'[1]采购入库'!$I$4:$I$2003,$A55))</f>
        <v>0</v>
      </c>
      <c r="G55" s="21">
        <f>IF(A55="",0,SUMIFS('[1]销售出库'!$R$4:$R$2003,'[1]销售出库'!$H$4:$H$2003,$A55))</f>
        <v>5</v>
      </c>
      <c r="H55" s="11">
        <f t="shared" si="3"/>
        <v>4047.1427</v>
      </c>
      <c r="I55" s="11">
        <f t="shared" si="0"/>
        <v>20235.71</v>
      </c>
      <c r="J55" s="21">
        <f t="shared" si="1"/>
        <v>10</v>
      </c>
      <c r="K55" s="11">
        <f t="shared" si="2"/>
        <v>40471.43</v>
      </c>
      <c r="L55" s="6">
        <f t="shared" si="4"/>
      </c>
      <c r="M55" s="21">
        <f>IF($A55="",0,SUMIFS('[1]销售出库'!$R$4:$R$2003,'[1]销售出库'!$H$4:$H$2003,$A55,'[1]销售出库'!$Q$4:$Q$2003,'首页'!$B$4*100+M$4))</f>
        <v>0</v>
      </c>
      <c r="N55" s="21">
        <f>IF($A55="",0,SUMIFS('[1]销售出库'!$R$4:$R$2003,'[1]销售出库'!$H$4:$H$2003,$A55,'[1]销售出库'!$Q$4:$Q$2003,'首页'!$B$4*100+N$4))</f>
        <v>0</v>
      </c>
      <c r="O55" s="21">
        <f>IF($A55="",0,SUMIFS('[1]销售出库'!$R$4:$R$2003,'[1]销售出库'!$H$4:$H$2003,$A55,'[1]销售出库'!$Q$4:$Q$2003,'首页'!$B$4*100+O$4))</f>
        <v>0</v>
      </c>
      <c r="P55" s="21">
        <f>IF($A55="",0,SUMIFS('[1]销售出库'!$R$4:$R$2003,'[1]销售出库'!$H$4:$H$2003,$A55,'[1]销售出库'!$Q$4:$Q$2003,'首页'!$B$4*100+P$4))</f>
        <v>0</v>
      </c>
      <c r="Q55" s="21">
        <f>IF($A55="",0,SUMIFS('[1]销售出库'!$R$4:$R$2003,'[1]销售出库'!$H$4:$H$2003,$A55,'[1]销售出库'!$Q$4:$Q$2003,'首页'!$B$4*100+Q$4))</f>
        <v>0</v>
      </c>
      <c r="R55" s="21">
        <f>IF($A55="",0,SUMIFS('[1]销售出库'!$R$4:$R$2003,'[1]销售出库'!$H$4:$H$2003,$A55,'[1]销售出库'!$Q$4:$Q$2003,'首页'!$B$4*100+R$4))</f>
        <v>0</v>
      </c>
      <c r="S55" s="21">
        <f>IF($A55="",0,SUMIFS('[1]销售出库'!$R$4:$R$2003,'[1]销售出库'!$H$4:$H$2003,$A55,'[1]销售出库'!$Q$4:$Q$2003,'首页'!$B$4*100+S$4))</f>
        <v>0</v>
      </c>
      <c r="T55" s="21">
        <f>IF($A55="",0,SUMIFS('[1]销售出库'!$R$4:$R$2003,'[1]销售出库'!$H$4:$H$2003,$A55,'[1]销售出库'!$Q$4:$Q$2003,'首页'!$B$4*100+T$4))</f>
        <v>0</v>
      </c>
      <c r="U55" s="21">
        <f>IF($A55="",0,SUMIFS('[1]销售出库'!$R$4:$R$2003,'[1]销售出库'!$H$4:$H$2003,$A55,'[1]销售出库'!$Q$4:$Q$2003,'首页'!$B$4*100+U$4))</f>
        <v>5</v>
      </c>
      <c r="V55" s="21">
        <f>IF($A55="",0,SUMIFS('[1]销售出库'!$R$4:$R$2003,'[1]销售出库'!$H$4:$H$2003,$A55,'[1]销售出库'!$Q$4:$Q$2003,'首页'!$B$4*100+V$4))</f>
        <v>0</v>
      </c>
      <c r="W55" s="21">
        <f>IF($A55="",0,SUMIFS('[1]销售出库'!$R$4:$R$2003,'[1]销售出库'!$H$4:$H$2003,$A55,'[1]销售出库'!$Q$4:$Q$2003,'首页'!$B$4*100+W$4))</f>
        <v>0</v>
      </c>
      <c r="X55" s="21">
        <f>IF($A55="",0,SUMIFS('[1]销售出库'!$R$4:$R$2003,'[1]销售出库'!$H$4:$H$2003,$A55,'[1]销售出库'!$Q$4:$Q$2003,'首页'!$B$4*100+X$4))</f>
        <v>0</v>
      </c>
    </row>
    <row r="56">
      <c r="A56" s="6" t="str">
        <f>IF('[1]基础资料'!$P$55="","",'[1]基础资料'!$P$55)</f>
        <v>华硕主机固态硬盘1T</v>
      </c>
      <c r="B56" s="6" t="str">
        <f>IF(A56="","",'[1]基础资料'!$Q$55&amp;"")</f>
        <v>配件</v>
      </c>
      <c r="C56" s="21">
        <f>IF(A56="",0,N('[1]基础资料'!$S$55))</f>
        <v>70</v>
      </c>
      <c r="D56" s="11">
        <f>IF(A56="",0,N('[1]基础资料'!$U$55))</f>
        <v>61600</v>
      </c>
      <c r="E56" s="21">
        <f>IF(A56="",0,SUMIFS('[1]采购入库'!$U$4:$U$2003,'[1]采购入库'!$I$4:$I$2003,$A56))</f>
        <v>0</v>
      </c>
      <c r="F56" s="11">
        <f>IF(A56="",0,SUMIFS('[1]采购入库'!$V$4:$V$2003,'[1]采购入库'!$I$4:$I$2003,$A56))</f>
        <v>0</v>
      </c>
      <c r="G56" s="21">
        <f>IF(A56="",0,SUMIFS('[1]销售出库'!$R$4:$R$2003,'[1]销售出库'!$H$4:$H$2003,$A56))</f>
        <v>0</v>
      </c>
      <c r="H56" s="11">
        <f t="shared" si="3"/>
        <v>880</v>
      </c>
      <c r="I56" s="11">
        <f t="shared" si="0"/>
        <v>0</v>
      </c>
      <c r="J56" s="21">
        <f t="shared" si="1"/>
        <v>70</v>
      </c>
      <c r="K56" s="11">
        <f t="shared" si="2"/>
        <v>61600</v>
      </c>
      <c r="L56" s="6">
        <f t="shared" si="4"/>
      </c>
      <c r="M56" s="21">
        <f>IF($A56="",0,SUMIFS('[1]销售出库'!$R$4:$R$2003,'[1]销售出库'!$H$4:$H$2003,$A56,'[1]销售出库'!$Q$4:$Q$2003,'首页'!$B$4*100+M$4))</f>
        <v>0</v>
      </c>
      <c r="N56" s="21">
        <f>IF($A56="",0,SUMIFS('[1]销售出库'!$R$4:$R$2003,'[1]销售出库'!$H$4:$H$2003,$A56,'[1]销售出库'!$Q$4:$Q$2003,'首页'!$B$4*100+N$4))</f>
        <v>0</v>
      </c>
      <c r="O56" s="21">
        <f>IF($A56="",0,SUMIFS('[1]销售出库'!$R$4:$R$2003,'[1]销售出库'!$H$4:$H$2003,$A56,'[1]销售出库'!$Q$4:$Q$2003,'首页'!$B$4*100+O$4))</f>
        <v>0</v>
      </c>
      <c r="P56" s="21">
        <f>IF($A56="",0,SUMIFS('[1]销售出库'!$R$4:$R$2003,'[1]销售出库'!$H$4:$H$2003,$A56,'[1]销售出库'!$Q$4:$Q$2003,'首页'!$B$4*100+P$4))</f>
        <v>0</v>
      </c>
      <c r="Q56" s="21">
        <f>IF($A56="",0,SUMIFS('[1]销售出库'!$R$4:$R$2003,'[1]销售出库'!$H$4:$H$2003,$A56,'[1]销售出库'!$Q$4:$Q$2003,'首页'!$B$4*100+Q$4))</f>
        <v>0</v>
      </c>
      <c r="R56" s="21">
        <f>IF($A56="",0,SUMIFS('[1]销售出库'!$R$4:$R$2003,'[1]销售出库'!$H$4:$H$2003,$A56,'[1]销售出库'!$Q$4:$Q$2003,'首页'!$B$4*100+R$4))</f>
        <v>0</v>
      </c>
      <c r="S56" s="21">
        <f>IF($A56="",0,SUMIFS('[1]销售出库'!$R$4:$R$2003,'[1]销售出库'!$H$4:$H$2003,$A56,'[1]销售出库'!$Q$4:$Q$2003,'首页'!$B$4*100+S$4))</f>
        <v>0</v>
      </c>
      <c r="T56" s="21">
        <f>IF($A56="",0,SUMIFS('[1]销售出库'!$R$4:$R$2003,'[1]销售出库'!$H$4:$H$2003,$A56,'[1]销售出库'!$Q$4:$Q$2003,'首页'!$B$4*100+T$4))</f>
        <v>0</v>
      </c>
      <c r="U56" s="21">
        <f>IF($A56="",0,SUMIFS('[1]销售出库'!$R$4:$R$2003,'[1]销售出库'!$H$4:$H$2003,$A56,'[1]销售出库'!$Q$4:$Q$2003,'首页'!$B$4*100+U$4))</f>
        <v>0</v>
      </c>
      <c r="V56" s="21">
        <f>IF($A56="",0,SUMIFS('[1]销售出库'!$R$4:$R$2003,'[1]销售出库'!$H$4:$H$2003,$A56,'[1]销售出库'!$Q$4:$Q$2003,'首页'!$B$4*100+V$4))</f>
        <v>0</v>
      </c>
      <c r="W56" s="21">
        <f>IF($A56="",0,SUMIFS('[1]销售出库'!$R$4:$R$2003,'[1]销售出库'!$H$4:$H$2003,$A56,'[1]销售出库'!$Q$4:$Q$2003,'首页'!$B$4*100+W$4))</f>
        <v>0</v>
      </c>
      <c r="X56" s="21">
        <f>IF($A56="",0,SUMIFS('[1]销售出库'!$R$4:$R$2003,'[1]销售出库'!$H$4:$H$2003,$A56,'[1]销售出库'!$Q$4:$Q$2003,'首页'!$B$4*100+X$4))</f>
        <v>0</v>
      </c>
    </row>
    <row r="57">
      <c r="A57" s="6" t="str">
        <f>IF('[1]基础资料'!$P$56="","",'[1]基础资料'!$P$56)</f>
        <v>联想小新Pro16 GT 酷睿版 Ultra5 225H 32GB+1TB</v>
      </c>
      <c r="B57" s="6" t="str">
        <f>IF(A57="","",'[1]基础资料'!$Q$56&amp;"")</f>
        <v>联想</v>
      </c>
      <c r="C57" s="21">
        <f>IF(A57="",0,N('[1]基础资料'!$S$56))</f>
        <v>18</v>
      </c>
      <c r="D57" s="11">
        <f>IF(A57="",0,N('[1]基础资料'!$U$56))</f>
        <v>131324.21</v>
      </c>
      <c r="E57" s="21">
        <f>IF(A57="",0,SUMIFS('[1]采购入库'!$U$4:$U$2003,'[1]采购入库'!$I$4:$I$2003,$A57))</f>
        <v>0</v>
      </c>
      <c r="F57" s="11">
        <f>IF(A57="",0,SUMIFS('[1]采购入库'!$V$4:$V$2003,'[1]采购入库'!$I$4:$I$2003,$A57))</f>
        <v>0</v>
      </c>
      <c r="G57" s="21">
        <f>IF(A57="",0,SUMIFS('[1]销售出库'!$R$4:$R$2003,'[1]销售出库'!$H$4:$H$2003,$A57))</f>
        <v>0</v>
      </c>
      <c r="H57" s="11">
        <f t="shared" si="3"/>
        <v>7295.7894</v>
      </c>
      <c r="I57" s="11">
        <f t="shared" si="0"/>
        <v>0</v>
      </c>
      <c r="J57" s="21">
        <f t="shared" si="1"/>
        <v>18</v>
      </c>
      <c r="K57" s="11">
        <f t="shared" si="2"/>
        <v>131324.21</v>
      </c>
      <c r="L57" s="6">
        <f t="shared" si="4"/>
      </c>
      <c r="M57" s="21">
        <f>IF($A57="",0,SUMIFS('[1]销售出库'!$R$4:$R$2003,'[1]销售出库'!$H$4:$H$2003,$A57,'[1]销售出库'!$Q$4:$Q$2003,'首页'!$B$4*100+M$4))</f>
        <v>0</v>
      </c>
      <c r="N57" s="21">
        <f>IF($A57="",0,SUMIFS('[1]销售出库'!$R$4:$R$2003,'[1]销售出库'!$H$4:$H$2003,$A57,'[1]销售出库'!$Q$4:$Q$2003,'首页'!$B$4*100+N$4))</f>
        <v>0</v>
      </c>
      <c r="O57" s="21">
        <f>IF($A57="",0,SUMIFS('[1]销售出库'!$R$4:$R$2003,'[1]销售出库'!$H$4:$H$2003,$A57,'[1]销售出库'!$Q$4:$Q$2003,'首页'!$B$4*100+O$4))</f>
        <v>0</v>
      </c>
      <c r="P57" s="21">
        <f>IF($A57="",0,SUMIFS('[1]销售出库'!$R$4:$R$2003,'[1]销售出库'!$H$4:$H$2003,$A57,'[1]销售出库'!$Q$4:$Q$2003,'首页'!$B$4*100+P$4))</f>
        <v>0</v>
      </c>
      <c r="Q57" s="21">
        <f>IF($A57="",0,SUMIFS('[1]销售出库'!$R$4:$R$2003,'[1]销售出库'!$H$4:$H$2003,$A57,'[1]销售出库'!$Q$4:$Q$2003,'首页'!$B$4*100+Q$4))</f>
        <v>0</v>
      </c>
      <c r="R57" s="21">
        <f>IF($A57="",0,SUMIFS('[1]销售出库'!$R$4:$R$2003,'[1]销售出库'!$H$4:$H$2003,$A57,'[1]销售出库'!$Q$4:$Q$2003,'首页'!$B$4*100+R$4))</f>
        <v>0</v>
      </c>
      <c r="S57" s="21">
        <f>IF($A57="",0,SUMIFS('[1]销售出库'!$R$4:$R$2003,'[1]销售出库'!$H$4:$H$2003,$A57,'[1]销售出库'!$Q$4:$Q$2003,'首页'!$B$4*100+S$4))</f>
        <v>0</v>
      </c>
      <c r="T57" s="21">
        <f>IF($A57="",0,SUMIFS('[1]销售出库'!$R$4:$R$2003,'[1]销售出库'!$H$4:$H$2003,$A57,'[1]销售出库'!$Q$4:$Q$2003,'首页'!$B$4*100+T$4))</f>
        <v>0</v>
      </c>
      <c r="U57" s="21">
        <f>IF($A57="",0,SUMIFS('[1]销售出库'!$R$4:$R$2003,'[1]销售出库'!$H$4:$H$2003,$A57,'[1]销售出库'!$Q$4:$Q$2003,'首页'!$B$4*100+U$4))</f>
        <v>0</v>
      </c>
      <c r="V57" s="21">
        <f>IF($A57="",0,SUMIFS('[1]销售出库'!$R$4:$R$2003,'[1]销售出库'!$H$4:$H$2003,$A57,'[1]销售出库'!$Q$4:$Q$2003,'首页'!$B$4*100+V$4))</f>
        <v>0</v>
      </c>
      <c r="W57" s="21">
        <f>IF($A57="",0,SUMIFS('[1]销售出库'!$R$4:$R$2003,'[1]销售出库'!$H$4:$H$2003,$A57,'[1]销售出库'!$Q$4:$Q$2003,'首页'!$B$4*100+W$4))</f>
        <v>0</v>
      </c>
      <c r="X57" s="21">
        <f>IF($A57="",0,SUMIFS('[1]销售出库'!$R$4:$R$2003,'[1]销售出库'!$H$4:$H$2003,$A57,'[1]销售出库'!$Q$4:$Q$2003,'首页'!$B$4*100+X$4))</f>
        <v>0</v>
      </c>
    </row>
    <row r="58">
      <c r="A58" s="6" t="str">
        <f>IF('[1]基础资料'!$P$57="","",'[1]基础资料'!$P$57)</f>
        <v>天选6 FA608UH260-锐龙7H260-16G-1T-RTX5050-青</v>
      </c>
      <c r="B58" s="6" t="str">
        <f>IF(A58="","",'[1]基础资料'!$Q$57&amp;"")</f>
        <v>华硕</v>
      </c>
      <c r="C58" s="21">
        <f>IF(A58="",0,N('[1]基础资料'!$S$57))</f>
        <v>35</v>
      </c>
      <c r="D58" s="11">
        <f>IF(A58="",0,N('[1]基础资料'!$U$57))</f>
        <v>231623.17</v>
      </c>
      <c r="E58" s="21">
        <f>IF(A58="",0,SUMIFS('[1]采购入库'!$U$4:$U$2003,'[1]采购入库'!$I$4:$I$2003,$A58))</f>
        <v>0</v>
      </c>
      <c r="F58" s="11">
        <f>IF(A58="",0,SUMIFS('[1]采购入库'!$V$4:$V$2003,'[1]采购入库'!$I$4:$I$2003,$A58))</f>
        <v>0</v>
      </c>
      <c r="G58" s="21">
        <f>IF(A58="",0,SUMIFS('[1]销售出库'!$R$4:$R$2003,'[1]销售出库'!$H$4:$H$2003,$A58))</f>
        <v>0</v>
      </c>
      <c r="H58" s="11">
        <f t="shared" si="3"/>
        <v>6617.8049</v>
      </c>
      <c r="I58" s="11">
        <f t="shared" si="0"/>
        <v>0</v>
      </c>
      <c r="J58" s="21">
        <f t="shared" si="1"/>
        <v>35</v>
      </c>
      <c r="K58" s="11">
        <f t="shared" si="2"/>
        <v>231623.17</v>
      </c>
      <c r="L58" s="6">
        <f t="shared" si="4"/>
      </c>
      <c r="M58" s="21">
        <f>IF($A58="",0,SUMIFS('[1]销售出库'!$R$4:$R$2003,'[1]销售出库'!$H$4:$H$2003,$A58,'[1]销售出库'!$Q$4:$Q$2003,'首页'!$B$4*100+M$4))</f>
        <v>0</v>
      </c>
      <c r="N58" s="21">
        <f>IF($A58="",0,SUMIFS('[1]销售出库'!$R$4:$R$2003,'[1]销售出库'!$H$4:$H$2003,$A58,'[1]销售出库'!$Q$4:$Q$2003,'首页'!$B$4*100+N$4))</f>
        <v>0</v>
      </c>
      <c r="O58" s="21">
        <f>IF($A58="",0,SUMIFS('[1]销售出库'!$R$4:$R$2003,'[1]销售出库'!$H$4:$H$2003,$A58,'[1]销售出库'!$Q$4:$Q$2003,'首页'!$B$4*100+O$4))</f>
        <v>0</v>
      </c>
      <c r="P58" s="21">
        <f>IF($A58="",0,SUMIFS('[1]销售出库'!$R$4:$R$2003,'[1]销售出库'!$H$4:$H$2003,$A58,'[1]销售出库'!$Q$4:$Q$2003,'首页'!$B$4*100+P$4))</f>
        <v>0</v>
      </c>
      <c r="Q58" s="21">
        <f>IF($A58="",0,SUMIFS('[1]销售出库'!$R$4:$R$2003,'[1]销售出库'!$H$4:$H$2003,$A58,'[1]销售出库'!$Q$4:$Q$2003,'首页'!$B$4*100+Q$4))</f>
        <v>0</v>
      </c>
      <c r="R58" s="21">
        <f>IF($A58="",0,SUMIFS('[1]销售出库'!$R$4:$R$2003,'[1]销售出库'!$H$4:$H$2003,$A58,'[1]销售出库'!$Q$4:$Q$2003,'首页'!$B$4*100+R$4))</f>
        <v>0</v>
      </c>
      <c r="S58" s="21">
        <f>IF($A58="",0,SUMIFS('[1]销售出库'!$R$4:$R$2003,'[1]销售出库'!$H$4:$H$2003,$A58,'[1]销售出库'!$Q$4:$Q$2003,'首页'!$B$4*100+S$4))</f>
        <v>0</v>
      </c>
      <c r="T58" s="21">
        <f>IF($A58="",0,SUMIFS('[1]销售出库'!$R$4:$R$2003,'[1]销售出库'!$H$4:$H$2003,$A58,'[1]销售出库'!$Q$4:$Q$2003,'首页'!$B$4*100+T$4))</f>
        <v>0</v>
      </c>
      <c r="U58" s="21">
        <f>IF($A58="",0,SUMIFS('[1]销售出库'!$R$4:$R$2003,'[1]销售出库'!$H$4:$H$2003,$A58,'[1]销售出库'!$Q$4:$Q$2003,'首页'!$B$4*100+U$4))</f>
        <v>0</v>
      </c>
      <c r="V58" s="21">
        <f>IF($A58="",0,SUMIFS('[1]销售出库'!$R$4:$R$2003,'[1]销售出库'!$H$4:$H$2003,$A58,'[1]销售出库'!$Q$4:$Q$2003,'首页'!$B$4*100+V$4))</f>
        <v>0</v>
      </c>
      <c r="W58" s="21">
        <f>IF($A58="",0,SUMIFS('[1]销售出库'!$R$4:$R$2003,'[1]销售出库'!$H$4:$H$2003,$A58,'[1]销售出库'!$Q$4:$Q$2003,'首页'!$B$4*100+W$4))</f>
        <v>0</v>
      </c>
      <c r="X58" s="21">
        <f>IF($A58="",0,SUMIFS('[1]销售出库'!$R$4:$R$2003,'[1]销售出库'!$H$4:$H$2003,$A58,'[1]销售出库'!$Q$4:$Q$2003,'首页'!$B$4*100+X$4))</f>
        <v>0</v>
      </c>
    </row>
    <row r="59">
      <c r="A59" s="6" t="str">
        <f>IF('[1]基础资料'!$P$58="","",'[1]基础资料'!$P$58)</f>
        <v>天选6Pro FA608PM8940-锐龙9 R9-8940HX-16G-1T-RTX5060-2.5K-青</v>
      </c>
      <c r="B59" s="6" t="str">
        <f>IF(A59="","",'[1]基础资料'!$Q$58&amp;"")</f>
        <v>华硕</v>
      </c>
      <c r="C59" s="21">
        <f>IF(A59="",0,N('[1]基础资料'!$S$58))</f>
        <v>136</v>
      </c>
      <c r="D59" s="11">
        <f>IF(A59="",0,N('[1]基础资料'!$U$58))</f>
        <v>1037909.79</v>
      </c>
      <c r="E59" s="21">
        <f>IF(A59="",0,SUMIFS('[1]采购入库'!$U$4:$U$2003,'[1]采购入库'!$I$4:$I$2003,$A59))</f>
        <v>0</v>
      </c>
      <c r="F59" s="11">
        <f>IF(A59="",0,SUMIFS('[1]采购入库'!$V$4:$V$2003,'[1]采购入库'!$I$4:$I$2003,$A59))</f>
        <v>0</v>
      </c>
      <c r="G59" s="21">
        <f>IF(A59="",0,SUMIFS('[1]销售出库'!$R$4:$R$2003,'[1]销售出库'!$H$4:$H$2003,$A59))</f>
        <v>0</v>
      </c>
      <c r="H59" s="11">
        <f t="shared" si="3"/>
        <v>7631.6896</v>
      </c>
      <c r="I59" s="11">
        <f t="shared" si="0"/>
        <v>0</v>
      </c>
      <c r="J59" s="21">
        <f t="shared" si="1"/>
        <v>136</v>
      </c>
      <c r="K59" s="11">
        <f t="shared" si="2"/>
        <v>1037909.79</v>
      </c>
      <c r="L59" s="6">
        <f t="shared" si="4"/>
      </c>
      <c r="M59" s="21">
        <f>IF($A59="",0,SUMIFS('[1]销售出库'!$R$4:$R$2003,'[1]销售出库'!$H$4:$H$2003,$A59,'[1]销售出库'!$Q$4:$Q$2003,'首页'!$B$4*100+M$4))</f>
        <v>0</v>
      </c>
      <c r="N59" s="21">
        <f>IF($A59="",0,SUMIFS('[1]销售出库'!$R$4:$R$2003,'[1]销售出库'!$H$4:$H$2003,$A59,'[1]销售出库'!$Q$4:$Q$2003,'首页'!$B$4*100+N$4))</f>
        <v>0</v>
      </c>
      <c r="O59" s="21">
        <f>IF($A59="",0,SUMIFS('[1]销售出库'!$R$4:$R$2003,'[1]销售出库'!$H$4:$H$2003,$A59,'[1]销售出库'!$Q$4:$Q$2003,'首页'!$B$4*100+O$4))</f>
        <v>0</v>
      </c>
      <c r="P59" s="21">
        <f>IF($A59="",0,SUMIFS('[1]销售出库'!$R$4:$R$2003,'[1]销售出库'!$H$4:$H$2003,$A59,'[1]销售出库'!$Q$4:$Q$2003,'首页'!$B$4*100+P$4))</f>
        <v>0</v>
      </c>
      <c r="Q59" s="21">
        <f>IF($A59="",0,SUMIFS('[1]销售出库'!$R$4:$R$2003,'[1]销售出库'!$H$4:$H$2003,$A59,'[1]销售出库'!$Q$4:$Q$2003,'首页'!$B$4*100+Q$4))</f>
        <v>0</v>
      </c>
      <c r="R59" s="21">
        <f>IF($A59="",0,SUMIFS('[1]销售出库'!$R$4:$R$2003,'[1]销售出库'!$H$4:$H$2003,$A59,'[1]销售出库'!$Q$4:$Q$2003,'首页'!$B$4*100+R$4))</f>
        <v>0</v>
      </c>
      <c r="S59" s="21">
        <f>IF($A59="",0,SUMIFS('[1]销售出库'!$R$4:$R$2003,'[1]销售出库'!$H$4:$H$2003,$A59,'[1]销售出库'!$Q$4:$Q$2003,'首页'!$B$4*100+S$4))</f>
        <v>0</v>
      </c>
      <c r="T59" s="21">
        <f>IF($A59="",0,SUMIFS('[1]销售出库'!$R$4:$R$2003,'[1]销售出库'!$H$4:$H$2003,$A59,'[1]销售出库'!$Q$4:$Q$2003,'首页'!$B$4*100+T$4))</f>
        <v>0</v>
      </c>
      <c r="U59" s="21">
        <f>IF($A59="",0,SUMIFS('[1]销售出库'!$R$4:$R$2003,'[1]销售出库'!$H$4:$H$2003,$A59,'[1]销售出库'!$Q$4:$Q$2003,'首页'!$B$4*100+U$4))</f>
        <v>0</v>
      </c>
      <c r="V59" s="21">
        <f>IF($A59="",0,SUMIFS('[1]销售出库'!$R$4:$R$2003,'[1]销售出库'!$H$4:$H$2003,$A59,'[1]销售出库'!$Q$4:$Q$2003,'首页'!$B$4*100+V$4))</f>
        <v>0</v>
      </c>
      <c r="W59" s="21">
        <f>IF($A59="",0,SUMIFS('[1]销售出库'!$R$4:$R$2003,'[1]销售出库'!$H$4:$H$2003,$A59,'[1]销售出库'!$Q$4:$Q$2003,'首页'!$B$4*100+W$4))</f>
        <v>0</v>
      </c>
      <c r="X59" s="21">
        <f>IF($A59="",0,SUMIFS('[1]销售出库'!$R$4:$R$2003,'[1]销售出库'!$H$4:$H$2003,$A59,'[1]销售出库'!$Q$4:$Q$2003,'首页'!$B$4*100+X$4))</f>
        <v>0</v>
      </c>
    </row>
    <row r="60">
      <c r="A60" s="6" t="str">
        <f>IF('[1]基础资料'!$P$59="","",'[1]基础资料'!$P$59)</f>
        <v>天选6Pro FX608JP13650 I7-13650HX-16G-1TB-5070-8G-灰165Hz</v>
      </c>
      <c r="B60" s="6" t="str">
        <f>IF(A60="","",'[1]基础资料'!$Q$59&amp;"")</f>
        <v>华硕</v>
      </c>
      <c r="C60" s="21">
        <f>IF(A60="",0,N('[1]基础资料'!$S$59))</f>
        <v>16</v>
      </c>
      <c r="D60" s="11">
        <f>IF(A60="",0,N('[1]基础资料'!$U$59))</f>
        <v>133543.53</v>
      </c>
      <c r="E60" s="21">
        <f>IF(A60="",0,SUMIFS('[1]采购入库'!$U$4:$U$2003,'[1]采购入库'!$I$4:$I$2003,$A60))</f>
        <v>0</v>
      </c>
      <c r="F60" s="11">
        <f>IF(A60="",0,SUMIFS('[1]采购入库'!$V$4:$V$2003,'[1]采购入库'!$I$4:$I$2003,$A60))</f>
        <v>0</v>
      </c>
      <c r="G60" s="21">
        <f>IF(A60="",0,SUMIFS('[1]销售出库'!$R$4:$R$2003,'[1]销售出库'!$H$4:$H$2003,$A60))</f>
        <v>0</v>
      </c>
      <c r="H60" s="11">
        <f t="shared" si="3"/>
        <v>8346.4706</v>
      </c>
      <c r="I60" s="11">
        <f t="shared" si="0"/>
        <v>0</v>
      </c>
      <c r="J60" s="21">
        <f t="shared" si="1"/>
        <v>16</v>
      </c>
      <c r="K60" s="11">
        <f t="shared" si="2"/>
        <v>133543.53</v>
      </c>
      <c r="L60" s="6">
        <f t="shared" si="4"/>
      </c>
      <c r="M60" s="21">
        <f>IF($A60="",0,SUMIFS('[1]销售出库'!$R$4:$R$2003,'[1]销售出库'!$H$4:$H$2003,$A60,'[1]销售出库'!$Q$4:$Q$2003,'首页'!$B$4*100+M$4))</f>
        <v>0</v>
      </c>
      <c r="N60" s="21">
        <f>IF($A60="",0,SUMIFS('[1]销售出库'!$R$4:$R$2003,'[1]销售出库'!$H$4:$H$2003,$A60,'[1]销售出库'!$Q$4:$Q$2003,'首页'!$B$4*100+N$4))</f>
        <v>0</v>
      </c>
      <c r="O60" s="21">
        <f>IF($A60="",0,SUMIFS('[1]销售出库'!$R$4:$R$2003,'[1]销售出库'!$H$4:$H$2003,$A60,'[1]销售出库'!$Q$4:$Q$2003,'首页'!$B$4*100+O$4))</f>
        <v>0</v>
      </c>
      <c r="P60" s="21">
        <f>IF($A60="",0,SUMIFS('[1]销售出库'!$R$4:$R$2003,'[1]销售出库'!$H$4:$H$2003,$A60,'[1]销售出库'!$Q$4:$Q$2003,'首页'!$B$4*100+P$4))</f>
        <v>0</v>
      </c>
      <c r="Q60" s="21">
        <f>IF($A60="",0,SUMIFS('[1]销售出库'!$R$4:$R$2003,'[1]销售出库'!$H$4:$H$2003,$A60,'[1]销售出库'!$Q$4:$Q$2003,'首页'!$B$4*100+Q$4))</f>
        <v>0</v>
      </c>
      <c r="R60" s="21">
        <f>IF($A60="",0,SUMIFS('[1]销售出库'!$R$4:$R$2003,'[1]销售出库'!$H$4:$H$2003,$A60,'[1]销售出库'!$Q$4:$Q$2003,'首页'!$B$4*100+R$4))</f>
        <v>0</v>
      </c>
      <c r="S60" s="21">
        <f>IF($A60="",0,SUMIFS('[1]销售出库'!$R$4:$R$2003,'[1]销售出库'!$H$4:$H$2003,$A60,'[1]销售出库'!$Q$4:$Q$2003,'首页'!$B$4*100+S$4))</f>
        <v>0</v>
      </c>
      <c r="T60" s="21">
        <f>IF($A60="",0,SUMIFS('[1]销售出库'!$R$4:$R$2003,'[1]销售出库'!$H$4:$H$2003,$A60,'[1]销售出库'!$Q$4:$Q$2003,'首页'!$B$4*100+T$4))</f>
        <v>0</v>
      </c>
      <c r="U60" s="21">
        <f>IF($A60="",0,SUMIFS('[1]销售出库'!$R$4:$R$2003,'[1]销售出库'!$H$4:$H$2003,$A60,'[1]销售出库'!$Q$4:$Q$2003,'首页'!$B$4*100+U$4))</f>
        <v>0</v>
      </c>
      <c r="V60" s="21">
        <f>IF($A60="",0,SUMIFS('[1]销售出库'!$R$4:$R$2003,'[1]销售出库'!$H$4:$H$2003,$A60,'[1]销售出库'!$Q$4:$Q$2003,'首页'!$B$4*100+V$4))</f>
        <v>0</v>
      </c>
      <c r="W60" s="21">
        <f>IF($A60="",0,SUMIFS('[1]销售出库'!$R$4:$R$2003,'[1]销售出库'!$H$4:$H$2003,$A60,'[1]销售出库'!$Q$4:$Q$2003,'首页'!$B$4*100+W$4))</f>
        <v>0</v>
      </c>
      <c r="X60" s="21">
        <f>IF($A60="",0,SUMIFS('[1]销售出库'!$R$4:$R$2003,'[1]销售出库'!$H$4:$H$2003,$A60,'[1]销售出库'!$Q$4:$Q$2003,'首页'!$B$4*100+X$4))</f>
        <v>0</v>
      </c>
    </row>
    <row r="61">
      <c r="A61" s="6" t="str">
        <f>IF('[1]基础资料'!$P$60="","",'[1]基础资料'!$P$60)</f>
        <v>天选6 FA608UH260-锐龙7-16G-512G-RTX5050-高色域-灰</v>
      </c>
      <c r="B61" s="6" t="str">
        <f>IF(A61="","",'[1]基础资料'!$Q$60&amp;"")</f>
        <v>华硕</v>
      </c>
      <c r="C61" s="21">
        <f>IF(A61="",0,N('[1]基础资料'!$S$60))</f>
        <v>87</v>
      </c>
      <c r="D61" s="11">
        <f>IF(A61="",0,N('[1]基础资料'!$U$60))</f>
        <v>523018.92</v>
      </c>
      <c r="E61" s="21">
        <f>IF(A61="",0,SUMIFS('[1]采购入库'!$U$4:$U$2003,'[1]采购入库'!$I$4:$I$2003,$A61))</f>
        <v>0</v>
      </c>
      <c r="F61" s="11">
        <f>IF(A61="",0,SUMIFS('[1]采购入库'!$V$4:$V$2003,'[1]采购入库'!$I$4:$I$2003,$A61))</f>
        <v>0</v>
      </c>
      <c r="G61" s="21">
        <f>IF(A61="",0,SUMIFS('[1]销售出库'!$R$4:$R$2003,'[1]销售出库'!$H$4:$H$2003,$A61))</f>
        <v>0</v>
      </c>
      <c r="H61" s="11">
        <f t="shared" si="3"/>
        <v>6011.7117</v>
      </c>
      <c r="I61" s="11">
        <f t="shared" si="0"/>
        <v>0</v>
      </c>
      <c r="J61" s="21">
        <f t="shared" si="1"/>
        <v>87</v>
      </c>
      <c r="K61" s="11">
        <f t="shared" si="2"/>
        <v>523018.92</v>
      </c>
      <c r="L61" s="6">
        <f t="shared" si="4"/>
      </c>
      <c r="M61" s="21">
        <f>IF($A61="",0,SUMIFS('[1]销售出库'!$R$4:$R$2003,'[1]销售出库'!$H$4:$H$2003,$A61,'[1]销售出库'!$Q$4:$Q$2003,'首页'!$B$4*100+M$4))</f>
        <v>0</v>
      </c>
      <c r="N61" s="21">
        <f>IF($A61="",0,SUMIFS('[1]销售出库'!$R$4:$R$2003,'[1]销售出库'!$H$4:$H$2003,$A61,'[1]销售出库'!$Q$4:$Q$2003,'首页'!$B$4*100+N$4))</f>
        <v>0</v>
      </c>
      <c r="O61" s="21">
        <f>IF($A61="",0,SUMIFS('[1]销售出库'!$R$4:$R$2003,'[1]销售出库'!$H$4:$H$2003,$A61,'[1]销售出库'!$Q$4:$Q$2003,'首页'!$B$4*100+O$4))</f>
        <v>0</v>
      </c>
      <c r="P61" s="21">
        <f>IF($A61="",0,SUMIFS('[1]销售出库'!$R$4:$R$2003,'[1]销售出库'!$H$4:$H$2003,$A61,'[1]销售出库'!$Q$4:$Q$2003,'首页'!$B$4*100+P$4))</f>
        <v>0</v>
      </c>
      <c r="Q61" s="21">
        <f>IF($A61="",0,SUMIFS('[1]销售出库'!$R$4:$R$2003,'[1]销售出库'!$H$4:$H$2003,$A61,'[1]销售出库'!$Q$4:$Q$2003,'首页'!$B$4*100+Q$4))</f>
        <v>0</v>
      </c>
      <c r="R61" s="21">
        <f>IF($A61="",0,SUMIFS('[1]销售出库'!$R$4:$R$2003,'[1]销售出库'!$H$4:$H$2003,$A61,'[1]销售出库'!$Q$4:$Q$2003,'首页'!$B$4*100+R$4))</f>
        <v>0</v>
      </c>
      <c r="S61" s="21">
        <f>IF($A61="",0,SUMIFS('[1]销售出库'!$R$4:$R$2003,'[1]销售出库'!$H$4:$H$2003,$A61,'[1]销售出库'!$Q$4:$Q$2003,'首页'!$B$4*100+S$4))</f>
        <v>0</v>
      </c>
      <c r="T61" s="21">
        <f>IF($A61="",0,SUMIFS('[1]销售出库'!$R$4:$R$2003,'[1]销售出库'!$H$4:$H$2003,$A61,'[1]销售出库'!$Q$4:$Q$2003,'首页'!$B$4*100+T$4))</f>
        <v>0</v>
      </c>
      <c r="U61" s="21">
        <f>IF($A61="",0,SUMIFS('[1]销售出库'!$R$4:$R$2003,'[1]销售出库'!$H$4:$H$2003,$A61,'[1]销售出库'!$Q$4:$Q$2003,'首页'!$B$4*100+U$4))</f>
        <v>0</v>
      </c>
      <c r="V61" s="21">
        <f>IF($A61="",0,SUMIFS('[1]销售出库'!$R$4:$R$2003,'[1]销售出库'!$H$4:$H$2003,$A61,'[1]销售出库'!$Q$4:$Q$2003,'首页'!$B$4*100+V$4))</f>
        <v>0</v>
      </c>
      <c r="W61" s="21">
        <f>IF($A61="",0,SUMIFS('[1]销售出库'!$R$4:$R$2003,'[1]销售出库'!$H$4:$H$2003,$A61,'[1]销售出库'!$Q$4:$Q$2003,'首页'!$B$4*100+W$4))</f>
        <v>0</v>
      </c>
      <c r="X61" s="21">
        <f>IF($A61="",0,SUMIFS('[1]销售出库'!$R$4:$R$2003,'[1]销售出库'!$H$4:$H$2003,$A61,'[1]销售出库'!$Q$4:$Q$2003,'首页'!$B$4*100+X$4))</f>
        <v>0</v>
      </c>
    </row>
    <row r="62">
      <c r="A62" s="6" t="str">
        <f>IF('[1]基础资料'!$P$61="","",'[1]基础资料'!$P$61)</f>
        <v>来酷斗战者-战7000P 锐龙9 R9-8940HX-16G-512G-RTX5060</v>
      </c>
      <c r="B62" s="6" t="str">
        <f>IF(A62="","",'[1]基础资料'!$Q$61&amp;"")</f>
        <v>联想</v>
      </c>
      <c r="C62" s="21">
        <f>IF(A62="",0,N('[1]基础资料'!$S$61))</f>
        <v>8</v>
      </c>
      <c r="D62" s="11">
        <f>IF(A62="",0,N('[1]基础资料'!$U$61))</f>
        <v>68610</v>
      </c>
      <c r="E62" s="21">
        <f>IF(A62="",0,SUMIFS('[1]采购入库'!$U$4:$U$2003,'[1]采购入库'!$I$4:$I$2003,$A62))</f>
        <v>0</v>
      </c>
      <c r="F62" s="11">
        <f>IF(A62="",0,SUMIFS('[1]采购入库'!$V$4:$V$2003,'[1]采购入库'!$I$4:$I$2003,$A62))</f>
        <v>0</v>
      </c>
      <c r="G62" s="21">
        <f>IF(A62="",0,SUMIFS('[1]销售出库'!$R$4:$R$2003,'[1]销售出库'!$H$4:$H$2003,$A62))</f>
        <v>0</v>
      </c>
      <c r="H62" s="11">
        <f t="shared" si="3"/>
        <v>8576.25</v>
      </c>
      <c r="I62" s="11">
        <f t="shared" si="0"/>
        <v>0</v>
      </c>
      <c r="J62" s="21">
        <f t="shared" si="1"/>
        <v>8</v>
      </c>
      <c r="K62" s="11">
        <f t="shared" si="2"/>
        <v>68610</v>
      </c>
      <c r="L62" s="6">
        <f t="shared" si="4"/>
      </c>
      <c r="M62" s="21">
        <f>IF($A62="",0,SUMIFS('[1]销售出库'!$R$4:$R$2003,'[1]销售出库'!$H$4:$H$2003,$A62,'[1]销售出库'!$Q$4:$Q$2003,'首页'!$B$4*100+M$4))</f>
        <v>0</v>
      </c>
      <c r="N62" s="21">
        <f>IF($A62="",0,SUMIFS('[1]销售出库'!$R$4:$R$2003,'[1]销售出库'!$H$4:$H$2003,$A62,'[1]销售出库'!$Q$4:$Q$2003,'首页'!$B$4*100+N$4))</f>
        <v>0</v>
      </c>
      <c r="O62" s="21">
        <f>IF($A62="",0,SUMIFS('[1]销售出库'!$R$4:$R$2003,'[1]销售出库'!$H$4:$H$2003,$A62,'[1]销售出库'!$Q$4:$Q$2003,'首页'!$B$4*100+O$4))</f>
        <v>0</v>
      </c>
      <c r="P62" s="21">
        <f>IF($A62="",0,SUMIFS('[1]销售出库'!$R$4:$R$2003,'[1]销售出库'!$H$4:$H$2003,$A62,'[1]销售出库'!$Q$4:$Q$2003,'首页'!$B$4*100+P$4))</f>
        <v>0</v>
      </c>
      <c r="Q62" s="21">
        <f>IF($A62="",0,SUMIFS('[1]销售出库'!$R$4:$R$2003,'[1]销售出库'!$H$4:$H$2003,$A62,'[1]销售出库'!$Q$4:$Q$2003,'首页'!$B$4*100+Q$4))</f>
        <v>0</v>
      </c>
      <c r="R62" s="21">
        <f>IF($A62="",0,SUMIFS('[1]销售出库'!$R$4:$R$2003,'[1]销售出库'!$H$4:$H$2003,$A62,'[1]销售出库'!$Q$4:$Q$2003,'首页'!$B$4*100+R$4))</f>
        <v>0</v>
      </c>
      <c r="S62" s="21">
        <f>IF($A62="",0,SUMIFS('[1]销售出库'!$R$4:$R$2003,'[1]销售出库'!$H$4:$H$2003,$A62,'[1]销售出库'!$Q$4:$Q$2003,'首页'!$B$4*100+S$4))</f>
        <v>0</v>
      </c>
      <c r="T62" s="21">
        <f>IF($A62="",0,SUMIFS('[1]销售出库'!$R$4:$R$2003,'[1]销售出库'!$H$4:$H$2003,$A62,'[1]销售出库'!$Q$4:$Q$2003,'首页'!$B$4*100+T$4))</f>
        <v>0</v>
      </c>
      <c r="U62" s="21">
        <f>IF($A62="",0,SUMIFS('[1]销售出库'!$R$4:$R$2003,'[1]销售出库'!$H$4:$H$2003,$A62,'[1]销售出库'!$Q$4:$Q$2003,'首页'!$B$4*100+U$4))</f>
        <v>0</v>
      </c>
      <c r="V62" s="21">
        <f>IF($A62="",0,SUMIFS('[1]销售出库'!$R$4:$R$2003,'[1]销售出库'!$H$4:$H$2003,$A62,'[1]销售出库'!$Q$4:$Q$2003,'首页'!$B$4*100+V$4))</f>
        <v>0</v>
      </c>
      <c r="W62" s="21">
        <f>IF($A62="",0,SUMIFS('[1]销售出库'!$R$4:$R$2003,'[1]销售出库'!$H$4:$H$2003,$A62,'[1]销售出库'!$Q$4:$Q$2003,'首页'!$B$4*100+W$4))</f>
        <v>0</v>
      </c>
      <c r="X62" s="21">
        <f>IF($A62="",0,SUMIFS('[1]销售出库'!$R$4:$R$2003,'[1]销售出库'!$H$4:$H$2003,$A62,'[1]销售出库'!$Q$4:$Q$2003,'首页'!$B$4*100+X$4))</f>
        <v>0</v>
      </c>
    </row>
    <row r="63">
      <c r="A63" s="6" t="str">
        <f>IF('[1]基础资料'!$P$62="","",'[1]基础资料'!$P$62)</f>
        <v>电脑配件</v>
      </c>
      <c r="B63" s="6">
        <f>IF(A63="","",'[1]基础资料'!$Q$62&amp;"")</f>
      </c>
      <c r="C63" s="21">
        <f>IF(A63="",0,N('[1]基础资料'!$S$62))</f>
        <v>0</v>
      </c>
      <c r="D63" s="11">
        <f>IF(A63="",0,N('[1]基础资料'!$U$62))</f>
        <v>0</v>
      </c>
      <c r="E63" s="21">
        <f>IF(A63="",0,SUMIFS('[1]采购入库'!$U$4:$U$2003,'[1]采购入库'!$I$4:$I$2003,$A63))</f>
        <v>2583464.51</v>
      </c>
      <c r="F63" s="11">
        <f>IF(A63="",0,SUMIFS('[1]采购入库'!$V$4:$V$2003,'[1]采购入库'!$I$4:$I$2003,$A63))</f>
        <v>27321.65</v>
      </c>
      <c r="G63" s="21">
        <f>IF(A63="",0,SUMIFS('[1]销售出库'!$R$4:$R$2003,'[1]销售出库'!$H$4:$H$2003,$A63))</f>
        <v>2583464.51</v>
      </c>
      <c r="H63" s="11">
        <f t="shared" si="3"/>
        <v>0.0106</v>
      </c>
      <c r="I63" s="11">
        <f t="shared" si="0"/>
        <v>27384.72</v>
      </c>
      <c r="J63" s="21">
        <f t="shared" si="1"/>
        <v>0</v>
      </c>
      <c r="K63" s="11">
        <f t="shared" si="2"/>
        <v>-63.07</v>
      </c>
      <c r="L63" s="6">
        <f t="shared" si="4"/>
      </c>
      <c r="M63" s="21">
        <f>IF($A63="",0,SUMIFS('[1]销售出库'!$R$4:$R$2003,'[1]销售出库'!$H$4:$H$2003,$A63,'[1]销售出库'!$Q$4:$Q$2003,'首页'!$B$4*100+M$4))</f>
        <v>0</v>
      </c>
      <c r="N63" s="21">
        <f>IF($A63="",0,SUMIFS('[1]销售出库'!$R$4:$R$2003,'[1]销售出库'!$H$4:$H$2003,$A63,'[1]销售出库'!$Q$4:$Q$2003,'首页'!$B$4*100+N$4))</f>
        <v>0</v>
      </c>
      <c r="O63" s="21">
        <f>IF($A63="",0,SUMIFS('[1]销售出库'!$R$4:$R$2003,'[1]销售出库'!$H$4:$H$2003,$A63,'[1]销售出库'!$Q$4:$Q$2003,'首页'!$B$4*100+O$4))</f>
        <v>0</v>
      </c>
      <c r="P63" s="21">
        <f>IF($A63="",0,SUMIFS('[1]销售出库'!$R$4:$R$2003,'[1]销售出库'!$H$4:$H$2003,$A63,'[1]销售出库'!$Q$4:$Q$2003,'首页'!$B$4*100+P$4))</f>
        <v>0</v>
      </c>
      <c r="Q63" s="21">
        <f>IF($A63="",0,SUMIFS('[1]销售出库'!$R$4:$R$2003,'[1]销售出库'!$H$4:$H$2003,$A63,'[1]销售出库'!$Q$4:$Q$2003,'首页'!$B$4*100+Q$4))</f>
        <v>0</v>
      </c>
      <c r="R63" s="21">
        <f>IF($A63="",0,SUMIFS('[1]销售出库'!$R$4:$R$2003,'[1]销售出库'!$H$4:$H$2003,$A63,'[1]销售出库'!$Q$4:$Q$2003,'首页'!$B$4*100+R$4))</f>
        <v>0</v>
      </c>
      <c r="S63" s="21">
        <f>IF($A63="",0,SUMIFS('[1]销售出库'!$R$4:$R$2003,'[1]销售出库'!$H$4:$H$2003,$A63,'[1]销售出库'!$Q$4:$Q$2003,'首页'!$B$4*100+S$4))</f>
        <v>0</v>
      </c>
      <c r="T63" s="21">
        <f>IF($A63="",0,SUMIFS('[1]销售出库'!$R$4:$R$2003,'[1]销售出库'!$H$4:$H$2003,$A63,'[1]销售出库'!$Q$4:$Q$2003,'首页'!$B$4*100+T$4))</f>
        <v>0</v>
      </c>
      <c r="U63" s="21">
        <f>IF($A63="",0,SUMIFS('[1]销售出库'!$R$4:$R$2003,'[1]销售出库'!$H$4:$H$2003,$A63,'[1]销售出库'!$Q$4:$Q$2003,'首页'!$B$4*100+U$4))</f>
        <v>2583464.51</v>
      </c>
      <c r="V63" s="21">
        <f>IF($A63="",0,SUMIFS('[1]销售出库'!$R$4:$R$2003,'[1]销售出库'!$H$4:$H$2003,$A63,'[1]销售出库'!$Q$4:$Q$2003,'首页'!$B$4*100+V$4))</f>
        <v>0</v>
      </c>
      <c r="W63" s="21">
        <f>IF($A63="",0,SUMIFS('[1]销售出库'!$R$4:$R$2003,'[1]销售出库'!$H$4:$H$2003,$A63,'[1]销售出库'!$Q$4:$Q$2003,'首页'!$B$4*100+W$4))</f>
        <v>0</v>
      </c>
      <c r="X63" s="21">
        <f>IF($A63="",0,SUMIFS('[1]销售出库'!$R$4:$R$2003,'[1]销售出库'!$H$4:$H$2003,$A63,'[1]销售出库'!$Q$4:$Q$2003,'首页'!$B$4*100+X$4))</f>
        <v>0</v>
      </c>
    </row>
    <row r="64">
      <c r="A64" s="6" t="str">
        <f>IF('[1]基础资料'!$P$63="","",'[1]基础资料'!$P$63)</f>
        <v>联想小新16c I5-13420H 16+512灰</v>
      </c>
      <c r="B64" s="6" t="str">
        <f>IF(A64="","",'[1]基础资料'!$Q$63&amp;"")</f>
        <v>联想</v>
      </c>
      <c r="C64" s="21">
        <f>IF(A64="",0,N('[1]基础资料'!$S$63))</f>
        <v>0</v>
      </c>
      <c r="D64" s="11">
        <f>IF(A64="",0,N('[1]基础资料'!$U$63))</f>
        <v>0</v>
      </c>
      <c r="E64" s="21">
        <f>IF(A64="",0,SUMIFS('[1]采购入库'!$U$4:$U$2003,'[1]采购入库'!$I$4:$I$2003,$A64))</f>
        <v>59</v>
      </c>
      <c r="F64" s="11">
        <f>IF(A64="",0,SUMIFS('[1]采购入库'!$V$4:$V$2003,'[1]采购入库'!$I$4:$I$2003,$A64))</f>
        <v>295590</v>
      </c>
      <c r="G64" s="21">
        <f>IF(A64="",0,SUMIFS('[1]销售出库'!$R$4:$R$2003,'[1]销售出库'!$H$4:$H$2003,$A64))</f>
        <v>186</v>
      </c>
      <c r="H64" s="11">
        <f t="shared" si="3"/>
        <v>5010</v>
      </c>
      <c r="I64" s="11">
        <f t="shared" si="0"/>
        <v>931860</v>
      </c>
      <c r="J64" s="21">
        <f t="shared" si="1"/>
        <v>-127</v>
      </c>
      <c r="K64" s="11">
        <f t="shared" si="2"/>
        <v>-636270</v>
      </c>
      <c r="L64" s="6" t="str">
        <f t="shared" si="4"/>
        <v>负库存：漏记采购或期初不准</v>
      </c>
      <c r="M64" s="21">
        <f>IF($A64="",0,SUMIFS('[1]销售出库'!$R$4:$R$2003,'[1]销售出库'!$H$4:$H$2003,$A64,'[1]销售出库'!$Q$4:$Q$2003,'首页'!$B$4*100+M$4))</f>
        <v>0</v>
      </c>
      <c r="N64" s="21">
        <f>IF($A64="",0,SUMIFS('[1]销售出库'!$R$4:$R$2003,'[1]销售出库'!$H$4:$H$2003,$A64,'[1]销售出库'!$Q$4:$Q$2003,'首页'!$B$4*100+N$4))</f>
        <v>0</v>
      </c>
      <c r="O64" s="21">
        <f>IF($A64="",0,SUMIFS('[1]销售出库'!$R$4:$R$2003,'[1]销售出库'!$H$4:$H$2003,$A64,'[1]销售出库'!$Q$4:$Q$2003,'首页'!$B$4*100+O$4))</f>
        <v>0</v>
      </c>
      <c r="P64" s="21">
        <f>IF($A64="",0,SUMIFS('[1]销售出库'!$R$4:$R$2003,'[1]销售出库'!$H$4:$H$2003,$A64,'[1]销售出库'!$Q$4:$Q$2003,'首页'!$B$4*100+P$4))</f>
        <v>0</v>
      </c>
      <c r="Q64" s="21">
        <f>IF($A64="",0,SUMIFS('[1]销售出库'!$R$4:$R$2003,'[1]销售出库'!$H$4:$H$2003,$A64,'[1]销售出库'!$Q$4:$Q$2003,'首页'!$B$4*100+Q$4))</f>
        <v>0</v>
      </c>
      <c r="R64" s="21">
        <f>IF($A64="",0,SUMIFS('[1]销售出库'!$R$4:$R$2003,'[1]销售出库'!$H$4:$H$2003,$A64,'[1]销售出库'!$Q$4:$Q$2003,'首页'!$B$4*100+R$4))</f>
        <v>0</v>
      </c>
      <c r="S64" s="21">
        <f>IF($A64="",0,SUMIFS('[1]销售出库'!$R$4:$R$2003,'[1]销售出库'!$H$4:$H$2003,$A64,'[1]销售出库'!$Q$4:$Q$2003,'首页'!$B$4*100+S$4))</f>
        <v>0</v>
      </c>
      <c r="T64" s="21">
        <f>IF($A64="",0,SUMIFS('[1]销售出库'!$R$4:$R$2003,'[1]销售出库'!$H$4:$H$2003,$A64,'[1]销售出库'!$Q$4:$Q$2003,'首页'!$B$4*100+T$4))</f>
        <v>0</v>
      </c>
      <c r="U64" s="21">
        <f>IF($A64="",0,SUMIFS('[1]销售出库'!$R$4:$R$2003,'[1]销售出库'!$H$4:$H$2003,$A64,'[1]销售出库'!$Q$4:$Q$2003,'首页'!$B$4*100+U$4))</f>
        <v>186</v>
      </c>
      <c r="V64" s="21">
        <f>IF($A64="",0,SUMIFS('[1]销售出库'!$R$4:$R$2003,'[1]销售出库'!$H$4:$H$2003,$A64,'[1]销售出库'!$Q$4:$Q$2003,'首页'!$B$4*100+V$4))</f>
        <v>0</v>
      </c>
      <c r="W64" s="21">
        <f>IF($A64="",0,SUMIFS('[1]销售出库'!$R$4:$R$2003,'[1]销售出库'!$H$4:$H$2003,$A64,'[1]销售出库'!$Q$4:$Q$2003,'首页'!$B$4*100+W$4))</f>
        <v>0</v>
      </c>
      <c r="X64" s="21">
        <f>IF($A64="",0,SUMIFS('[1]销售出库'!$R$4:$R$2003,'[1]销售出库'!$H$4:$H$2003,$A64,'[1]销售出库'!$Q$4:$Q$2003,'首页'!$B$4*100+X$4))</f>
        <v>0</v>
      </c>
    </row>
    <row r="65">
      <c r="A65" s="6" t="str">
        <f>IF('[1]基础资料'!$P$64="","",'[1]基础资料'!$P$64)</f>
        <v>联想Y7000P U7-255H-16G-1T-RTX5060黑色（一手）</v>
      </c>
      <c r="B65" s="6" t="str">
        <f>IF(A65="","",'[1]基础资料'!$Q$64&amp;"")</f>
        <v>联想</v>
      </c>
      <c r="C65" s="21">
        <f>IF(A65="",0,N('[1]基础资料'!$S$64))</f>
        <v>0</v>
      </c>
      <c r="D65" s="11">
        <f>IF(A65="",0,N('[1]基础资料'!$U$64))</f>
        <v>0</v>
      </c>
      <c r="E65" s="21">
        <f>IF(A65="",0,SUMIFS('[1]采购入库'!$U$4:$U$2003,'[1]采购入库'!$I$4:$I$2003,$A65))</f>
        <v>53</v>
      </c>
      <c r="F65" s="11">
        <f>IF(A65="",0,SUMIFS('[1]采购入库'!$V$4:$V$2003,'[1]采购入库'!$I$4:$I$2003,$A65))</f>
        <v>694300</v>
      </c>
      <c r="G65" s="21">
        <f>IF(A65="",0,SUMIFS('[1]销售出库'!$R$4:$R$2003,'[1]销售出库'!$H$4:$H$2003,$A65))</f>
        <v>53</v>
      </c>
      <c r="H65" s="11">
        <f t="shared" si="3"/>
        <v>13100</v>
      </c>
      <c r="I65" s="11">
        <f t="shared" si="0"/>
        <v>694300</v>
      </c>
      <c r="J65" s="21">
        <f t="shared" si="1"/>
        <v>0</v>
      </c>
      <c r="K65" s="11">
        <f t="shared" si="2"/>
        <v>0</v>
      </c>
      <c r="L65" s="6">
        <f t="shared" si="4"/>
      </c>
      <c r="M65" s="21">
        <f>IF($A65="",0,SUMIFS('[1]销售出库'!$R$4:$R$2003,'[1]销售出库'!$H$4:$H$2003,$A65,'[1]销售出库'!$Q$4:$Q$2003,'首页'!$B$4*100+M$4))</f>
        <v>0</v>
      </c>
      <c r="N65" s="21">
        <f>IF($A65="",0,SUMIFS('[1]销售出库'!$R$4:$R$2003,'[1]销售出库'!$H$4:$H$2003,$A65,'[1]销售出库'!$Q$4:$Q$2003,'首页'!$B$4*100+N$4))</f>
        <v>0</v>
      </c>
      <c r="O65" s="21">
        <f>IF($A65="",0,SUMIFS('[1]销售出库'!$R$4:$R$2003,'[1]销售出库'!$H$4:$H$2003,$A65,'[1]销售出库'!$Q$4:$Q$2003,'首页'!$B$4*100+O$4))</f>
        <v>0</v>
      </c>
      <c r="P65" s="21">
        <f>IF($A65="",0,SUMIFS('[1]销售出库'!$R$4:$R$2003,'[1]销售出库'!$H$4:$H$2003,$A65,'[1]销售出库'!$Q$4:$Q$2003,'首页'!$B$4*100+P$4))</f>
        <v>0</v>
      </c>
      <c r="Q65" s="21">
        <f>IF($A65="",0,SUMIFS('[1]销售出库'!$R$4:$R$2003,'[1]销售出库'!$H$4:$H$2003,$A65,'[1]销售出库'!$Q$4:$Q$2003,'首页'!$B$4*100+Q$4))</f>
        <v>0</v>
      </c>
      <c r="R65" s="21">
        <f>IF($A65="",0,SUMIFS('[1]销售出库'!$R$4:$R$2003,'[1]销售出库'!$H$4:$H$2003,$A65,'[1]销售出库'!$Q$4:$Q$2003,'首页'!$B$4*100+R$4))</f>
        <v>0</v>
      </c>
      <c r="S65" s="21">
        <f>IF($A65="",0,SUMIFS('[1]销售出库'!$R$4:$R$2003,'[1]销售出库'!$H$4:$H$2003,$A65,'[1]销售出库'!$Q$4:$Q$2003,'首页'!$B$4*100+S$4))</f>
        <v>0</v>
      </c>
      <c r="T65" s="21">
        <f>IF($A65="",0,SUMIFS('[1]销售出库'!$R$4:$R$2003,'[1]销售出库'!$H$4:$H$2003,$A65,'[1]销售出库'!$Q$4:$Q$2003,'首页'!$B$4*100+T$4))</f>
        <v>0</v>
      </c>
      <c r="U65" s="21">
        <f>IF($A65="",0,SUMIFS('[1]销售出库'!$R$4:$R$2003,'[1]销售出库'!$H$4:$H$2003,$A65,'[1]销售出库'!$Q$4:$Q$2003,'首页'!$B$4*100+U$4))</f>
        <v>53</v>
      </c>
      <c r="V65" s="21">
        <f>IF($A65="",0,SUMIFS('[1]销售出库'!$R$4:$R$2003,'[1]销售出库'!$H$4:$H$2003,$A65,'[1]销售出库'!$Q$4:$Q$2003,'首页'!$B$4*100+V$4))</f>
        <v>0</v>
      </c>
      <c r="W65" s="21">
        <f>IF($A65="",0,SUMIFS('[1]销售出库'!$R$4:$R$2003,'[1]销售出库'!$H$4:$H$2003,$A65,'[1]销售出库'!$Q$4:$Q$2003,'首页'!$B$4*100+W$4))</f>
        <v>0</v>
      </c>
      <c r="X65" s="21">
        <f>IF($A65="",0,SUMIFS('[1]销售出库'!$R$4:$R$2003,'[1]销售出库'!$H$4:$H$2003,$A65,'[1]销售出库'!$Q$4:$Q$2003,'首页'!$B$4*100+X$4))</f>
        <v>0</v>
      </c>
    </row>
    <row r="66">
      <c r="A66" s="6" t="str">
        <f>IF('[1]基础资料'!$P$65="","",'[1]基础资料'!$P$65)</f>
        <v>联想平板Y900 13 12+256紫色WIFI</v>
      </c>
      <c r="B66" s="6" t="str">
        <f>IF(A66="","",'[1]基础资料'!$Q$65&amp;"")</f>
        <v>平板</v>
      </c>
      <c r="C66" s="21">
        <f>IF(A66="",0,N('[1]基础资料'!$S$65))</f>
        <v>0</v>
      </c>
      <c r="D66" s="11">
        <f>IF(A66="",0,N('[1]基础资料'!$U$65))</f>
        <v>0</v>
      </c>
      <c r="E66" s="21">
        <f>IF(A66="",0,SUMIFS('[1]采购入库'!$U$4:$U$2003,'[1]采购入库'!$I$4:$I$2003,$A66))</f>
        <v>19</v>
      </c>
      <c r="F66" s="11">
        <f>IF(A66="",0,SUMIFS('[1]采购入库'!$V$4:$V$2003,'[1]采购入库'!$I$4:$I$2003,$A66))</f>
        <v>49590</v>
      </c>
      <c r="G66" s="21">
        <f>IF(A66="",0,SUMIFS('[1]销售出库'!$R$4:$R$2003,'[1]销售出库'!$H$4:$H$2003,$A66))</f>
        <v>19</v>
      </c>
      <c r="H66" s="11">
        <f t="shared" si="3"/>
        <v>2610</v>
      </c>
      <c r="I66" s="11">
        <f t="shared" si="0"/>
        <v>49590</v>
      </c>
      <c r="J66" s="21">
        <f t="shared" si="1"/>
        <v>0</v>
      </c>
      <c r="K66" s="11">
        <f t="shared" si="2"/>
        <v>0</v>
      </c>
      <c r="L66" s="6">
        <f t="shared" si="4"/>
      </c>
      <c r="M66" s="21">
        <f>IF($A66="",0,SUMIFS('[1]销售出库'!$R$4:$R$2003,'[1]销售出库'!$H$4:$H$2003,$A66,'[1]销售出库'!$Q$4:$Q$2003,'首页'!$B$4*100+M$4))</f>
        <v>0</v>
      </c>
      <c r="N66" s="21">
        <f>IF($A66="",0,SUMIFS('[1]销售出库'!$R$4:$R$2003,'[1]销售出库'!$H$4:$H$2003,$A66,'[1]销售出库'!$Q$4:$Q$2003,'首页'!$B$4*100+N$4))</f>
        <v>0</v>
      </c>
      <c r="O66" s="21">
        <f>IF($A66="",0,SUMIFS('[1]销售出库'!$R$4:$R$2003,'[1]销售出库'!$H$4:$H$2003,$A66,'[1]销售出库'!$Q$4:$Q$2003,'首页'!$B$4*100+O$4))</f>
        <v>0</v>
      </c>
      <c r="P66" s="21">
        <f>IF($A66="",0,SUMIFS('[1]销售出库'!$R$4:$R$2003,'[1]销售出库'!$H$4:$H$2003,$A66,'[1]销售出库'!$Q$4:$Q$2003,'首页'!$B$4*100+P$4))</f>
        <v>0</v>
      </c>
      <c r="Q66" s="21">
        <f>IF($A66="",0,SUMIFS('[1]销售出库'!$R$4:$R$2003,'[1]销售出库'!$H$4:$H$2003,$A66,'[1]销售出库'!$Q$4:$Q$2003,'首页'!$B$4*100+Q$4))</f>
        <v>0</v>
      </c>
      <c r="R66" s="21">
        <f>IF($A66="",0,SUMIFS('[1]销售出库'!$R$4:$R$2003,'[1]销售出库'!$H$4:$H$2003,$A66,'[1]销售出库'!$Q$4:$Q$2003,'首页'!$B$4*100+R$4))</f>
        <v>0</v>
      </c>
      <c r="S66" s="21">
        <f>IF($A66="",0,SUMIFS('[1]销售出库'!$R$4:$R$2003,'[1]销售出库'!$H$4:$H$2003,$A66,'[1]销售出库'!$Q$4:$Q$2003,'首页'!$B$4*100+S$4))</f>
        <v>0</v>
      </c>
      <c r="T66" s="21">
        <f>IF($A66="",0,SUMIFS('[1]销售出库'!$R$4:$R$2003,'[1]销售出库'!$H$4:$H$2003,$A66,'[1]销售出库'!$Q$4:$Q$2003,'首页'!$B$4*100+T$4))</f>
        <v>0</v>
      </c>
      <c r="U66" s="21">
        <f>IF($A66="",0,SUMIFS('[1]销售出库'!$R$4:$R$2003,'[1]销售出库'!$H$4:$H$2003,$A66,'[1]销售出库'!$Q$4:$Q$2003,'首页'!$B$4*100+U$4))</f>
        <v>0</v>
      </c>
      <c r="V66" s="21">
        <f>IF($A66="",0,SUMIFS('[1]销售出库'!$R$4:$R$2003,'[1]销售出库'!$H$4:$H$2003,$A66,'[1]销售出库'!$Q$4:$Q$2003,'首页'!$B$4*100+V$4))</f>
        <v>19</v>
      </c>
      <c r="W66" s="21">
        <f>IF($A66="",0,SUMIFS('[1]销售出库'!$R$4:$R$2003,'[1]销售出库'!$H$4:$H$2003,$A66,'[1]销售出库'!$Q$4:$Q$2003,'首页'!$B$4*100+W$4))</f>
        <v>0</v>
      </c>
      <c r="X66" s="21">
        <f>IF($A66="",0,SUMIFS('[1]销售出库'!$R$4:$R$2003,'[1]销售出库'!$H$4:$H$2003,$A66,'[1]销售出库'!$Q$4:$Q$2003,'首页'!$B$4*100+X$4))</f>
        <v>0</v>
      </c>
    </row>
    <row r="67">
      <c r="A67" s="6" t="str">
        <f>IF('[1]基础资料'!$P$66="","",'[1]基础资料'!$P$66)</f>
        <v>联想平板Y900 11 12+256紫色WIFI</v>
      </c>
      <c r="B67" s="6" t="str">
        <f>IF(A67="","",'[1]基础资料'!$Q$66&amp;"")</f>
        <v>平板</v>
      </c>
      <c r="C67" s="21">
        <f>IF(A67="",0,N('[1]基础资料'!$S$66))</f>
        <v>0</v>
      </c>
      <c r="D67" s="11">
        <f>IF(A67="",0,N('[1]基础资料'!$U$66))</f>
        <v>0</v>
      </c>
      <c r="E67" s="21">
        <f>IF(A67="",0,SUMIFS('[1]采购入库'!$U$4:$U$2003,'[1]采购入库'!$I$4:$I$2003,$A67))</f>
        <v>78</v>
      </c>
      <c r="F67" s="11">
        <f>IF(A67="",0,SUMIFS('[1]采购入库'!$V$4:$V$2003,'[1]采购入库'!$I$4:$I$2003,$A67))</f>
        <v>174142</v>
      </c>
      <c r="G67" s="21">
        <f>IF(A67="",0,SUMIFS('[1]销售出库'!$R$4:$R$2003,'[1]销售出库'!$H$4:$H$2003,$A67))</f>
        <v>78</v>
      </c>
      <c r="H67" s="11">
        <f t="shared" si="3"/>
        <v>2232.5897</v>
      </c>
      <c r="I67" s="11">
        <f t="shared" si="0"/>
        <v>174142</v>
      </c>
      <c r="J67" s="21">
        <f t="shared" si="1"/>
        <v>0</v>
      </c>
      <c r="K67" s="11">
        <f t="shared" si="2"/>
        <v>0</v>
      </c>
      <c r="L67" s="6">
        <f t="shared" si="4"/>
      </c>
      <c r="M67" s="21">
        <f>IF($A67="",0,SUMIFS('[1]销售出库'!$R$4:$R$2003,'[1]销售出库'!$H$4:$H$2003,$A67,'[1]销售出库'!$Q$4:$Q$2003,'首页'!$B$4*100+M$4))</f>
        <v>0</v>
      </c>
      <c r="N67" s="21">
        <f>IF($A67="",0,SUMIFS('[1]销售出库'!$R$4:$R$2003,'[1]销售出库'!$H$4:$H$2003,$A67,'[1]销售出库'!$Q$4:$Q$2003,'首页'!$B$4*100+N$4))</f>
        <v>0</v>
      </c>
      <c r="O67" s="21">
        <f>IF($A67="",0,SUMIFS('[1]销售出库'!$R$4:$R$2003,'[1]销售出库'!$H$4:$H$2003,$A67,'[1]销售出库'!$Q$4:$Q$2003,'首页'!$B$4*100+O$4))</f>
        <v>0</v>
      </c>
      <c r="P67" s="21">
        <f>IF($A67="",0,SUMIFS('[1]销售出库'!$R$4:$R$2003,'[1]销售出库'!$H$4:$H$2003,$A67,'[1]销售出库'!$Q$4:$Q$2003,'首页'!$B$4*100+P$4))</f>
        <v>0</v>
      </c>
      <c r="Q67" s="21">
        <f>IF($A67="",0,SUMIFS('[1]销售出库'!$R$4:$R$2003,'[1]销售出库'!$H$4:$H$2003,$A67,'[1]销售出库'!$Q$4:$Q$2003,'首页'!$B$4*100+Q$4))</f>
        <v>0</v>
      </c>
      <c r="R67" s="21">
        <f>IF($A67="",0,SUMIFS('[1]销售出库'!$R$4:$R$2003,'[1]销售出库'!$H$4:$H$2003,$A67,'[1]销售出库'!$Q$4:$Q$2003,'首页'!$B$4*100+R$4))</f>
        <v>0</v>
      </c>
      <c r="S67" s="21">
        <f>IF($A67="",0,SUMIFS('[1]销售出库'!$R$4:$R$2003,'[1]销售出库'!$H$4:$H$2003,$A67,'[1]销售出库'!$Q$4:$Q$2003,'首页'!$B$4*100+S$4))</f>
        <v>0</v>
      </c>
      <c r="T67" s="21">
        <f>IF($A67="",0,SUMIFS('[1]销售出库'!$R$4:$R$2003,'[1]销售出库'!$H$4:$H$2003,$A67,'[1]销售出库'!$Q$4:$Q$2003,'首页'!$B$4*100+T$4))</f>
        <v>0</v>
      </c>
      <c r="U67" s="21">
        <f>IF($A67="",0,SUMIFS('[1]销售出库'!$R$4:$R$2003,'[1]销售出库'!$H$4:$H$2003,$A67,'[1]销售出库'!$Q$4:$Q$2003,'首页'!$B$4*100+U$4))</f>
        <v>21</v>
      </c>
      <c r="V67" s="21">
        <f>IF($A67="",0,SUMIFS('[1]销售出库'!$R$4:$R$2003,'[1]销售出库'!$H$4:$H$2003,$A67,'[1]销售出库'!$Q$4:$Q$2003,'首页'!$B$4*100+V$4))</f>
        <v>57</v>
      </c>
      <c r="W67" s="21">
        <f>IF($A67="",0,SUMIFS('[1]销售出库'!$R$4:$R$2003,'[1]销售出库'!$H$4:$H$2003,$A67,'[1]销售出库'!$Q$4:$Q$2003,'首页'!$B$4*100+W$4))</f>
        <v>0</v>
      </c>
      <c r="X67" s="21">
        <f>IF($A67="",0,SUMIFS('[1]销售出库'!$R$4:$R$2003,'[1]销售出库'!$H$4:$H$2003,$A67,'[1]销售出库'!$Q$4:$Q$2003,'首页'!$B$4*100+X$4))</f>
        <v>0</v>
      </c>
    </row>
    <row r="68">
      <c r="A68" s="6" t="str">
        <f>IF('[1]基础资料'!$P$67="","",'[1]基础资料'!$P$67)</f>
        <v>联想Y9000P U9-275H-32G-1T-RTX5060白色（原封）</v>
      </c>
      <c r="B68" s="6" t="str">
        <f>IF(A68="","",'[1]基础资料'!$Q$67&amp;"")</f>
        <v>联想</v>
      </c>
      <c r="C68" s="21">
        <f>IF(A68="",0,N('[1]基础资料'!$S$67))</f>
        <v>0</v>
      </c>
      <c r="D68" s="11">
        <f>IF(A68="",0,N('[1]基础资料'!$U$67))</f>
        <v>0</v>
      </c>
      <c r="E68" s="21">
        <f>IF(A68="",0,SUMIFS('[1]采购入库'!$U$4:$U$2003,'[1]采购入库'!$I$4:$I$2003,$A68))</f>
        <v>35</v>
      </c>
      <c r="F68" s="11">
        <f>IF(A68="",0,SUMIFS('[1]采购入库'!$V$4:$V$2003,'[1]采购入库'!$I$4:$I$2003,$A68))</f>
        <v>560070</v>
      </c>
      <c r="G68" s="21">
        <f>IF(A68="",0,SUMIFS('[1]销售出库'!$R$4:$R$2003,'[1]销售出库'!$H$4:$H$2003,$A68))</f>
        <v>35</v>
      </c>
      <c r="H68" s="11">
        <f t="shared" si="3"/>
        <v>16002</v>
      </c>
      <c r="I68" s="11">
        <f t="shared" si="0"/>
        <v>560070</v>
      </c>
      <c r="J68" s="21">
        <f t="shared" si="1"/>
        <v>0</v>
      </c>
      <c r="K68" s="11">
        <f t="shared" si="2"/>
        <v>0</v>
      </c>
      <c r="L68" s="6">
        <f t="shared" si="4"/>
      </c>
      <c r="M68" s="21">
        <f>IF($A68="",0,SUMIFS('[1]销售出库'!$R$4:$R$2003,'[1]销售出库'!$H$4:$H$2003,$A68,'[1]销售出库'!$Q$4:$Q$2003,'首页'!$B$4*100+M$4))</f>
        <v>0</v>
      </c>
      <c r="N68" s="21">
        <f>IF($A68="",0,SUMIFS('[1]销售出库'!$R$4:$R$2003,'[1]销售出库'!$H$4:$H$2003,$A68,'[1]销售出库'!$Q$4:$Q$2003,'首页'!$B$4*100+N$4))</f>
        <v>0</v>
      </c>
      <c r="O68" s="21">
        <f>IF($A68="",0,SUMIFS('[1]销售出库'!$R$4:$R$2003,'[1]销售出库'!$H$4:$H$2003,$A68,'[1]销售出库'!$Q$4:$Q$2003,'首页'!$B$4*100+O$4))</f>
        <v>0</v>
      </c>
      <c r="P68" s="21">
        <f>IF($A68="",0,SUMIFS('[1]销售出库'!$R$4:$R$2003,'[1]销售出库'!$H$4:$H$2003,$A68,'[1]销售出库'!$Q$4:$Q$2003,'首页'!$B$4*100+P$4))</f>
        <v>0</v>
      </c>
      <c r="Q68" s="21">
        <f>IF($A68="",0,SUMIFS('[1]销售出库'!$R$4:$R$2003,'[1]销售出库'!$H$4:$H$2003,$A68,'[1]销售出库'!$Q$4:$Q$2003,'首页'!$B$4*100+Q$4))</f>
        <v>0</v>
      </c>
      <c r="R68" s="21">
        <f>IF($A68="",0,SUMIFS('[1]销售出库'!$R$4:$R$2003,'[1]销售出库'!$H$4:$H$2003,$A68,'[1]销售出库'!$Q$4:$Q$2003,'首页'!$B$4*100+R$4))</f>
        <v>0</v>
      </c>
      <c r="S68" s="21">
        <f>IF($A68="",0,SUMIFS('[1]销售出库'!$R$4:$R$2003,'[1]销售出库'!$H$4:$H$2003,$A68,'[1]销售出库'!$Q$4:$Q$2003,'首页'!$B$4*100+S$4))</f>
        <v>0</v>
      </c>
      <c r="T68" s="21">
        <f>IF($A68="",0,SUMIFS('[1]销售出库'!$R$4:$R$2003,'[1]销售出库'!$H$4:$H$2003,$A68,'[1]销售出库'!$Q$4:$Q$2003,'首页'!$B$4*100+T$4))</f>
        <v>0</v>
      </c>
      <c r="U68" s="21">
        <f>IF($A68="",0,SUMIFS('[1]销售出库'!$R$4:$R$2003,'[1]销售出库'!$H$4:$H$2003,$A68,'[1]销售出库'!$Q$4:$Q$2003,'首页'!$B$4*100+U$4))</f>
        <v>35</v>
      </c>
      <c r="V68" s="21">
        <f>IF($A68="",0,SUMIFS('[1]销售出库'!$R$4:$R$2003,'[1]销售出库'!$H$4:$H$2003,$A68,'[1]销售出库'!$Q$4:$Q$2003,'首页'!$B$4*100+V$4))</f>
        <v>0</v>
      </c>
      <c r="W68" s="21">
        <f>IF($A68="",0,SUMIFS('[1]销售出库'!$R$4:$R$2003,'[1]销售出库'!$H$4:$H$2003,$A68,'[1]销售出库'!$Q$4:$Q$2003,'首页'!$B$4*100+W$4))</f>
        <v>0</v>
      </c>
      <c r="X68" s="21">
        <f>IF($A68="",0,SUMIFS('[1]销售出库'!$R$4:$R$2003,'[1]销售出库'!$H$4:$H$2003,$A68,'[1]销售出库'!$Q$4:$Q$2003,'首页'!$B$4*100+X$4))</f>
        <v>0</v>
      </c>
    </row>
    <row r="69">
      <c r="A69" s="6" t="str">
        <f>IF('[1]基础资料'!$P$68="","",'[1]基础资料'!$P$68)</f>
        <v>联想平板Y900 13寸保护套</v>
      </c>
      <c r="B69" s="6">
        <f>IF(A69="","",'[1]基础资料'!$Q$68&amp;"")</f>
      </c>
      <c r="C69" s="21">
        <f>IF(A69="",0,N('[1]基础资料'!$S$68))</f>
        <v>0</v>
      </c>
      <c r="D69" s="11">
        <f>IF(A69="",0,N('[1]基础资料'!$U$68))</f>
        <v>0</v>
      </c>
      <c r="E69" s="21">
        <f>IF(A69="",0,SUMIFS('[1]采购入库'!$U$4:$U$2003,'[1]采购入库'!$I$4:$I$2003,$A69))</f>
        <v>17</v>
      </c>
      <c r="F69" s="11">
        <f>IF(A69="",0,SUMIFS('[1]采购入库'!$V$4:$V$2003,'[1]采购入库'!$I$4:$I$2003,$A69))</f>
        <v>0.17</v>
      </c>
      <c r="G69" s="21">
        <f>IF(A69="",0,SUMIFS('[1]销售出库'!$R$4:$R$2003,'[1]销售出库'!$H$4:$H$2003,$A69))</f>
        <v>17</v>
      </c>
      <c r="H69" s="11">
        <f t="shared" si="3"/>
        <v>0.01</v>
      </c>
      <c r="I69" s="11">
        <f t="shared" si="0"/>
        <v>0.17</v>
      </c>
      <c r="J69" s="21">
        <f t="shared" si="1"/>
        <v>0</v>
      </c>
      <c r="K69" s="11">
        <f t="shared" si="2"/>
        <v>0</v>
      </c>
      <c r="L69" s="6">
        <f t="shared" si="4"/>
      </c>
      <c r="M69" s="21">
        <f>IF($A69="",0,SUMIFS('[1]销售出库'!$R$4:$R$2003,'[1]销售出库'!$H$4:$H$2003,$A69,'[1]销售出库'!$Q$4:$Q$2003,'首页'!$B$4*100+M$4))</f>
        <v>0</v>
      </c>
      <c r="N69" s="21">
        <f>IF($A69="",0,SUMIFS('[1]销售出库'!$R$4:$R$2003,'[1]销售出库'!$H$4:$H$2003,$A69,'[1]销售出库'!$Q$4:$Q$2003,'首页'!$B$4*100+N$4))</f>
        <v>0</v>
      </c>
      <c r="O69" s="21">
        <f>IF($A69="",0,SUMIFS('[1]销售出库'!$R$4:$R$2003,'[1]销售出库'!$H$4:$H$2003,$A69,'[1]销售出库'!$Q$4:$Q$2003,'首页'!$B$4*100+O$4))</f>
        <v>0</v>
      </c>
      <c r="P69" s="21">
        <f>IF($A69="",0,SUMIFS('[1]销售出库'!$R$4:$R$2003,'[1]销售出库'!$H$4:$H$2003,$A69,'[1]销售出库'!$Q$4:$Q$2003,'首页'!$B$4*100+P$4))</f>
        <v>0</v>
      </c>
      <c r="Q69" s="21">
        <f>IF($A69="",0,SUMIFS('[1]销售出库'!$R$4:$R$2003,'[1]销售出库'!$H$4:$H$2003,$A69,'[1]销售出库'!$Q$4:$Q$2003,'首页'!$B$4*100+Q$4))</f>
        <v>0</v>
      </c>
      <c r="R69" s="21">
        <f>IF($A69="",0,SUMIFS('[1]销售出库'!$R$4:$R$2003,'[1]销售出库'!$H$4:$H$2003,$A69,'[1]销售出库'!$Q$4:$Q$2003,'首页'!$B$4*100+R$4))</f>
        <v>0</v>
      </c>
      <c r="S69" s="21">
        <f>IF($A69="",0,SUMIFS('[1]销售出库'!$R$4:$R$2003,'[1]销售出库'!$H$4:$H$2003,$A69,'[1]销售出库'!$Q$4:$Q$2003,'首页'!$B$4*100+S$4))</f>
        <v>0</v>
      </c>
      <c r="T69" s="21">
        <f>IF($A69="",0,SUMIFS('[1]销售出库'!$R$4:$R$2003,'[1]销售出库'!$H$4:$H$2003,$A69,'[1]销售出库'!$Q$4:$Q$2003,'首页'!$B$4*100+T$4))</f>
        <v>0</v>
      </c>
      <c r="U69" s="21">
        <f>IF($A69="",0,SUMIFS('[1]销售出库'!$R$4:$R$2003,'[1]销售出库'!$H$4:$H$2003,$A69,'[1]销售出库'!$Q$4:$Q$2003,'首页'!$B$4*100+U$4))</f>
        <v>17</v>
      </c>
      <c r="V69" s="21">
        <f>IF($A69="",0,SUMIFS('[1]销售出库'!$R$4:$R$2003,'[1]销售出库'!$H$4:$H$2003,$A69,'[1]销售出库'!$Q$4:$Q$2003,'首页'!$B$4*100+V$4))</f>
        <v>0</v>
      </c>
      <c r="W69" s="21">
        <f>IF($A69="",0,SUMIFS('[1]销售出库'!$R$4:$R$2003,'[1]销售出库'!$H$4:$H$2003,$A69,'[1]销售出库'!$Q$4:$Q$2003,'首页'!$B$4*100+W$4))</f>
        <v>0</v>
      </c>
      <c r="X69" s="21">
        <f>IF($A69="",0,SUMIFS('[1]销售出库'!$R$4:$R$2003,'[1]销售出库'!$H$4:$H$2003,$A69,'[1]销售出库'!$Q$4:$Q$2003,'首页'!$B$4*100+X$4))</f>
        <v>0</v>
      </c>
    </row>
    <row r="70">
      <c r="A70" s="6" t="str">
        <f>IF('[1]基础资料'!$P$69="","",'[1]基础资料'!$P$69)</f>
        <v>联想Y700 五代 8.8寸保护套</v>
      </c>
      <c r="B70" s="6">
        <f>IF(A70="","",'[1]基础资料'!$Q$69&amp;"")</f>
      </c>
      <c r="C70" s="21">
        <f>IF(A70="",0,N('[1]基础资料'!$S$69))</f>
        <v>0</v>
      </c>
      <c r="D70" s="11">
        <f>IF(A70="",0,N('[1]基础资料'!$U$69))</f>
        <v>0</v>
      </c>
      <c r="E70" s="21">
        <f>IF(A70="",0,SUMIFS('[1]采购入库'!$U$4:$U$2003,'[1]采购入库'!$I$4:$I$2003,$A70))</f>
        <v>71</v>
      </c>
      <c r="F70" s="11">
        <f>IF(A70="",0,SUMIFS('[1]采购入库'!$V$4:$V$2003,'[1]采购入库'!$I$4:$I$2003,$A70))</f>
        <v>1562</v>
      </c>
      <c r="G70" s="21">
        <f>IF(A70="",0,SUMIFS('[1]销售出库'!$R$4:$R$2003,'[1]销售出库'!$H$4:$H$2003,$A70))</f>
        <v>71</v>
      </c>
      <c r="H70" s="11">
        <f t="shared" si="3"/>
        <v>22</v>
      </c>
      <c r="I70" s="11">
        <f t="shared" si="0"/>
        <v>1562</v>
      </c>
      <c r="J70" s="21">
        <f t="shared" si="1"/>
        <v>0</v>
      </c>
      <c r="K70" s="11">
        <f t="shared" si="2"/>
        <v>0</v>
      </c>
      <c r="L70" s="6">
        <f t="shared" si="4"/>
      </c>
      <c r="M70" s="21">
        <f>IF($A70="",0,SUMIFS('[1]销售出库'!$R$4:$R$2003,'[1]销售出库'!$H$4:$H$2003,$A70,'[1]销售出库'!$Q$4:$Q$2003,'首页'!$B$4*100+M$4))</f>
        <v>0</v>
      </c>
      <c r="N70" s="21">
        <f>IF($A70="",0,SUMIFS('[1]销售出库'!$R$4:$R$2003,'[1]销售出库'!$H$4:$H$2003,$A70,'[1]销售出库'!$Q$4:$Q$2003,'首页'!$B$4*100+N$4))</f>
        <v>0</v>
      </c>
      <c r="O70" s="21">
        <f>IF($A70="",0,SUMIFS('[1]销售出库'!$R$4:$R$2003,'[1]销售出库'!$H$4:$H$2003,$A70,'[1]销售出库'!$Q$4:$Q$2003,'首页'!$B$4*100+O$4))</f>
        <v>0</v>
      </c>
      <c r="P70" s="21">
        <f>IF($A70="",0,SUMIFS('[1]销售出库'!$R$4:$R$2003,'[1]销售出库'!$H$4:$H$2003,$A70,'[1]销售出库'!$Q$4:$Q$2003,'首页'!$B$4*100+P$4))</f>
        <v>0</v>
      </c>
      <c r="Q70" s="21">
        <f>IF($A70="",0,SUMIFS('[1]销售出库'!$R$4:$R$2003,'[1]销售出库'!$H$4:$H$2003,$A70,'[1]销售出库'!$Q$4:$Q$2003,'首页'!$B$4*100+Q$4))</f>
        <v>0</v>
      </c>
      <c r="R70" s="21">
        <f>IF($A70="",0,SUMIFS('[1]销售出库'!$R$4:$R$2003,'[1]销售出库'!$H$4:$H$2003,$A70,'[1]销售出库'!$Q$4:$Q$2003,'首页'!$B$4*100+R$4))</f>
        <v>0</v>
      </c>
      <c r="S70" s="21">
        <f>IF($A70="",0,SUMIFS('[1]销售出库'!$R$4:$R$2003,'[1]销售出库'!$H$4:$H$2003,$A70,'[1]销售出库'!$Q$4:$Q$2003,'首页'!$B$4*100+S$4))</f>
        <v>0</v>
      </c>
      <c r="T70" s="21">
        <f>IF($A70="",0,SUMIFS('[1]销售出库'!$R$4:$R$2003,'[1]销售出库'!$H$4:$H$2003,$A70,'[1]销售出库'!$Q$4:$Q$2003,'首页'!$B$4*100+T$4))</f>
        <v>0</v>
      </c>
      <c r="U70" s="21">
        <f>IF($A70="",0,SUMIFS('[1]销售出库'!$R$4:$R$2003,'[1]销售出库'!$H$4:$H$2003,$A70,'[1]销售出库'!$Q$4:$Q$2003,'首页'!$B$4*100+U$4))</f>
        <v>71</v>
      </c>
      <c r="V70" s="21">
        <f>IF($A70="",0,SUMIFS('[1]销售出库'!$R$4:$R$2003,'[1]销售出库'!$H$4:$H$2003,$A70,'[1]销售出库'!$Q$4:$Q$2003,'首页'!$B$4*100+V$4))</f>
        <v>0</v>
      </c>
      <c r="W70" s="21">
        <f>IF($A70="",0,SUMIFS('[1]销售出库'!$R$4:$R$2003,'[1]销售出库'!$H$4:$H$2003,$A70,'[1]销售出库'!$Q$4:$Q$2003,'首页'!$B$4*100+W$4))</f>
        <v>0</v>
      </c>
      <c r="X70" s="21">
        <f>IF($A70="",0,SUMIFS('[1]销售出库'!$R$4:$R$2003,'[1]销售出库'!$H$4:$H$2003,$A70,'[1]销售出库'!$Q$4:$Q$2003,'首页'!$B$4*100+X$4))</f>
        <v>0</v>
      </c>
    </row>
    <row r="71">
      <c r="A71" s="6" t="str">
        <f>IF('[1]基础资料'!$P$70="","",'[1]基础资料'!$P$70)</f>
        <v>联想Y9000P 14900 16G 1TB 5060白色（原封）</v>
      </c>
      <c r="B71" s="6" t="str">
        <f>IF(A71="","",'[1]基础资料'!$Q$70&amp;"")</f>
        <v>联想</v>
      </c>
      <c r="C71" s="21">
        <f>IF(A71="",0,N('[1]基础资料'!$S$70))</f>
        <v>0</v>
      </c>
      <c r="D71" s="11">
        <f>IF(A71="",0,N('[1]基础资料'!$U$70))</f>
        <v>0</v>
      </c>
      <c r="E71" s="21">
        <f>IF(A71="",0,SUMIFS('[1]采购入库'!$U$4:$U$2003,'[1]采购入库'!$I$4:$I$2003,$A71))</f>
        <v>3</v>
      </c>
      <c r="F71" s="11">
        <f>IF(A71="",0,SUMIFS('[1]采购入库'!$V$4:$V$2003,'[1]采购入库'!$I$4:$I$2003,$A71))</f>
        <v>44450</v>
      </c>
      <c r="G71" s="21">
        <f>IF(A71="",0,SUMIFS('[1]销售出库'!$R$4:$R$2003,'[1]销售出库'!$H$4:$H$2003,$A71))</f>
        <v>3</v>
      </c>
      <c r="H71" s="11">
        <f t="shared" si="3"/>
        <v>14816.6667</v>
      </c>
      <c r="I71" s="11">
        <f t="shared" si="0"/>
        <v>44450</v>
      </c>
      <c r="J71" s="21">
        <f t="shared" si="1"/>
        <v>0</v>
      </c>
      <c r="K71" s="11">
        <f t="shared" si="2"/>
        <v>0</v>
      </c>
      <c r="L71" s="6">
        <f t="shared" si="4"/>
      </c>
      <c r="M71" s="21">
        <f>IF($A71="",0,SUMIFS('[1]销售出库'!$R$4:$R$2003,'[1]销售出库'!$H$4:$H$2003,$A71,'[1]销售出库'!$Q$4:$Q$2003,'首页'!$B$4*100+M$4))</f>
        <v>0</v>
      </c>
      <c r="N71" s="21">
        <f>IF($A71="",0,SUMIFS('[1]销售出库'!$R$4:$R$2003,'[1]销售出库'!$H$4:$H$2003,$A71,'[1]销售出库'!$Q$4:$Q$2003,'首页'!$B$4*100+N$4))</f>
        <v>0</v>
      </c>
      <c r="O71" s="21">
        <f>IF($A71="",0,SUMIFS('[1]销售出库'!$R$4:$R$2003,'[1]销售出库'!$H$4:$H$2003,$A71,'[1]销售出库'!$Q$4:$Q$2003,'首页'!$B$4*100+O$4))</f>
        <v>0</v>
      </c>
      <c r="P71" s="21">
        <f>IF($A71="",0,SUMIFS('[1]销售出库'!$R$4:$R$2003,'[1]销售出库'!$H$4:$H$2003,$A71,'[1]销售出库'!$Q$4:$Q$2003,'首页'!$B$4*100+P$4))</f>
        <v>0</v>
      </c>
      <c r="Q71" s="21">
        <f>IF($A71="",0,SUMIFS('[1]销售出库'!$R$4:$R$2003,'[1]销售出库'!$H$4:$H$2003,$A71,'[1]销售出库'!$Q$4:$Q$2003,'首页'!$B$4*100+Q$4))</f>
        <v>0</v>
      </c>
      <c r="R71" s="21">
        <f>IF($A71="",0,SUMIFS('[1]销售出库'!$R$4:$R$2003,'[1]销售出库'!$H$4:$H$2003,$A71,'[1]销售出库'!$Q$4:$Q$2003,'首页'!$B$4*100+R$4))</f>
        <v>0</v>
      </c>
      <c r="S71" s="21">
        <f>IF($A71="",0,SUMIFS('[1]销售出库'!$R$4:$R$2003,'[1]销售出库'!$H$4:$H$2003,$A71,'[1]销售出库'!$Q$4:$Q$2003,'首页'!$B$4*100+S$4))</f>
        <v>0</v>
      </c>
      <c r="T71" s="21">
        <f>IF($A71="",0,SUMIFS('[1]销售出库'!$R$4:$R$2003,'[1]销售出库'!$H$4:$H$2003,$A71,'[1]销售出库'!$Q$4:$Q$2003,'首页'!$B$4*100+T$4))</f>
        <v>0</v>
      </c>
      <c r="U71" s="21">
        <f>IF($A71="",0,SUMIFS('[1]销售出库'!$R$4:$R$2003,'[1]销售出库'!$H$4:$H$2003,$A71,'[1]销售出库'!$Q$4:$Q$2003,'首页'!$B$4*100+U$4))</f>
        <v>3</v>
      </c>
      <c r="V71" s="21">
        <f>IF($A71="",0,SUMIFS('[1]销售出库'!$R$4:$R$2003,'[1]销售出库'!$H$4:$H$2003,$A71,'[1]销售出库'!$Q$4:$Q$2003,'首页'!$B$4*100+V$4))</f>
        <v>0</v>
      </c>
      <c r="W71" s="21">
        <f>IF($A71="",0,SUMIFS('[1]销售出库'!$R$4:$R$2003,'[1]销售出库'!$H$4:$H$2003,$A71,'[1]销售出库'!$Q$4:$Q$2003,'首页'!$B$4*100+W$4))</f>
        <v>0</v>
      </c>
      <c r="X71" s="21">
        <f>IF($A71="",0,SUMIFS('[1]销售出库'!$R$4:$R$2003,'[1]销售出库'!$H$4:$H$2003,$A71,'[1]销售出库'!$Q$4:$Q$2003,'首页'!$B$4*100+X$4))</f>
        <v>0</v>
      </c>
    </row>
    <row r="72">
      <c r="A72" s="6" t="str">
        <f>IF('[1]基础资料'!$P$71="","",'[1]基础资料'!$P$71)</f>
        <v>联想Y9000P 14900 16G 1TB 5070黑色（原封）</v>
      </c>
      <c r="B72" s="6" t="str">
        <f>IF(A72="","",'[1]基础资料'!$Q$71&amp;"")</f>
        <v>联想</v>
      </c>
      <c r="C72" s="21">
        <f>IF(A72="",0,N('[1]基础资料'!$S$71))</f>
        <v>0</v>
      </c>
      <c r="D72" s="11">
        <f>IF(A72="",0,N('[1]基础资料'!$U$71))</f>
        <v>0</v>
      </c>
      <c r="E72" s="21">
        <f>IF(A72="",0,SUMIFS('[1]采购入库'!$U$4:$U$2003,'[1]采购入库'!$I$4:$I$2003,$A72))</f>
        <v>2</v>
      </c>
      <c r="F72" s="11">
        <f>IF(A72="",0,SUMIFS('[1]采购入库'!$V$4:$V$2003,'[1]采购入库'!$I$4:$I$2003,$A72))</f>
        <v>31390</v>
      </c>
      <c r="G72" s="21">
        <f>IF(A72="",0,SUMIFS('[1]销售出库'!$R$4:$R$2003,'[1]销售出库'!$H$4:$H$2003,$A72))</f>
        <v>2</v>
      </c>
      <c r="H72" s="11">
        <f t="shared" si="3"/>
        <v>15695</v>
      </c>
      <c r="I72" s="11">
        <f t="shared" si="0"/>
        <v>31390</v>
      </c>
      <c r="J72" s="21">
        <f t="shared" si="1"/>
        <v>0</v>
      </c>
      <c r="K72" s="11">
        <f t="shared" si="2"/>
        <v>0</v>
      </c>
      <c r="L72" s="6">
        <f t="shared" si="4"/>
      </c>
      <c r="M72" s="21">
        <f>IF($A72="",0,SUMIFS('[1]销售出库'!$R$4:$R$2003,'[1]销售出库'!$H$4:$H$2003,$A72,'[1]销售出库'!$Q$4:$Q$2003,'首页'!$B$4*100+M$4))</f>
        <v>0</v>
      </c>
      <c r="N72" s="21">
        <f>IF($A72="",0,SUMIFS('[1]销售出库'!$R$4:$R$2003,'[1]销售出库'!$H$4:$H$2003,$A72,'[1]销售出库'!$Q$4:$Q$2003,'首页'!$B$4*100+N$4))</f>
        <v>0</v>
      </c>
      <c r="O72" s="21">
        <f>IF($A72="",0,SUMIFS('[1]销售出库'!$R$4:$R$2003,'[1]销售出库'!$H$4:$H$2003,$A72,'[1]销售出库'!$Q$4:$Q$2003,'首页'!$B$4*100+O$4))</f>
        <v>0</v>
      </c>
      <c r="P72" s="21">
        <f>IF($A72="",0,SUMIFS('[1]销售出库'!$R$4:$R$2003,'[1]销售出库'!$H$4:$H$2003,$A72,'[1]销售出库'!$Q$4:$Q$2003,'首页'!$B$4*100+P$4))</f>
        <v>0</v>
      </c>
      <c r="Q72" s="21">
        <f>IF($A72="",0,SUMIFS('[1]销售出库'!$R$4:$R$2003,'[1]销售出库'!$H$4:$H$2003,$A72,'[1]销售出库'!$Q$4:$Q$2003,'首页'!$B$4*100+Q$4))</f>
        <v>0</v>
      </c>
      <c r="R72" s="21">
        <f>IF($A72="",0,SUMIFS('[1]销售出库'!$R$4:$R$2003,'[1]销售出库'!$H$4:$H$2003,$A72,'[1]销售出库'!$Q$4:$Q$2003,'首页'!$B$4*100+R$4))</f>
        <v>0</v>
      </c>
      <c r="S72" s="21">
        <f>IF($A72="",0,SUMIFS('[1]销售出库'!$R$4:$R$2003,'[1]销售出库'!$H$4:$H$2003,$A72,'[1]销售出库'!$Q$4:$Q$2003,'首页'!$B$4*100+S$4))</f>
        <v>0</v>
      </c>
      <c r="T72" s="21">
        <f>IF($A72="",0,SUMIFS('[1]销售出库'!$R$4:$R$2003,'[1]销售出库'!$H$4:$H$2003,$A72,'[1]销售出库'!$Q$4:$Q$2003,'首页'!$B$4*100+T$4))</f>
        <v>0</v>
      </c>
      <c r="U72" s="21">
        <f>IF($A72="",0,SUMIFS('[1]销售出库'!$R$4:$R$2003,'[1]销售出库'!$H$4:$H$2003,$A72,'[1]销售出库'!$Q$4:$Q$2003,'首页'!$B$4*100+U$4))</f>
        <v>2</v>
      </c>
      <c r="V72" s="21">
        <f>IF($A72="",0,SUMIFS('[1]销售出库'!$R$4:$R$2003,'[1]销售出库'!$H$4:$H$2003,$A72,'[1]销售出库'!$Q$4:$Q$2003,'首页'!$B$4*100+V$4))</f>
        <v>0</v>
      </c>
      <c r="W72" s="21">
        <f>IF($A72="",0,SUMIFS('[1]销售出库'!$R$4:$R$2003,'[1]销售出库'!$H$4:$H$2003,$A72,'[1]销售出库'!$Q$4:$Q$2003,'首页'!$B$4*100+W$4))</f>
        <v>0</v>
      </c>
      <c r="X72" s="21">
        <f>IF($A72="",0,SUMIFS('[1]销售出库'!$R$4:$R$2003,'[1]销售出库'!$H$4:$H$2003,$A72,'[1]销售出库'!$Q$4:$Q$2003,'首页'!$B$4*100+X$4))</f>
        <v>0</v>
      </c>
    </row>
    <row r="73">
      <c r="A73" s="6" t="str">
        <f>IF('[1]基础资料'!$P$72="","",'[1]基础资料'!$P$72)</f>
        <v>联想Y7000P U7-255H-32G-1T-RTX5060黑色（一手）</v>
      </c>
      <c r="B73" s="6" t="str">
        <f>IF(A73="","",'[1]基础资料'!$Q$72&amp;"")</f>
        <v>联想</v>
      </c>
      <c r="C73" s="21">
        <f>IF(A73="",0,N('[1]基础资料'!$S$72))</f>
        <v>0</v>
      </c>
      <c r="D73" s="11">
        <f>IF(A73="",0,N('[1]基础资料'!$U$72))</f>
        <v>0</v>
      </c>
      <c r="E73" s="21">
        <f>IF(A73="",0,SUMIFS('[1]采购入库'!$U$4:$U$2003,'[1]采购入库'!$I$4:$I$2003,$A73))</f>
        <v>4</v>
      </c>
      <c r="F73" s="11">
        <f>IF(A73="",0,SUMIFS('[1]采购入库'!$V$4:$V$2003,'[1]采购入库'!$I$4:$I$2003,$A73))</f>
        <v>57660</v>
      </c>
      <c r="G73" s="21">
        <f>IF(A73="",0,SUMIFS('[1]销售出库'!$R$4:$R$2003,'[1]销售出库'!$H$4:$H$2003,$A73))</f>
        <v>4</v>
      </c>
      <c r="H73" s="11">
        <f t="shared" si="3"/>
        <v>14415</v>
      </c>
      <c r="I73" s="11">
        <f t="shared" si="0"/>
        <v>57660</v>
      </c>
      <c r="J73" s="21">
        <f t="shared" si="1"/>
        <v>0</v>
      </c>
      <c r="K73" s="11">
        <f t="shared" si="2"/>
        <v>0</v>
      </c>
      <c r="L73" s="6">
        <f t="shared" si="4"/>
      </c>
      <c r="M73" s="21">
        <f>IF($A73="",0,SUMIFS('[1]销售出库'!$R$4:$R$2003,'[1]销售出库'!$H$4:$H$2003,$A73,'[1]销售出库'!$Q$4:$Q$2003,'首页'!$B$4*100+M$4))</f>
        <v>0</v>
      </c>
      <c r="N73" s="21">
        <f>IF($A73="",0,SUMIFS('[1]销售出库'!$R$4:$R$2003,'[1]销售出库'!$H$4:$H$2003,$A73,'[1]销售出库'!$Q$4:$Q$2003,'首页'!$B$4*100+N$4))</f>
        <v>0</v>
      </c>
      <c r="O73" s="21">
        <f>IF($A73="",0,SUMIFS('[1]销售出库'!$R$4:$R$2003,'[1]销售出库'!$H$4:$H$2003,$A73,'[1]销售出库'!$Q$4:$Q$2003,'首页'!$B$4*100+O$4))</f>
        <v>0</v>
      </c>
      <c r="P73" s="21">
        <f>IF($A73="",0,SUMIFS('[1]销售出库'!$R$4:$R$2003,'[1]销售出库'!$H$4:$H$2003,$A73,'[1]销售出库'!$Q$4:$Q$2003,'首页'!$B$4*100+P$4))</f>
        <v>0</v>
      </c>
      <c r="Q73" s="21">
        <f>IF($A73="",0,SUMIFS('[1]销售出库'!$R$4:$R$2003,'[1]销售出库'!$H$4:$H$2003,$A73,'[1]销售出库'!$Q$4:$Q$2003,'首页'!$B$4*100+Q$4))</f>
        <v>0</v>
      </c>
      <c r="R73" s="21">
        <f>IF($A73="",0,SUMIFS('[1]销售出库'!$R$4:$R$2003,'[1]销售出库'!$H$4:$H$2003,$A73,'[1]销售出库'!$Q$4:$Q$2003,'首页'!$B$4*100+R$4))</f>
        <v>0</v>
      </c>
      <c r="S73" s="21">
        <f>IF($A73="",0,SUMIFS('[1]销售出库'!$R$4:$R$2003,'[1]销售出库'!$H$4:$H$2003,$A73,'[1]销售出库'!$Q$4:$Q$2003,'首页'!$B$4*100+S$4))</f>
        <v>0</v>
      </c>
      <c r="T73" s="21">
        <f>IF($A73="",0,SUMIFS('[1]销售出库'!$R$4:$R$2003,'[1]销售出库'!$H$4:$H$2003,$A73,'[1]销售出库'!$Q$4:$Q$2003,'首页'!$B$4*100+T$4))</f>
        <v>0</v>
      </c>
      <c r="U73" s="21">
        <f>IF($A73="",0,SUMIFS('[1]销售出库'!$R$4:$R$2003,'[1]销售出库'!$H$4:$H$2003,$A73,'[1]销售出库'!$Q$4:$Q$2003,'首页'!$B$4*100+U$4))</f>
        <v>4</v>
      </c>
      <c r="V73" s="21">
        <f>IF($A73="",0,SUMIFS('[1]销售出库'!$R$4:$R$2003,'[1]销售出库'!$H$4:$H$2003,$A73,'[1]销售出库'!$Q$4:$Q$2003,'首页'!$B$4*100+V$4))</f>
        <v>0</v>
      </c>
      <c r="W73" s="21">
        <f>IF($A73="",0,SUMIFS('[1]销售出库'!$R$4:$R$2003,'[1]销售出库'!$H$4:$H$2003,$A73,'[1]销售出库'!$Q$4:$Q$2003,'首页'!$B$4*100+W$4))</f>
        <v>0</v>
      </c>
      <c r="X73" s="21">
        <f>IF($A73="",0,SUMIFS('[1]销售出库'!$R$4:$R$2003,'[1]销售出库'!$H$4:$H$2003,$A73,'[1]销售出库'!$Q$4:$Q$2003,'首页'!$B$4*100+X$4))</f>
        <v>0</v>
      </c>
    </row>
    <row r="74">
      <c r="A74" s="6" t="str">
        <f>IF('[1]基础资料'!$P$73="","",'[1]基础资料'!$P$73)</f>
        <v>联想Y900 11寸 12+256白色</v>
      </c>
      <c r="B74" s="6" t="str">
        <f>IF(A74="","",'[1]基础资料'!$Q$73&amp;"")</f>
        <v>联想</v>
      </c>
      <c r="C74" s="21">
        <f>IF(A74="",0,N('[1]基础资料'!$S$73))</f>
        <v>0</v>
      </c>
      <c r="D74" s="11">
        <f>IF(A74="",0,N('[1]基础资料'!$U$73))</f>
        <v>0</v>
      </c>
      <c r="E74" s="21">
        <f>IF(A74="",0,SUMIFS('[1]采购入库'!$U$4:$U$2003,'[1]采购入库'!$I$4:$I$2003,$A74))</f>
        <v>32</v>
      </c>
      <c r="F74" s="11">
        <f>IF(A74="",0,SUMIFS('[1]采购入库'!$V$4:$V$2003,'[1]采购入库'!$I$4:$I$2003,$A74))</f>
        <v>71040</v>
      </c>
      <c r="G74" s="21">
        <f>IF(A74="",0,SUMIFS('[1]销售出库'!$R$4:$R$2003,'[1]销售出库'!$H$4:$H$2003,$A74))</f>
        <v>32</v>
      </c>
      <c r="H74" s="11">
        <f t="shared" si="3"/>
        <v>2220</v>
      </c>
      <c r="I74" s="11">
        <f t="shared" si="0"/>
        <v>71040</v>
      </c>
      <c r="J74" s="21">
        <f t="shared" si="1"/>
        <v>0</v>
      </c>
      <c r="K74" s="11">
        <f t="shared" si="2"/>
        <v>0</v>
      </c>
      <c r="L74" s="6">
        <f t="shared" si="4"/>
      </c>
      <c r="M74" s="21">
        <f>IF($A74="",0,SUMIFS('[1]销售出库'!$R$4:$R$2003,'[1]销售出库'!$H$4:$H$2003,$A74,'[1]销售出库'!$Q$4:$Q$2003,'首页'!$B$4*100+M$4))</f>
        <v>0</v>
      </c>
      <c r="N74" s="21">
        <f>IF($A74="",0,SUMIFS('[1]销售出库'!$R$4:$R$2003,'[1]销售出库'!$H$4:$H$2003,$A74,'[1]销售出库'!$Q$4:$Q$2003,'首页'!$B$4*100+N$4))</f>
        <v>0</v>
      </c>
      <c r="O74" s="21">
        <f>IF($A74="",0,SUMIFS('[1]销售出库'!$R$4:$R$2003,'[1]销售出库'!$H$4:$H$2003,$A74,'[1]销售出库'!$Q$4:$Q$2003,'首页'!$B$4*100+O$4))</f>
        <v>0</v>
      </c>
      <c r="P74" s="21">
        <f>IF($A74="",0,SUMIFS('[1]销售出库'!$R$4:$R$2003,'[1]销售出库'!$H$4:$H$2003,$A74,'[1]销售出库'!$Q$4:$Q$2003,'首页'!$B$4*100+P$4))</f>
        <v>0</v>
      </c>
      <c r="Q74" s="21">
        <f>IF($A74="",0,SUMIFS('[1]销售出库'!$R$4:$R$2003,'[1]销售出库'!$H$4:$H$2003,$A74,'[1]销售出库'!$Q$4:$Q$2003,'首页'!$B$4*100+Q$4))</f>
        <v>0</v>
      </c>
      <c r="R74" s="21">
        <f>IF($A74="",0,SUMIFS('[1]销售出库'!$R$4:$R$2003,'[1]销售出库'!$H$4:$H$2003,$A74,'[1]销售出库'!$Q$4:$Q$2003,'首页'!$B$4*100+R$4))</f>
        <v>0</v>
      </c>
      <c r="S74" s="21">
        <f>IF($A74="",0,SUMIFS('[1]销售出库'!$R$4:$R$2003,'[1]销售出库'!$H$4:$H$2003,$A74,'[1]销售出库'!$Q$4:$Q$2003,'首页'!$B$4*100+S$4))</f>
        <v>0</v>
      </c>
      <c r="T74" s="21">
        <f>IF($A74="",0,SUMIFS('[1]销售出库'!$R$4:$R$2003,'[1]销售出库'!$H$4:$H$2003,$A74,'[1]销售出库'!$Q$4:$Q$2003,'首页'!$B$4*100+T$4))</f>
        <v>0</v>
      </c>
      <c r="U74" s="21">
        <f>IF($A74="",0,SUMIFS('[1]销售出库'!$R$4:$R$2003,'[1]销售出库'!$H$4:$H$2003,$A74,'[1]销售出库'!$Q$4:$Q$2003,'首页'!$B$4*100+U$4))</f>
        <v>0</v>
      </c>
      <c r="V74" s="21">
        <f>IF($A74="",0,SUMIFS('[1]销售出库'!$R$4:$R$2003,'[1]销售出库'!$H$4:$H$2003,$A74,'[1]销售出库'!$Q$4:$Q$2003,'首页'!$B$4*100+V$4))</f>
        <v>32</v>
      </c>
      <c r="W74" s="21">
        <f>IF($A74="",0,SUMIFS('[1]销售出库'!$R$4:$R$2003,'[1]销售出库'!$H$4:$H$2003,$A74,'[1]销售出库'!$Q$4:$Q$2003,'首页'!$B$4*100+W$4))</f>
        <v>0</v>
      </c>
      <c r="X74" s="21">
        <f>IF($A74="",0,SUMIFS('[1]销售出库'!$R$4:$R$2003,'[1]销售出库'!$H$4:$H$2003,$A74,'[1]销售出库'!$Q$4:$Q$2003,'首页'!$B$4*100+X$4))</f>
        <v>0</v>
      </c>
    </row>
    <row r="75">
      <c r="A75" s="6" t="str">
        <f>IF('[1]基础资料'!$P$74="","",'[1]基础资料'!$P$74)</f>
        <v>联想Y900 11寸 12+256黑色</v>
      </c>
      <c r="B75" s="6" t="str">
        <f>IF(A75="","",'[1]基础资料'!$Q$74&amp;"")</f>
        <v>联想</v>
      </c>
      <c r="C75" s="21">
        <f>IF(A75="",0,N('[1]基础资料'!$S$74))</f>
        <v>0</v>
      </c>
      <c r="D75" s="11">
        <f>IF(A75="",0,N('[1]基础资料'!$U$74))</f>
        <v>0</v>
      </c>
      <c r="E75" s="21">
        <f>IF(A75="",0,SUMIFS('[1]采购入库'!$U$4:$U$2003,'[1]采购入库'!$I$4:$I$2003,$A75))</f>
        <v>1</v>
      </c>
      <c r="F75" s="11">
        <f>IF(A75="",0,SUMIFS('[1]采购入库'!$V$4:$V$2003,'[1]采购入库'!$I$4:$I$2003,$A75))</f>
        <v>2220</v>
      </c>
      <c r="G75" s="21">
        <f>IF(A75="",0,SUMIFS('[1]销售出库'!$R$4:$R$2003,'[1]销售出库'!$H$4:$H$2003,$A75))</f>
        <v>1</v>
      </c>
      <c r="H75" s="11">
        <f t="shared" si="3"/>
        <v>2220</v>
      </c>
      <c r="I75" s="11">
        <f t="shared" si="0"/>
        <v>2220</v>
      </c>
      <c r="J75" s="21">
        <f t="shared" si="1"/>
        <v>0</v>
      </c>
      <c r="K75" s="11">
        <f t="shared" si="2"/>
        <v>0</v>
      </c>
      <c r="L75" s="6">
        <f t="shared" si="4"/>
      </c>
      <c r="M75" s="21">
        <f>IF($A75="",0,SUMIFS('[1]销售出库'!$R$4:$R$2003,'[1]销售出库'!$H$4:$H$2003,$A75,'[1]销售出库'!$Q$4:$Q$2003,'首页'!$B$4*100+M$4))</f>
        <v>0</v>
      </c>
      <c r="N75" s="21">
        <f>IF($A75="",0,SUMIFS('[1]销售出库'!$R$4:$R$2003,'[1]销售出库'!$H$4:$H$2003,$A75,'[1]销售出库'!$Q$4:$Q$2003,'首页'!$B$4*100+N$4))</f>
        <v>0</v>
      </c>
      <c r="O75" s="21">
        <f>IF($A75="",0,SUMIFS('[1]销售出库'!$R$4:$R$2003,'[1]销售出库'!$H$4:$H$2003,$A75,'[1]销售出库'!$Q$4:$Q$2003,'首页'!$B$4*100+O$4))</f>
        <v>0</v>
      </c>
      <c r="P75" s="21">
        <f>IF($A75="",0,SUMIFS('[1]销售出库'!$R$4:$R$2003,'[1]销售出库'!$H$4:$H$2003,$A75,'[1]销售出库'!$Q$4:$Q$2003,'首页'!$B$4*100+P$4))</f>
        <v>0</v>
      </c>
      <c r="Q75" s="21">
        <f>IF($A75="",0,SUMIFS('[1]销售出库'!$R$4:$R$2003,'[1]销售出库'!$H$4:$H$2003,$A75,'[1]销售出库'!$Q$4:$Q$2003,'首页'!$B$4*100+Q$4))</f>
        <v>0</v>
      </c>
      <c r="R75" s="21">
        <f>IF($A75="",0,SUMIFS('[1]销售出库'!$R$4:$R$2003,'[1]销售出库'!$H$4:$H$2003,$A75,'[1]销售出库'!$Q$4:$Q$2003,'首页'!$B$4*100+R$4))</f>
        <v>0</v>
      </c>
      <c r="S75" s="21">
        <f>IF($A75="",0,SUMIFS('[1]销售出库'!$R$4:$R$2003,'[1]销售出库'!$H$4:$H$2003,$A75,'[1]销售出库'!$Q$4:$Q$2003,'首页'!$B$4*100+S$4))</f>
        <v>0</v>
      </c>
      <c r="T75" s="21">
        <f>IF($A75="",0,SUMIFS('[1]销售出库'!$R$4:$R$2003,'[1]销售出库'!$H$4:$H$2003,$A75,'[1]销售出库'!$Q$4:$Q$2003,'首页'!$B$4*100+T$4))</f>
        <v>0</v>
      </c>
      <c r="U75" s="21">
        <f>IF($A75="",0,SUMIFS('[1]销售出库'!$R$4:$R$2003,'[1]销售出库'!$H$4:$H$2003,$A75,'[1]销售出库'!$Q$4:$Q$2003,'首页'!$B$4*100+U$4))</f>
        <v>0</v>
      </c>
      <c r="V75" s="21">
        <f>IF($A75="",0,SUMIFS('[1]销售出库'!$R$4:$R$2003,'[1]销售出库'!$H$4:$H$2003,$A75,'[1]销售出库'!$Q$4:$Q$2003,'首页'!$B$4*100+V$4))</f>
        <v>1</v>
      </c>
      <c r="W75" s="21">
        <f>IF($A75="",0,SUMIFS('[1]销售出库'!$R$4:$R$2003,'[1]销售出库'!$H$4:$H$2003,$A75,'[1]销售出库'!$Q$4:$Q$2003,'首页'!$B$4*100+W$4))</f>
        <v>0</v>
      </c>
      <c r="X75" s="21">
        <f>IF($A75="",0,SUMIFS('[1]销售出库'!$R$4:$R$2003,'[1]销售出库'!$H$4:$H$2003,$A75,'[1]销售出库'!$Q$4:$Q$2003,'首页'!$B$4*100+X$4))</f>
        <v>0</v>
      </c>
    </row>
    <row r="76">
      <c r="A76" s="6" t="str">
        <f>IF('[1]基础资料'!$P$75="","",'[1]基础资料'!$P$75)</f>
        <v>无畏16SE S3652MA320  CORE 5 320 16G 512G 银色</v>
      </c>
      <c r="B76" s="6">
        <f>IF(A76="","",'[1]基础资料'!$Q$75&amp;"")</f>
      </c>
      <c r="C76" s="21">
        <f>IF(A76="",0,N('[1]基础资料'!$S$75))</f>
        <v>0</v>
      </c>
      <c r="D76" s="11">
        <f>IF(A76="",0,N('[1]基础资料'!$U$75))</f>
        <v>0</v>
      </c>
      <c r="E76" s="21">
        <f>IF(A76="",0,SUMIFS('[1]采购入库'!$U$4:$U$2003,'[1]采购入库'!$I$4:$I$2003,$A76))</f>
        <v>0</v>
      </c>
      <c r="F76" s="11">
        <f>IF(A76="",0,SUMIFS('[1]采购入库'!$V$4:$V$2003,'[1]采购入库'!$I$4:$I$2003,$A76))</f>
        <v>0</v>
      </c>
      <c r="G76" s="21">
        <f>IF(A76="",0,SUMIFS('[1]销售出库'!$R$4:$R$2003,'[1]销售出库'!$H$4:$H$2003,$A76))</f>
        <v>9</v>
      </c>
      <c r="H76" s="11">
        <f t="shared" si="3"/>
        <v>0</v>
      </c>
      <c r="I76" s="11">
        <f t="shared" si="0"/>
        <v>0</v>
      </c>
      <c r="J76" s="21">
        <f t="shared" si="1"/>
        <v>-9</v>
      </c>
      <c r="K76" s="11">
        <f t="shared" si="2"/>
        <v>0</v>
      </c>
      <c r="L76" s="6" t="str">
        <f t="shared" si="4"/>
        <v>负库存：漏记采购或期初不准</v>
      </c>
      <c r="M76" s="21">
        <f>IF($A76="",0,SUMIFS('[1]销售出库'!$R$4:$R$2003,'[1]销售出库'!$H$4:$H$2003,$A76,'[1]销售出库'!$Q$4:$Q$2003,'首页'!$B$4*100+M$4))</f>
        <v>0</v>
      </c>
      <c r="N76" s="21">
        <f>IF($A76="",0,SUMIFS('[1]销售出库'!$R$4:$R$2003,'[1]销售出库'!$H$4:$H$2003,$A76,'[1]销售出库'!$Q$4:$Q$2003,'首页'!$B$4*100+N$4))</f>
        <v>0</v>
      </c>
      <c r="O76" s="21">
        <f>IF($A76="",0,SUMIFS('[1]销售出库'!$R$4:$R$2003,'[1]销售出库'!$H$4:$H$2003,$A76,'[1]销售出库'!$Q$4:$Q$2003,'首页'!$B$4*100+O$4))</f>
        <v>0</v>
      </c>
      <c r="P76" s="21">
        <f>IF($A76="",0,SUMIFS('[1]销售出库'!$R$4:$R$2003,'[1]销售出库'!$H$4:$H$2003,$A76,'[1]销售出库'!$Q$4:$Q$2003,'首页'!$B$4*100+P$4))</f>
        <v>0</v>
      </c>
      <c r="Q76" s="21">
        <f>IF($A76="",0,SUMIFS('[1]销售出库'!$R$4:$R$2003,'[1]销售出库'!$H$4:$H$2003,$A76,'[1]销售出库'!$Q$4:$Q$2003,'首页'!$B$4*100+Q$4))</f>
        <v>0</v>
      </c>
      <c r="R76" s="21">
        <f>IF($A76="",0,SUMIFS('[1]销售出库'!$R$4:$R$2003,'[1]销售出库'!$H$4:$H$2003,$A76,'[1]销售出库'!$Q$4:$Q$2003,'首页'!$B$4*100+R$4))</f>
        <v>0</v>
      </c>
      <c r="S76" s="21">
        <f>IF($A76="",0,SUMIFS('[1]销售出库'!$R$4:$R$2003,'[1]销售出库'!$H$4:$H$2003,$A76,'[1]销售出库'!$Q$4:$Q$2003,'首页'!$B$4*100+S$4))</f>
        <v>0</v>
      </c>
      <c r="T76" s="21">
        <f>IF($A76="",0,SUMIFS('[1]销售出库'!$R$4:$R$2003,'[1]销售出库'!$H$4:$H$2003,$A76,'[1]销售出库'!$Q$4:$Q$2003,'首页'!$B$4*100+T$4))</f>
        <v>0</v>
      </c>
      <c r="U76" s="21">
        <f>IF($A76="",0,SUMIFS('[1]销售出库'!$R$4:$R$2003,'[1]销售出库'!$H$4:$H$2003,$A76,'[1]销售出库'!$Q$4:$Q$2003,'首页'!$B$4*100+U$4))</f>
        <v>9</v>
      </c>
      <c r="V76" s="21">
        <f>IF($A76="",0,SUMIFS('[1]销售出库'!$R$4:$R$2003,'[1]销售出库'!$H$4:$H$2003,$A76,'[1]销售出库'!$Q$4:$Q$2003,'首页'!$B$4*100+V$4))</f>
        <v>0</v>
      </c>
      <c r="W76" s="21">
        <f>IF($A76="",0,SUMIFS('[1]销售出库'!$R$4:$R$2003,'[1]销售出库'!$H$4:$H$2003,$A76,'[1]销售出库'!$Q$4:$Q$2003,'首页'!$B$4*100+W$4))</f>
        <v>0</v>
      </c>
      <c r="X76" s="21">
        <f>IF($A76="",0,SUMIFS('[1]销售出库'!$R$4:$R$2003,'[1]销售出库'!$H$4:$H$2003,$A76,'[1]销售出库'!$Q$4:$Q$2003,'首页'!$B$4*100+X$4))</f>
        <v>0</v>
      </c>
    </row>
    <row r="77">
      <c r="A77" s="6">
        <f>IF('[1]基础资料'!$P$76="","",'[1]基础资料'!$P$76)</f>
      </c>
      <c r="B77" s="6">
        <f>IF(A77="","",'[1]基础资料'!$Q$76&amp;"")</f>
      </c>
      <c r="C77" s="21">
        <f>IF(A77="",0,N('[1]基础资料'!$S$76))</f>
        <v>0</v>
      </c>
      <c r="D77" s="11">
        <f>IF(A77="",0,N('[1]基础资料'!$U$76))</f>
        <v>0</v>
      </c>
      <c r="E77" s="21">
        <f>IF(A77="",0,SUMIFS('[1]采购入库'!$U$4:$U$2003,'[1]采购入库'!$I$4:$I$2003,$A77))</f>
        <v>0</v>
      </c>
      <c r="F77" s="11">
        <f>IF(A77="",0,SUMIFS('[1]采购入库'!$V$4:$V$2003,'[1]采购入库'!$I$4:$I$2003,$A77))</f>
        <v>0</v>
      </c>
      <c r="G77" s="21">
        <f>IF(A77="",0,SUMIFS('[1]销售出库'!$R$4:$R$2003,'[1]销售出库'!$H$4:$H$2003,$A77))</f>
        <v>0</v>
      </c>
      <c r="H77" s="11">
        <f t="shared" si="3"/>
        <v>0</v>
      </c>
      <c r="I77" s="11">
        <f t="shared" si="0"/>
        <v>0</v>
      </c>
      <c r="J77" s="21">
        <f t="shared" si="1"/>
        <v>0</v>
      </c>
      <c r="K77" s="11">
        <f t="shared" si="2"/>
        <v>0</v>
      </c>
      <c r="L77" s="6">
        <f t="shared" si="4"/>
      </c>
      <c r="M77" s="21">
        <f>IF($A77="",0,SUMIFS('[1]销售出库'!$R$4:$R$2003,'[1]销售出库'!$H$4:$H$2003,$A77,'[1]销售出库'!$Q$4:$Q$2003,'首页'!$B$4*100+M$4))</f>
        <v>0</v>
      </c>
      <c r="N77" s="21">
        <f>IF($A77="",0,SUMIFS('[1]销售出库'!$R$4:$R$2003,'[1]销售出库'!$H$4:$H$2003,$A77,'[1]销售出库'!$Q$4:$Q$2003,'首页'!$B$4*100+N$4))</f>
        <v>0</v>
      </c>
      <c r="O77" s="21">
        <f>IF($A77="",0,SUMIFS('[1]销售出库'!$R$4:$R$2003,'[1]销售出库'!$H$4:$H$2003,$A77,'[1]销售出库'!$Q$4:$Q$2003,'首页'!$B$4*100+O$4))</f>
        <v>0</v>
      </c>
      <c r="P77" s="21">
        <f>IF($A77="",0,SUMIFS('[1]销售出库'!$R$4:$R$2003,'[1]销售出库'!$H$4:$H$2003,$A77,'[1]销售出库'!$Q$4:$Q$2003,'首页'!$B$4*100+P$4))</f>
        <v>0</v>
      </c>
      <c r="Q77" s="21">
        <f>IF($A77="",0,SUMIFS('[1]销售出库'!$R$4:$R$2003,'[1]销售出库'!$H$4:$H$2003,$A77,'[1]销售出库'!$Q$4:$Q$2003,'首页'!$B$4*100+Q$4))</f>
        <v>0</v>
      </c>
      <c r="R77" s="21">
        <f>IF($A77="",0,SUMIFS('[1]销售出库'!$R$4:$R$2003,'[1]销售出库'!$H$4:$H$2003,$A77,'[1]销售出库'!$Q$4:$Q$2003,'首页'!$B$4*100+R$4))</f>
        <v>0</v>
      </c>
      <c r="S77" s="21">
        <f>IF($A77="",0,SUMIFS('[1]销售出库'!$R$4:$R$2003,'[1]销售出库'!$H$4:$H$2003,$A77,'[1]销售出库'!$Q$4:$Q$2003,'首页'!$B$4*100+S$4))</f>
        <v>0</v>
      </c>
      <c r="T77" s="21">
        <f>IF($A77="",0,SUMIFS('[1]销售出库'!$R$4:$R$2003,'[1]销售出库'!$H$4:$H$2003,$A77,'[1]销售出库'!$Q$4:$Q$2003,'首页'!$B$4*100+T$4))</f>
        <v>0</v>
      </c>
      <c r="U77" s="21">
        <f>IF($A77="",0,SUMIFS('[1]销售出库'!$R$4:$R$2003,'[1]销售出库'!$H$4:$H$2003,$A77,'[1]销售出库'!$Q$4:$Q$2003,'首页'!$B$4*100+U$4))</f>
        <v>0</v>
      </c>
      <c r="V77" s="21">
        <f>IF($A77="",0,SUMIFS('[1]销售出库'!$R$4:$R$2003,'[1]销售出库'!$H$4:$H$2003,$A77,'[1]销售出库'!$Q$4:$Q$2003,'首页'!$B$4*100+V$4))</f>
        <v>0</v>
      </c>
      <c r="W77" s="21">
        <f>IF($A77="",0,SUMIFS('[1]销售出库'!$R$4:$R$2003,'[1]销售出库'!$H$4:$H$2003,$A77,'[1]销售出库'!$Q$4:$Q$2003,'首页'!$B$4*100+W$4))</f>
        <v>0</v>
      </c>
      <c r="X77" s="21">
        <f>IF($A77="",0,SUMIFS('[1]销售出库'!$R$4:$R$2003,'[1]销售出库'!$H$4:$H$2003,$A77,'[1]销售出库'!$Q$4:$Q$2003,'首页'!$B$4*100+X$4))</f>
        <v>0</v>
      </c>
    </row>
    <row r="78">
      <c r="A78" s="6">
        <f>IF('[1]基础资料'!$P$77="","",'[1]基础资料'!$P$77)</f>
      </c>
      <c r="B78" s="6">
        <f>IF(A78="","",'[1]基础资料'!$Q$77&amp;"")</f>
      </c>
      <c r="C78" s="21">
        <f>IF(A78="",0,N('[1]基础资料'!$S$77))</f>
        <v>0</v>
      </c>
      <c r="D78" s="11">
        <f>IF(A78="",0,N('[1]基础资料'!$U$77))</f>
        <v>0</v>
      </c>
      <c r="E78" s="21">
        <f>IF(A78="",0,SUMIFS('[1]采购入库'!$U$4:$U$2003,'[1]采购入库'!$I$4:$I$2003,$A78))</f>
        <v>0</v>
      </c>
      <c r="F78" s="11">
        <f>IF(A78="",0,SUMIFS('[1]采购入库'!$V$4:$V$2003,'[1]采购入库'!$I$4:$I$2003,$A78))</f>
        <v>0</v>
      </c>
      <c r="G78" s="21">
        <f>IF(A78="",0,SUMIFS('[1]销售出库'!$R$4:$R$2003,'[1]销售出库'!$H$4:$H$2003,$A78))</f>
        <v>0</v>
      </c>
      <c r="H78" s="11">
        <f t="shared" si="3"/>
        <v>0</v>
      </c>
      <c r="I78" s="11">
        <f t="shared" si="0"/>
        <v>0</v>
      </c>
      <c r="J78" s="21">
        <f t="shared" si="1"/>
        <v>0</v>
      </c>
      <c r="K78" s="11">
        <f t="shared" si="2"/>
        <v>0</v>
      </c>
      <c r="L78" s="6">
        <f t="shared" si="4"/>
      </c>
      <c r="M78" s="21">
        <f>IF($A78="",0,SUMIFS('[1]销售出库'!$R$4:$R$2003,'[1]销售出库'!$H$4:$H$2003,$A78,'[1]销售出库'!$Q$4:$Q$2003,'首页'!$B$4*100+M$4))</f>
        <v>0</v>
      </c>
      <c r="N78" s="21">
        <f>IF($A78="",0,SUMIFS('[1]销售出库'!$R$4:$R$2003,'[1]销售出库'!$H$4:$H$2003,$A78,'[1]销售出库'!$Q$4:$Q$2003,'首页'!$B$4*100+N$4))</f>
        <v>0</v>
      </c>
      <c r="O78" s="21">
        <f>IF($A78="",0,SUMIFS('[1]销售出库'!$R$4:$R$2003,'[1]销售出库'!$H$4:$H$2003,$A78,'[1]销售出库'!$Q$4:$Q$2003,'首页'!$B$4*100+O$4))</f>
        <v>0</v>
      </c>
      <c r="P78" s="21">
        <f>IF($A78="",0,SUMIFS('[1]销售出库'!$R$4:$R$2003,'[1]销售出库'!$H$4:$H$2003,$A78,'[1]销售出库'!$Q$4:$Q$2003,'首页'!$B$4*100+P$4))</f>
        <v>0</v>
      </c>
      <c r="Q78" s="21">
        <f>IF($A78="",0,SUMIFS('[1]销售出库'!$R$4:$R$2003,'[1]销售出库'!$H$4:$H$2003,$A78,'[1]销售出库'!$Q$4:$Q$2003,'首页'!$B$4*100+Q$4))</f>
        <v>0</v>
      </c>
      <c r="R78" s="21">
        <f>IF($A78="",0,SUMIFS('[1]销售出库'!$R$4:$R$2003,'[1]销售出库'!$H$4:$H$2003,$A78,'[1]销售出库'!$Q$4:$Q$2003,'首页'!$B$4*100+R$4))</f>
        <v>0</v>
      </c>
      <c r="S78" s="21">
        <f>IF($A78="",0,SUMIFS('[1]销售出库'!$R$4:$R$2003,'[1]销售出库'!$H$4:$H$2003,$A78,'[1]销售出库'!$Q$4:$Q$2003,'首页'!$B$4*100+S$4))</f>
        <v>0</v>
      </c>
      <c r="T78" s="21">
        <f>IF($A78="",0,SUMIFS('[1]销售出库'!$R$4:$R$2003,'[1]销售出库'!$H$4:$H$2003,$A78,'[1]销售出库'!$Q$4:$Q$2003,'首页'!$B$4*100+T$4))</f>
        <v>0</v>
      </c>
      <c r="U78" s="21">
        <f>IF($A78="",0,SUMIFS('[1]销售出库'!$R$4:$R$2003,'[1]销售出库'!$H$4:$H$2003,$A78,'[1]销售出库'!$Q$4:$Q$2003,'首页'!$B$4*100+U$4))</f>
        <v>0</v>
      </c>
      <c r="V78" s="21">
        <f>IF($A78="",0,SUMIFS('[1]销售出库'!$R$4:$R$2003,'[1]销售出库'!$H$4:$H$2003,$A78,'[1]销售出库'!$Q$4:$Q$2003,'首页'!$B$4*100+V$4))</f>
        <v>0</v>
      </c>
      <c r="W78" s="21">
        <f>IF($A78="",0,SUMIFS('[1]销售出库'!$R$4:$R$2003,'[1]销售出库'!$H$4:$H$2003,$A78,'[1]销售出库'!$Q$4:$Q$2003,'首页'!$B$4*100+W$4))</f>
        <v>0</v>
      </c>
      <c r="X78" s="21">
        <f>IF($A78="",0,SUMIFS('[1]销售出库'!$R$4:$R$2003,'[1]销售出库'!$H$4:$H$2003,$A78,'[1]销售出库'!$Q$4:$Q$2003,'首页'!$B$4*100+X$4))</f>
        <v>0</v>
      </c>
    </row>
    <row r="79">
      <c r="A79" s="6">
        <f>IF('[1]基础资料'!$P$78="","",'[1]基础资料'!$P$78)</f>
      </c>
      <c r="B79" s="6">
        <f>IF(A79="","",'[1]基础资料'!$Q$78&amp;"")</f>
      </c>
      <c r="C79" s="21">
        <f>IF(A79="",0,N('[1]基础资料'!$S$78))</f>
        <v>0</v>
      </c>
      <c r="D79" s="11">
        <f>IF(A79="",0,N('[1]基础资料'!$U$78))</f>
        <v>0</v>
      </c>
      <c r="E79" s="21">
        <f>IF(A79="",0,SUMIFS('[1]采购入库'!$U$4:$U$2003,'[1]采购入库'!$I$4:$I$2003,$A79))</f>
        <v>0</v>
      </c>
      <c r="F79" s="11">
        <f>IF(A79="",0,SUMIFS('[1]采购入库'!$V$4:$V$2003,'[1]采购入库'!$I$4:$I$2003,$A79))</f>
        <v>0</v>
      </c>
      <c r="G79" s="21">
        <f>IF(A79="",0,SUMIFS('[1]销售出库'!$R$4:$R$2003,'[1]销售出库'!$H$4:$H$2003,$A79))</f>
        <v>0</v>
      </c>
      <c r="H79" s="11">
        <f t="shared" si="3"/>
        <v>0</v>
      </c>
      <c r="I79" s="11">
        <f t="shared" si="0"/>
        <v>0</v>
      </c>
      <c r="J79" s="21">
        <f t="shared" si="1"/>
        <v>0</v>
      </c>
      <c r="K79" s="11">
        <f t="shared" si="2"/>
        <v>0</v>
      </c>
      <c r="L79" s="6">
        <f t="shared" si="4"/>
      </c>
      <c r="M79" s="21">
        <f>IF($A79="",0,SUMIFS('[1]销售出库'!$R$4:$R$2003,'[1]销售出库'!$H$4:$H$2003,$A79,'[1]销售出库'!$Q$4:$Q$2003,'首页'!$B$4*100+M$4))</f>
        <v>0</v>
      </c>
      <c r="N79" s="21">
        <f>IF($A79="",0,SUMIFS('[1]销售出库'!$R$4:$R$2003,'[1]销售出库'!$H$4:$H$2003,$A79,'[1]销售出库'!$Q$4:$Q$2003,'首页'!$B$4*100+N$4))</f>
        <v>0</v>
      </c>
      <c r="O79" s="21">
        <f>IF($A79="",0,SUMIFS('[1]销售出库'!$R$4:$R$2003,'[1]销售出库'!$H$4:$H$2003,$A79,'[1]销售出库'!$Q$4:$Q$2003,'首页'!$B$4*100+O$4))</f>
        <v>0</v>
      </c>
      <c r="P79" s="21">
        <f>IF($A79="",0,SUMIFS('[1]销售出库'!$R$4:$R$2003,'[1]销售出库'!$H$4:$H$2003,$A79,'[1]销售出库'!$Q$4:$Q$2003,'首页'!$B$4*100+P$4))</f>
        <v>0</v>
      </c>
      <c r="Q79" s="21">
        <f>IF($A79="",0,SUMIFS('[1]销售出库'!$R$4:$R$2003,'[1]销售出库'!$H$4:$H$2003,$A79,'[1]销售出库'!$Q$4:$Q$2003,'首页'!$B$4*100+Q$4))</f>
        <v>0</v>
      </c>
      <c r="R79" s="21">
        <f>IF($A79="",0,SUMIFS('[1]销售出库'!$R$4:$R$2003,'[1]销售出库'!$H$4:$H$2003,$A79,'[1]销售出库'!$Q$4:$Q$2003,'首页'!$B$4*100+R$4))</f>
        <v>0</v>
      </c>
      <c r="S79" s="21">
        <f>IF($A79="",0,SUMIFS('[1]销售出库'!$R$4:$R$2003,'[1]销售出库'!$H$4:$H$2003,$A79,'[1]销售出库'!$Q$4:$Q$2003,'首页'!$B$4*100+S$4))</f>
        <v>0</v>
      </c>
      <c r="T79" s="21">
        <f>IF($A79="",0,SUMIFS('[1]销售出库'!$R$4:$R$2003,'[1]销售出库'!$H$4:$H$2003,$A79,'[1]销售出库'!$Q$4:$Q$2003,'首页'!$B$4*100+T$4))</f>
        <v>0</v>
      </c>
      <c r="U79" s="21">
        <f>IF($A79="",0,SUMIFS('[1]销售出库'!$R$4:$R$2003,'[1]销售出库'!$H$4:$H$2003,$A79,'[1]销售出库'!$Q$4:$Q$2003,'首页'!$B$4*100+U$4))</f>
        <v>0</v>
      </c>
      <c r="V79" s="21">
        <f>IF($A79="",0,SUMIFS('[1]销售出库'!$R$4:$R$2003,'[1]销售出库'!$H$4:$H$2003,$A79,'[1]销售出库'!$Q$4:$Q$2003,'首页'!$B$4*100+V$4))</f>
        <v>0</v>
      </c>
      <c r="W79" s="21">
        <f>IF($A79="",0,SUMIFS('[1]销售出库'!$R$4:$R$2003,'[1]销售出库'!$H$4:$H$2003,$A79,'[1]销售出库'!$Q$4:$Q$2003,'首页'!$B$4*100+W$4))</f>
        <v>0</v>
      </c>
      <c r="X79" s="21">
        <f>IF($A79="",0,SUMIFS('[1]销售出库'!$R$4:$R$2003,'[1]销售出库'!$H$4:$H$2003,$A79,'[1]销售出库'!$Q$4:$Q$2003,'首页'!$B$4*100+X$4))</f>
        <v>0</v>
      </c>
    </row>
    <row r="80">
      <c r="A80" s="6">
        <f>IF('[1]基础资料'!$P$79="","",'[1]基础资料'!$P$79)</f>
      </c>
      <c r="B80" s="6">
        <f>IF(A80="","",'[1]基础资料'!$Q$79&amp;"")</f>
      </c>
      <c r="C80" s="21">
        <f>IF(A80="",0,N('[1]基础资料'!$S$79))</f>
        <v>0</v>
      </c>
      <c r="D80" s="11">
        <f>IF(A80="",0,N('[1]基础资料'!$U$79))</f>
        <v>0</v>
      </c>
      <c r="E80" s="21">
        <f>IF(A80="",0,SUMIFS('[1]采购入库'!$U$4:$U$2003,'[1]采购入库'!$I$4:$I$2003,$A80))</f>
        <v>0</v>
      </c>
      <c r="F80" s="11">
        <f>IF(A80="",0,SUMIFS('[1]采购入库'!$V$4:$V$2003,'[1]采购入库'!$I$4:$I$2003,$A80))</f>
        <v>0</v>
      </c>
      <c r="G80" s="21">
        <f>IF(A80="",0,SUMIFS('[1]销售出库'!$R$4:$R$2003,'[1]销售出库'!$H$4:$H$2003,$A80))</f>
        <v>0</v>
      </c>
      <c r="H80" s="11">
        <f t="shared" si="3"/>
        <v>0</v>
      </c>
      <c r="I80" s="11">
        <f t="shared" si="0"/>
        <v>0</v>
      </c>
      <c r="J80" s="21">
        <f t="shared" si="1"/>
        <v>0</v>
      </c>
      <c r="K80" s="11">
        <f t="shared" si="2"/>
        <v>0</v>
      </c>
      <c r="L80" s="6">
        <f t="shared" si="4"/>
      </c>
      <c r="M80" s="21">
        <f>IF($A80="",0,SUMIFS('[1]销售出库'!$R$4:$R$2003,'[1]销售出库'!$H$4:$H$2003,$A80,'[1]销售出库'!$Q$4:$Q$2003,'首页'!$B$4*100+M$4))</f>
        <v>0</v>
      </c>
      <c r="N80" s="21">
        <f>IF($A80="",0,SUMIFS('[1]销售出库'!$R$4:$R$2003,'[1]销售出库'!$H$4:$H$2003,$A80,'[1]销售出库'!$Q$4:$Q$2003,'首页'!$B$4*100+N$4))</f>
        <v>0</v>
      </c>
      <c r="O80" s="21">
        <f>IF($A80="",0,SUMIFS('[1]销售出库'!$R$4:$R$2003,'[1]销售出库'!$H$4:$H$2003,$A80,'[1]销售出库'!$Q$4:$Q$2003,'首页'!$B$4*100+O$4))</f>
        <v>0</v>
      </c>
      <c r="P80" s="21">
        <f>IF($A80="",0,SUMIFS('[1]销售出库'!$R$4:$R$2003,'[1]销售出库'!$H$4:$H$2003,$A80,'[1]销售出库'!$Q$4:$Q$2003,'首页'!$B$4*100+P$4))</f>
        <v>0</v>
      </c>
      <c r="Q80" s="21">
        <f>IF($A80="",0,SUMIFS('[1]销售出库'!$R$4:$R$2003,'[1]销售出库'!$H$4:$H$2003,$A80,'[1]销售出库'!$Q$4:$Q$2003,'首页'!$B$4*100+Q$4))</f>
        <v>0</v>
      </c>
      <c r="R80" s="21">
        <f>IF($A80="",0,SUMIFS('[1]销售出库'!$R$4:$R$2003,'[1]销售出库'!$H$4:$H$2003,$A80,'[1]销售出库'!$Q$4:$Q$2003,'首页'!$B$4*100+R$4))</f>
        <v>0</v>
      </c>
      <c r="S80" s="21">
        <f>IF($A80="",0,SUMIFS('[1]销售出库'!$R$4:$R$2003,'[1]销售出库'!$H$4:$H$2003,$A80,'[1]销售出库'!$Q$4:$Q$2003,'首页'!$B$4*100+S$4))</f>
        <v>0</v>
      </c>
      <c r="T80" s="21">
        <f>IF($A80="",0,SUMIFS('[1]销售出库'!$R$4:$R$2003,'[1]销售出库'!$H$4:$H$2003,$A80,'[1]销售出库'!$Q$4:$Q$2003,'首页'!$B$4*100+T$4))</f>
        <v>0</v>
      </c>
      <c r="U80" s="21">
        <f>IF($A80="",0,SUMIFS('[1]销售出库'!$R$4:$R$2003,'[1]销售出库'!$H$4:$H$2003,$A80,'[1]销售出库'!$Q$4:$Q$2003,'首页'!$B$4*100+U$4))</f>
        <v>0</v>
      </c>
      <c r="V80" s="21">
        <f>IF($A80="",0,SUMIFS('[1]销售出库'!$R$4:$R$2003,'[1]销售出库'!$H$4:$H$2003,$A80,'[1]销售出库'!$Q$4:$Q$2003,'首页'!$B$4*100+V$4))</f>
        <v>0</v>
      </c>
      <c r="W80" s="21">
        <f>IF($A80="",0,SUMIFS('[1]销售出库'!$R$4:$R$2003,'[1]销售出库'!$H$4:$H$2003,$A80,'[1]销售出库'!$Q$4:$Q$2003,'首页'!$B$4*100+W$4))</f>
        <v>0</v>
      </c>
      <c r="X80" s="21">
        <f>IF($A80="",0,SUMIFS('[1]销售出库'!$R$4:$R$2003,'[1]销售出库'!$H$4:$H$2003,$A80,'[1]销售出库'!$Q$4:$Q$2003,'首页'!$B$4*100+X$4))</f>
        <v>0</v>
      </c>
    </row>
    <row r="81">
      <c r="A81" s="6">
        <f>IF('[1]基础资料'!$P$80="","",'[1]基础资料'!$P$80)</f>
      </c>
      <c r="B81" s="6">
        <f>IF(A81="","",'[1]基础资料'!$Q$80&amp;"")</f>
      </c>
      <c r="C81" s="21">
        <f>IF(A81="",0,N('[1]基础资料'!$S$80))</f>
        <v>0</v>
      </c>
      <c r="D81" s="11">
        <f>IF(A81="",0,N('[1]基础资料'!$U$80))</f>
        <v>0</v>
      </c>
      <c r="E81" s="21">
        <f>IF(A81="",0,SUMIFS('[1]采购入库'!$U$4:$U$2003,'[1]采购入库'!$I$4:$I$2003,$A81))</f>
        <v>0</v>
      </c>
      <c r="F81" s="11">
        <f>IF(A81="",0,SUMIFS('[1]采购入库'!$V$4:$V$2003,'[1]采购入库'!$I$4:$I$2003,$A81))</f>
        <v>0</v>
      </c>
      <c r="G81" s="21">
        <f>IF(A81="",0,SUMIFS('[1]销售出库'!$R$4:$R$2003,'[1]销售出库'!$H$4:$H$2003,$A81))</f>
        <v>0</v>
      </c>
      <c r="H81" s="11">
        <f t="shared" si="3"/>
        <v>0</v>
      </c>
      <c r="I81" s="11">
        <f t="shared" si="0"/>
        <v>0</v>
      </c>
      <c r="J81" s="21">
        <f t="shared" si="1"/>
        <v>0</v>
      </c>
      <c r="K81" s="11">
        <f t="shared" si="2"/>
        <v>0</v>
      </c>
      <c r="L81" s="6">
        <f t="shared" si="4"/>
      </c>
      <c r="M81" s="21">
        <f>IF($A81="",0,SUMIFS('[1]销售出库'!$R$4:$R$2003,'[1]销售出库'!$H$4:$H$2003,$A81,'[1]销售出库'!$Q$4:$Q$2003,'首页'!$B$4*100+M$4))</f>
        <v>0</v>
      </c>
      <c r="N81" s="21">
        <f>IF($A81="",0,SUMIFS('[1]销售出库'!$R$4:$R$2003,'[1]销售出库'!$H$4:$H$2003,$A81,'[1]销售出库'!$Q$4:$Q$2003,'首页'!$B$4*100+N$4))</f>
        <v>0</v>
      </c>
      <c r="O81" s="21">
        <f>IF($A81="",0,SUMIFS('[1]销售出库'!$R$4:$R$2003,'[1]销售出库'!$H$4:$H$2003,$A81,'[1]销售出库'!$Q$4:$Q$2003,'首页'!$B$4*100+O$4))</f>
        <v>0</v>
      </c>
      <c r="P81" s="21">
        <f>IF($A81="",0,SUMIFS('[1]销售出库'!$R$4:$R$2003,'[1]销售出库'!$H$4:$H$2003,$A81,'[1]销售出库'!$Q$4:$Q$2003,'首页'!$B$4*100+P$4))</f>
        <v>0</v>
      </c>
      <c r="Q81" s="21">
        <f>IF($A81="",0,SUMIFS('[1]销售出库'!$R$4:$R$2003,'[1]销售出库'!$H$4:$H$2003,$A81,'[1]销售出库'!$Q$4:$Q$2003,'首页'!$B$4*100+Q$4))</f>
        <v>0</v>
      </c>
      <c r="R81" s="21">
        <f>IF($A81="",0,SUMIFS('[1]销售出库'!$R$4:$R$2003,'[1]销售出库'!$H$4:$H$2003,$A81,'[1]销售出库'!$Q$4:$Q$2003,'首页'!$B$4*100+R$4))</f>
        <v>0</v>
      </c>
      <c r="S81" s="21">
        <f>IF($A81="",0,SUMIFS('[1]销售出库'!$R$4:$R$2003,'[1]销售出库'!$H$4:$H$2003,$A81,'[1]销售出库'!$Q$4:$Q$2003,'首页'!$B$4*100+S$4))</f>
        <v>0</v>
      </c>
      <c r="T81" s="21">
        <f>IF($A81="",0,SUMIFS('[1]销售出库'!$R$4:$R$2003,'[1]销售出库'!$H$4:$H$2003,$A81,'[1]销售出库'!$Q$4:$Q$2003,'首页'!$B$4*100+T$4))</f>
        <v>0</v>
      </c>
      <c r="U81" s="21">
        <f>IF($A81="",0,SUMIFS('[1]销售出库'!$R$4:$R$2003,'[1]销售出库'!$H$4:$H$2003,$A81,'[1]销售出库'!$Q$4:$Q$2003,'首页'!$B$4*100+U$4))</f>
        <v>0</v>
      </c>
      <c r="V81" s="21">
        <f>IF($A81="",0,SUMIFS('[1]销售出库'!$R$4:$R$2003,'[1]销售出库'!$H$4:$H$2003,$A81,'[1]销售出库'!$Q$4:$Q$2003,'首页'!$B$4*100+V$4))</f>
        <v>0</v>
      </c>
      <c r="W81" s="21">
        <f>IF($A81="",0,SUMIFS('[1]销售出库'!$R$4:$R$2003,'[1]销售出库'!$H$4:$H$2003,$A81,'[1]销售出库'!$Q$4:$Q$2003,'首页'!$B$4*100+W$4))</f>
        <v>0</v>
      </c>
      <c r="X81" s="21">
        <f>IF($A81="",0,SUMIFS('[1]销售出库'!$R$4:$R$2003,'[1]销售出库'!$H$4:$H$2003,$A81,'[1]销售出库'!$Q$4:$Q$2003,'首页'!$B$4*100+X$4))</f>
        <v>0</v>
      </c>
    </row>
    <row r="82">
      <c r="A82" s="6">
        <f>IF('[1]基础资料'!$P$81="","",'[1]基础资料'!$P$81)</f>
      </c>
      <c r="B82" s="6">
        <f>IF(A82="","",'[1]基础资料'!$Q$81&amp;"")</f>
      </c>
      <c r="C82" s="21">
        <f>IF(A82="",0,N('[1]基础资料'!$S$81))</f>
        <v>0</v>
      </c>
      <c r="D82" s="11">
        <f>IF(A82="",0,N('[1]基础资料'!$U$81))</f>
        <v>0</v>
      </c>
      <c r="E82" s="21">
        <f>IF(A82="",0,SUMIFS('[1]采购入库'!$U$4:$U$2003,'[1]采购入库'!$I$4:$I$2003,$A82))</f>
        <v>0</v>
      </c>
      <c r="F82" s="11">
        <f>IF(A82="",0,SUMIFS('[1]采购入库'!$V$4:$V$2003,'[1]采购入库'!$I$4:$I$2003,$A82))</f>
        <v>0</v>
      </c>
      <c r="G82" s="21">
        <f>IF(A82="",0,SUMIFS('[1]销售出库'!$R$4:$R$2003,'[1]销售出库'!$H$4:$H$2003,$A82))</f>
        <v>0</v>
      </c>
      <c r="H82" s="11">
        <f t="shared" si="3"/>
        <v>0</v>
      </c>
      <c r="I82" s="11">
        <f t="shared" si="0"/>
        <v>0</v>
      </c>
      <c r="J82" s="21">
        <f t="shared" si="1"/>
        <v>0</v>
      </c>
      <c r="K82" s="11">
        <f t="shared" si="2"/>
        <v>0</v>
      </c>
      <c r="L82" s="6">
        <f t="shared" si="4"/>
      </c>
      <c r="M82" s="21">
        <f>IF($A82="",0,SUMIFS('[1]销售出库'!$R$4:$R$2003,'[1]销售出库'!$H$4:$H$2003,$A82,'[1]销售出库'!$Q$4:$Q$2003,'首页'!$B$4*100+M$4))</f>
        <v>0</v>
      </c>
      <c r="N82" s="21">
        <f>IF($A82="",0,SUMIFS('[1]销售出库'!$R$4:$R$2003,'[1]销售出库'!$H$4:$H$2003,$A82,'[1]销售出库'!$Q$4:$Q$2003,'首页'!$B$4*100+N$4))</f>
        <v>0</v>
      </c>
      <c r="O82" s="21">
        <f>IF($A82="",0,SUMIFS('[1]销售出库'!$R$4:$R$2003,'[1]销售出库'!$H$4:$H$2003,$A82,'[1]销售出库'!$Q$4:$Q$2003,'首页'!$B$4*100+O$4))</f>
        <v>0</v>
      </c>
      <c r="P82" s="21">
        <f>IF($A82="",0,SUMIFS('[1]销售出库'!$R$4:$R$2003,'[1]销售出库'!$H$4:$H$2003,$A82,'[1]销售出库'!$Q$4:$Q$2003,'首页'!$B$4*100+P$4))</f>
        <v>0</v>
      </c>
      <c r="Q82" s="21">
        <f>IF($A82="",0,SUMIFS('[1]销售出库'!$R$4:$R$2003,'[1]销售出库'!$H$4:$H$2003,$A82,'[1]销售出库'!$Q$4:$Q$2003,'首页'!$B$4*100+Q$4))</f>
        <v>0</v>
      </c>
      <c r="R82" s="21">
        <f>IF($A82="",0,SUMIFS('[1]销售出库'!$R$4:$R$2003,'[1]销售出库'!$H$4:$H$2003,$A82,'[1]销售出库'!$Q$4:$Q$2003,'首页'!$B$4*100+R$4))</f>
        <v>0</v>
      </c>
      <c r="S82" s="21">
        <f>IF($A82="",0,SUMIFS('[1]销售出库'!$R$4:$R$2003,'[1]销售出库'!$H$4:$H$2003,$A82,'[1]销售出库'!$Q$4:$Q$2003,'首页'!$B$4*100+S$4))</f>
        <v>0</v>
      </c>
      <c r="T82" s="21">
        <f>IF($A82="",0,SUMIFS('[1]销售出库'!$R$4:$R$2003,'[1]销售出库'!$H$4:$H$2003,$A82,'[1]销售出库'!$Q$4:$Q$2003,'首页'!$B$4*100+T$4))</f>
        <v>0</v>
      </c>
      <c r="U82" s="21">
        <f>IF($A82="",0,SUMIFS('[1]销售出库'!$R$4:$R$2003,'[1]销售出库'!$H$4:$H$2003,$A82,'[1]销售出库'!$Q$4:$Q$2003,'首页'!$B$4*100+U$4))</f>
        <v>0</v>
      </c>
      <c r="V82" s="21">
        <f>IF($A82="",0,SUMIFS('[1]销售出库'!$R$4:$R$2003,'[1]销售出库'!$H$4:$H$2003,$A82,'[1]销售出库'!$Q$4:$Q$2003,'首页'!$B$4*100+V$4))</f>
        <v>0</v>
      </c>
      <c r="W82" s="21">
        <f>IF($A82="",0,SUMIFS('[1]销售出库'!$R$4:$R$2003,'[1]销售出库'!$H$4:$H$2003,$A82,'[1]销售出库'!$Q$4:$Q$2003,'首页'!$B$4*100+W$4))</f>
        <v>0</v>
      </c>
      <c r="X82" s="21">
        <f>IF($A82="",0,SUMIFS('[1]销售出库'!$R$4:$R$2003,'[1]销售出库'!$H$4:$H$2003,$A82,'[1]销售出库'!$Q$4:$Q$2003,'首页'!$B$4*100+X$4))</f>
        <v>0</v>
      </c>
    </row>
    <row r="83">
      <c r="A83" s="6">
        <f>IF('[1]基础资料'!$P$82="","",'[1]基础资料'!$P$82)</f>
      </c>
      <c r="B83" s="6">
        <f>IF(A83="","",'[1]基础资料'!$Q$82&amp;"")</f>
      </c>
      <c r="C83" s="21">
        <f>IF(A83="",0,N('[1]基础资料'!$S$82))</f>
        <v>0</v>
      </c>
      <c r="D83" s="11">
        <f>IF(A83="",0,N('[1]基础资料'!$U$82))</f>
        <v>0</v>
      </c>
      <c r="E83" s="21">
        <f>IF(A83="",0,SUMIFS('[1]采购入库'!$U$4:$U$2003,'[1]采购入库'!$I$4:$I$2003,$A83))</f>
        <v>0</v>
      </c>
      <c r="F83" s="11">
        <f>IF(A83="",0,SUMIFS('[1]采购入库'!$V$4:$V$2003,'[1]采购入库'!$I$4:$I$2003,$A83))</f>
        <v>0</v>
      </c>
      <c r="G83" s="21">
        <f>IF(A83="",0,SUMIFS('[1]销售出库'!$R$4:$R$2003,'[1]销售出库'!$H$4:$H$2003,$A83))</f>
        <v>0</v>
      </c>
      <c r="H83" s="11">
        <f t="shared" si="3"/>
        <v>0</v>
      </c>
      <c r="I83" s="11">
        <f t="shared" si="0"/>
        <v>0</v>
      </c>
      <c r="J83" s="21">
        <f t="shared" si="1"/>
        <v>0</v>
      </c>
      <c r="K83" s="11">
        <f t="shared" si="2"/>
        <v>0</v>
      </c>
      <c r="L83" s="6">
        <f t="shared" si="4"/>
      </c>
      <c r="M83" s="21">
        <f>IF($A83="",0,SUMIFS('[1]销售出库'!$R$4:$R$2003,'[1]销售出库'!$H$4:$H$2003,$A83,'[1]销售出库'!$Q$4:$Q$2003,'首页'!$B$4*100+M$4))</f>
        <v>0</v>
      </c>
      <c r="N83" s="21">
        <f>IF($A83="",0,SUMIFS('[1]销售出库'!$R$4:$R$2003,'[1]销售出库'!$H$4:$H$2003,$A83,'[1]销售出库'!$Q$4:$Q$2003,'首页'!$B$4*100+N$4))</f>
        <v>0</v>
      </c>
      <c r="O83" s="21">
        <f>IF($A83="",0,SUMIFS('[1]销售出库'!$R$4:$R$2003,'[1]销售出库'!$H$4:$H$2003,$A83,'[1]销售出库'!$Q$4:$Q$2003,'首页'!$B$4*100+O$4))</f>
        <v>0</v>
      </c>
      <c r="P83" s="21">
        <f>IF($A83="",0,SUMIFS('[1]销售出库'!$R$4:$R$2003,'[1]销售出库'!$H$4:$H$2003,$A83,'[1]销售出库'!$Q$4:$Q$2003,'首页'!$B$4*100+P$4))</f>
        <v>0</v>
      </c>
      <c r="Q83" s="21">
        <f>IF($A83="",0,SUMIFS('[1]销售出库'!$R$4:$R$2003,'[1]销售出库'!$H$4:$H$2003,$A83,'[1]销售出库'!$Q$4:$Q$2003,'首页'!$B$4*100+Q$4))</f>
        <v>0</v>
      </c>
      <c r="R83" s="21">
        <f>IF($A83="",0,SUMIFS('[1]销售出库'!$R$4:$R$2003,'[1]销售出库'!$H$4:$H$2003,$A83,'[1]销售出库'!$Q$4:$Q$2003,'首页'!$B$4*100+R$4))</f>
        <v>0</v>
      </c>
      <c r="S83" s="21">
        <f>IF($A83="",0,SUMIFS('[1]销售出库'!$R$4:$R$2003,'[1]销售出库'!$H$4:$H$2003,$A83,'[1]销售出库'!$Q$4:$Q$2003,'首页'!$B$4*100+S$4))</f>
        <v>0</v>
      </c>
      <c r="T83" s="21">
        <f>IF($A83="",0,SUMIFS('[1]销售出库'!$R$4:$R$2003,'[1]销售出库'!$H$4:$H$2003,$A83,'[1]销售出库'!$Q$4:$Q$2003,'首页'!$B$4*100+T$4))</f>
        <v>0</v>
      </c>
      <c r="U83" s="21">
        <f>IF($A83="",0,SUMIFS('[1]销售出库'!$R$4:$R$2003,'[1]销售出库'!$H$4:$H$2003,$A83,'[1]销售出库'!$Q$4:$Q$2003,'首页'!$B$4*100+U$4))</f>
        <v>0</v>
      </c>
      <c r="V83" s="21">
        <f>IF($A83="",0,SUMIFS('[1]销售出库'!$R$4:$R$2003,'[1]销售出库'!$H$4:$H$2003,$A83,'[1]销售出库'!$Q$4:$Q$2003,'首页'!$B$4*100+V$4))</f>
        <v>0</v>
      </c>
      <c r="W83" s="21">
        <f>IF($A83="",0,SUMIFS('[1]销售出库'!$R$4:$R$2003,'[1]销售出库'!$H$4:$H$2003,$A83,'[1]销售出库'!$Q$4:$Q$2003,'首页'!$B$4*100+W$4))</f>
        <v>0</v>
      </c>
      <c r="X83" s="21">
        <f>IF($A83="",0,SUMIFS('[1]销售出库'!$R$4:$R$2003,'[1]销售出库'!$H$4:$H$2003,$A83,'[1]销售出库'!$Q$4:$Q$2003,'首页'!$B$4*100+X$4))</f>
        <v>0</v>
      </c>
    </row>
    <row r="84">
      <c r="A84" s="6">
        <f>IF('[1]基础资料'!$P$83="","",'[1]基础资料'!$P$83)</f>
      </c>
      <c r="B84" s="6">
        <f>IF(A84="","",'[1]基础资料'!$Q$83&amp;"")</f>
      </c>
      <c r="C84" s="21">
        <f>IF(A84="",0,N('[1]基础资料'!$S$83))</f>
        <v>0</v>
      </c>
      <c r="D84" s="11">
        <f>IF(A84="",0,N('[1]基础资料'!$U$83))</f>
        <v>0</v>
      </c>
      <c r="E84" s="21">
        <f>IF(A84="",0,SUMIFS('[1]采购入库'!$U$4:$U$2003,'[1]采购入库'!$I$4:$I$2003,$A84))</f>
        <v>0</v>
      </c>
      <c r="F84" s="11">
        <f>IF(A84="",0,SUMIFS('[1]采购入库'!$V$4:$V$2003,'[1]采购入库'!$I$4:$I$2003,$A84))</f>
        <v>0</v>
      </c>
      <c r="G84" s="21">
        <f>IF(A84="",0,SUMIFS('[1]销售出库'!$R$4:$R$2003,'[1]销售出库'!$H$4:$H$2003,$A84))</f>
        <v>0</v>
      </c>
      <c r="H84" s="11">
        <f t="shared" si="3"/>
        <v>0</v>
      </c>
      <c r="I84" s="11">
        <f t="shared" si="0"/>
        <v>0</v>
      </c>
      <c r="J84" s="21">
        <f t="shared" si="1"/>
        <v>0</v>
      </c>
      <c r="K84" s="11">
        <f t="shared" si="2"/>
        <v>0</v>
      </c>
      <c r="L84" s="6">
        <f t="shared" si="4"/>
      </c>
      <c r="M84" s="21">
        <f>IF($A84="",0,SUMIFS('[1]销售出库'!$R$4:$R$2003,'[1]销售出库'!$H$4:$H$2003,$A84,'[1]销售出库'!$Q$4:$Q$2003,'首页'!$B$4*100+M$4))</f>
        <v>0</v>
      </c>
      <c r="N84" s="21">
        <f>IF($A84="",0,SUMIFS('[1]销售出库'!$R$4:$R$2003,'[1]销售出库'!$H$4:$H$2003,$A84,'[1]销售出库'!$Q$4:$Q$2003,'首页'!$B$4*100+N$4))</f>
        <v>0</v>
      </c>
      <c r="O84" s="21">
        <f>IF($A84="",0,SUMIFS('[1]销售出库'!$R$4:$R$2003,'[1]销售出库'!$H$4:$H$2003,$A84,'[1]销售出库'!$Q$4:$Q$2003,'首页'!$B$4*100+O$4))</f>
        <v>0</v>
      </c>
      <c r="P84" s="21">
        <f>IF($A84="",0,SUMIFS('[1]销售出库'!$R$4:$R$2003,'[1]销售出库'!$H$4:$H$2003,$A84,'[1]销售出库'!$Q$4:$Q$2003,'首页'!$B$4*100+P$4))</f>
        <v>0</v>
      </c>
      <c r="Q84" s="21">
        <f>IF($A84="",0,SUMIFS('[1]销售出库'!$R$4:$R$2003,'[1]销售出库'!$H$4:$H$2003,$A84,'[1]销售出库'!$Q$4:$Q$2003,'首页'!$B$4*100+Q$4))</f>
        <v>0</v>
      </c>
      <c r="R84" s="21">
        <f>IF($A84="",0,SUMIFS('[1]销售出库'!$R$4:$R$2003,'[1]销售出库'!$H$4:$H$2003,$A84,'[1]销售出库'!$Q$4:$Q$2003,'首页'!$B$4*100+R$4))</f>
        <v>0</v>
      </c>
      <c r="S84" s="21">
        <f>IF($A84="",0,SUMIFS('[1]销售出库'!$R$4:$R$2003,'[1]销售出库'!$H$4:$H$2003,$A84,'[1]销售出库'!$Q$4:$Q$2003,'首页'!$B$4*100+S$4))</f>
        <v>0</v>
      </c>
      <c r="T84" s="21">
        <f>IF($A84="",0,SUMIFS('[1]销售出库'!$R$4:$R$2003,'[1]销售出库'!$H$4:$H$2003,$A84,'[1]销售出库'!$Q$4:$Q$2003,'首页'!$B$4*100+T$4))</f>
        <v>0</v>
      </c>
      <c r="U84" s="21">
        <f>IF($A84="",0,SUMIFS('[1]销售出库'!$R$4:$R$2003,'[1]销售出库'!$H$4:$H$2003,$A84,'[1]销售出库'!$Q$4:$Q$2003,'首页'!$B$4*100+U$4))</f>
        <v>0</v>
      </c>
      <c r="V84" s="21">
        <f>IF($A84="",0,SUMIFS('[1]销售出库'!$R$4:$R$2003,'[1]销售出库'!$H$4:$H$2003,$A84,'[1]销售出库'!$Q$4:$Q$2003,'首页'!$B$4*100+V$4))</f>
        <v>0</v>
      </c>
      <c r="W84" s="21">
        <f>IF($A84="",0,SUMIFS('[1]销售出库'!$R$4:$R$2003,'[1]销售出库'!$H$4:$H$2003,$A84,'[1]销售出库'!$Q$4:$Q$2003,'首页'!$B$4*100+W$4))</f>
        <v>0</v>
      </c>
      <c r="X84" s="21">
        <f>IF($A84="",0,SUMIFS('[1]销售出库'!$R$4:$R$2003,'[1]销售出库'!$H$4:$H$2003,$A84,'[1]销售出库'!$Q$4:$Q$2003,'首页'!$B$4*100+X$4))</f>
        <v>0</v>
      </c>
    </row>
    <row r="85">
      <c r="A85" s="6">
        <f>IF('[1]基础资料'!$P$84="","",'[1]基础资料'!$P$84)</f>
      </c>
      <c r="B85" s="6">
        <f>IF(A85="","",'[1]基础资料'!$Q$84&amp;"")</f>
      </c>
      <c r="C85" s="21">
        <f>IF(A85="",0,N('[1]基础资料'!$S$84))</f>
        <v>0</v>
      </c>
      <c r="D85" s="11">
        <f>IF(A85="",0,N('[1]基础资料'!$U$84))</f>
        <v>0</v>
      </c>
      <c r="E85" s="21">
        <f>IF(A85="",0,SUMIFS('[1]采购入库'!$U$4:$U$2003,'[1]采购入库'!$I$4:$I$2003,$A85))</f>
        <v>0</v>
      </c>
      <c r="F85" s="11">
        <f>IF(A85="",0,SUMIFS('[1]采购入库'!$V$4:$V$2003,'[1]采购入库'!$I$4:$I$2003,$A85))</f>
        <v>0</v>
      </c>
      <c r="G85" s="21">
        <f>IF(A85="",0,SUMIFS('[1]销售出库'!$R$4:$R$2003,'[1]销售出库'!$H$4:$H$2003,$A85))</f>
        <v>0</v>
      </c>
      <c r="H85" s="11">
        <f t="shared" si="3"/>
        <v>0</v>
      </c>
      <c r="I85" s="11">
        <f t="shared" si="0"/>
        <v>0</v>
      </c>
      <c r="J85" s="21">
        <f t="shared" si="1"/>
        <v>0</v>
      </c>
      <c r="K85" s="11">
        <f t="shared" si="2"/>
        <v>0</v>
      </c>
      <c r="L85" s="6">
        <f t="shared" si="4"/>
      </c>
      <c r="M85" s="21">
        <f>IF($A85="",0,SUMIFS('[1]销售出库'!$R$4:$R$2003,'[1]销售出库'!$H$4:$H$2003,$A85,'[1]销售出库'!$Q$4:$Q$2003,'首页'!$B$4*100+M$4))</f>
        <v>0</v>
      </c>
      <c r="N85" s="21">
        <f>IF($A85="",0,SUMIFS('[1]销售出库'!$R$4:$R$2003,'[1]销售出库'!$H$4:$H$2003,$A85,'[1]销售出库'!$Q$4:$Q$2003,'首页'!$B$4*100+N$4))</f>
        <v>0</v>
      </c>
      <c r="O85" s="21">
        <f>IF($A85="",0,SUMIFS('[1]销售出库'!$R$4:$R$2003,'[1]销售出库'!$H$4:$H$2003,$A85,'[1]销售出库'!$Q$4:$Q$2003,'首页'!$B$4*100+O$4))</f>
        <v>0</v>
      </c>
      <c r="P85" s="21">
        <f>IF($A85="",0,SUMIFS('[1]销售出库'!$R$4:$R$2003,'[1]销售出库'!$H$4:$H$2003,$A85,'[1]销售出库'!$Q$4:$Q$2003,'首页'!$B$4*100+P$4))</f>
        <v>0</v>
      </c>
      <c r="Q85" s="21">
        <f>IF($A85="",0,SUMIFS('[1]销售出库'!$R$4:$R$2003,'[1]销售出库'!$H$4:$H$2003,$A85,'[1]销售出库'!$Q$4:$Q$2003,'首页'!$B$4*100+Q$4))</f>
        <v>0</v>
      </c>
      <c r="R85" s="21">
        <f>IF($A85="",0,SUMIFS('[1]销售出库'!$R$4:$R$2003,'[1]销售出库'!$H$4:$H$2003,$A85,'[1]销售出库'!$Q$4:$Q$2003,'首页'!$B$4*100+R$4))</f>
        <v>0</v>
      </c>
      <c r="S85" s="21">
        <f>IF($A85="",0,SUMIFS('[1]销售出库'!$R$4:$R$2003,'[1]销售出库'!$H$4:$H$2003,$A85,'[1]销售出库'!$Q$4:$Q$2003,'首页'!$B$4*100+S$4))</f>
        <v>0</v>
      </c>
      <c r="T85" s="21">
        <f>IF($A85="",0,SUMIFS('[1]销售出库'!$R$4:$R$2003,'[1]销售出库'!$H$4:$H$2003,$A85,'[1]销售出库'!$Q$4:$Q$2003,'首页'!$B$4*100+T$4))</f>
        <v>0</v>
      </c>
      <c r="U85" s="21">
        <f>IF($A85="",0,SUMIFS('[1]销售出库'!$R$4:$R$2003,'[1]销售出库'!$H$4:$H$2003,$A85,'[1]销售出库'!$Q$4:$Q$2003,'首页'!$B$4*100+U$4))</f>
        <v>0</v>
      </c>
      <c r="V85" s="21">
        <f>IF($A85="",0,SUMIFS('[1]销售出库'!$R$4:$R$2003,'[1]销售出库'!$H$4:$H$2003,$A85,'[1]销售出库'!$Q$4:$Q$2003,'首页'!$B$4*100+V$4))</f>
        <v>0</v>
      </c>
      <c r="W85" s="21">
        <f>IF($A85="",0,SUMIFS('[1]销售出库'!$R$4:$R$2003,'[1]销售出库'!$H$4:$H$2003,$A85,'[1]销售出库'!$Q$4:$Q$2003,'首页'!$B$4*100+W$4))</f>
        <v>0</v>
      </c>
      <c r="X85" s="21">
        <f>IF($A85="",0,SUMIFS('[1]销售出库'!$R$4:$R$2003,'[1]销售出库'!$H$4:$H$2003,$A85,'[1]销售出库'!$Q$4:$Q$2003,'首页'!$B$4*100+X$4))</f>
        <v>0</v>
      </c>
    </row>
    <row r="86">
      <c r="A86" s="6">
        <f>IF('[1]基础资料'!$P$85="","",'[1]基础资料'!$P$85)</f>
      </c>
      <c r="B86" s="6">
        <f>IF(A86="","",'[1]基础资料'!$Q$85&amp;"")</f>
      </c>
      <c r="C86" s="21">
        <f>IF(A86="",0,N('[1]基础资料'!$S$85))</f>
        <v>0</v>
      </c>
      <c r="D86" s="11">
        <f>IF(A86="",0,N('[1]基础资料'!$U$85))</f>
        <v>0</v>
      </c>
      <c r="E86" s="21">
        <f>IF(A86="",0,SUMIFS('[1]采购入库'!$U$4:$U$2003,'[1]采购入库'!$I$4:$I$2003,$A86))</f>
        <v>0</v>
      </c>
      <c r="F86" s="11">
        <f>IF(A86="",0,SUMIFS('[1]采购入库'!$V$4:$V$2003,'[1]采购入库'!$I$4:$I$2003,$A86))</f>
        <v>0</v>
      </c>
      <c r="G86" s="21">
        <f>IF(A86="",0,SUMIFS('[1]销售出库'!$R$4:$R$2003,'[1]销售出库'!$H$4:$H$2003,$A86))</f>
        <v>0</v>
      </c>
      <c r="H86" s="11">
        <f t="shared" si="3"/>
        <v>0</v>
      </c>
      <c r="I86" s="11">
        <f t="shared" si="0"/>
        <v>0</v>
      </c>
      <c r="J86" s="21">
        <f t="shared" si="1"/>
        <v>0</v>
      </c>
      <c r="K86" s="11">
        <f t="shared" si="2"/>
        <v>0</v>
      </c>
      <c r="L86" s="6">
        <f t="shared" si="4"/>
      </c>
      <c r="M86" s="21">
        <f>IF($A86="",0,SUMIFS('[1]销售出库'!$R$4:$R$2003,'[1]销售出库'!$H$4:$H$2003,$A86,'[1]销售出库'!$Q$4:$Q$2003,'首页'!$B$4*100+M$4))</f>
        <v>0</v>
      </c>
      <c r="N86" s="21">
        <f>IF($A86="",0,SUMIFS('[1]销售出库'!$R$4:$R$2003,'[1]销售出库'!$H$4:$H$2003,$A86,'[1]销售出库'!$Q$4:$Q$2003,'首页'!$B$4*100+N$4))</f>
        <v>0</v>
      </c>
      <c r="O86" s="21">
        <f>IF($A86="",0,SUMIFS('[1]销售出库'!$R$4:$R$2003,'[1]销售出库'!$H$4:$H$2003,$A86,'[1]销售出库'!$Q$4:$Q$2003,'首页'!$B$4*100+O$4))</f>
        <v>0</v>
      </c>
      <c r="P86" s="21">
        <f>IF($A86="",0,SUMIFS('[1]销售出库'!$R$4:$R$2003,'[1]销售出库'!$H$4:$H$2003,$A86,'[1]销售出库'!$Q$4:$Q$2003,'首页'!$B$4*100+P$4))</f>
        <v>0</v>
      </c>
      <c r="Q86" s="21">
        <f>IF($A86="",0,SUMIFS('[1]销售出库'!$R$4:$R$2003,'[1]销售出库'!$H$4:$H$2003,$A86,'[1]销售出库'!$Q$4:$Q$2003,'首页'!$B$4*100+Q$4))</f>
        <v>0</v>
      </c>
      <c r="R86" s="21">
        <f>IF($A86="",0,SUMIFS('[1]销售出库'!$R$4:$R$2003,'[1]销售出库'!$H$4:$H$2003,$A86,'[1]销售出库'!$Q$4:$Q$2003,'首页'!$B$4*100+R$4))</f>
        <v>0</v>
      </c>
      <c r="S86" s="21">
        <f>IF($A86="",0,SUMIFS('[1]销售出库'!$R$4:$R$2003,'[1]销售出库'!$H$4:$H$2003,$A86,'[1]销售出库'!$Q$4:$Q$2003,'首页'!$B$4*100+S$4))</f>
        <v>0</v>
      </c>
      <c r="T86" s="21">
        <f>IF($A86="",0,SUMIFS('[1]销售出库'!$R$4:$R$2003,'[1]销售出库'!$H$4:$H$2003,$A86,'[1]销售出库'!$Q$4:$Q$2003,'首页'!$B$4*100+T$4))</f>
        <v>0</v>
      </c>
      <c r="U86" s="21">
        <f>IF($A86="",0,SUMIFS('[1]销售出库'!$R$4:$R$2003,'[1]销售出库'!$H$4:$H$2003,$A86,'[1]销售出库'!$Q$4:$Q$2003,'首页'!$B$4*100+U$4))</f>
        <v>0</v>
      </c>
      <c r="V86" s="21">
        <f>IF($A86="",0,SUMIFS('[1]销售出库'!$R$4:$R$2003,'[1]销售出库'!$H$4:$H$2003,$A86,'[1]销售出库'!$Q$4:$Q$2003,'首页'!$B$4*100+V$4))</f>
        <v>0</v>
      </c>
      <c r="W86" s="21">
        <f>IF($A86="",0,SUMIFS('[1]销售出库'!$R$4:$R$2003,'[1]销售出库'!$H$4:$H$2003,$A86,'[1]销售出库'!$Q$4:$Q$2003,'首页'!$B$4*100+W$4))</f>
        <v>0</v>
      </c>
      <c r="X86" s="21">
        <f>IF($A86="",0,SUMIFS('[1]销售出库'!$R$4:$R$2003,'[1]销售出库'!$H$4:$H$2003,$A86,'[1]销售出库'!$Q$4:$Q$2003,'首页'!$B$4*100+X$4))</f>
        <v>0</v>
      </c>
    </row>
    <row r="87">
      <c r="A87" s="6">
        <f>IF('[1]基础资料'!$P$86="","",'[1]基础资料'!$P$86)</f>
      </c>
      <c r="B87" s="6">
        <f>IF(A87="","",'[1]基础资料'!$Q$86&amp;"")</f>
      </c>
      <c r="C87" s="21">
        <f>IF(A87="",0,N('[1]基础资料'!$S$86))</f>
        <v>0</v>
      </c>
      <c r="D87" s="11">
        <f>IF(A87="",0,N('[1]基础资料'!$U$86))</f>
        <v>0</v>
      </c>
      <c r="E87" s="21">
        <f>IF(A87="",0,SUMIFS('[1]采购入库'!$U$4:$U$2003,'[1]采购入库'!$I$4:$I$2003,$A87))</f>
        <v>0</v>
      </c>
      <c r="F87" s="11">
        <f>IF(A87="",0,SUMIFS('[1]采购入库'!$V$4:$V$2003,'[1]采购入库'!$I$4:$I$2003,$A87))</f>
        <v>0</v>
      </c>
      <c r="G87" s="21">
        <f>IF(A87="",0,SUMIFS('[1]销售出库'!$R$4:$R$2003,'[1]销售出库'!$H$4:$H$2003,$A87))</f>
        <v>0</v>
      </c>
      <c r="H87" s="11">
        <f t="shared" si="3"/>
        <v>0</v>
      </c>
      <c r="I87" s="11">
        <f t="shared" si="0"/>
        <v>0</v>
      </c>
      <c r="J87" s="21">
        <f t="shared" si="1"/>
        <v>0</v>
      </c>
      <c r="K87" s="11">
        <f t="shared" si="2"/>
        <v>0</v>
      </c>
      <c r="L87" s="6">
        <f t="shared" si="4"/>
      </c>
      <c r="M87" s="21">
        <f>IF($A87="",0,SUMIFS('[1]销售出库'!$R$4:$R$2003,'[1]销售出库'!$H$4:$H$2003,$A87,'[1]销售出库'!$Q$4:$Q$2003,'首页'!$B$4*100+M$4))</f>
        <v>0</v>
      </c>
      <c r="N87" s="21">
        <f>IF($A87="",0,SUMIFS('[1]销售出库'!$R$4:$R$2003,'[1]销售出库'!$H$4:$H$2003,$A87,'[1]销售出库'!$Q$4:$Q$2003,'首页'!$B$4*100+N$4))</f>
        <v>0</v>
      </c>
      <c r="O87" s="21">
        <f>IF($A87="",0,SUMIFS('[1]销售出库'!$R$4:$R$2003,'[1]销售出库'!$H$4:$H$2003,$A87,'[1]销售出库'!$Q$4:$Q$2003,'首页'!$B$4*100+O$4))</f>
        <v>0</v>
      </c>
      <c r="P87" s="21">
        <f>IF($A87="",0,SUMIFS('[1]销售出库'!$R$4:$R$2003,'[1]销售出库'!$H$4:$H$2003,$A87,'[1]销售出库'!$Q$4:$Q$2003,'首页'!$B$4*100+P$4))</f>
        <v>0</v>
      </c>
      <c r="Q87" s="21">
        <f>IF($A87="",0,SUMIFS('[1]销售出库'!$R$4:$R$2003,'[1]销售出库'!$H$4:$H$2003,$A87,'[1]销售出库'!$Q$4:$Q$2003,'首页'!$B$4*100+Q$4))</f>
        <v>0</v>
      </c>
      <c r="R87" s="21">
        <f>IF($A87="",0,SUMIFS('[1]销售出库'!$R$4:$R$2003,'[1]销售出库'!$H$4:$H$2003,$A87,'[1]销售出库'!$Q$4:$Q$2003,'首页'!$B$4*100+R$4))</f>
        <v>0</v>
      </c>
      <c r="S87" s="21">
        <f>IF($A87="",0,SUMIFS('[1]销售出库'!$R$4:$R$2003,'[1]销售出库'!$H$4:$H$2003,$A87,'[1]销售出库'!$Q$4:$Q$2003,'首页'!$B$4*100+S$4))</f>
        <v>0</v>
      </c>
      <c r="T87" s="21">
        <f>IF($A87="",0,SUMIFS('[1]销售出库'!$R$4:$R$2003,'[1]销售出库'!$H$4:$H$2003,$A87,'[1]销售出库'!$Q$4:$Q$2003,'首页'!$B$4*100+T$4))</f>
        <v>0</v>
      </c>
      <c r="U87" s="21">
        <f>IF($A87="",0,SUMIFS('[1]销售出库'!$R$4:$R$2003,'[1]销售出库'!$H$4:$H$2003,$A87,'[1]销售出库'!$Q$4:$Q$2003,'首页'!$B$4*100+U$4))</f>
        <v>0</v>
      </c>
      <c r="V87" s="21">
        <f>IF($A87="",0,SUMIFS('[1]销售出库'!$R$4:$R$2003,'[1]销售出库'!$H$4:$H$2003,$A87,'[1]销售出库'!$Q$4:$Q$2003,'首页'!$B$4*100+V$4))</f>
        <v>0</v>
      </c>
      <c r="W87" s="21">
        <f>IF($A87="",0,SUMIFS('[1]销售出库'!$R$4:$R$2003,'[1]销售出库'!$H$4:$H$2003,$A87,'[1]销售出库'!$Q$4:$Q$2003,'首页'!$B$4*100+W$4))</f>
        <v>0</v>
      </c>
      <c r="X87" s="21">
        <f>IF($A87="",0,SUMIFS('[1]销售出库'!$R$4:$R$2003,'[1]销售出库'!$H$4:$H$2003,$A87,'[1]销售出库'!$Q$4:$Q$2003,'首页'!$B$4*100+X$4))</f>
        <v>0</v>
      </c>
    </row>
    <row r="88">
      <c r="A88" s="6">
        <f>IF('[1]基础资料'!$P$87="","",'[1]基础资料'!$P$87)</f>
      </c>
      <c r="B88" s="6">
        <f>IF(A88="","",'[1]基础资料'!$Q$87&amp;"")</f>
      </c>
      <c r="C88" s="21">
        <f>IF(A88="",0,N('[1]基础资料'!$S$87))</f>
        <v>0</v>
      </c>
      <c r="D88" s="11">
        <f>IF(A88="",0,N('[1]基础资料'!$U$87))</f>
        <v>0</v>
      </c>
      <c r="E88" s="21">
        <f>IF(A88="",0,SUMIFS('[1]采购入库'!$U$4:$U$2003,'[1]采购入库'!$I$4:$I$2003,$A88))</f>
        <v>0</v>
      </c>
      <c r="F88" s="11">
        <f>IF(A88="",0,SUMIFS('[1]采购入库'!$V$4:$V$2003,'[1]采购入库'!$I$4:$I$2003,$A88))</f>
        <v>0</v>
      </c>
      <c r="G88" s="21">
        <f>IF(A88="",0,SUMIFS('[1]销售出库'!$R$4:$R$2003,'[1]销售出库'!$H$4:$H$2003,$A88))</f>
        <v>0</v>
      </c>
      <c r="H88" s="11">
        <f t="shared" si="3"/>
        <v>0</v>
      </c>
      <c r="I88" s="11">
        <f t="shared" si="0"/>
        <v>0</v>
      </c>
      <c r="J88" s="21">
        <f t="shared" si="1"/>
        <v>0</v>
      </c>
      <c r="K88" s="11">
        <f t="shared" si="2"/>
        <v>0</v>
      </c>
      <c r="L88" s="6">
        <f t="shared" si="4"/>
      </c>
      <c r="M88" s="21">
        <f>IF($A88="",0,SUMIFS('[1]销售出库'!$R$4:$R$2003,'[1]销售出库'!$H$4:$H$2003,$A88,'[1]销售出库'!$Q$4:$Q$2003,'首页'!$B$4*100+M$4))</f>
        <v>0</v>
      </c>
      <c r="N88" s="21">
        <f>IF($A88="",0,SUMIFS('[1]销售出库'!$R$4:$R$2003,'[1]销售出库'!$H$4:$H$2003,$A88,'[1]销售出库'!$Q$4:$Q$2003,'首页'!$B$4*100+N$4))</f>
        <v>0</v>
      </c>
      <c r="O88" s="21">
        <f>IF($A88="",0,SUMIFS('[1]销售出库'!$R$4:$R$2003,'[1]销售出库'!$H$4:$H$2003,$A88,'[1]销售出库'!$Q$4:$Q$2003,'首页'!$B$4*100+O$4))</f>
        <v>0</v>
      </c>
      <c r="P88" s="21">
        <f>IF($A88="",0,SUMIFS('[1]销售出库'!$R$4:$R$2003,'[1]销售出库'!$H$4:$H$2003,$A88,'[1]销售出库'!$Q$4:$Q$2003,'首页'!$B$4*100+P$4))</f>
        <v>0</v>
      </c>
      <c r="Q88" s="21">
        <f>IF($A88="",0,SUMIFS('[1]销售出库'!$R$4:$R$2003,'[1]销售出库'!$H$4:$H$2003,$A88,'[1]销售出库'!$Q$4:$Q$2003,'首页'!$B$4*100+Q$4))</f>
        <v>0</v>
      </c>
      <c r="R88" s="21">
        <f>IF($A88="",0,SUMIFS('[1]销售出库'!$R$4:$R$2003,'[1]销售出库'!$H$4:$H$2003,$A88,'[1]销售出库'!$Q$4:$Q$2003,'首页'!$B$4*100+R$4))</f>
        <v>0</v>
      </c>
      <c r="S88" s="21">
        <f>IF($A88="",0,SUMIFS('[1]销售出库'!$R$4:$R$2003,'[1]销售出库'!$H$4:$H$2003,$A88,'[1]销售出库'!$Q$4:$Q$2003,'首页'!$B$4*100+S$4))</f>
        <v>0</v>
      </c>
      <c r="T88" s="21">
        <f>IF($A88="",0,SUMIFS('[1]销售出库'!$R$4:$R$2003,'[1]销售出库'!$H$4:$H$2003,$A88,'[1]销售出库'!$Q$4:$Q$2003,'首页'!$B$4*100+T$4))</f>
        <v>0</v>
      </c>
      <c r="U88" s="21">
        <f>IF($A88="",0,SUMIFS('[1]销售出库'!$R$4:$R$2003,'[1]销售出库'!$H$4:$H$2003,$A88,'[1]销售出库'!$Q$4:$Q$2003,'首页'!$B$4*100+U$4))</f>
        <v>0</v>
      </c>
      <c r="V88" s="21">
        <f>IF($A88="",0,SUMIFS('[1]销售出库'!$R$4:$R$2003,'[1]销售出库'!$H$4:$H$2003,$A88,'[1]销售出库'!$Q$4:$Q$2003,'首页'!$B$4*100+V$4))</f>
        <v>0</v>
      </c>
      <c r="W88" s="21">
        <f>IF($A88="",0,SUMIFS('[1]销售出库'!$R$4:$R$2003,'[1]销售出库'!$H$4:$H$2003,$A88,'[1]销售出库'!$Q$4:$Q$2003,'首页'!$B$4*100+W$4))</f>
        <v>0</v>
      </c>
      <c r="X88" s="21">
        <f>IF($A88="",0,SUMIFS('[1]销售出库'!$R$4:$R$2003,'[1]销售出库'!$H$4:$H$2003,$A88,'[1]销售出库'!$Q$4:$Q$2003,'首页'!$B$4*100+X$4))</f>
        <v>0</v>
      </c>
    </row>
    <row r="89">
      <c r="A89" s="6">
        <f>IF('[1]基础资料'!$P$88="","",'[1]基础资料'!$P$88)</f>
      </c>
      <c r="B89" s="6">
        <f>IF(A89="","",'[1]基础资料'!$Q$88&amp;"")</f>
      </c>
      <c r="C89" s="21">
        <f>IF(A89="",0,N('[1]基础资料'!$S$88))</f>
        <v>0</v>
      </c>
      <c r="D89" s="11">
        <f>IF(A89="",0,N('[1]基础资料'!$U$88))</f>
        <v>0</v>
      </c>
      <c r="E89" s="21">
        <f>IF(A89="",0,SUMIFS('[1]采购入库'!$U$4:$U$2003,'[1]采购入库'!$I$4:$I$2003,$A89))</f>
        <v>0</v>
      </c>
      <c r="F89" s="11">
        <f>IF(A89="",0,SUMIFS('[1]采购入库'!$V$4:$V$2003,'[1]采购入库'!$I$4:$I$2003,$A89))</f>
        <v>0</v>
      </c>
      <c r="G89" s="21">
        <f>IF(A89="",0,SUMIFS('[1]销售出库'!$R$4:$R$2003,'[1]销售出库'!$H$4:$H$2003,$A89))</f>
        <v>0</v>
      </c>
      <c r="H89" s="11">
        <f t="shared" si="3"/>
        <v>0</v>
      </c>
      <c r="I89" s="11">
        <f t="shared" si="0"/>
        <v>0</v>
      </c>
      <c r="J89" s="21">
        <f t="shared" si="1"/>
        <v>0</v>
      </c>
      <c r="K89" s="11">
        <f t="shared" si="2"/>
        <v>0</v>
      </c>
      <c r="L89" s="6">
        <f t="shared" si="4"/>
      </c>
      <c r="M89" s="21">
        <f>IF($A89="",0,SUMIFS('[1]销售出库'!$R$4:$R$2003,'[1]销售出库'!$H$4:$H$2003,$A89,'[1]销售出库'!$Q$4:$Q$2003,'首页'!$B$4*100+M$4))</f>
        <v>0</v>
      </c>
      <c r="N89" s="21">
        <f>IF($A89="",0,SUMIFS('[1]销售出库'!$R$4:$R$2003,'[1]销售出库'!$H$4:$H$2003,$A89,'[1]销售出库'!$Q$4:$Q$2003,'首页'!$B$4*100+N$4))</f>
        <v>0</v>
      </c>
      <c r="O89" s="21">
        <f>IF($A89="",0,SUMIFS('[1]销售出库'!$R$4:$R$2003,'[1]销售出库'!$H$4:$H$2003,$A89,'[1]销售出库'!$Q$4:$Q$2003,'首页'!$B$4*100+O$4))</f>
        <v>0</v>
      </c>
      <c r="P89" s="21">
        <f>IF($A89="",0,SUMIFS('[1]销售出库'!$R$4:$R$2003,'[1]销售出库'!$H$4:$H$2003,$A89,'[1]销售出库'!$Q$4:$Q$2003,'首页'!$B$4*100+P$4))</f>
        <v>0</v>
      </c>
      <c r="Q89" s="21">
        <f>IF($A89="",0,SUMIFS('[1]销售出库'!$R$4:$R$2003,'[1]销售出库'!$H$4:$H$2003,$A89,'[1]销售出库'!$Q$4:$Q$2003,'首页'!$B$4*100+Q$4))</f>
        <v>0</v>
      </c>
      <c r="R89" s="21">
        <f>IF($A89="",0,SUMIFS('[1]销售出库'!$R$4:$R$2003,'[1]销售出库'!$H$4:$H$2003,$A89,'[1]销售出库'!$Q$4:$Q$2003,'首页'!$B$4*100+R$4))</f>
        <v>0</v>
      </c>
      <c r="S89" s="21">
        <f>IF($A89="",0,SUMIFS('[1]销售出库'!$R$4:$R$2003,'[1]销售出库'!$H$4:$H$2003,$A89,'[1]销售出库'!$Q$4:$Q$2003,'首页'!$B$4*100+S$4))</f>
        <v>0</v>
      </c>
      <c r="T89" s="21">
        <f>IF($A89="",0,SUMIFS('[1]销售出库'!$R$4:$R$2003,'[1]销售出库'!$H$4:$H$2003,$A89,'[1]销售出库'!$Q$4:$Q$2003,'首页'!$B$4*100+T$4))</f>
        <v>0</v>
      </c>
      <c r="U89" s="21">
        <f>IF($A89="",0,SUMIFS('[1]销售出库'!$R$4:$R$2003,'[1]销售出库'!$H$4:$H$2003,$A89,'[1]销售出库'!$Q$4:$Q$2003,'首页'!$B$4*100+U$4))</f>
        <v>0</v>
      </c>
      <c r="V89" s="21">
        <f>IF($A89="",0,SUMIFS('[1]销售出库'!$R$4:$R$2003,'[1]销售出库'!$H$4:$H$2003,$A89,'[1]销售出库'!$Q$4:$Q$2003,'首页'!$B$4*100+V$4))</f>
        <v>0</v>
      </c>
      <c r="W89" s="21">
        <f>IF($A89="",0,SUMIFS('[1]销售出库'!$R$4:$R$2003,'[1]销售出库'!$H$4:$H$2003,$A89,'[1]销售出库'!$Q$4:$Q$2003,'首页'!$B$4*100+W$4))</f>
        <v>0</v>
      </c>
      <c r="X89" s="21">
        <f>IF($A89="",0,SUMIFS('[1]销售出库'!$R$4:$R$2003,'[1]销售出库'!$H$4:$H$2003,$A89,'[1]销售出库'!$Q$4:$Q$2003,'首页'!$B$4*100+X$4))</f>
        <v>0</v>
      </c>
    </row>
    <row r="90">
      <c r="A90" s="6">
        <f>IF('[1]基础资料'!$P$89="","",'[1]基础资料'!$P$89)</f>
      </c>
      <c r="B90" s="6">
        <f>IF(A90="","",'[1]基础资料'!$Q$89&amp;"")</f>
      </c>
      <c r="C90" s="21">
        <f>IF(A90="",0,N('[1]基础资料'!$S$89))</f>
        <v>0</v>
      </c>
      <c r="D90" s="11">
        <f>IF(A90="",0,N('[1]基础资料'!$U$89))</f>
        <v>0</v>
      </c>
      <c r="E90" s="21">
        <f>IF(A90="",0,SUMIFS('[1]采购入库'!$U$4:$U$2003,'[1]采购入库'!$I$4:$I$2003,$A90))</f>
        <v>0</v>
      </c>
      <c r="F90" s="11">
        <f>IF(A90="",0,SUMIFS('[1]采购入库'!$V$4:$V$2003,'[1]采购入库'!$I$4:$I$2003,$A90))</f>
        <v>0</v>
      </c>
      <c r="G90" s="21">
        <f>IF(A90="",0,SUMIFS('[1]销售出库'!$R$4:$R$2003,'[1]销售出库'!$H$4:$H$2003,$A90))</f>
        <v>0</v>
      </c>
      <c r="H90" s="11">
        <f t="shared" si="3"/>
        <v>0</v>
      </c>
      <c r="I90" s="11">
        <f t="shared" si="0"/>
        <v>0</v>
      </c>
      <c r="J90" s="21">
        <f t="shared" si="1"/>
        <v>0</v>
      </c>
      <c r="K90" s="11">
        <f t="shared" si="2"/>
        <v>0</v>
      </c>
      <c r="L90" s="6">
        <f t="shared" si="4"/>
      </c>
      <c r="M90" s="21">
        <f>IF($A90="",0,SUMIFS('[1]销售出库'!$R$4:$R$2003,'[1]销售出库'!$H$4:$H$2003,$A90,'[1]销售出库'!$Q$4:$Q$2003,'首页'!$B$4*100+M$4))</f>
        <v>0</v>
      </c>
      <c r="N90" s="21">
        <f>IF($A90="",0,SUMIFS('[1]销售出库'!$R$4:$R$2003,'[1]销售出库'!$H$4:$H$2003,$A90,'[1]销售出库'!$Q$4:$Q$2003,'首页'!$B$4*100+N$4))</f>
        <v>0</v>
      </c>
      <c r="O90" s="21">
        <f>IF($A90="",0,SUMIFS('[1]销售出库'!$R$4:$R$2003,'[1]销售出库'!$H$4:$H$2003,$A90,'[1]销售出库'!$Q$4:$Q$2003,'首页'!$B$4*100+O$4))</f>
        <v>0</v>
      </c>
      <c r="P90" s="21">
        <f>IF($A90="",0,SUMIFS('[1]销售出库'!$R$4:$R$2003,'[1]销售出库'!$H$4:$H$2003,$A90,'[1]销售出库'!$Q$4:$Q$2003,'首页'!$B$4*100+P$4))</f>
        <v>0</v>
      </c>
      <c r="Q90" s="21">
        <f>IF($A90="",0,SUMIFS('[1]销售出库'!$R$4:$R$2003,'[1]销售出库'!$H$4:$H$2003,$A90,'[1]销售出库'!$Q$4:$Q$2003,'首页'!$B$4*100+Q$4))</f>
        <v>0</v>
      </c>
      <c r="R90" s="21">
        <f>IF($A90="",0,SUMIFS('[1]销售出库'!$R$4:$R$2003,'[1]销售出库'!$H$4:$H$2003,$A90,'[1]销售出库'!$Q$4:$Q$2003,'首页'!$B$4*100+R$4))</f>
        <v>0</v>
      </c>
      <c r="S90" s="21">
        <f>IF($A90="",0,SUMIFS('[1]销售出库'!$R$4:$R$2003,'[1]销售出库'!$H$4:$H$2003,$A90,'[1]销售出库'!$Q$4:$Q$2003,'首页'!$B$4*100+S$4))</f>
        <v>0</v>
      </c>
      <c r="T90" s="21">
        <f>IF($A90="",0,SUMIFS('[1]销售出库'!$R$4:$R$2003,'[1]销售出库'!$H$4:$H$2003,$A90,'[1]销售出库'!$Q$4:$Q$2003,'首页'!$B$4*100+T$4))</f>
        <v>0</v>
      </c>
      <c r="U90" s="21">
        <f>IF($A90="",0,SUMIFS('[1]销售出库'!$R$4:$R$2003,'[1]销售出库'!$H$4:$H$2003,$A90,'[1]销售出库'!$Q$4:$Q$2003,'首页'!$B$4*100+U$4))</f>
        <v>0</v>
      </c>
      <c r="V90" s="21">
        <f>IF($A90="",0,SUMIFS('[1]销售出库'!$R$4:$R$2003,'[1]销售出库'!$H$4:$H$2003,$A90,'[1]销售出库'!$Q$4:$Q$2003,'首页'!$B$4*100+V$4))</f>
        <v>0</v>
      </c>
      <c r="W90" s="21">
        <f>IF($A90="",0,SUMIFS('[1]销售出库'!$R$4:$R$2003,'[1]销售出库'!$H$4:$H$2003,$A90,'[1]销售出库'!$Q$4:$Q$2003,'首页'!$B$4*100+W$4))</f>
        <v>0</v>
      </c>
      <c r="X90" s="21">
        <f>IF($A90="",0,SUMIFS('[1]销售出库'!$R$4:$R$2003,'[1]销售出库'!$H$4:$H$2003,$A90,'[1]销售出库'!$Q$4:$Q$2003,'首页'!$B$4*100+X$4))</f>
        <v>0</v>
      </c>
    </row>
    <row r="91">
      <c r="A91" s="6">
        <f>IF('[1]基础资料'!$P$90="","",'[1]基础资料'!$P$90)</f>
      </c>
      <c r="B91" s="6">
        <f>IF(A91="","",'[1]基础资料'!$Q$90&amp;"")</f>
      </c>
      <c r="C91" s="21">
        <f>IF(A91="",0,N('[1]基础资料'!$S$90))</f>
        <v>0</v>
      </c>
      <c r="D91" s="11">
        <f>IF(A91="",0,N('[1]基础资料'!$U$90))</f>
        <v>0</v>
      </c>
      <c r="E91" s="21">
        <f>IF(A91="",0,SUMIFS('[1]采购入库'!$U$4:$U$2003,'[1]采购入库'!$I$4:$I$2003,$A91))</f>
        <v>0</v>
      </c>
      <c r="F91" s="11">
        <f>IF(A91="",0,SUMIFS('[1]采购入库'!$V$4:$V$2003,'[1]采购入库'!$I$4:$I$2003,$A91))</f>
        <v>0</v>
      </c>
      <c r="G91" s="21">
        <f>IF(A91="",0,SUMIFS('[1]销售出库'!$R$4:$R$2003,'[1]销售出库'!$H$4:$H$2003,$A91))</f>
        <v>0</v>
      </c>
      <c r="H91" s="11">
        <f t="shared" si="3"/>
        <v>0</v>
      </c>
      <c r="I91" s="11">
        <f t="shared" si="0"/>
        <v>0</v>
      </c>
      <c r="J91" s="21">
        <f t="shared" si="1"/>
        <v>0</v>
      </c>
      <c r="K91" s="11">
        <f t="shared" si="2"/>
        <v>0</v>
      </c>
      <c r="L91" s="6">
        <f t="shared" si="4"/>
      </c>
      <c r="M91" s="21">
        <f>IF($A91="",0,SUMIFS('[1]销售出库'!$R$4:$R$2003,'[1]销售出库'!$H$4:$H$2003,$A91,'[1]销售出库'!$Q$4:$Q$2003,'首页'!$B$4*100+M$4))</f>
        <v>0</v>
      </c>
      <c r="N91" s="21">
        <f>IF($A91="",0,SUMIFS('[1]销售出库'!$R$4:$R$2003,'[1]销售出库'!$H$4:$H$2003,$A91,'[1]销售出库'!$Q$4:$Q$2003,'首页'!$B$4*100+N$4))</f>
        <v>0</v>
      </c>
      <c r="O91" s="21">
        <f>IF($A91="",0,SUMIFS('[1]销售出库'!$R$4:$R$2003,'[1]销售出库'!$H$4:$H$2003,$A91,'[1]销售出库'!$Q$4:$Q$2003,'首页'!$B$4*100+O$4))</f>
        <v>0</v>
      </c>
      <c r="P91" s="21">
        <f>IF($A91="",0,SUMIFS('[1]销售出库'!$R$4:$R$2003,'[1]销售出库'!$H$4:$H$2003,$A91,'[1]销售出库'!$Q$4:$Q$2003,'首页'!$B$4*100+P$4))</f>
        <v>0</v>
      </c>
      <c r="Q91" s="21">
        <f>IF($A91="",0,SUMIFS('[1]销售出库'!$R$4:$R$2003,'[1]销售出库'!$H$4:$H$2003,$A91,'[1]销售出库'!$Q$4:$Q$2003,'首页'!$B$4*100+Q$4))</f>
        <v>0</v>
      </c>
      <c r="R91" s="21">
        <f>IF($A91="",0,SUMIFS('[1]销售出库'!$R$4:$R$2003,'[1]销售出库'!$H$4:$H$2003,$A91,'[1]销售出库'!$Q$4:$Q$2003,'首页'!$B$4*100+R$4))</f>
        <v>0</v>
      </c>
      <c r="S91" s="21">
        <f>IF($A91="",0,SUMIFS('[1]销售出库'!$R$4:$R$2003,'[1]销售出库'!$H$4:$H$2003,$A91,'[1]销售出库'!$Q$4:$Q$2003,'首页'!$B$4*100+S$4))</f>
        <v>0</v>
      </c>
      <c r="T91" s="21">
        <f>IF($A91="",0,SUMIFS('[1]销售出库'!$R$4:$R$2003,'[1]销售出库'!$H$4:$H$2003,$A91,'[1]销售出库'!$Q$4:$Q$2003,'首页'!$B$4*100+T$4))</f>
        <v>0</v>
      </c>
      <c r="U91" s="21">
        <f>IF($A91="",0,SUMIFS('[1]销售出库'!$R$4:$R$2003,'[1]销售出库'!$H$4:$H$2003,$A91,'[1]销售出库'!$Q$4:$Q$2003,'首页'!$B$4*100+U$4))</f>
        <v>0</v>
      </c>
      <c r="V91" s="21">
        <f>IF($A91="",0,SUMIFS('[1]销售出库'!$R$4:$R$2003,'[1]销售出库'!$H$4:$H$2003,$A91,'[1]销售出库'!$Q$4:$Q$2003,'首页'!$B$4*100+V$4))</f>
        <v>0</v>
      </c>
      <c r="W91" s="21">
        <f>IF($A91="",0,SUMIFS('[1]销售出库'!$R$4:$R$2003,'[1]销售出库'!$H$4:$H$2003,$A91,'[1]销售出库'!$Q$4:$Q$2003,'首页'!$B$4*100+W$4))</f>
        <v>0</v>
      </c>
      <c r="X91" s="21">
        <f>IF($A91="",0,SUMIFS('[1]销售出库'!$R$4:$R$2003,'[1]销售出库'!$H$4:$H$2003,$A91,'[1]销售出库'!$Q$4:$Q$2003,'首页'!$B$4*100+X$4))</f>
        <v>0</v>
      </c>
    </row>
    <row r="92">
      <c r="A92" s="6">
        <f>IF('[1]基础资料'!$P$91="","",'[1]基础资料'!$P$91)</f>
      </c>
      <c r="B92" s="6">
        <f>IF(A92="","",'[1]基础资料'!$Q$91&amp;"")</f>
      </c>
      <c r="C92" s="21">
        <f>IF(A92="",0,N('[1]基础资料'!$S$91))</f>
        <v>0</v>
      </c>
      <c r="D92" s="11">
        <f>IF(A92="",0,N('[1]基础资料'!$U$91))</f>
        <v>0</v>
      </c>
      <c r="E92" s="21">
        <f>IF(A92="",0,SUMIFS('[1]采购入库'!$U$4:$U$2003,'[1]采购入库'!$I$4:$I$2003,$A92))</f>
        <v>0</v>
      </c>
      <c r="F92" s="11">
        <f>IF(A92="",0,SUMIFS('[1]采购入库'!$V$4:$V$2003,'[1]采购入库'!$I$4:$I$2003,$A92))</f>
        <v>0</v>
      </c>
      <c r="G92" s="21">
        <f>IF(A92="",0,SUMIFS('[1]销售出库'!$R$4:$R$2003,'[1]销售出库'!$H$4:$H$2003,$A92))</f>
        <v>0</v>
      </c>
      <c r="H92" s="11">
        <f t="shared" si="3"/>
        <v>0</v>
      </c>
      <c r="I92" s="11">
        <f t="shared" si="0"/>
        <v>0</v>
      </c>
      <c r="J92" s="21">
        <f t="shared" si="1"/>
        <v>0</v>
      </c>
      <c r="K92" s="11">
        <f t="shared" si="2"/>
        <v>0</v>
      </c>
      <c r="L92" s="6">
        <f t="shared" si="4"/>
      </c>
      <c r="M92" s="21">
        <f>IF($A92="",0,SUMIFS('[1]销售出库'!$R$4:$R$2003,'[1]销售出库'!$H$4:$H$2003,$A92,'[1]销售出库'!$Q$4:$Q$2003,'首页'!$B$4*100+M$4))</f>
        <v>0</v>
      </c>
      <c r="N92" s="21">
        <f>IF($A92="",0,SUMIFS('[1]销售出库'!$R$4:$R$2003,'[1]销售出库'!$H$4:$H$2003,$A92,'[1]销售出库'!$Q$4:$Q$2003,'首页'!$B$4*100+N$4))</f>
        <v>0</v>
      </c>
      <c r="O92" s="21">
        <f>IF($A92="",0,SUMIFS('[1]销售出库'!$R$4:$R$2003,'[1]销售出库'!$H$4:$H$2003,$A92,'[1]销售出库'!$Q$4:$Q$2003,'首页'!$B$4*100+O$4))</f>
        <v>0</v>
      </c>
      <c r="P92" s="21">
        <f>IF($A92="",0,SUMIFS('[1]销售出库'!$R$4:$R$2003,'[1]销售出库'!$H$4:$H$2003,$A92,'[1]销售出库'!$Q$4:$Q$2003,'首页'!$B$4*100+P$4))</f>
        <v>0</v>
      </c>
      <c r="Q92" s="21">
        <f>IF($A92="",0,SUMIFS('[1]销售出库'!$R$4:$R$2003,'[1]销售出库'!$H$4:$H$2003,$A92,'[1]销售出库'!$Q$4:$Q$2003,'首页'!$B$4*100+Q$4))</f>
        <v>0</v>
      </c>
      <c r="R92" s="21">
        <f>IF($A92="",0,SUMIFS('[1]销售出库'!$R$4:$R$2003,'[1]销售出库'!$H$4:$H$2003,$A92,'[1]销售出库'!$Q$4:$Q$2003,'首页'!$B$4*100+R$4))</f>
        <v>0</v>
      </c>
      <c r="S92" s="21">
        <f>IF($A92="",0,SUMIFS('[1]销售出库'!$R$4:$R$2003,'[1]销售出库'!$H$4:$H$2003,$A92,'[1]销售出库'!$Q$4:$Q$2003,'首页'!$B$4*100+S$4))</f>
        <v>0</v>
      </c>
      <c r="T92" s="21">
        <f>IF($A92="",0,SUMIFS('[1]销售出库'!$R$4:$R$2003,'[1]销售出库'!$H$4:$H$2003,$A92,'[1]销售出库'!$Q$4:$Q$2003,'首页'!$B$4*100+T$4))</f>
        <v>0</v>
      </c>
      <c r="U92" s="21">
        <f>IF($A92="",0,SUMIFS('[1]销售出库'!$R$4:$R$2003,'[1]销售出库'!$H$4:$H$2003,$A92,'[1]销售出库'!$Q$4:$Q$2003,'首页'!$B$4*100+U$4))</f>
        <v>0</v>
      </c>
      <c r="V92" s="21">
        <f>IF($A92="",0,SUMIFS('[1]销售出库'!$R$4:$R$2003,'[1]销售出库'!$H$4:$H$2003,$A92,'[1]销售出库'!$Q$4:$Q$2003,'首页'!$B$4*100+V$4))</f>
        <v>0</v>
      </c>
      <c r="W92" s="21">
        <f>IF($A92="",0,SUMIFS('[1]销售出库'!$R$4:$R$2003,'[1]销售出库'!$H$4:$H$2003,$A92,'[1]销售出库'!$Q$4:$Q$2003,'首页'!$B$4*100+W$4))</f>
        <v>0</v>
      </c>
      <c r="X92" s="21">
        <f>IF($A92="",0,SUMIFS('[1]销售出库'!$R$4:$R$2003,'[1]销售出库'!$H$4:$H$2003,$A92,'[1]销售出库'!$Q$4:$Q$2003,'首页'!$B$4*100+X$4))</f>
        <v>0</v>
      </c>
    </row>
    <row r="93">
      <c r="A93" s="6">
        <f>IF('[1]基础资料'!$P$92="","",'[1]基础资料'!$P$92)</f>
      </c>
      <c r="B93" s="6">
        <f>IF(A93="","",'[1]基础资料'!$Q$92&amp;"")</f>
      </c>
      <c r="C93" s="21">
        <f>IF(A93="",0,N('[1]基础资料'!$S$92))</f>
        <v>0</v>
      </c>
      <c r="D93" s="11">
        <f>IF(A93="",0,N('[1]基础资料'!$U$92))</f>
        <v>0</v>
      </c>
      <c r="E93" s="21">
        <f>IF(A93="",0,SUMIFS('[1]采购入库'!$U$4:$U$2003,'[1]采购入库'!$I$4:$I$2003,$A93))</f>
        <v>0</v>
      </c>
      <c r="F93" s="11">
        <f>IF(A93="",0,SUMIFS('[1]采购入库'!$V$4:$V$2003,'[1]采购入库'!$I$4:$I$2003,$A93))</f>
        <v>0</v>
      </c>
      <c r="G93" s="21">
        <f>IF(A93="",0,SUMIFS('[1]销售出库'!$R$4:$R$2003,'[1]销售出库'!$H$4:$H$2003,$A93))</f>
        <v>0</v>
      </c>
      <c r="H93" s="11">
        <f t="shared" si="3"/>
        <v>0</v>
      </c>
      <c r="I93" s="11">
        <f t="shared" si="0"/>
        <v>0</v>
      </c>
      <c r="J93" s="21">
        <f t="shared" si="1"/>
        <v>0</v>
      </c>
      <c r="K93" s="11">
        <f t="shared" si="2"/>
        <v>0</v>
      </c>
      <c r="L93" s="6">
        <f t="shared" si="4"/>
      </c>
      <c r="M93" s="21">
        <f>IF($A93="",0,SUMIFS('[1]销售出库'!$R$4:$R$2003,'[1]销售出库'!$H$4:$H$2003,$A93,'[1]销售出库'!$Q$4:$Q$2003,'首页'!$B$4*100+M$4))</f>
        <v>0</v>
      </c>
      <c r="N93" s="21">
        <f>IF($A93="",0,SUMIFS('[1]销售出库'!$R$4:$R$2003,'[1]销售出库'!$H$4:$H$2003,$A93,'[1]销售出库'!$Q$4:$Q$2003,'首页'!$B$4*100+N$4))</f>
        <v>0</v>
      </c>
      <c r="O93" s="21">
        <f>IF($A93="",0,SUMIFS('[1]销售出库'!$R$4:$R$2003,'[1]销售出库'!$H$4:$H$2003,$A93,'[1]销售出库'!$Q$4:$Q$2003,'首页'!$B$4*100+O$4))</f>
        <v>0</v>
      </c>
      <c r="P93" s="21">
        <f>IF($A93="",0,SUMIFS('[1]销售出库'!$R$4:$R$2003,'[1]销售出库'!$H$4:$H$2003,$A93,'[1]销售出库'!$Q$4:$Q$2003,'首页'!$B$4*100+P$4))</f>
        <v>0</v>
      </c>
      <c r="Q93" s="21">
        <f>IF($A93="",0,SUMIFS('[1]销售出库'!$R$4:$R$2003,'[1]销售出库'!$H$4:$H$2003,$A93,'[1]销售出库'!$Q$4:$Q$2003,'首页'!$B$4*100+Q$4))</f>
        <v>0</v>
      </c>
      <c r="R93" s="21">
        <f>IF($A93="",0,SUMIFS('[1]销售出库'!$R$4:$R$2003,'[1]销售出库'!$H$4:$H$2003,$A93,'[1]销售出库'!$Q$4:$Q$2003,'首页'!$B$4*100+R$4))</f>
        <v>0</v>
      </c>
      <c r="S93" s="21">
        <f>IF($A93="",0,SUMIFS('[1]销售出库'!$R$4:$R$2003,'[1]销售出库'!$H$4:$H$2003,$A93,'[1]销售出库'!$Q$4:$Q$2003,'首页'!$B$4*100+S$4))</f>
        <v>0</v>
      </c>
      <c r="T93" s="21">
        <f>IF($A93="",0,SUMIFS('[1]销售出库'!$R$4:$R$2003,'[1]销售出库'!$H$4:$H$2003,$A93,'[1]销售出库'!$Q$4:$Q$2003,'首页'!$B$4*100+T$4))</f>
        <v>0</v>
      </c>
      <c r="U93" s="21">
        <f>IF($A93="",0,SUMIFS('[1]销售出库'!$R$4:$R$2003,'[1]销售出库'!$H$4:$H$2003,$A93,'[1]销售出库'!$Q$4:$Q$2003,'首页'!$B$4*100+U$4))</f>
        <v>0</v>
      </c>
      <c r="V93" s="21">
        <f>IF($A93="",0,SUMIFS('[1]销售出库'!$R$4:$R$2003,'[1]销售出库'!$H$4:$H$2003,$A93,'[1]销售出库'!$Q$4:$Q$2003,'首页'!$B$4*100+V$4))</f>
        <v>0</v>
      </c>
      <c r="W93" s="21">
        <f>IF($A93="",0,SUMIFS('[1]销售出库'!$R$4:$R$2003,'[1]销售出库'!$H$4:$H$2003,$A93,'[1]销售出库'!$Q$4:$Q$2003,'首页'!$B$4*100+W$4))</f>
        <v>0</v>
      </c>
      <c r="X93" s="21">
        <f>IF($A93="",0,SUMIFS('[1]销售出库'!$R$4:$R$2003,'[1]销售出库'!$H$4:$H$2003,$A93,'[1]销售出库'!$Q$4:$Q$2003,'首页'!$B$4*100+X$4))</f>
        <v>0</v>
      </c>
    </row>
    <row r="94">
      <c r="A94" s="6">
        <f>IF('[1]基础资料'!$P$93="","",'[1]基础资料'!$P$93)</f>
      </c>
      <c r="B94" s="6">
        <f>IF(A94="","",'[1]基础资料'!$Q$93&amp;"")</f>
      </c>
      <c r="C94" s="21">
        <f>IF(A94="",0,N('[1]基础资料'!$S$93))</f>
        <v>0</v>
      </c>
      <c r="D94" s="11">
        <f>IF(A94="",0,N('[1]基础资料'!$U$93))</f>
        <v>0</v>
      </c>
      <c r="E94" s="21">
        <f>IF(A94="",0,SUMIFS('[1]采购入库'!$U$4:$U$2003,'[1]采购入库'!$I$4:$I$2003,$A94))</f>
        <v>0</v>
      </c>
      <c r="F94" s="11">
        <f>IF(A94="",0,SUMIFS('[1]采购入库'!$V$4:$V$2003,'[1]采购入库'!$I$4:$I$2003,$A94))</f>
        <v>0</v>
      </c>
      <c r="G94" s="21">
        <f>IF(A94="",0,SUMIFS('[1]销售出库'!$R$4:$R$2003,'[1]销售出库'!$H$4:$H$2003,$A94))</f>
        <v>0</v>
      </c>
      <c r="H94" s="11">
        <f t="shared" si="3"/>
        <v>0</v>
      </c>
      <c r="I94" s="11">
        <f t="shared" si="0"/>
        <v>0</v>
      </c>
      <c r="J94" s="21">
        <f t="shared" si="1"/>
        <v>0</v>
      </c>
      <c r="K94" s="11">
        <f t="shared" si="2"/>
        <v>0</v>
      </c>
      <c r="L94" s="6">
        <f t="shared" si="4"/>
      </c>
      <c r="M94" s="21">
        <f>IF($A94="",0,SUMIFS('[1]销售出库'!$R$4:$R$2003,'[1]销售出库'!$H$4:$H$2003,$A94,'[1]销售出库'!$Q$4:$Q$2003,'首页'!$B$4*100+M$4))</f>
        <v>0</v>
      </c>
      <c r="N94" s="21">
        <f>IF($A94="",0,SUMIFS('[1]销售出库'!$R$4:$R$2003,'[1]销售出库'!$H$4:$H$2003,$A94,'[1]销售出库'!$Q$4:$Q$2003,'首页'!$B$4*100+N$4))</f>
        <v>0</v>
      </c>
      <c r="O94" s="21">
        <f>IF($A94="",0,SUMIFS('[1]销售出库'!$R$4:$R$2003,'[1]销售出库'!$H$4:$H$2003,$A94,'[1]销售出库'!$Q$4:$Q$2003,'首页'!$B$4*100+O$4))</f>
        <v>0</v>
      </c>
      <c r="P94" s="21">
        <f>IF($A94="",0,SUMIFS('[1]销售出库'!$R$4:$R$2003,'[1]销售出库'!$H$4:$H$2003,$A94,'[1]销售出库'!$Q$4:$Q$2003,'首页'!$B$4*100+P$4))</f>
        <v>0</v>
      </c>
      <c r="Q94" s="21">
        <f>IF($A94="",0,SUMIFS('[1]销售出库'!$R$4:$R$2003,'[1]销售出库'!$H$4:$H$2003,$A94,'[1]销售出库'!$Q$4:$Q$2003,'首页'!$B$4*100+Q$4))</f>
        <v>0</v>
      </c>
      <c r="R94" s="21">
        <f>IF($A94="",0,SUMIFS('[1]销售出库'!$R$4:$R$2003,'[1]销售出库'!$H$4:$H$2003,$A94,'[1]销售出库'!$Q$4:$Q$2003,'首页'!$B$4*100+R$4))</f>
        <v>0</v>
      </c>
      <c r="S94" s="21">
        <f>IF($A94="",0,SUMIFS('[1]销售出库'!$R$4:$R$2003,'[1]销售出库'!$H$4:$H$2003,$A94,'[1]销售出库'!$Q$4:$Q$2003,'首页'!$B$4*100+S$4))</f>
        <v>0</v>
      </c>
      <c r="T94" s="21">
        <f>IF($A94="",0,SUMIFS('[1]销售出库'!$R$4:$R$2003,'[1]销售出库'!$H$4:$H$2003,$A94,'[1]销售出库'!$Q$4:$Q$2003,'首页'!$B$4*100+T$4))</f>
        <v>0</v>
      </c>
      <c r="U94" s="21">
        <f>IF($A94="",0,SUMIFS('[1]销售出库'!$R$4:$R$2003,'[1]销售出库'!$H$4:$H$2003,$A94,'[1]销售出库'!$Q$4:$Q$2003,'首页'!$B$4*100+U$4))</f>
        <v>0</v>
      </c>
      <c r="V94" s="21">
        <f>IF($A94="",0,SUMIFS('[1]销售出库'!$R$4:$R$2003,'[1]销售出库'!$H$4:$H$2003,$A94,'[1]销售出库'!$Q$4:$Q$2003,'首页'!$B$4*100+V$4))</f>
        <v>0</v>
      </c>
      <c r="W94" s="21">
        <f>IF($A94="",0,SUMIFS('[1]销售出库'!$R$4:$R$2003,'[1]销售出库'!$H$4:$H$2003,$A94,'[1]销售出库'!$Q$4:$Q$2003,'首页'!$B$4*100+W$4))</f>
        <v>0</v>
      </c>
      <c r="X94" s="21">
        <f>IF($A94="",0,SUMIFS('[1]销售出库'!$R$4:$R$2003,'[1]销售出库'!$H$4:$H$2003,$A94,'[1]销售出库'!$Q$4:$Q$2003,'首页'!$B$4*100+X$4))</f>
        <v>0</v>
      </c>
    </row>
    <row r="95">
      <c r="A95" s="6">
        <f>IF('[1]基础资料'!$P$94="","",'[1]基础资料'!$P$94)</f>
      </c>
      <c r="B95" s="6">
        <f>IF(A95="","",'[1]基础资料'!$Q$94&amp;"")</f>
      </c>
      <c r="C95" s="21">
        <f>IF(A95="",0,N('[1]基础资料'!$S$94))</f>
        <v>0</v>
      </c>
      <c r="D95" s="11">
        <f>IF(A95="",0,N('[1]基础资料'!$U$94))</f>
        <v>0</v>
      </c>
      <c r="E95" s="21">
        <f>IF(A95="",0,SUMIFS('[1]采购入库'!$U$4:$U$2003,'[1]采购入库'!$I$4:$I$2003,$A95))</f>
        <v>0</v>
      </c>
      <c r="F95" s="11">
        <f>IF(A95="",0,SUMIFS('[1]采购入库'!$V$4:$V$2003,'[1]采购入库'!$I$4:$I$2003,$A95))</f>
        <v>0</v>
      </c>
      <c r="G95" s="21">
        <f>IF(A95="",0,SUMIFS('[1]销售出库'!$R$4:$R$2003,'[1]销售出库'!$H$4:$H$2003,$A95))</f>
        <v>0</v>
      </c>
      <c r="H95" s="11">
        <f t="shared" si="3"/>
        <v>0</v>
      </c>
      <c r="I95" s="11">
        <f t="shared" si="0"/>
        <v>0</v>
      </c>
      <c r="J95" s="21">
        <f t="shared" si="1"/>
        <v>0</v>
      </c>
      <c r="K95" s="11">
        <f t="shared" si="2"/>
        <v>0</v>
      </c>
      <c r="L95" s="6">
        <f t="shared" si="4"/>
      </c>
      <c r="M95" s="21">
        <f>IF($A95="",0,SUMIFS('[1]销售出库'!$R$4:$R$2003,'[1]销售出库'!$H$4:$H$2003,$A95,'[1]销售出库'!$Q$4:$Q$2003,'首页'!$B$4*100+M$4))</f>
        <v>0</v>
      </c>
      <c r="N95" s="21">
        <f>IF($A95="",0,SUMIFS('[1]销售出库'!$R$4:$R$2003,'[1]销售出库'!$H$4:$H$2003,$A95,'[1]销售出库'!$Q$4:$Q$2003,'首页'!$B$4*100+N$4))</f>
        <v>0</v>
      </c>
      <c r="O95" s="21">
        <f>IF($A95="",0,SUMIFS('[1]销售出库'!$R$4:$R$2003,'[1]销售出库'!$H$4:$H$2003,$A95,'[1]销售出库'!$Q$4:$Q$2003,'首页'!$B$4*100+O$4))</f>
        <v>0</v>
      </c>
      <c r="P95" s="21">
        <f>IF($A95="",0,SUMIFS('[1]销售出库'!$R$4:$R$2003,'[1]销售出库'!$H$4:$H$2003,$A95,'[1]销售出库'!$Q$4:$Q$2003,'首页'!$B$4*100+P$4))</f>
        <v>0</v>
      </c>
      <c r="Q95" s="21">
        <f>IF($A95="",0,SUMIFS('[1]销售出库'!$R$4:$R$2003,'[1]销售出库'!$H$4:$H$2003,$A95,'[1]销售出库'!$Q$4:$Q$2003,'首页'!$B$4*100+Q$4))</f>
        <v>0</v>
      </c>
      <c r="R95" s="21">
        <f>IF($A95="",0,SUMIFS('[1]销售出库'!$R$4:$R$2003,'[1]销售出库'!$H$4:$H$2003,$A95,'[1]销售出库'!$Q$4:$Q$2003,'首页'!$B$4*100+R$4))</f>
        <v>0</v>
      </c>
      <c r="S95" s="21">
        <f>IF($A95="",0,SUMIFS('[1]销售出库'!$R$4:$R$2003,'[1]销售出库'!$H$4:$H$2003,$A95,'[1]销售出库'!$Q$4:$Q$2003,'首页'!$B$4*100+S$4))</f>
        <v>0</v>
      </c>
      <c r="T95" s="21">
        <f>IF($A95="",0,SUMIFS('[1]销售出库'!$R$4:$R$2003,'[1]销售出库'!$H$4:$H$2003,$A95,'[1]销售出库'!$Q$4:$Q$2003,'首页'!$B$4*100+T$4))</f>
        <v>0</v>
      </c>
      <c r="U95" s="21">
        <f>IF($A95="",0,SUMIFS('[1]销售出库'!$R$4:$R$2003,'[1]销售出库'!$H$4:$H$2003,$A95,'[1]销售出库'!$Q$4:$Q$2003,'首页'!$B$4*100+U$4))</f>
        <v>0</v>
      </c>
      <c r="V95" s="21">
        <f>IF($A95="",0,SUMIFS('[1]销售出库'!$R$4:$R$2003,'[1]销售出库'!$H$4:$H$2003,$A95,'[1]销售出库'!$Q$4:$Q$2003,'首页'!$B$4*100+V$4))</f>
        <v>0</v>
      </c>
      <c r="W95" s="21">
        <f>IF($A95="",0,SUMIFS('[1]销售出库'!$R$4:$R$2003,'[1]销售出库'!$H$4:$H$2003,$A95,'[1]销售出库'!$Q$4:$Q$2003,'首页'!$B$4*100+W$4))</f>
        <v>0</v>
      </c>
      <c r="X95" s="21">
        <f>IF($A95="",0,SUMIFS('[1]销售出库'!$R$4:$R$2003,'[1]销售出库'!$H$4:$H$2003,$A95,'[1]销售出库'!$Q$4:$Q$2003,'首页'!$B$4*100+X$4))</f>
        <v>0</v>
      </c>
    </row>
    <row r="96">
      <c r="A96" s="6">
        <f>IF('[1]基础资料'!$P$95="","",'[1]基础资料'!$P$95)</f>
      </c>
      <c r="B96" s="6">
        <f>IF(A96="","",'[1]基础资料'!$Q$95&amp;"")</f>
      </c>
      <c r="C96" s="21">
        <f>IF(A96="",0,N('[1]基础资料'!$S$95))</f>
        <v>0</v>
      </c>
      <c r="D96" s="11">
        <f>IF(A96="",0,N('[1]基础资料'!$U$95))</f>
        <v>0</v>
      </c>
      <c r="E96" s="21">
        <f>IF(A96="",0,SUMIFS('[1]采购入库'!$U$4:$U$2003,'[1]采购入库'!$I$4:$I$2003,$A96))</f>
        <v>0</v>
      </c>
      <c r="F96" s="11">
        <f>IF(A96="",0,SUMIFS('[1]采购入库'!$V$4:$V$2003,'[1]采购入库'!$I$4:$I$2003,$A96))</f>
        <v>0</v>
      </c>
      <c r="G96" s="21">
        <f>IF(A96="",0,SUMIFS('[1]销售出库'!$R$4:$R$2003,'[1]销售出库'!$H$4:$H$2003,$A96))</f>
        <v>0</v>
      </c>
      <c r="H96" s="11">
        <f t="shared" si="3"/>
        <v>0</v>
      </c>
      <c r="I96" s="11">
        <f t="shared" si="0"/>
        <v>0</v>
      </c>
      <c r="J96" s="21">
        <f t="shared" si="1"/>
        <v>0</v>
      </c>
      <c r="K96" s="11">
        <f t="shared" si="2"/>
        <v>0</v>
      </c>
      <c r="L96" s="6">
        <f t="shared" si="4"/>
      </c>
      <c r="M96" s="21">
        <f>IF($A96="",0,SUMIFS('[1]销售出库'!$R$4:$R$2003,'[1]销售出库'!$H$4:$H$2003,$A96,'[1]销售出库'!$Q$4:$Q$2003,'首页'!$B$4*100+M$4))</f>
        <v>0</v>
      </c>
      <c r="N96" s="21">
        <f>IF($A96="",0,SUMIFS('[1]销售出库'!$R$4:$R$2003,'[1]销售出库'!$H$4:$H$2003,$A96,'[1]销售出库'!$Q$4:$Q$2003,'首页'!$B$4*100+N$4))</f>
        <v>0</v>
      </c>
      <c r="O96" s="21">
        <f>IF($A96="",0,SUMIFS('[1]销售出库'!$R$4:$R$2003,'[1]销售出库'!$H$4:$H$2003,$A96,'[1]销售出库'!$Q$4:$Q$2003,'首页'!$B$4*100+O$4))</f>
        <v>0</v>
      </c>
      <c r="P96" s="21">
        <f>IF($A96="",0,SUMIFS('[1]销售出库'!$R$4:$R$2003,'[1]销售出库'!$H$4:$H$2003,$A96,'[1]销售出库'!$Q$4:$Q$2003,'首页'!$B$4*100+P$4))</f>
        <v>0</v>
      </c>
      <c r="Q96" s="21">
        <f>IF($A96="",0,SUMIFS('[1]销售出库'!$R$4:$R$2003,'[1]销售出库'!$H$4:$H$2003,$A96,'[1]销售出库'!$Q$4:$Q$2003,'首页'!$B$4*100+Q$4))</f>
        <v>0</v>
      </c>
      <c r="R96" s="21">
        <f>IF($A96="",0,SUMIFS('[1]销售出库'!$R$4:$R$2003,'[1]销售出库'!$H$4:$H$2003,$A96,'[1]销售出库'!$Q$4:$Q$2003,'首页'!$B$4*100+R$4))</f>
        <v>0</v>
      </c>
      <c r="S96" s="21">
        <f>IF($A96="",0,SUMIFS('[1]销售出库'!$R$4:$R$2003,'[1]销售出库'!$H$4:$H$2003,$A96,'[1]销售出库'!$Q$4:$Q$2003,'首页'!$B$4*100+S$4))</f>
        <v>0</v>
      </c>
      <c r="T96" s="21">
        <f>IF($A96="",0,SUMIFS('[1]销售出库'!$R$4:$R$2003,'[1]销售出库'!$H$4:$H$2003,$A96,'[1]销售出库'!$Q$4:$Q$2003,'首页'!$B$4*100+T$4))</f>
        <v>0</v>
      </c>
      <c r="U96" s="21">
        <f>IF($A96="",0,SUMIFS('[1]销售出库'!$R$4:$R$2003,'[1]销售出库'!$H$4:$H$2003,$A96,'[1]销售出库'!$Q$4:$Q$2003,'首页'!$B$4*100+U$4))</f>
        <v>0</v>
      </c>
      <c r="V96" s="21">
        <f>IF($A96="",0,SUMIFS('[1]销售出库'!$R$4:$R$2003,'[1]销售出库'!$H$4:$H$2003,$A96,'[1]销售出库'!$Q$4:$Q$2003,'首页'!$B$4*100+V$4))</f>
        <v>0</v>
      </c>
      <c r="W96" s="21">
        <f>IF($A96="",0,SUMIFS('[1]销售出库'!$R$4:$R$2003,'[1]销售出库'!$H$4:$H$2003,$A96,'[1]销售出库'!$Q$4:$Q$2003,'首页'!$B$4*100+W$4))</f>
        <v>0</v>
      </c>
      <c r="X96" s="21">
        <f>IF($A96="",0,SUMIFS('[1]销售出库'!$R$4:$R$2003,'[1]销售出库'!$H$4:$H$2003,$A96,'[1]销售出库'!$Q$4:$Q$2003,'首页'!$B$4*100+X$4))</f>
        <v>0</v>
      </c>
    </row>
    <row r="97">
      <c r="A97" s="6">
        <f>IF('[1]基础资料'!$P$96="","",'[1]基础资料'!$P$96)</f>
      </c>
      <c r="B97" s="6">
        <f>IF(A97="","",'[1]基础资料'!$Q$96&amp;"")</f>
      </c>
      <c r="C97" s="21">
        <f>IF(A97="",0,N('[1]基础资料'!$S$96))</f>
        <v>0</v>
      </c>
      <c r="D97" s="11">
        <f>IF(A97="",0,N('[1]基础资料'!$U$96))</f>
        <v>0</v>
      </c>
      <c r="E97" s="21">
        <f>IF(A97="",0,SUMIFS('[1]采购入库'!$U$4:$U$2003,'[1]采购入库'!$I$4:$I$2003,$A97))</f>
        <v>0</v>
      </c>
      <c r="F97" s="11">
        <f>IF(A97="",0,SUMIFS('[1]采购入库'!$V$4:$V$2003,'[1]采购入库'!$I$4:$I$2003,$A97))</f>
        <v>0</v>
      </c>
      <c r="G97" s="21">
        <f>IF(A97="",0,SUMIFS('[1]销售出库'!$R$4:$R$2003,'[1]销售出库'!$H$4:$H$2003,$A97))</f>
        <v>0</v>
      </c>
      <c r="H97" s="11">
        <f t="shared" si="3"/>
        <v>0</v>
      </c>
      <c r="I97" s="11">
        <f t="shared" si="0"/>
        <v>0</v>
      </c>
      <c r="J97" s="21">
        <f t="shared" si="1"/>
        <v>0</v>
      </c>
      <c r="K97" s="11">
        <f t="shared" si="2"/>
        <v>0</v>
      </c>
      <c r="L97" s="6">
        <f t="shared" si="4"/>
      </c>
      <c r="M97" s="21">
        <f>IF($A97="",0,SUMIFS('[1]销售出库'!$R$4:$R$2003,'[1]销售出库'!$H$4:$H$2003,$A97,'[1]销售出库'!$Q$4:$Q$2003,'首页'!$B$4*100+M$4))</f>
        <v>0</v>
      </c>
      <c r="N97" s="21">
        <f>IF($A97="",0,SUMIFS('[1]销售出库'!$R$4:$R$2003,'[1]销售出库'!$H$4:$H$2003,$A97,'[1]销售出库'!$Q$4:$Q$2003,'首页'!$B$4*100+N$4))</f>
        <v>0</v>
      </c>
      <c r="O97" s="21">
        <f>IF($A97="",0,SUMIFS('[1]销售出库'!$R$4:$R$2003,'[1]销售出库'!$H$4:$H$2003,$A97,'[1]销售出库'!$Q$4:$Q$2003,'首页'!$B$4*100+O$4))</f>
        <v>0</v>
      </c>
      <c r="P97" s="21">
        <f>IF($A97="",0,SUMIFS('[1]销售出库'!$R$4:$R$2003,'[1]销售出库'!$H$4:$H$2003,$A97,'[1]销售出库'!$Q$4:$Q$2003,'首页'!$B$4*100+P$4))</f>
        <v>0</v>
      </c>
      <c r="Q97" s="21">
        <f>IF($A97="",0,SUMIFS('[1]销售出库'!$R$4:$R$2003,'[1]销售出库'!$H$4:$H$2003,$A97,'[1]销售出库'!$Q$4:$Q$2003,'首页'!$B$4*100+Q$4))</f>
        <v>0</v>
      </c>
      <c r="R97" s="21">
        <f>IF($A97="",0,SUMIFS('[1]销售出库'!$R$4:$R$2003,'[1]销售出库'!$H$4:$H$2003,$A97,'[1]销售出库'!$Q$4:$Q$2003,'首页'!$B$4*100+R$4))</f>
        <v>0</v>
      </c>
      <c r="S97" s="21">
        <f>IF($A97="",0,SUMIFS('[1]销售出库'!$R$4:$R$2003,'[1]销售出库'!$H$4:$H$2003,$A97,'[1]销售出库'!$Q$4:$Q$2003,'首页'!$B$4*100+S$4))</f>
        <v>0</v>
      </c>
      <c r="T97" s="21">
        <f>IF($A97="",0,SUMIFS('[1]销售出库'!$R$4:$R$2003,'[1]销售出库'!$H$4:$H$2003,$A97,'[1]销售出库'!$Q$4:$Q$2003,'首页'!$B$4*100+T$4))</f>
        <v>0</v>
      </c>
      <c r="U97" s="21">
        <f>IF($A97="",0,SUMIFS('[1]销售出库'!$R$4:$R$2003,'[1]销售出库'!$H$4:$H$2003,$A97,'[1]销售出库'!$Q$4:$Q$2003,'首页'!$B$4*100+U$4))</f>
        <v>0</v>
      </c>
      <c r="V97" s="21">
        <f>IF($A97="",0,SUMIFS('[1]销售出库'!$R$4:$R$2003,'[1]销售出库'!$H$4:$H$2003,$A97,'[1]销售出库'!$Q$4:$Q$2003,'首页'!$B$4*100+V$4))</f>
        <v>0</v>
      </c>
      <c r="W97" s="21">
        <f>IF($A97="",0,SUMIFS('[1]销售出库'!$R$4:$R$2003,'[1]销售出库'!$H$4:$H$2003,$A97,'[1]销售出库'!$Q$4:$Q$2003,'首页'!$B$4*100+W$4))</f>
        <v>0</v>
      </c>
      <c r="X97" s="21">
        <f>IF($A97="",0,SUMIFS('[1]销售出库'!$R$4:$R$2003,'[1]销售出库'!$H$4:$H$2003,$A97,'[1]销售出库'!$Q$4:$Q$2003,'首页'!$B$4*100+X$4))</f>
        <v>0</v>
      </c>
    </row>
    <row r="98">
      <c r="A98" s="6">
        <f>IF('[1]基础资料'!$P$97="","",'[1]基础资料'!$P$97)</f>
      </c>
      <c r="B98" s="6">
        <f>IF(A98="","",'[1]基础资料'!$Q$97&amp;"")</f>
      </c>
      <c r="C98" s="21">
        <f>IF(A98="",0,N('[1]基础资料'!$S$97))</f>
        <v>0</v>
      </c>
      <c r="D98" s="11">
        <f>IF(A98="",0,N('[1]基础资料'!$U$97))</f>
        <v>0</v>
      </c>
      <c r="E98" s="21">
        <f>IF(A98="",0,SUMIFS('[1]采购入库'!$U$4:$U$2003,'[1]采购入库'!$I$4:$I$2003,$A98))</f>
        <v>0</v>
      </c>
      <c r="F98" s="11">
        <f>IF(A98="",0,SUMIFS('[1]采购入库'!$V$4:$V$2003,'[1]采购入库'!$I$4:$I$2003,$A98))</f>
        <v>0</v>
      </c>
      <c r="G98" s="21">
        <f>IF(A98="",0,SUMIFS('[1]销售出库'!$R$4:$R$2003,'[1]销售出库'!$H$4:$H$2003,$A98))</f>
        <v>0</v>
      </c>
      <c r="H98" s="11">
        <f t="shared" si="3"/>
        <v>0</v>
      </c>
      <c r="I98" s="11">
        <f t="shared" si="0"/>
        <v>0</v>
      </c>
      <c r="J98" s="21">
        <f t="shared" si="1"/>
        <v>0</v>
      </c>
      <c r="K98" s="11">
        <f t="shared" si="2"/>
        <v>0</v>
      </c>
      <c r="L98" s="6">
        <f t="shared" si="4"/>
      </c>
      <c r="M98" s="21">
        <f>IF($A98="",0,SUMIFS('[1]销售出库'!$R$4:$R$2003,'[1]销售出库'!$H$4:$H$2003,$A98,'[1]销售出库'!$Q$4:$Q$2003,'首页'!$B$4*100+M$4))</f>
        <v>0</v>
      </c>
      <c r="N98" s="21">
        <f>IF($A98="",0,SUMIFS('[1]销售出库'!$R$4:$R$2003,'[1]销售出库'!$H$4:$H$2003,$A98,'[1]销售出库'!$Q$4:$Q$2003,'首页'!$B$4*100+N$4))</f>
        <v>0</v>
      </c>
      <c r="O98" s="21">
        <f>IF($A98="",0,SUMIFS('[1]销售出库'!$R$4:$R$2003,'[1]销售出库'!$H$4:$H$2003,$A98,'[1]销售出库'!$Q$4:$Q$2003,'首页'!$B$4*100+O$4))</f>
        <v>0</v>
      </c>
      <c r="P98" s="21">
        <f>IF($A98="",0,SUMIFS('[1]销售出库'!$R$4:$R$2003,'[1]销售出库'!$H$4:$H$2003,$A98,'[1]销售出库'!$Q$4:$Q$2003,'首页'!$B$4*100+P$4))</f>
        <v>0</v>
      </c>
      <c r="Q98" s="21">
        <f>IF($A98="",0,SUMIFS('[1]销售出库'!$R$4:$R$2003,'[1]销售出库'!$H$4:$H$2003,$A98,'[1]销售出库'!$Q$4:$Q$2003,'首页'!$B$4*100+Q$4))</f>
        <v>0</v>
      </c>
      <c r="R98" s="21">
        <f>IF($A98="",0,SUMIFS('[1]销售出库'!$R$4:$R$2003,'[1]销售出库'!$H$4:$H$2003,$A98,'[1]销售出库'!$Q$4:$Q$2003,'首页'!$B$4*100+R$4))</f>
        <v>0</v>
      </c>
      <c r="S98" s="21">
        <f>IF($A98="",0,SUMIFS('[1]销售出库'!$R$4:$R$2003,'[1]销售出库'!$H$4:$H$2003,$A98,'[1]销售出库'!$Q$4:$Q$2003,'首页'!$B$4*100+S$4))</f>
        <v>0</v>
      </c>
      <c r="T98" s="21">
        <f>IF($A98="",0,SUMIFS('[1]销售出库'!$R$4:$R$2003,'[1]销售出库'!$H$4:$H$2003,$A98,'[1]销售出库'!$Q$4:$Q$2003,'首页'!$B$4*100+T$4))</f>
        <v>0</v>
      </c>
      <c r="U98" s="21">
        <f>IF($A98="",0,SUMIFS('[1]销售出库'!$R$4:$R$2003,'[1]销售出库'!$H$4:$H$2003,$A98,'[1]销售出库'!$Q$4:$Q$2003,'首页'!$B$4*100+U$4))</f>
        <v>0</v>
      </c>
      <c r="V98" s="21">
        <f>IF($A98="",0,SUMIFS('[1]销售出库'!$R$4:$R$2003,'[1]销售出库'!$H$4:$H$2003,$A98,'[1]销售出库'!$Q$4:$Q$2003,'首页'!$B$4*100+V$4))</f>
        <v>0</v>
      </c>
      <c r="W98" s="21">
        <f>IF($A98="",0,SUMIFS('[1]销售出库'!$R$4:$R$2003,'[1]销售出库'!$H$4:$H$2003,$A98,'[1]销售出库'!$Q$4:$Q$2003,'首页'!$B$4*100+W$4))</f>
        <v>0</v>
      </c>
      <c r="X98" s="21">
        <f>IF($A98="",0,SUMIFS('[1]销售出库'!$R$4:$R$2003,'[1]销售出库'!$H$4:$H$2003,$A98,'[1]销售出库'!$Q$4:$Q$2003,'首页'!$B$4*100+X$4))</f>
        <v>0</v>
      </c>
    </row>
    <row r="99">
      <c r="A99" s="6">
        <f>IF('[1]基础资料'!$P$98="","",'[1]基础资料'!$P$98)</f>
      </c>
      <c r="B99" s="6">
        <f>IF(A99="","",'[1]基础资料'!$Q$98&amp;"")</f>
      </c>
      <c r="C99" s="21">
        <f>IF(A99="",0,N('[1]基础资料'!$S$98))</f>
        <v>0</v>
      </c>
      <c r="D99" s="11">
        <f>IF(A99="",0,N('[1]基础资料'!$U$98))</f>
        <v>0</v>
      </c>
      <c r="E99" s="21">
        <f>IF(A99="",0,SUMIFS('[1]采购入库'!$U$4:$U$2003,'[1]采购入库'!$I$4:$I$2003,$A99))</f>
        <v>0</v>
      </c>
      <c r="F99" s="11">
        <f>IF(A99="",0,SUMIFS('[1]采购入库'!$V$4:$V$2003,'[1]采购入库'!$I$4:$I$2003,$A99))</f>
        <v>0</v>
      </c>
      <c r="G99" s="21">
        <f>IF(A99="",0,SUMIFS('[1]销售出库'!$R$4:$R$2003,'[1]销售出库'!$H$4:$H$2003,$A99))</f>
        <v>0</v>
      </c>
      <c r="H99" s="11">
        <f t="shared" si="3"/>
        <v>0</v>
      </c>
      <c r="I99" s="11">
        <f t="shared" si="0"/>
        <v>0</v>
      </c>
      <c r="J99" s="21">
        <f t="shared" si="1"/>
        <v>0</v>
      </c>
      <c r="K99" s="11">
        <f t="shared" si="2"/>
        <v>0</v>
      </c>
      <c r="L99" s="6">
        <f t="shared" si="4"/>
      </c>
      <c r="M99" s="21">
        <f>IF($A99="",0,SUMIFS('[1]销售出库'!$R$4:$R$2003,'[1]销售出库'!$H$4:$H$2003,$A99,'[1]销售出库'!$Q$4:$Q$2003,'首页'!$B$4*100+M$4))</f>
        <v>0</v>
      </c>
      <c r="N99" s="21">
        <f>IF($A99="",0,SUMIFS('[1]销售出库'!$R$4:$R$2003,'[1]销售出库'!$H$4:$H$2003,$A99,'[1]销售出库'!$Q$4:$Q$2003,'首页'!$B$4*100+N$4))</f>
        <v>0</v>
      </c>
      <c r="O99" s="21">
        <f>IF($A99="",0,SUMIFS('[1]销售出库'!$R$4:$R$2003,'[1]销售出库'!$H$4:$H$2003,$A99,'[1]销售出库'!$Q$4:$Q$2003,'首页'!$B$4*100+O$4))</f>
        <v>0</v>
      </c>
      <c r="P99" s="21">
        <f>IF($A99="",0,SUMIFS('[1]销售出库'!$R$4:$R$2003,'[1]销售出库'!$H$4:$H$2003,$A99,'[1]销售出库'!$Q$4:$Q$2003,'首页'!$B$4*100+P$4))</f>
        <v>0</v>
      </c>
      <c r="Q99" s="21">
        <f>IF($A99="",0,SUMIFS('[1]销售出库'!$R$4:$R$2003,'[1]销售出库'!$H$4:$H$2003,$A99,'[1]销售出库'!$Q$4:$Q$2003,'首页'!$B$4*100+Q$4))</f>
        <v>0</v>
      </c>
      <c r="R99" s="21">
        <f>IF($A99="",0,SUMIFS('[1]销售出库'!$R$4:$R$2003,'[1]销售出库'!$H$4:$H$2003,$A99,'[1]销售出库'!$Q$4:$Q$2003,'首页'!$B$4*100+R$4))</f>
        <v>0</v>
      </c>
      <c r="S99" s="21">
        <f>IF($A99="",0,SUMIFS('[1]销售出库'!$R$4:$R$2003,'[1]销售出库'!$H$4:$H$2003,$A99,'[1]销售出库'!$Q$4:$Q$2003,'首页'!$B$4*100+S$4))</f>
        <v>0</v>
      </c>
      <c r="T99" s="21">
        <f>IF($A99="",0,SUMIFS('[1]销售出库'!$R$4:$R$2003,'[1]销售出库'!$H$4:$H$2003,$A99,'[1]销售出库'!$Q$4:$Q$2003,'首页'!$B$4*100+T$4))</f>
        <v>0</v>
      </c>
      <c r="U99" s="21">
        <f>IF($A99="",0,SUMIFS('[1]销售出库'!$R$4:$R$2003,'[1]销售出库'!$H$4:$H$2003,$A99,'[1]销售出库'!$Q$4:$Q$2003,'首页'!$B$4*100+U$4))</f>
        <v>0</v>
      </c>
      <c r="V99" s="21">
        <f>IF($A99="",0,SUMIFS('[1]销售出库'!$R$4:$R$2003,'[1]销售出库'!$H$4:$H$2003,$A99,'[1]销售出库'!$Q$4:$Q$2003,'首页'!$B$4*100+V$4))</f>
        <v>0</v>
      </c>
      <c r="W99" s="21">
        <f>IF($A99="",0,SUMIFS('[1]销售出库'!$R$4:$R$2003,'[1]销售出库'!$H$4:$H$2003,$A99,'[1]销售出库'!$Q$4:$Q$2003,'首页'!$B$4*100+W$4))</f>
        <v>0</v>
      </c>
      <c r="X99" s="21">
        <f>IF($A99="",0,SUMIFS('[1]销售出库'!$R$4:$R$2003,'[1]销售出库'!$H$4:$H$2003,$A99,'[1]销售出库'!$Q$4:$Q$2003,'首页'!$B$4*100+X$4))</f>
        <v>0</v>
      </c>
    </row>
    <row r="100">
      <c r="A100" s="6">
        <f>IF('[1]基础资料'!$P$99="","",'[1]基础资料'!$P$99)</f>
      </c>
      <c r="B100" s="6">
        <f>IF(A100="","",'[1]基础资料'!$Q$99&amp;"")</f>
      </c>
      <c r="C100" s="21">
        <f>IF(A100="",0,N('[1]基础资料'!$S$99))</f>
        <v>0</v>
      </c>
      <c r="D100" s="11">
        <f>IF(A100="",0,N('[1]基础资料'!$U$99))</f>
        <v>0</v>
      </c>
      <c r="E100" s="21">
        <f>IF(A100="",0,SUMIFS('[1]采购入库'!$U$4:$U$2003,'[1]采购入库'!$I$4:$I$2003,$A100))</f>
        <v>0</v>
      </c>
      <c r="F100" s="11">
        <f>IF(A100="",0,SUMIFS('[1]采购入库'!$V$4:$V$2003,'[1]采购入库'!$I$4:$I$2003,$A100))</f>
        <v>0</v>
      </c>
      <c r="G100" s="21">
        <f>IF(A100="",0,SUMIFS('[1]销售出库'!$R$4:$R$2003,'[1]销售出库'!$H$4:$H$2003,$A100))</f>
        <v>0</v>
      </c>
      <c r="H100" s="11">
        <f t="shared" si="3"/>
        <v>0</v>
      </c>
      <c r="I100" s="11">
        <f t="shared" si="0"/>
        <v>0</v>
      </c>
      <c r="J100" s="21">
        <f t="shared" si="1"/>
        <v>0</v>
      </c>
      <c r="K100" s="11">
        <f t="shared" si="2"/>
        <v>0</v>
      </c>
      <c r="L100" s="6">
        <f t="shared" si="4"/>
      </c>
      <c r="M100" s="21">
        <f>IF($A100="",0,SUMIFS('[1]销售出库'!$R$4:$R$2003,'[1]销售出库'!$H$4:$H$2003,$A100,'[1]销售出库'!$Q$4:$Q$2003,'首页'!$B$4*100+M$4))</f>
        <v>0</v>
      </c>
      <c r="N100" s="21">
        <f>IF($A100="",0,SUMIFS('[1]销售出库'!$R$4:$R$2003,'[1]销售出库'!$H$4:$H$2003,$A100,'[1]销售出库'!$Q$4:$Q$2003,'首页'!$B$4*100+N$4))</f>
        <v>0</v>
      </c>
      <c r="O100" s="21">
        <f>IF($A100="",0,SUMIFS('[1]销售出库'!$R$4:$R$2003,'[1]销售出库'!$H$4:$H$2003,$A100,'[1]销售出库'!$Q$4:$Q$2003,'首页'!$B$4*100+O$4))</f>
        <v>0</v>
      </c>
      <c r="P100" s="21">
        <f>IF($A100="",0,SUMIFS('[1]销售出库'!$R$4:$R$2003,'[1]销售出库'!$H$4:$H$2003,$A100,'[1]销售出库'!$Q$4:$Q$2003,'首页'!$B$4*100+P$4))</f>
        <v>0</v>
      </c>
      <c r="Q100" s="21">
        <f>IF($A100="",0,SUMIFS('[1]销售出库'!$R$4:$R$2003,'[1]销售出库'!$H$4:$H$2003,$A100,'[1]销售出库'!$Q$4:$Q$2003,'首页'!$B$4*100+Q$4))</f>
        <v>0</v>
      </c>
      <c r="R100" s="21">
        <f>IF($A100="",0,SUMIFS('[1]销售出库'!$R$4:$R$2003,'[1]销售出库'!$H$4:$H$2003,$A100,'[1]销售出库'!$Q$4:$Q$2003,'首页'!$B$4*100+R$4))</f>
        <v>0</v>
      </c>
      <c r="S100" s="21">
        <f>IF($A100="",0,SUMIFS('[1]销售出库'!$R$4:$R$2003,'[1]销售出库'!$H$4:$H$2003,$A100,'[1]销售出库'!$Q$4:$Q$2003,'首页'!$B$4*100+S$4))</f>
        <v>0</v>
      </c>
      <c r="T100" s="21">
        <f>IF($A100="",0,SUMIFS('[1]销售出库'!$R$4:$R$2003,'[1]销售出库'!$H$4:$H$2003,$A100,'[1]销售出库'!$Q$4:$Q$2003,'首页'!$B$4*100+T$4))</f>
        <v>0</v>
      </c>
      <c r="U100" s="21">
        <f>IF($A100="",0,SUMIFS('[1]销售出库'!$R$4:$R$2003,'[1]销售出库'!$H$4:$H$2003,$A100,'[1]销售出库'!$Q$4:$Q$2003,'首页'!$B$4*100+U$4))</f>
        <v>0</v>
      </c>
      <c r="V100" s="21">
        <f>IF($A100="",0,SUMIFS('[1]销售出库'!$R$4:$R$2003,'[1]销售出库'!$H$4:$H$2003,$A100,'[1]销售出库'!$Q$4:$Q$2003,'首页'!$B$4*100+V$4))</f>
        <v>0</v>
      </c>
      <c r="W100" s="21">
        <f>IF($A100="",0,SUMIFS('[1]销售出库'!$R$4:$R$2003,'[1]销售出库'!$H$4:$H$2003,$A100,'[1]销售出库'!$Q$4:$Q$2003,'首页'!$B$4*100+W$4))</f>
        <v>0</v>
      </c>
      <c r="X100" s="21">
        <f>IF($A100="",0,SUMIFS('[1]销售出库'!$R$4:$R$2003,'[1]销售出库'!$H$4:$H$2003,$A100,'[1]销售出库'!$Q$4:$Q$2003,'首页'!$B$4*100+X$4))</f>
        <v>0</v>
      </c>
    </row>
    <row r="101">
      <c r="A101" s="6">
        <f>IF('[1]基础资料'!$P$100="","",'[1]基础资料'!$P$100)</f>
      </c>
      <c r="B101" s="6">
        <f>IF(A101="","",'[1]基础资料'!$Q$100&amp;"")</f>
      </c>
      <c r="C101" s="21">
        <f>IF(A101="",0,N('[1]基础资料'!$S$100))</f>
        <v>0</v>
      </c>
      <c r="D101" s="11">
        <f>IF(A101="",0,N('[1]基础资料'!$U$100))</f>
        <v>0</v>
      </c>
      <c r="E101" s="21">
        <f>IF(A101="",0,SUMIFS('[1]采购入库'!$U$4:$U$2003,'[1]采购入库'!$I$4:$I$2003,$A101))</f>
        <v>0</v>
      </c>
      <c r="F101" s="11">
        <f>IF(A101="",0,SUMIFS('[1]采购入库'!$V$4:$V$2003,'[1]采购入库'!$I$4:$I$2003,$A101))</f>
        <v>0</v>
      </c>
      <c r="G101" s="21">
        <f>IF(A101="",0,SUMIFS('[1]销售出库'!$R$4:$R$2003,'[1]销售出库'!$H$4:$H$2003,$A101))</f>
        <v>0</v>
      </c>
      <c r="H101" s="11">
        <f t="shared" si="3"/>
        <v>0</v>
      </c>
      <c r="I101" s="11">
        <f t="shared" si="0"/>
        <v>0</v>
      </c>
      <c r="J101" s="21">
        <f t="shared" si="1"/>
        <v>0</v>
      </c>
      <c r="K101" s="11">
        <f t="shared" si="2"/>
        <v>0</v>
      </c>
      <c r="L101" s="6">
        <f t="shared" si="4"/>
      </c>
      <c r="M101" s="21">
        <f>IF($A101="",0,SUMIFS('[1]销售出库'!$R$4:$R$2003,'[1]销售出库'!$H$4:$H$2003,$A101,'[1]销售出库'!$Q$4:$Q$2003,'首页'!$B$4*100+M$4))</f>
        <v>0</v>
      </c>
      <c r="N101" s="21">
        <f>IF($A101="",0,SUMIFS('[1]销售出库'!$R$4:$R$2003,'[1]销售出库'!$H$4:$H$2003,$A101,'[1]销售出库'!$Q$4:$Q$2003,'首页'!$B$4*100+N$4))</f>
        <v>0</v>
      </c>
      <c r="O101" s="21">
        <f>IF($A101="",0,SUMIFS('[1]销售出库'!$R$4:$R$2003,'[1]销售出库'!$H$4:$H$2003,$A101,'[1]销售出库'!$Q$4:$Q$2003,'首页'!$B$4*100+O$4))</f>
        <v>0</v>
      </c>
      <c r="P101" s="21">
        <f>IF($A101="",0,SUMIFS('[1]销售出库'!$R$4:$R$2003,'[1]销售出库'!$H$4:$H$2003,$A101,'[1]销售出库'!$Q$4:$Q$2003,'首页'!$B$4*100+P$4))</f>
        <v>0</v>
      </c>
      <c r="Q101" s="21">
        <f>IF($A101="",0,SUMIFS('[1]销售出库'!$R$4:$R$2003,'[1]销售出库'!$H$4:$H$2003,$A101,'[1]销售出库'!$Q$4:$Q$2003,'首页'!$B$4*100+Q$4))</f>
        <v>0</v>
      </c>
      <c r="R101" s="21">
        <f>IF($A101="",0,SUMIFS('[1]销售出库'!$R$4:$R$2003,'[1]销售出库'!$H$4:$H$2003,$A101,'[1]销售出库'!$Q$4:$Q$2003,'首页'!$B$4*100+R$4))</f>
        <v>0</v>
      </c>
      <c r="S101" s="21">
        <f>IF($A101="",0,SUMIFS('[1]销售出库'!$R$4:$R$2003,'[1]销售出库'!$H$4:$H$2003,$A101,'[1]销售出库'!$Q$4:$Q$2003,'首页'!$B$4*100+S$4))</f>
        <v>0</v>
      </c>
      <c r="T101" s="21">
        <f>IF($A101="",0,SUMIFS('[1]销售出库'!$R$4:$R$2003,'[1]销售出库'!$H$4:$H$2003,$A101,'[1]销售出库'!$Q$4:$Q$2003,'首页'!$B$4*100+T$4))</f>
        <v>0</v>
      </c>
      <c r="U101" s="21">
        <f>IF($A101="",0,SUMIFS('[1]销售出库'!$R$4:$R$2003,'[1]销售出库'!$H$4:$H$2003,$A101,'[1]销售出库'!$Q$4:$Q$2003,'首页'!$B$4*100+U$4))</f>
        <v>0</v>
      </c>
      <c r="V101" s="21">
        <f>IF($A101="",0,SUMIFS('[1]销售出库'!$R$4:$R$2003,'[1]销售出库'!$H$4:$H$2003,$A101,'[1]销售出库'!$Q$4:$Q$2003,'首页'!$B$4*100+V$4))</f>
        <v>0</v>
      </c>
      <c r="W101" s="21">
        <f>IF($A101="",0,SUMIFS('[1]销售出库'!$R$4:$R$2003,'[1]销售出库'!$H$4:$H$2003,$A101,'[1]销售出库'!$Q$4:$Q$2003,'首页'!$B$4*100+W$4))</f>
        <v>0</v>
      </c>
      <c r="X101" s="21">
        <f>IF($A101="",0,SUMIFS('[1]销售出库'!$R$4:$R$2003,'[1]销售出库'!$H$4:$H$2003,$A101,'[1]销售出库'!$Q$4:$Q$2003,'首页'!$B$4*100+X$4))</f>
        <v>0</v>
      </c>
    </row>
    <row r="102">
      <c r="A102" s="6">
        <f>IF('[1]基础资料'!$P$101="","",'[1]基础资料'!$P$101)</f>
      </c>
      <c r="B102" s="6">
        <f>IF(A102="","",'[1]基础资料'!$Q$101&amp;"")</f>
      </c>
      <c r="C102" s="21">
        <f>IF(A102="",0,N('[1]基础资料'!$S$101))</f>
        <v>0</v>
      </c>
      <c r="D102" s="11">
        <f>IF(A102="",0,N('[1]基础资料'!$U$101))</f>
        <v>0</v>
      </c>
      <c r="E102" s="21">
        <f>IF(A102="",0,SUMIFS('[1]采购入库'!$U$4:$U$2003,'[1]采购入库'!$I$4:$I$2003,$A102))</f>
        <v>0</v>
      </c>
      <c r="F102" s="11">
        <f>IF(A102="",0,SUMIFS('[1]采购入库'!$V$4:$V$2003,'[1]采购入库'!$I$4:$I$2003,$A102))</f>
        <v>0</v>
      </c>
      <c r="G102" s="21">
        <f>IF(A102="",0,SUMIFS('[1]销售出库'!$R$4:$R$2003,'[1]销售出库'!$H$4:$H$2003,$A102))</f>
        <v>0</v>
      </c>
      <c r="H102" s="11">
        <f t="shared" si="3"/>
        <v>0</v>
      </c>
      <c r="I102" s="11">
        <f t="shared" si="0"/>
        <v>0</v>
      </c>
      <c r="J102" s="21">
        <f t="shared" si="1"/>
        <v>0</v>
      </c>
      <c r="K102" s="11">
        <f t="shared" si="2"/>
        <v>0</v>
      </c>
      <c r="L102" s="6">
        <f t="shared" si="4"/>
      </c>
      <c r="M102" s="21">
        <f>IF($A102="",0,SUMIFS('[1]销售出库'!$R$4:$R$2003,'[1]销售出库'!$H$4:$H$2003,$A102,'[1]销售出库'!$Q$4:$Q$2003,'首页'!$B$4*100+M$4))</f>
        <v>0</v>
      </c>
      <c r="N102" s="21">
        <f>IF($A102="",0,SUMIFS('[1]销售出库'!$R$4:$R$2003,'[1]销售出库'!$H$4:$H$2003,$A102,'[1]销售出库'!$Q$4:$Q$2003,'首页'!$B$4*100+N$4))</f>
        <v>0</v>
      </c>
      <c r="O102" s="21">
        <f>IF($A102="",0,SUMIFS('[1]销售出库'!$R$4:$R$2003,'[1]销售出库'!$H$4:$H$2003,$A102,'[1]销售出库'!$Q$4:$Q$2003,'首页'!$B$4*100+O$4))</f>
        <v>0</v>
      </c>
      <c r="P102" s="21">
        <f>IF($A102="",0,SUMIFS('[1]销售出库'!$R$4:$R$2003,'[1]销售出库'!$H$4:$H$2003,$A102,'[1]销售出库'!$Q$4:$Q$2003,'首页'!$B$4*100+P$4))</f>
        <v>0</v>
      </c>
      <c r="Q102" s="21">
        <f>IF($A102="",0,SUMIFS('[1]销售出库'!$R$4:$R$2003,'[1]销售出库'!$H$4:$H$2003,$A102,'[1]销售出库'!$Q$4:$Q$2003,'首页'!$B$4*100+Q$4))</f>
        <v>0</v>
      </c>
      <c r="R102" s="21">
        <f>IF($A102="",0,SUMIFS('[1]销售出库'!$R$4:$R$2003,'[1]销售出库'!$H$4:$H$2003,$A102,'[1]销售出库'!$Q$4:$Q$2003,'首页'!$B$4*100+R$4))</f>
        <v>0</v>
      </c>
      <c r="S102" s="21">
        <f>IF($A102="",0,SUMIFS('[1]销售出库'!$R$4:$R$2003,'[1]销售出库'!$H$4:$H$2003,$A102,'[1]销售出库'!$Q$4:$Q$2003,'首页'!$B$4*100+S$4))</f>
        <v>0</v>
      </c>
      <c r="T102" s="21">
        <f>IF($A102="",0,SUMIFS('[1]销售出库'!$R$4:$R$2003,'[1]销售出库'!$H$4:$H$2003,$A102,'[1]销售出库'!$Q$4:$Q$2003,'首页'!$B$4*100+T$4))</f>
        <v>0</v>
      </c>
      <c r="U102" s="21">
        <f>IF($A102="",0,SUMIFS('[1]销售出库'!$R$4:$R$2003,'[1]销售出库'!$H$4:$H$2003,$A102,'[1]销售出库'!$Q$4:$Q$2003,'首页'!$B$4*100+U$4))</f>
        <v>0</v>
      </c>
      <c r="V102" s="21">
        <f>IF($A102="",0,SUMIFS('[1]销售出库'!$R$4:$R$2003,'[1]销售出库'!$H$4:$H$2003,$A102,'[1]销售出库'!$Q$4:$Q$2003,'首页'!$B$4*100+V$4))</f>
        <v>0</v>
      </c>
      <c r="W102" s="21">
        <f>IF($A102="",0,SUMIFS('[1]销售出库'!$R$4:$R$2003,'[1]销售出库'!$H$4:$H$2003,$A102,'[1]销售出库'!$Q$4:$Q$2003,'首页'!$B$4*100+W$4))</f>
        <v>0</v>
      </c>
      <c r="X102" s="21">
        <f>IF($A102="",0,SUMIFS('[1]销售出库'!$R$4:$R$2003,'[1]销售出库'!$H$4:$H$2003,$A102,'[1]销售出库'!$Q$4:$Q$2003,'首页'!$B$4*100+X$4))</f>
        <v>0</v>
      </c>
    </row>
    <row r="103">
      <c r="A103" s="6">
        <f>IF('[1]基础资料'!$P$102="","",'[1]基础资料'!$P$102)</f>
      </c>
      <c r="B103" s="6">
        <f>IF(A103="","",'[1]基础资料'!$Q$102&amp;"")</f>
      </c>
      <c r="C103" s="21">
        <f>IF(A103="",0,N('[1]基础资料'!$S$102))</f>
        <v>0</v>
      </c>
      <c r="D103" s="11">
        <f>IF(A103="",0,N('[1]基础资料'!$U$102))</f>
        <v>0</v>
      </c>
      <c r="E103" s="21">
        <f>IF(A103="",0,SUMIFS('[1]采购入库'!$U$4:$U$2003,'[1]采购入库'!$I$4:$I$2003,$A103))</f>
        <v>0</v>
      </c>
      <c r="F103" s="11">
        <f>IF(A103="",0,SUMIFS('[1]采购入库'!$V$4:$V$2003,'[1]采购入库'!$I$4:$I$2003,$A103))</f>
        <v>0</v>
      </c>
      <c r="G103" s="21">
        <f>IF(A103="",0,SUMIFS('[1]销售出库'!$R$4:$R$2003,'[1]销售出库'!$H$4:$H$2003,$A103))</f>
        <v>0</v>
      </c>
      <c r="H103" s="11">
        <f t="shared" si="3"/>
        <v>0</v>
      </c>
      <c r="I103" s="11">
        <f t="shared" si="0"/>
        <v>0</v>
      </c>
      <c r="J103" s="21">
        <f t="shared" si="1"/>
        <v>0</v>
      </c>
      <c r="K103" s="11">
        <f t="shared" si="2"/>
        <v>0</v>
      </c>
      <c r="L103" s="6">
        <f t="shared" si="4"/>
      </c>
      <c r="M103" s="21">
        <f>IF($A103="",0,SUMIFS('[1]销售出库'!$R$4:$R$2003,'[1]销售出库'!$H$4:$H$2003,$A103,'[1]销售出库'!$Q$4:$Q$2003,'首页'!$B$4*100+M$4))</f>
        <v>0</v>
      </c>
      <c r="N103" s="21">
        <f>IF($A103="",0,SUMIFS('[1]销售出库'!$R$4:$R$2003,'[1]销售出库'!$H$4:$H$2003,$A103,'[1]销售出库'!$Q$4:$Q$2003,'首页'!$B$4*100+N$4))</f>
        <v>0</v>
      </c>
      <c r="O103" s="21">
        <f>IF($A103="",0,SUMIFS('[1]销售出库'!$R$4:$R$2003,'[1]销售出库'!$H$4:$H$2003,$A103,'[1]销售出库'!$Q$4:$Q$2003,'首页'!$B$4*100+O$4))</f>
        <v>0</v>
      </c>
      <c r="P103" s="21">
        <f>IF($A103="",0,SUMIFS('[1]销售出库'!$R$4:$R$2003,'[1]销售出库'!$H$4:$H$2003,$A103,'[1]销售出库'!$Q$4:$Q$2003,'首页'!$B$4*100+P$4))</f>
        <v>0</v>
      </c>
      <c r="Q103" s="21">
        <f>IF($A103="",0,SUMIFS('[1]销售出库'!$R$4:$R$2003,'[1]销售出库'!$H$4:$H$2003,$A103,'[1]销售出库'!$Q$4:$Q$2003,'首页'!$B$4*100+Q$4))</f>
        <v>0</v>
      </c>
      <c r="R103" s="21">
        <f>IF($A103="",0,SUMIFS('[1]销售出库'!$R$4:$R$2003,'[1]销售出库'!$H$4:$H$2003,$A103,'[1]销售出库'!$Q$4:$Q$2003,'首页'!$B$4*100+R$4))</f>
        <v>0</v>
      </c>
      <c r="S103" s="21">
        <f>IF($A103="",0,SUMIFS('[1]销售出库'!$R$4:$R$2003,'[1]销售出库'!$H$4:$H$2003,$A103,'[1]销售出库'!$Q$4:$Q$2003,'首页'!$B$4*100+S$4))</f>
        <v>0</v>
      </c>
      <c r="T103" s="21">
        <f>IF($A103="",0,SUMIFS('[1]销售出库'!$R$4:$R$2003,'[1]销售出库'!$H$4:$H$2003,$A103,'[1]销售出库'!$Q$4:$Q$2003,'首页'!$B$4*100+T$4))</f>
        <v>0</v>
      </c>
      <c r="U103" s="21">
        <f>IF($A103="",0,SUMIFS('[1]销售出库'!$R$4:$R$2003,'[1]销售出库'!$H$4:$H$2003,$A103,'[1]销售出库'!$Q$4:$Q$2003,'首页'!$B$4*100+U$4))</f>
        <v>0</v>
      </c>
      <c r="V103" s="21">
        <f>IF($A103="",0,SUMIFS('[1]销售出库'!$R$4:$R$2003,'[1]销售出库'!$H$4:$H$2003,$A103,'[1]销售出库'!$Q$4:$Q$2003,'首页'!$B$4*100+V$4))</f>
        <v>0</v>
      </c>
      <c r="W103" s="21">
        <f>IF($A103="",0,SUMIFS('[1]销售出库'!$R$4:$R$2003,'[1]销售出库'!$H$4:$H$2003,$A103,'[1]销售出库'!$Q$4:$Q$2003,'首页'!$B$4*100+W$4))</f>
        <v>0</v>
      </c>
      <c r="X103" s="21">
        <f>IF($A103="",0,SUMIFS('[1]销售出库'!$R$4:$R$2003,'[1]销售出库'!$H$4:$H$2003,$A103,'[1]销售出库'!$Q$4:$Q$2003,'首页'!$B$4*100+X$4))</f>
        <v>0</v>
      </c>
    </row>
    <row r="104">
      <c r="A104" s="6">
        <f>IF('[1]基础资料'!$P$103="","",'[1]基础资料'!$P$103)</f>
      </c>
      <c r="B104" s="6">
        <f>IF(A104="","",'[1]基础资料'!$Q$103&amp;"")</f>
      </c>
      <c r="C104" s="21">
        <f>IF(A104="",0,N('[1]基础资料'!$S$103))</f>
        <v>0</v>
      </c>
      <c r="D104" s="11">
        <f>IF(A104="",0,N('[1]基础资料'!$U$103))</f>
        <v>0</v>
      </c>
      <c r="E104" s="21">
        <f>IF(A104="",0,SUMIFS('[1]采购入库'!$U$4:$U$2003,'[1]采购入库'!$I$4:$I$2003,$A104))</f>
        <v>0</v>
      </c>
      <c r="F104" s="11">
        <f>IF(A104="",0,SUMIFS('[1]采购入库'!$V$4:$V$2003,'[1]采购入库'!$I$4:$I$2003,$A104))</f>
        <v>0</v>
      </c>
      <c r="G104" s="21">
        <f>IF(A104="",0,SUMIFS('[1]销售出库'!$R$4:$R$2003,'[1]销售出库'!$H$4:$H$2003,$A104))</f>
        <v>0</v>
      </c>
      <c r="H104" s="11">
        <f t="shared" si="3"/>
        <v>0</v>
      </c>
      <c r="I104" s="11">
        <f t="shared" si="0"/>
        <v>0</v>
      </c>
      <c r="J104" s="21">
        <f t="shared" si="1"/>
        <v>0</v>
      </c>
      <c r="K104" s="11">
        <f t="shared" si="2"/>
        <v>0</v>
      </c>
      <c r="L104" s="6">
        <f t="shared" si="4"/>
      </c>
      <c r="M104" s="21">
        <f>IF($A104="",0,SUMIFS('[1]销售出库'!$R$4:$R$2003,'[1]销售出库'!$H$4:$H$2003,$A104,'[1]销售出库'!$Q$4:$Q$2003,'首页'!$B$4*100+M$4))</f>
        <v>0</v>
      </c>
      <c r="N104" s="21">
        <f>IF($A104="",0,SUMIFS('[1]销售出库'!$R$4:$R$2003,'[1]销售出库'!$H$4:$H$2003,$A104,'[1]销售出库'!$Q$4:$Q$2003,'首页'!$B$4*100+N$4))</f>
        <v>0</v>
      </c>
      <c r="O104" s="21">
        <f>IF($A104="",0,SUMIFS('[1]销售出库'!$R$4:$R$2003,'[1]销售出库'!$H$4:$H$2003,$A104,'[1]销售出库'!$Q$4:$Q$2003,'首页'!$B$4*100+O$4))</f>
        <v>0</v>
      </c>
      <c r="P104" s="21">
        <f>IF($A104="",0,SUMIFS('[1]销售出库'!$R$4:$R$2003,'[1]销售出库'!$H$4:$H$2003,$A104,'[1]销售出库'!$Q$4:$Q$2003,'首页'!$B$4*100+P$4))</f>
        <v>0</v>
      </c>
      <c r="Q104" s="21">
        <f>IF($A104="",0,SUMIFS('[1]销售出库'!$R$4:$R$2003,'[1]销售出库'!$H$4:$H$2003,$A104,'[1]销售出库'!$Q$4:$Q$2003,'首页'!$B$4*100+Q$4))</f>
        <v>0</v>
      </c>
      <c r="R104" s="21">
        <f>IF($A104="",0,SUMIFS('[1]销售出库'!$R$4:$R$2003,'[1]销售出库'!$H$4:$H$2003,$A104,'[1]销售出库'!$Q$4:$Q$2003,'首页'!$B$4*100+R$4))</f>
        <v>0</v>
      </c>
      <c r="S104" s="21">
        <f>IF($A104="",0,SUMIFS('[1]销售出库'!$R$4:$R$2003,'[1]销售出库'!$H$4:$H$2003,$A104,'[1]销售出库'!$Q$4:$Q$2003,'首页'!$B$4*100+S$4))</f>
        <v>0</v>
      </c>
      <c r="T104" s="21">
        <f>IF($A104="",0,SUMIFS('[1]销售出库'!$R$4:$R$2003,'[1]销售出库'!$H$4:$H$2003,$A104,'[1]销售出库'!$Q$4:$Q$2003,'首页'!$B$4*100+T$4))</f>
        <v>0</v>
      </c>
      <c r="U104" s="21">
        <f>IF($A104="",0,SUMIFS('[1]销售出库'!$R$4:$R$2003,'[1]销售出库'!$H$4:$H$2003,$A104,'[1]销售出库'!$Q$4:$Q$2003,'首页'!$B$4*100+U$4))</f>
        <v>0</v>
      </c>
      <c r="V104" s="21">
        <f>IF($A104="",0,SUMIFS('[1]销售出库'!$R$4:$R$2003,'[1]销售出库'!$H$4:$H$2003,$A104,'[1]销售出库'!$Q$4:$Q$2003,'首页'!$B$4*100+V$4))</f>
        <v>0</v>
      </c>
      <c r="W104" s="21">
        <f>IF($A104="",0,SUMIFS('[1]销售出库'!$R$4:$R$2003,'[1]销售出库'!$H$4:$H$2003,$A104,'[1]销售出库'!$Q$4:$Q$2003,'首页'!$B$4*100+W$4))</f>
        <v>0</v>
      </c>
      <c r="X104" s="21">
        <f>IF($A104="",0,SUMIFS('[1]销售出库'!$R$4:$R$2003,'[1]销售出库'!$H$4:$H$2003,$A104,'[1]销售出库'!$Q$4:$Q$2003,'首页'!$B$4*100+X$4))</f>
        <v>0</v>
      </c>
    </row>
    <row r="105">
      <c r="A105" s="6">
        <f>IF('[1]基础资料'!$P$104="","",'[1]基础资料'!$P$104)</f>
      </c>
      <c r="B105" s="6">
        <f>IF(A105="","",'[1]基础资料'!$Q$104&amp;"")</f>
      </c>
      <c r="C105" s="21">
        <f>IF(A105="",0,N('[1]基础资料'!$S$104))</f>
        <v>0</v>
      </c>
      <c r="D105" s="11">
        <f>IF(A105="",0,N('[1]基础资料'!$U$104))</f>
        <v>0</v>
      </c>
      <c r="E105" s="21">
        <f>IF(A105="",0,SUMIFS('[1]采购入库'!$U$4:$U$2003,'[1]采购入库'!$I$4:$I$2003,$A105))</f>
        <v>0</v>
      </c>
      <c r="F105" s="11">
        <f>IF(A105="",0,SUMIFS('[1]采购入库'!$V$4:$V$2003,'[1]采购入库'!$I$4:$I$2003,$A105))</f>
        <v>0</v>
      </c>
      <c r="G105" s="21">
        <f>IF(A105="",0,SUMIFS('[1]销售出库'!$R$4:$R$2003,'[1]销售出库'!$H$4:$H$2003,$A105))</f>
        <v>0</v>
      </c>
      <c r="H105" s="11">
        <f t="shared" si="3"/>
        <v>0</v>
      </c>
      <c r="I105" s="11">
        <f t="shared" si="0"/>
        <v>0</v>
      </c>
      <c r="J105" s="21">
        <f t="shared" si="1"/>
        <v>0</v>
      </c>
      <c r="K105" s="11">
        <f t="shared" si="2"/>
        <v>0</v>
      </c>
      <c r="L105" s="6">
        <f t="shared" si="4"/>
      </c>
      <c r="M105" s="21">
        <f>IF($A105="",0,SUMIFS('[1]销售出库'!$R$4:$R$2003,'[1]销售出库'!$H$4:$H$2003,$A105,'[1]销售出库'!$Q$4:$Q$2003,'首页'!$B$4*100+M$4))</f>
        <v>0</v>
      </c>
      <c r="N105" s="21">
        <f>IF($A105="",0,SUMIFS('[1]销售出库'!$R$4:$R$2003,'[1]销售出库'!$H$4:$H$2003,$A105,'[1]销售出库'!$Q$4:$Q$2003,'首页'!$B$4*100+N$4))</f>
        <v>0</v>
      </c>
      <c r="O105" s="21">
        <f>IF($A105="",0,SUMIFS('[1]销售出库'!$R$4:$R$2003,'[1]销售出库'!$H$4:$H$2003,$A105,'[1]销售出库'!$Q$4:$Q$2003,'首页'!$B$4*100+O$4))</f>
        <v>0</v>
      </c>
      <c r="P105" s="21">
        <f>IF($A105="",0,SUMIFS('[1]销售出库'!$R$4:$R$2003,'[1]销售出库'!$H$4:$H$2003,$A105,'[1]销售出库'!$Q$4:$Q$2003,'首页'!$B$4*100+P$4))</f>
        <v>0</v>
      </c>
      <c r="Q105" s="21">
        <f>IF($A105="",0,SUMIFS('[1]销售出库'!$R$4:$R$2003,'[1]销售出库'!$H$4:$H$2003,$A105,'[1]销售出库'!$Q$4:$Q$2003,'首页'!$B$4*100+Q$4))</f>
        <v>0</v>
      </c>
      <c r="R105" s="21">
        <f>IF($A105="",0,SUMIFS('[1]销售出库'!$R$4:$R$2003,'[1]销售出库'!$H$4:$H$2003,$A105,'[1]销售出库'!$Q$4:$Q$2003,'首页'!$B$4*100+R$4))</f>
        <v>0</v>
      </c>
      <c r="S105" s="21">
        <f>IF($A105="",0,SUMIFS('[1]销售出库'!$R$4:$R$2003,'[1]销售出库'!$H$4:$H$2003,$A105,'[1]销售出库'!$Q$4:$Q$2003,'首页'!$B$4*100+S$4))</f>
        <v>0</v>
      </c>
      <c r="T105" s="21">
        <f>IF($A105="",0,SUMIFS('[1]销售出库'!$R$4:$R$2003,'[1]销售出库'!$H$4:$H$2003,$A105,'[1]销售出库'!$Q$4:$Q$2003,'首页'!$B$4*100+T$4))</f>
        <v>0</v>
      </c>
      <c r="U105" s="21">
        <f>IF($A105="",0,SUMIFS('[1]销售出库'!$R$4:$R$2003,'[1]销售出库'!$H$4:$H$2003,$A105,'[1]销售出库'!$Q$4:$Q$2003,'首页'!$B$4*100+U$4))</f>
        <v>0</v>
      </c>
      <c r="V105" s="21">
        <f>IF($A105="",0,SUMIFS('[1]销售出库'!$R$4:$R$2003,'[1]销售出库'!$H$4:$H$2003,$A105,'[1]销售出库'!$Q$4:$Q$2003,'首页'!$B$4*100+V$4))</f>
        <v>0</v>
      </c>
      <c r="W105" s="21">
        <f>IF($A105="",0,SUMIFS('[1]销售出库'!$R$4:$R$2003,'[1]销售出库'!$H$4:$H$2003,$A105,'[1]销售出库'!$Q$4:$Q$2003,'首页'!$B$4*100+W$4))</f>
        <v>0</v>
      </c>
      <c r="X105" s="21">
        <f>IF($A105="",0,SUMIFS('[1]销售出库'!$R$4:$R$2003,'[1]销售出库'!$H$4:$H$2003,$A105,'[1]销售出库'!$Q$4:$Q$2003,'首页'!$B$4*100+X$4))</f>
        <v>0</v>
      </c>
    </row>
    <row r="106">
      <c r="A106" s="6">
        <f>IF('[1]基础资料'!$P$105="","",'[1]基础资料'!$P$105)</f>
      </c>
      <c r="B106" s="6">
        <f>IF(A106="","",'[1]基础资料'!$Q$105&amp;"")</f>
      </c>
      <c r="C106" s="21">
        <f>IF(A106="",0,N('[1]基础资料'!$S$105))</f>
        <v>0</v>
      </c>
      <c r="D106" s="11">
        <f>IF(A106="",0,N('[1]基础资料'!$U$105))</f>
        <v>0</v>
      </c>
      <c r="E106" s="21">
        <f>IF(A106="",0,SUMIFS('[1]采购入库'!$U$4:$U$2003,'[1]采购入库'!$I$4:$I$2003,$A106))</f>
        <v>0</v>
      </c>
      <c r="F106" s="11">
        <f>IF(A106="",0,SUMIFS('[1]采购入库'!$V$4:$V$2003,'[1]采购入库'!$I$4:$I$2003,$A106))</f>
        <v>0</v>
      </c>
      <c r="G106" s="21">
        <f>IF(A106="",0,SUMIFS('[1]销售出库'!$R$4:$R$2003,'[1]销售出库'!$H$4:$H$2003,$A106))</f>
        <v>0</v>
      </c>
      <c r="H106" s="11">
        <f t="shared" si="3"/>
        <v>0</v>
      </c>
      <c r="I106" s="11">
        <f t="shared" si="0"/>
        <v>0</v>
      </c>
      <c r="J106" s="21">
        <f t="shared" si="1"/>
        <v>0</v>
      </c>
      <c r="K106" s="11">
        <f t="shared" si="2"/>
        <v>0</v>
      </c>
      <c r="L106" s="6">
        <f t="shared" si="4"/>
      </c>
      <c r="M106" s="21">
        <f>IF($A106="",0,SUMIFS('[1]销售出库'!$R$4:$R$2003,'[1]销售出库'!$H$4:$H$2003,$A106,'[1]销售出库'!$Q$4:$Q$2003,'首页'!$B$4*100+M$4))</f>
        <v>0</v>
      </c>
      <c r="N106" s="21">
        <f>IF($A106="",0,SUMIFS('[1]销售出库'!$R$4:$R$2003,'[1]销售出库'!$H$4:$H$2003,$A106,'[1]销售出库'!$Q$4:$Q$2003,'首页'!$B$4*100+N$4))</f>
        <v>0</v>
      </c>
      <c r="O106" s="21">
        <f>IF($A106="",0,SUMIFS('[1]销售出库'!$R$4:$R$2003,'[1]销售出库'!$H$4:$H$2003,$A106,'[1]销售出库'!$Q$4:$Q$2003,'首页'!$B$4*100+O$4))</f>
        <v>0</v>
      </c>
      <c r="P106" s="21">
        <f>IF($A106="",0,SUMIFS('[1]销售出库'!$R$4:$R$2003,'[1]销售出库'!$H$4:$H$2003,$A106,'[1]销售出库'!$Q$4:$Q$2003,'首页'!$B$4*100+P$4))</f>
        <v>0</v>
      </c>
      <c r="Q106" s="21">
        <f>IF($A106="",0,SUMIFS('[1]销售出库'!$R$4:$R$2003,'[1]销售出库'!$H$4:$H$2003,$A106,'[1]销售出库'!$Q$4:$Q$2003,'首页'!$B$4*100+Q$4))</f>
        <v>0</v>
      </c>
      <c r="R106" s="21">
        <f>IF($A106="",0,SUMIFS('[1]销售出库'!$R$4:$R$2003,'[1]销售出库'!$H$4:$H$2003,$A106,'[1]销售出库'!$Q$4:$Q$2003,'首页'!$B$4*100+R$4))</f>
        <v>0</v>
      </c>
      <c r="S106" s="21">
        <f>IF($A106="",0,SUMIFS('[1]销售出库'!$R$4:$R$2003,'[1]销售出库'!$H$4:$H$2003,$A106,'[1]销售出库'!$Q$4:$Q$2003,'首页'!$B$4*100+S$4))</f>
        <v>0</v>
      </c>
      <c r="T106" s="21">
        <f>IF($A106="",0,SUMIFS('[1]销售出库'!$R$4:$R$2003,'[1]销售出库'!$H$4:$H$2003,$A106,'[1]销售出库'!$Q$4:$Q$2003,'首页'!$B$4*100+T$4))</f>
        <v>0</v>
      </c>
      <c r="U106" s="21">
        <f>IF($A106="",0,SUMIFS('[1]销售出库'!$R$4:$R$2003,'[1]销售出库'!$H$4:$H$2003,$A106,'[1]销售出库'!$Q$4:$Q$2003,'首页'!$B$4*100+U$4))</f>
        <v>0</v>
      </c>
      <c r="V106" s="21">
        <f>IF($A106="",0,SUMIFS('[1]销售出库'!$R$4:$R$2003,'[1]销售出库'!$H$4:$H$2003,$A106,'[1]销售出库'!$Q$4:$Q$2003,'首页'!$B$4*100+V$4))</f>
        <v>0</v>
      </c>
      <c r="W106" s="21">
        <f>IF($A106="",0,SUMIFS('[1]销售出库'!$R$4:$R$2003,'[1]销售出库'!$H$4:$H$2003,$A106,'[1]销售出库'!$Q$4:$Q$2003,'首页'!$B$4*100+W$4))</f>
        <v>0</v>
      </c>
      <c r="X106" s="21">
        <f>IF($A106="",0,SUMIFS('[1]销售出库'!$R$4:$R$2003,'[1]销售出库'!$H$4:$H$2003,$A106,'[1]销售出库'!$Q$4:$Q$2003,'首页'!$B$4*100+X$4))</f>
        <v>0</v>
      </c>
    </row>
    <row r="107">
      <c r="A107" s="6">
        <f>IF('[1]基础资料'!$P$106="","",'[1]基础资料'!$P$106)</f>
      </c>
      <c r="B107" s="6">
        <f>IF(A107="","",'[1]基础资料'!$Q$106&amp;"")</f>
      </c>
      <c r="C107" s="21">
        <f>IF(A107="",0,N('[1]基础资料'!$S$106))</f>
        <v>0</v>
      </c>
      <c r="D107" s="11">
        <f>IF(A107="",0,N('[1]基础资料'!$U$106))</f>
        <v>0</v>
      </c>
      <c r="E107" s="21">
        <f>IF(A107="",0,SUMIFS('[1]采购入库'!$U$4:$U$2003,'[1]采购入库'!$I$4:$I$2003,$A107))</f>
        <v>0</v>
      </c>
      <c r="F107" s="11">
        <f>IF(A107="",0,SUMIFS('[1]采购入库'!$V$4:$V$2003,'[1]采购入库'!$I$4:$I$2003,$A107))</f>
        <v>0</v>
      </c>
      <c r="G107" s="21">
        <f>IF(A107="",0,SUMIFS('[1]销售出库'!$R$4:$R$2003,'[1]销售出库'!$H$4:$H$2003,$A107))</f>
        <v>0</v>
      </c>
      <c r="H107" s="11">
        <f t="shared" si="3"/>
        <v>0</v>
      </c>
      <c r="I107" s="11">
        <f t="shared" si="0"/>
        <v>0</v>
      </c>
      <c r="J107" s="21">
        <f t="shared" si="1"/>
        <v>0</v>
      </c>
      <c r="K107" s="11">
        <f t="shared" si="2"/>
        <v>0</v>
      </c>
      <c r="L107" s="6">
        <f t="shared" si="4"/>
      </c>
      <c r="M107" s="21">
        <f>IF($A107="",0,SUMIFS('[1]销售出库'!$R$4:$R$2003,'[1]销售出库'!$H$4:$H$2003,$A107,'[1]销售出库'!$Q$4:$Q$2003,'首页'!$B$4*100+M$4))</f>
        <v>0</v>
      </c>
      <c r="N107" s="21">
        <f>IF($A107="",0,SUMIFS('[1]销售出库'!$R$4:$R$2003,'[1]销售出库'!$H$4:$H$2003,$A107,'[1]销售出库'!$Q$4:$Q$2003,'首页'!$B$4*100+N$4))</f>
        <v>0</v>
      </c>
      <c r="O107" s="21">
        <f>IF($A107="",0,SUMIFS('[1]销售出库'!$R$4:$R$2003,'[1]销售出库'!$H$4:$H$2003,$A107,'[1]销售出库'!$Q$4:$Q$2003,'首页'!$B$4*100+O$4))</f>
        <v>0</v>
      </c>
      <c r="P107" s="21">
        <f>IF($A107="",0,SUMIFS('[1]销售出库'!$R$4:$R$2003,'[1]销售出库'!$H$4:$H$2003,$A107,'[1]销售出库'!$Q$4:$Q$2003,'首页'!$B$4*100+P$4))</f>
        <v>0</v>
      </c>
      <c r="Q107" s="21">
        <f>IF($A107="",0,SUMIFS('[1]销售出库'!$R$4:$R$2003,'[1]销售出库'!$H$4:$H$2003,$A107,'[1]销售出库'!$Q$4:$Q$2003,'首页'!$B$4*100+Q$4))</f>
        <v>0</v>
      </c>
      <c r="R107" s="21">
        <f>IF($A107="",0,SUMIFS('[1]销售出库'!$R$4:$R$2003,'[1]销售出库'!$H$4:$H$2003,$A107,'[1]销售出库'!$Q$4:$Q$2003,'首页'!$B$4*100+R$4))</f>
        <v>0</v>
      </c>
      <c r="S107" s="21">
        <f>IF($A107="",0,SUMIFS('[1]销售出库'!$R$4:$R$2003,'[1]销售出库'!$H$4:$H$2003,$A107,'[1]销售出库'!$Q$4:$Q$2003,'首页'!$B$4*100+S$4))</f>
        <v>0</v>
      </c>
      <c r="T107" s="21">
        <f>IF($A107="",0,SUMIFS('[1]销售出库'!$R$4:$R$2003,'[1]销售出库'!$H$4:$H$2003,$A107,'[1]销售出库'!$Q$4:$Q$2003,'首页'!$B$4*100+T$4))</f>
        <v>0</v>
      </c>
      <c r="U107" s="21">
        <f>IF($A107="",0,SUMIFS('[1]销售出库'!$R$4:$R$2003,'[1]销售出库'!$H$4:$H$2003,$A107,'[1]销售出库'!$Q$4:$Q$2003,'首页'!$B$4*100+U$4))</f>
        <v>0</v>
      </c>
      <c r="V107" s="21">
        <f>IF($A107="",0,SUMIFS('[1]销售出库'!$R$4:$R$2003,'[1]销售出库'!$H$4:$H$2003,$A107,'[1]销售出库'!$Q$4:$Q$2003,'首页'!$B$4*100+V$4))</f>
        <v>0</v>
      </c>
      <c r="W107" s="21">
        <f>IF($A107="",0,SUMIFS('[1]销售出库'!$R$4:$R$2003,'[1]销售出库'!$H$4:$H$2003,$A107,'[1]销售出库'!$Q$4:$Q$2003,'首页'!$B$4*100+W$4))</f>
        <v>0</v>
      </c>
      <c r="X107" s="21">
        <f>IF($A107="",0,SUMIFS('[1]销售出库'!$R$4:$R$2003,'[1]销售出库'!$H$4:$H$2003,$A107,'[1]销售出库'!$Q$4:$Q$2003,'首页'!$B$4*100+X$4))</f>
        <v>0</v>
      </c>
    </row>
    <row r="108">
      <c r="A108" s="6">
        <f>IF('[1]基础资料'!$P$107="","",'[1]基础资料'!$P$107)</f>
      </c>
      <c r="B108" s="6">
        <f>IF(A108="","",'[1]基础资料'!$Q$107&amp;"")</f>
      </c>
      <c r="C108" s="21">
        <f>IF(A108="",0,N('[1]基础资料'!$S$107))</f>
        <v>0</v>
      </c>
      <c r="D108" s="11">
        <f>IF(A108="",0,N('[1]基础资料'!$U$107))</f>
        <v>0</v>
      </c>
      <c r="E108" s="21">
        <f>IF(A108="",0,SUMIFS('[1]采购入库'!$U$4:$U$2003,'[1]采购入库'!$I$4:$I$2003,$A108))</f>
        <v>0</v>
      </c>
      <c r="F108" s="11">
        <f>IF(A108="",0,SUMIFS('[1]采购入库'!$V$4:$V$2003,'[1]采购入库'!$I$4:$I$2003,$A108))</f>
        <v>0</v>
      </c>
      <c r="G108" s="21">
        <f>IF(A108="",0,SUMIFS('[1]销售出库'!$R$4:$R$2003,'[1]销售出库'!$H$4:$H$2003,$A108))</f>
        <v>0</v>
      </c>
      <c r="H108" s="11">
        <f t="shared" si="3"/>
        <v>0</v>
      </c>
      <c r="I108" s="11">
        <f t="shared" si="0"/>
        <v>0</v>
      </c>
      <c r="J108" s="21">
        <f t="shared" si="1"/>
        <v>0</v>
      </c>
      <c r="K108" s="11">
        <f t="shared" si="2"/>
        <v>0</v>
      </c>
      <c r="L108" s="6">
        <f t="shared" si="4"/>
      </c>
      <c r="M108" s="21">
        <f>IF($A108="",0,SUMIFS('[1]销售出库'!$R$4:$R$2003,'[1]销售出库'!$H$4:$H$2003,$A108,'[1]销售出库'!$Q$4:$Q$2003,'首页'!$B$4*100+M$4))</f>
        <v>0</v>
      </c>
      <c r="N108" s="21">
        <f>IF($A108="",0,SUMIFS('[1]销售出库'!$R$4:$R$2003,'[1]销售出库'!$H$4:$H$2003,$A108,'[1]销售出库'!$Q$4:$Q$2003,'首页'!$B$4*100+N$4))</f>
        <v>0</v>
      </c>
      <c r="O108" s="21">
        <f>IF($A108="",0,SUMIFS('[1]销售出库'!$R$4:$R$2003,'[1]销售出库'!$H$4:$H$2003,$A108,'[1]销售出库'!$Q$4:$Q$2003,'首页'!$B$4*100+O$4))</f>
        <v>0</v>
      </c>
      <c r="P108" s="21">
        <f>IF($A108="",0,SUMIFS('[1]销售出库'!$R$4:$R$2003,'[1]销售出库'!$H$4:$H$2003,$A108,'[1]销售出库'!$Q$4:$Q$2003,'首页'!$B$4*100+P$4))</f>
        <v>0</v>
      </c>
      <c r="Q108" s="21">
        <f>IF($A108="",0,SUMIFS('[1]销售出库'!$R$4:$R$2003,'[1]销售出库'!$H$4:$H$2003,$A108,'[1]销售出库'!$Q$4:$Q$2003,'首页'!$B$4*100+Q$4))</f>
        <v>0</v>
      </c>
      <c r="R108" s="21">
        <f>IF($A108="",0,SUMIFS('[1]销售出库'!$R$4:$R$2003,'[1]销售出库'!$H$4:$H$2003,$A108,'[1]销售出库'!$Q$4:$Q$2003,'首页'!$B$4*100+R$4))</f>
        <v>0</v>
      </c>
      <c r="S108" s="21">
        <f>IF($A108="",0,SUMIFS('[1]销售出库'!$R$4:$R$2003,'[1]销售出库'!$H$4:$H$2003,$A108,'[1]销售出库'!$Q$4:$Q$2003,'首页'!$B$4*100+S$4))</f>
        <v>0</v>
      </c>
      <c r="T108" s="21">
        <f>IF($A108="",0,SUMIFS('[1]销售出库'!$R$4:$R$2003,'[1]销售出库'!$H$4:$H$2003,$A108,'[1]销售出库'!$Q$4:$Q$2003,'首页'!$B$4*100+T$4))</f>
        <v>0</v>
      </c>
      <c r="U108" s="21">
        <f>IF($A108="",0,SUMIFS('[1]销售出库'!$R$4:$R$2003,'[1]销售出库'!$H$4:$H$2003,$A108,'[1]销售出库'!$Q$4:$Q$2003,'首页'!$B$4*100+U$4))</f>
        <v>0</v>
      </c>
      <c r="V108" s="21">
        <f>IF($A108="",0,SUMIFS('[1]销售出库'!$R$4:$R$2003,'[1]销售出库'!$H$4:$H$2003,$A108,'[1]销售出库'!$Q$4:$Q$2003,'首页'!$B$4*100+V$4))</f>
        <v>0</v>
      </c>
      <c r="W108" s="21">
        <f>IF($A108="",0,SUMIFS('[1]销售出库'!$R$4:$R$2003,'[1]销售出库'!$H$4:$H$2003,$A108,'[1]销售出库'!$Q$4:$Q$2003,'首页'!$B$4*100+W$4))</f>
        <v>0</v>
      </c>
      <c r="X108" s="21">
        <f>IF($A108="",0,SUMIFS('[1]销售出库'!$R$4:$R$2003,'[1]销售出库'!$H$4:$H$2003,$A108,'[1]销售出库'!$Q$4:$Q$2003,'首页'!$B$4*100+X$4))</f>
        <v>0</v>
      </c>
    </row>
    <row r="109">
      <c r="A109" s="6">
        <f>IF('[1]基础资料'!$P$108="","",'[1]基础资料'!$P$108)</f>
      </c>
      <c r="B109" s="6">
        <f>IF(A109="","",'[1]基础资料'!$Q$108&amp;"")</f>
      </c>
      <c r="C109" s="21">
        <f>IF(A109="",0,N('[1]基础资料'!$S$108))</f>
        <v>0</v>
      </c>
      <c r="D109" s="11">
        <f>IF(A109="",0,N('[1]基础资料'!$U$108))</f>
        <v>0</v>
      </c>
      <c r="E109" s="21">
        <f>IF(A109="",0,SUMIFS('[1]采购入库'!$U$4:$U$2003,'[1]采购入库'!$I$4:$I$2003,$A109))</f>
        <v>0</v>
      </c>
      <c r="F109" s="11">
        <f>IF(A109="",0,SUMIFS('[1]采购入库'!$V$4:$V$2003,'[1]采购入库'!$I$4:$I$2003,$A109))</f>
        <v>0</v>
      </c>
      <c r="G109" s="21">
        <f>IF(A109="",0,SUMIFS('[1]销售出库'!$R$4:$R$2003,'[1]销售出库'!$H$4:$H$2003,$A109))</f>
        <v>0</v>
      </c>
      <c r="H109" s="11">
        <f t="shared" si="3"/>
        <v>0</v>
      </c>
      <c r="I109" s="11">
        <f t="shared" si="0"/>
        <v>0</v>
      </c>
      <c r="J109" s="21">
        <f t="shared" si="1"/>
        <v>0</v>
      </c>
      <c r="K109" s="11">
        <f t="shared" si="2"/>
        <v>0</v>
      </c>
      <c r="L109" s="6">
        <f t="shared" si="4"/>
      </c>
      <c r="M109" s="21">
        <f>IF($A109="",0,SUMIFS('[1]销售出库'!$R$4:$R$2003,'[1]销售出库'!$H$4:$H$2003,$A109,'[1]销售出库'!$Q$4:$Q$2003,'首页'!$B$4*100+M$4))</f>
        <v>0</v>
      </c>
      <c r="N109" s="21">
        <f>IF($A109="",0,SUMIFS('[1]销售出库'!$R$4:$R$2003,'[1]销售出库'!$H$4:$H$2003,$A109,'[1]销售出库'!$Q$4:$Q$2003,'首页'!$B$4*100+N$4))</f>
        <v>0</v>
      </c>
      <c r="O109" s="21">
        <f>IF($A109="",0,SUMIFS('[1]销售出库'!$R$4:$R$2003,'[1]销售出库'!$H$4:$H$2003,$A109,'[1]销售出库'!$Q$4:$Q$2003,'首页'!$B$4*100+O$4))</f>
        <v>0</v>
      </c>
      <c r="P109" s="21">
        <f>IF($A109="",0,SUMIFS('[1]销售出库'!$R$4:$R$2003,'[1]销售出库'!$H$4:$H$2003,$A109,'[1]销售出库'!$Q$4:$Q$2003,'首页'!$B$4*100+P$4))</f>
        <v>0</v>
      </c>
      <c r="Q109" s="21">
        <f>IF($A109="",0,SUMIFS('[1]销售出库'!$R$4:$R$2003,'[1]销售出库'!$H$4:$H$2003,$A109,'[1]销售出库'!$Q$4:$Q$2003,'首页'!$B$4*100+Q$4))</f>
        <v>0</v>
      </c>
      <c r="R109" s="21">
        <f>IF($A109="",0,SUMIFS('[1]销售出库'!$R$4:$R$2003,'[1]销售出库'!$H$4:$H$2003,$A109,'[1]销售出库'!$Q$4:$Q$2003,'首页'!$B$4*100+R$4))</f>
        <v>0</v>
      </c>
      <c r="S109" s="21">
        <f>IF($A109="",0,SUMIFS('[1]销售出库'!$R$4:$R$2003,'[1]销售出库'!$H$4:$H$2003,$A109,'[1]销售出库'!$Q$4:$Q$2003,'首页'!$B$4*100+S$4))</f>
        <v>0</v>
      </c>
      <c r="T109" s="21">
        <f>IF($A109="",0,SUMIFS('[1]销售出库'!$R$4:$R$2003,'[1]销售出库'!$H$4:$H$2003,$A109,'[1]销售出库'!$Q$4:$Q$2003,'首页'!$B$4*100+T$4))</f>
        <v>0</v>
      </c>
      <c r="U109" s="21">
        <f>IF($A109="",0,SUMIFS('[1]销售出库'!$R$4:$R$2003,'[1]销售出库'!$H$4:$H$2003,$A109,'[1]销售出库'!$Q$4:$Q$2003,'首页'!$B$4*100+U$4))</f>
        <v>0</v>
      </c>
      <c r="V109" s="21">
        <f>IF($A109="",0,SUMIFS('[1]销售出库'!$R$4:$R$2003,'[1]销售出库'!$H$4:$H$2003,$A109,'[1]销售出库'!$Q$4:$Q$2003,'首页'!$B$4*100+V$4))</f>
        <v>0</v>
      </c>
      <c r="W109" s="21">
        <f>IF($A109="",0,SUMIFS('[1]销售出库'!$R$4:$R$2003,'[1]销售出库'!$H$4:$H$2003,$A109,'[1]销售出库'!$Q$4:$Q$2003,'首页'!$B$4*100+W$4))</f>
        <v>0</v>
      </c>
      <c r="X109" s="21">
        <f>IF($A109="",0,SUMIFS('[1]销售出库'!$R$4:$R$2003,'[1]销售出库'!$H$4:$H$2003,$A109,'[1]销售出库'!$Q$4:$Q$2003,'首页'!$B$4*100+X$4))</f>
        <v>0</v>
      </c>
    </row>
    <row r="110">
      <c r="A110" s="6">
        <f>IF('[1]基础资料'!$P$109="","",'[1]基础资料'!$P$109)</f>
      </c>
      <c r="B110" s="6">
        <f>IF(A110="","",'[1]基础资料'!$Q$109&amp;"")</f>
      </c>
      <c r="C110" s="21">
        <f>IF(A110="",0,N('[1]基础资料'!$S$109))</f>
        <v>0</v>
      </c>
      <c r="D110" s="11">
        <f>IF(A110="",0,N('[1]基础资料'!$U$109))</f>
        <v>0</v>
      </c>
      <c r="E110" s="21">
        <f>IF(A110="",0,SUMIFS('[1]采购入库'!$U$4:$U$2003,'[1]采购入库'!$I$4:$I$2003,$A110))</f>
        <v>0</v>
      </c>
      <c r="F110" s="11">
        <f>IF(A110="",0,SUMIFS('[1]采购入库'!$V$4:$V$2003,'[1]采购入库'!$I$4:$I$2003,$A110))</f>
        <v>0</v>
      </c>
      <c r="G110" s="21">
        <f>IF(A110="",0,SUMIFS('[1]销售出库'!$R$4:$R$2003,'[1]销售出库'!$H$4:$H$2003,$A110))</f>
        <v>0</v>
      </c>
      <c r="H110" s="11">
        <f t="shared" si="3"/>
        <v>0</v>
      </c>
      <c r="I110" s="11">
        <f t="shared" si="0"/>
        <v>0</v>
      </c>
      <c r="J110" s="21">
        <f t="shared" si="1"/>
        <v>0</v>
      </c>
      <c r="K110" s="11">
        <f t="shared" si="2"/>
        <v>0</v>
      </c>
      <c r="L110" s="6">
        <f t="shared" si="4"/>
      </c>
      <c r="M110" s="21">
        <f>IF($A110="",0,SUMIFS('[1]销售出库'!$R$4:$R$2003,'[1]销售出库'!$H$4:$H$2003,$A110,'[1]销售出库'!$Q$4:$Q$2003,'首页'!$B$4*100+M$4))</f>
        <v>0</v>
      </c>
      <c r="N110" s="21">
        <f>IF($A110="",0,SUMIFS('[1]销售出库'!$R$4:$R$2003,'[1]销售出库'!$H$4:$H$2003,$A110,'[1]销售出库'!$Q$4:$Q$2003,'首页'!$B$4*100+N$4))</f>
        <v>0</v>
      </c>
      <c r="O110" s="21">
        <f>IF($A110="",0,SUMIFS('[1]销售出库'!$R$4:$R$2003,'[1]销售出库'!$H$4:$H$2003,$A110,'[1]销售出库'!$Q$4:$Q$2003,'首页'!$B$4*100+O$4))</f>
        <v>0</v>
      </c>
      <c r="P110" s="21">
        <f>IF($A110="",0,SUMIFS('[1]销售出库'!$R$4:$R$2003,'[1]销售出库'!$H$4:$H$2003,$A110,'[1]销售出库'!$Q$4:$Q$2003,'首页'!$B$4*100+P$4))</f>
        <v>0</v>
      </c>
      <c r="Q110" s="21">
        <f>IF($A110="",0,SUMIFS('[1]销售出库'!$R$4:$R$2003,'[1]销售出库'!$H$4:$H$2003,$A110,'[1]销售出库'!$Q$4:$Q$2003,'首页'!$B$4*100+Q$4))</f>
        <v>0</v>
      </c>
      <c r="R110" s="21">
        <f>IF($A110="",0,SUMIFS('[1]销售出库'!$R$4:$R$2003,'[1]销售出库'!$H$4:$H$2003,$A110,'[1]销售出库'!$Q$4:$Q$2003,'首页'!$B$4*100+R$4))</f>
        <v>0</v>
      </c>
      <c r="S110" s="21">
        <f>IF($A110="",0,SUMIFS('[1]销售出库'!$R$4:$R$2003,'[1]销售出库'!$H$4:$H$2003,$A110,'[1]销售出库'!$Q$4:$Q$2003,'首页'!$B$4*100+S$4))</f>
        <v>0</v>
      </c>
      <c r="T110" s="21">
        <f>IF($A110="",0,SUMIFS('[1]销售出库'!$R$4:$R$2003,'[1]销售出库'!$H$4:$H$2003,$A110,'[1]销售出库'!$Q$4:$Q$2003,'首页'!$B$4*100+T$4))</f>
        <v>0</v>
      </c>
      <c r="U110" s="21">
        <f>IF($A110="",0,SUMIFS('[1]销售出库'!$R$4:$R$2003,'[1]销售出库'!$H$4:$H$2003,$A110,'[1]销售出库'!$Q$4:$Q$2003,'首页'!$B$4*100+U$4))</f>
        <v>0</v>
      </c>
      <c r="V110" s="21">
        <f>IF($A110="",0,SUMIFS('[1]销售出库'!$R$4:$R$2003,'[1]销售出库'!$H$4:$H$2003,$A110,'[1]销售出库'!$Q$4:$Q$2003,'首页'!$B$4*100+V$4))</f>
        <v>0</v>
      </c>
      <c r="W110" s="21">
        <f>IF($A110="",0,SUMIFS('[1]销售出库'!$R$4:$R$2003,'[1]销售出库'!$H$4:$H$2003,$A110,'[1]销售出库'!$Q$4:$Q$2003,'首页'!$B$4*100+W$4))</f>
        <v>0</v>
      </c>
      <c r="X110" s="21">
        <f>IF($A110="",0,SUMIFS('[1]销售出库'!$R$4:$R$2003,'[1]销售出库'!$H$4:$H$2003,$A110,'[1]销售出库'!$Q$4:$Q$2003,'首页'!$B$4*100+X$4))</f>
        <v>0</v>
      </c>
    </row>
    <row r="111">
      <c r="A111" s="6">
        <f>IF('[1]基础资料'!$P$110="","",'[1]基础资料'!$P$110)</f>
      </c>
      <c r="B111" s="6">
        <f>IF(A111="","",'[1]基础资料'!$Q$110&amp;"")</f>
      </c>
      <c r="C111" s="21">
        <f>IF(A111="",0,N('[1]基础资料'!$S$110))</f>
        <v>0</v>
      </c>
      <c r="D111" s="11">
        <f>IF(A111="",0,N('[1]基础资料'!$U$110))</f>
        <v>0</v>
      </c>
      <c r="E111" s="21">
        <f>IF(A111="",0,SUMIFS('[1]采购入库'!$U$4:$U$2003,'[1]采购入库'!$I$4:$I$2003,$A111))</f>
        <v>0</v>
      </c>
      <c r="F111" s="11">
        <f>IF(A111="",0,SUMIFS('[1]采购入库'!$V$4:$V$2003,'[1]采购入库'!$I$4:$I$2003,$A111))</f>
        <v>0</v>
      </c>
      <c r="G111" s="21">
        <f>IF(A111="",0,SUMIFS('[1]销售出库'!$R$4:$R$2003,'[1]销售出库'!$H$4:$H$2003,$A111))</f>
        <v>0</v>
      </c>
      <c r="H111" s="11">
        <f t="shared" si="3"/>
        <v>0</v>
      </c>
      <c r="I111" s="11">
        <f t="shared" si="0"/>
        <v>0</v>
      </c>
      <c r="J111" s="21">
        <f t="shared" si="1"/>
        <v>0</v>
      </c>
      <c r="K111" s="11">
        <f t="shared" si="2"/>
        <v>0</v>
      </c>
      <c r="L111" s="6">
        <f t="shared" si="4"/>
      </c>
      <c r="M111" s="21">
        <f>IF($A111="",0,SUMIFS('[1]销售出库'!$R$4:$R$2003,'[1]销售出库'!$H$4:$H$2003,$A111,'[1]销售出库'!$Q$4:$Q$2003,'首页'!$B$4*100+M$4))</f>
        <v>0</v>
      </c>
      <c r="N111" s="21">
        <f>IF($A111="",0,SUMIFS('[1]销售出库'!$R$4:$R$2003,'[1]销售出库'!$H$4:$H$2003,$A111,'[1]销售出库'!$Q$4:$Q$2003,'首页'!$B$4*100+N$4))</f>
        <v>0</v>
      </c>
      <c r="O111" s="21">
        <f>IF($A111="",0,SUMIFS('[1]销售出库'!$R$4:$R$2003,'[1]销售出库'!$H$4:$H$2003,$A111,'[1]销售出库'!$Q$4:$Q$2003,'首页'!$B$4*100+O$4))</f>
        <v>0</v>
      </c>
      <c r="P111" s="21">
        <f>IF($A111="",0,SUMIFS('[1]销售出库'!$R$4:$R$2003,'[1]销售出库'!$H$4:$H$2003,$A111,'[1]销售出库'!$Q$4:$Q$2003,'首页'!$B$4*100+P$4))</f>
        <v>0</v>
      </c>
      <c r="Q111" s="21">
        <f>IF($A111="",0,SUMIFS('[1]销售出库'!$R$4:$R$2003,'[1]销售出库'!$H$4:$H$2003,$A111,'[1]销售出库'!$Q$4:$Q$2003,'首页'!$B$4*100+Q$4))</f>
        <v>0</v>
      </c>
      <c r="R111" s="21">
        <f>IF($A111="",0,SUMIFS('[1]销售出库'!$R$4:$R$2003,'[1]销售出库'!$H$4:$H$2003,$A111,'[1]销售出库'!$Q$4:$Q$2003,'首页'!$B$4*100+R$4))</f>
        <v>0</v>
      </c>
      <c r="S111" s="21">
        <f>IF($A111="",0,SUMIFS('[1]销售出库'!$R$4:$R$2003,'[1]销售出库'!$H$4:$H$2003,$A111,'[1]销售出库'!$Q$4:$Q$2003,'首页'!$B$4*100+S$4))</f>
        <v>0</v>
      </c>
      <c r="T111" s="21">
        <f>IF($A111="",0,SUMIFS('[1]销售出库'!$R$4:$R$2003,'[1]销售出库'!$H$4:$H$2003,$A111,'[1]销售出库'!$Q$4:$Q$2003,'首页'!$B$4*100+T$4))</f>
        <v>0</v>
      </c>
      <c r="U111" s="21">
        <f>IF($A111="",0,SUMIFS('[1]销售出库'!$R$4:$R$2003,'[1]销售出库'!$H$4:$H$2003,$A111,'[1]销售出库'!$Q$4:$Q$2003,'首页'!$B$4*100+U$4))</f>
        <v>0</v>
      </c>
      <c r="V111" s="21">
        <f>IF($A111="",0,SUMIFS('[1]销售出库'!$R$4:$R$2003,'[1]销售出库'!$H$4:$H$2003,$A111,'[1]销售出库'!$Q$4:$Q$2003,'首页'!$B$4*100+V$4))</f>
        <v>0</v>
      </c>
      <c r="W111" s="21">
        <f>IF($A111="",0,SUMIFS('[1]销售出库'!$R$4:$R$2003,'[1]销售出库'!$H$4:$H$2003,$A111,'[1]销售出库'!$Q$4:$Q$2003,'首页'!$B$4*100+W$4))</f>
        <v>0</v>
      </c>
      <c r="X111" s="21">
        <f>IF($A111="",0,SUMIFS('[1]销售出库'!$R$4:$R$2003,'[1]销售出库'!$H$4:$H$2003,$A111,'[1]销售出库'!$Q$4:$Q$2003,'首页'!$B$4*100+X$4))</f>
        <v>0</v>
      </c>
    </row>
    <row r="112">
      <c r="A112" s="6">
        <f>IF('[1]基础资料'!$P$111="","",'[1]基础资料'!$P$111)</f>
      </c>
      <c r="B112" s="6">
        <f>IF(A112="","",'[1]基础资料'!$Q$111&amp;"")</f>
      </c>
      <c r="C112" s="21">
        <f>IF(A112="",0,N('[1]基础资料'!$S$111))</f>
        <v>0</v>
      </c>
      <c r="D112" s="11">
        <f>IF(A112="",0,N('[1]基础资料'!$U$111))</f>
        <v>0</v>
      </c>
      <c r="E112" s="21">
        <f>IF(A112="",0,SUMIFS('[1]采购入库'!$U$4:$U$2003,'[1]采购入库'!$I$4:$I$2003,$A112))</f>
        <v>0</v>
      </c>
      <c r="F112" s="11">
        <f>IF(A112="",0,SUMIFS('[1]采购入库'!$V$4:$V$2003,'[1]采购入库'!$I$4:$I$2003,$A112))</f>
        <v>0</v>
      </c>
      <c r="G112" s="21">
        <f>IF(A112="",0,SUMIFS('[1]销售出库'!$R$4:$R$2003,'[1]销售出库'!$H$4:$H$2003,$A112))</f>
        <v>0</v>
      </c>
      <c r="H112" s="11">
        <f t="shared" si="3"/>
        <v>0</v>
      </c>
      <c r="I112" s="11">
        <f t="shared" si="0"/>
        <v>0</v>
      </c>
      <c r="J112" s="21">
        <f t="shared" si="1"/>
        <v>0</v>
      </c>
      <c r="K112" s="11">
        <f t="shared" si="2"/>
        <v>0</v>
      </c>
      <c r="L112" s="6">
        <f t="shared" si="4"/>
      </c>
      <c r="M112" s="21">
        <f>IF($A112="",0,SUMIFS('[1]销售出库'!$R$4:$R$2003,'[1]销售出库'!$H$4:$H$2003,$A112,'[1]销售出库'!$Q$4:$Q$2003,'首页'!$B$4*100+M$4))</f>
        <v>0</v>
      </c>
      <c r="N112" s="21">
        <f>IF($A112="",0,SUMIFS('[1]销售出库'!$R$4:$R$2003,'[1]销售出库'!$H$4:$H$2003,$A112,'[1]销售出库'!$Q$4:$Q$2003,'首页'!$B$4*100+N$4))</f>
        <v>0</v>
      </c>
      <c r="O112" s="21">
        <f>IF($A112="",0,SUMIFS('[1]销售出库'!$R$4:$R$2003,'[1]销售出库'!$H$4:$H$2003,$A112,'[1]销售出库'!$Q$4:$Q$2003,'首页'!$B$4*100+O$4))</f>
        <v>0</v>
      </c>
      <c r="P112" s="21">
        <f>IF($A112="",0,SUMIFS('[1]销售出库'!$R$4:$R$2003,'[1]销售出库'!$H$4:$H$2003,$A112,'[1]销售出库'!$Q$4:$Q$2003,'首页'!$B$4*100+P$4))</f>
        <v>0</v>
      </c>
      <c r="Q112" s="21">
        <f>IF($A112="",0,SUMIFS('[1]销售出库'!$R$4:$R$2003,'[1]销售出库'!$H$4:$H$2003,$A112,'[1]销售出库'!$Q$4:$Q$2003,'首页'!$B$4*100+Q$4))</f>
        <v>0</v>
      </c>
      <c r="R112" s="21">
        <f>IF($A112="",0,SUMIFS('[1]销售出库'!$R$4:$R$2003,'[1]销售出库'!$H$4:$H$2003,$A112,'[1]销售出库'!$Q$4:$Q$2003,'首页'!$B$4*100+R$4))</f>
        <v>0</v>
      </c>
      <c r="S112" s="21">
        <f>IF($A112="",0,SUMIFS('[1]销售出库'!$R$4:$R$2003,'[1]销售出库'!$H$4:$H$2003,$A112,'[1]销售出库'!$Q$4:$Q$2003,'首页'!$B$4*100+S$4))</f>
        <v>0</v>
      </c>
      <c r="T112" s="21">
        <f>IF($A112="",0,SUMIFS('[1]销售出库'!$R$4:$R$2003,'[1]销售出库'!$H$4:$H$2003,$A112,'[1]销售出库'!$Q$4:$Q$2003,'首页'!$B$4*100+T$4))</f>
        <v>0</v>
      </c>
      <c r="U112" s="21">
        <f>IF($A112="",0,SUMIFS('[1]销售出库'!$R$4:$R$2003,'[1]销售出库'!$H$4:$H$2003,$A112,'[1]销售出库'!$Q$4:$Q$2003,'首页'!$B$4*100+U$4))</f>
        <v>0</v>
      </c>
      <c r="V112" s="21">
        <f>IF($A112="",0,SUMIFS('[1]销售出库'!$R$4:$R$2003,'[1]销售出库'!$H$4:$H$2003,$A112,'[1]销售出库'!$Q$4:$Q$2003,'首页'!$B$4*100+V$4))</f>
        <v>0</v>
      </c>
      <c r="W112" s="21">
        <f>IF($A112="",0,SUMIFS('[1]销售出库'!$R$4:$R$2003,'[1]销售出库'!$H$4:$H$2003,$A112,'[1]销售出库'!$Q$4:$Q$2003,'首页'!$B$4*100+W$4))</f>
        <v>0</v>
      </c>
      <c r="X112" s="21">
        <f>IF($A112="",0,SUMIFS('[1]销售出库'!$R$4:$R$2003,'[1]销售出库'!$H$4:$H$2003,$A112,'[1]销售出库'!$Q$4:$Q$2003,'首页'!$B$4*100+X$4))</f>
        <v>0</v>
      </c>
    </row>
    <row r="113">
      <c r="A113" s="6">
        <f>IF('[1]基础资料'!$P$112="","",'[1]基础资料'!$P$112)</f>
      </c>
      <c r="B113" s="6">
        <f>IF(A113="","",'[1]基础资料'!$Q$112&amp;"")</f>
      </c>
      <c r="C113" s="21">
        <f>IF(A113="",0,N('[1]基础资料'!$S$112))</f>
        <v>0</v>
      </c>
      <c r="D113" s="11">
        <f>IF(A113="",0,N('[1]基础资料'!$U$112))</f>
        <v>0</v>
      </c>
      <c r="E113" s="21">
        <f>IF(A113="",0,SUMIFS('[1]采购入库'!$U$4:$U$2003,'[1]采购入库'!$I$4:$I$2003,$A113))</f>
        <v>0</v>
      </c>
      <c r="F113" s="11">
        <f>IF(A113="",0,SUMIFS('[1]采购入库'!$V$4:$V$2003,'[1]采购入库'!$I$4:$I$2003,$A113))</f>
        <v>0</v>
      </c>
      <c r="G113" s="21">
        <f>IF(A113="",0,SUMIFS('[1]销售出库'!$R$4:$R$2003,'[1]销售出库'!$H$4:$H$2003,$A113))</f>
        <v>0</v>
      </c>
      <c r="H113" s="11">
        <f t="shared" si="3"/>
        <v>0</v>
      </c>
      <c r="I113" s="11">
        <f t="shared" si="0"/>
        <v>0</v>
      </c>
      <c r="J113" s="21">
        <f t="shared" si="1"/>
        <v>0</v>
      </c>
      <c r="K113" s="11">
        <f t="shared" si="2"/>
        <v>0</v>
      </c>
      <c r="L113" s="6">
        <f t="shared" si="4"/>
      </c>
      <c r="M113" s="21">
        <f>IF($A113="",0,SUMIFS('[1]销售出库'!$R$4:$R$2003,'[1]销售出库'!$H$4:$H$2003,$A113,'[1]销售出库'!$Q$4:$Q$2003,'首页'!$B$4*100+M$4))</f>
        <v>0</v>
      </c>
      <c r="N113" s="21">
        <f>IF($A113="",0,SUMIFS('[1]销售出库'!$R$4:$R$2003,'[1]销售出库'!$H$4:$H$2003,$A113,'[1]销售出库'!$Q$4:$Q$2003,'首页'!$B$4*100+N$4))</f>
        <v>0</v>
      </c>
      <c r="O113" s="21">
        <f>IF($A113="",0,SUMIFS('[1]销售出库'!$R$4:$R$2003,'[1]销售出库'!$H$4:$H$2003,$A113,'[1]销售出库'!$Q$4:$Q$2003,'首页'!$B$4*100+O$4))</f>
        <v>0</v>
      </c>
      <c r="P113" s="21">
        <f>IF($A113="",0,SUMIFS('[1]销售出库'!$R$4:$R$2003,'[1]销售出库'!$H$4:$H$2003,$A113,'[1]销售出库'!$Q$4:$Q$2003,'首页'!$B$4*100+P$4))</f>
        <v>0</v>
      </c>
      <c r="Q113" s="21">
        <f>IF($A113="",0,SUMIFS('[1]销售出库'!$R$4:$R$2003,'[1]销售出库'!$H$4:$H$2003,$A113,'[1]销售出库'!$Q$4:$Q$2003,'首页'!$B$4*100+Q$4))</f>
        <v>0</v>
      </c>
      <c r="R113" s="21">
        <f>IF($A113="",0,SUMIFS('[1]销售出库'!$R$4:$R$2003,'[1]销售出库'!$H$4:$H$2003,$A113,'[1]销售出库'!$Q$4:$Q$2003,'首页'!$B$4*100+R$4))</f>
        <v>0</v>
      </c>
      <c r="S113" s="21">
        <f>IF($A113="",0,SUMIFS('[1]销售出库'!$R$4:$R$2003,'[1]销售出库'!$H$4:$H$2003,$A113,'[1]销售出库'!$Q$4:$Q$2003,'首页'!$B$4*100+S$4))</f>
        <v>0</v>
      </c>
      <c r="T113" s="21">
        <f>IF($A113="",0,SUMIFS('[1]销售出库'!$R$4:$R$2003,'[1]销售出库'!$H$4:$H$2003,$A113,'[1]销售出库'!$Q$4:$Q$2003,'首页'!$B$4*100+T$4))</f>
        <v>0</v>
      </c>
      <c r="U113" s="21">
        <f>IF($A113="",0,SUMIFS('[1]销售出库'!$R$4:$R$2003,'[1]销售出库'!$H$4:$H$2003,$A113,'[1]销售出库'!$Q$4:$Q$2003,'首页'!$B$4*100+U$4))</f>
        <v>0</v>
      </c>
      <c r="V113" s="21">
        <f>IF($A113="",0,SUMIFS('[1]销售出库'!$R$4:$R$2003,'[1]销售出库'!$H$4:$H$2003,$A113,'[1]销售出库'!$Q$4:$Q$2003,'首页'!$B$4*100+V$4))</f>
        <v>0</v>
      </c>
      <c r="W113" s="21">
        <f>IF($A113="",0,SUMIFS('[1]销售出库'!$R$4:$R$2003,'[1]销售出库'!$H$4:$H$2003,$A113,'[1]销售出库'!$Q$4:$Q$2003,'首页'!$B$4*100+W$4))</f>
        <v>0</v>
      </c>
      <c r="X113" s="21">
        <f>IF($A113="",0,SUMIFS('[1]销售出库'!$R$4:$R$2003,'[1]销售出库'!$H$4:$H$2003,$A113,'[1]销售出库'!$Q$4:$Q$2003,'首页'!$B$4*100+X$4))</f>
        <v>0</v>
      </c>
    </row>
    <row r="114">
      <c r="A114" s="6">
        <f>IF('[1]基础资料'!$P$113="","",'[1]基础资料'!$P$113)</f>
      </c>
      <c r="B114" s="6">
        <f>IF(A114="","",'[1]基础资料'!$Q$113&amp;"")</f>
      </c>
      <c r="C114" s="21">
        <f>IF(A114="",0,N('[1]基础资料'!$S$113))</f>
        <v>0</v>
      </c>
      <c r="D114" s="11">
        <f>IF(A114="",0,N('[1]基础资料'!$U$113))</f>
        <v>0</v>
      </c>
      <c r="E114" s="21">
        <f>IF(A114="",0,SUMIFS('[1]采购入库'!$U$4:$U$2003,'[1]采购入库'!$I$4:$I$2003,$A114))</f>
        <v>0</v>
      </c>
      <c r="F114" s="11">
        <f>IF(A114="",0,SUMIFS('[1]采购入库'!$V$4:$V$2003,'[1]采购入库'!$I$4:$I$2003,$A114))</f>
        <v>0</v>
      </c>
      <c r="G114" s="21">
        <f>IF(A114="",0,SUMIFS('[1]销售出库'!$R$4:$R$2003,'[1]销售出库'!$H$4:$H$2003,$A114))</f>
        <v>0</v>
      </c>
      <c r="H114" s="11">
        <f t="shared" si="3"/>
        <v>0</v>
      </c>
      <c r="I114" s="11">
        <f t="shared" si="0"/>
        <v>0</v>
      </c>
      <c r="J114" s="21">
        <f t="shared" si="1"/>
        <v>0</v>
      </c>
      <c r="K114" s="11">
        <f t="shared" si="2"/>
        <v>0</v>
      </c>
      <c r="L114" s="6">
        <f t="shared" si="4"/>
      </c>
      <c r="M114" s="21">
        <f>IF($A114="",0,SUMIFS('[1]销售出库'!$R$4:$R$2003,'[1]销售出库'!$H$4:$H$2003,$A114,'[1]销售出库'!$Q$4:$Q$2003,'首页'!$B$4*100+M$4))</f>
        <v>0</v>
      </c>
      <c r="N114" s="21">
        <f>IF($A114="",0,SUMIFS('[1]销售出库'!$R$4:$R$2003,'[1]销售出库'!$H$4:$H$2003,$A114,'[1]销售出库'!$Q$4:$Q$2003,'首页'!$B$4*100+N$4))</f>
        <v>0</v>
      </c>
      <c r="O114" s="21">
        <f>IF($A114="",0,SUMIFS('[1]销售出库'!$R$4:$R$2003,'[1]销售出库'!$H$4:$H$2003,$A114,'[1]销售出库'!$Q$4:$Q$2003,'首页'!$B$4*100+O$4))</f>
        <v>0</v>
      </c>
      <c r="P114" s="21">
        <f>IF($A114="",0,SUMIFS('[1]销售出库'!$R$4:$R$2003,'[1]销售出库'!$H$4:$H$2003,$A114,'[1]销售出库'!$Q$4:$Q$2003,'首页'!$B$4*100+P$4))</f>
        <v>0</v>
      </c>
      <c r="Q114" s="21">
        <f>IF($A114="",0,SUMIFS('[1]销售出库'!$R$4:$R$2003,'[1]销售出库'!$H$4:$H$2003,$A114,'[1]销售出库'!$Q$4:$Q$2003,'首页'!$B$4*100+Q$4))</f>
        <v>0</v>
      </c>
      <c r="R114" s="21">
        <f>IF($A114="",0,SUMIFS('[1]销售出库'!$R$4:$R$2003,'[1]销售出库'!$H$4:$H$2003,$A114,'[1]销售出库'!$Q$4:$Q$2003,'首页'!$B$4*100+R$4))</f>
        <v>0</v>
      </c>
      <c r="S114" s="21">
        <f>IF($A114="",0,SUMIFS('[1]销售出库'!$R$4:$R$2003,'[1]销售出库'!$H$4:$H$2003,$A114,'[1]销售出库'!$Q$4:$Q$2003,'首页'!$B$4*100+S$4))</f>
        <v>0</v>
      </c>
      <c r="T114" s="21">
        <f>IF($A114="",0,SUMIFS('[1]销售出库'!$R$4:$R$2003,'[1]销售出库'!$H$4:$H$2003,$A114,'[1]销售出库'!$Q$4:$Q$2003,'首页'!$B$4*100+T$4))</f>
        <v>0</v>
      </c>
      <c r="U114" s="21">
        <f>IF($A114="",0,SUMIFS('[1]销售出库'!$R$4:$R$2003,'[1]销售出库'!$H$4:$H$2003,$A114,'[1]销售出库'!$Q$4:$Q$2003,'首页'!$B$4*100+U$4))</f>
        <v>0</v>
      </c>
      <c r="V114" s="21">
        <f>IF($A114="",0,SUMIFS('[1]销售出库'!$R$4:$R$2003,'[1]销售出库'!$H$4:$H$2003,$A114,'[1]销售出库'!$Q$4:$Q$2003,'首页'!$B$4*100+V$4))</f>
        <v>0</v>
      </c>
      <c r="W114" s="21">
        <f>IF($A114="",0,SUMIFS('[1]销售出库'!$R$4:$R$2003,'[1]销售出库'!$H$4:$H$2003,$A114,'[1]销售出库'!$Q$4:$Q$2003,'首页'!$B$4*100+W$4))</f>
        <v>0</v>
      </c>
      <c r="X114" s="21">
        <f>IF($A114="",0,SUMIFS('[1]销售出库'!$R$4:$R$2003,'[1]销售出库'!$H$4:$H$2003,$A114,'[1]销售出库'!$Q$4:$Q$2003,'首页'!$B$4*100+X$4))</f>
        <v>0</v>
      </c>
    </row>
    <row r="115">
      <c r="A115" s="6">
        <f>IF('[1]基础资料'!$P$114="","",'[1]基础资料'!$P$114)</f>
      </c>
      <c r="B115" s="6">
        <f>IF(A115="","",'[1]基础资料'!$Q$114&amp;"")</f>
      </c>
      <c r="C115" s="21">
        <f>IF(A115="",0,N('[1]基础资料'!$S$114))</f>
        <v>0</v>
      </c>
      <c r="D115" s="11">
        <f>IF(A115="",0,N('[1]基础资料'!$U$114))</f>
        <v>0</v>
      </c>
      <c r="E115" s="21">
        <f>IF(A115="",0,SUMIFS('[1]采购入库'!$U$4:$U$2003,'[1]采购入库'!$I$4:$I$2003,$A115))</f>
        <v>0</v>
      </c>
      <c r="F115" s="11">
        <f>IF(A115="",0,SUMIFS('[1]采购入库'!$V$4:$V$2003,'[1]采购入库'!$I$4:$I$2003,$A115))</f>
        <v>0</v>
      </c>
      <c r="G115" s="21">
        <f>IF(A115="",0,SUMIFS('[1]销售出库'!$R$4:$R$2003,'[1]销售出库'!$H$4:$H$2003,$A115))</f>
        <v>0</v>
      </c>
      <c r="H115" s="11">
        <f t="shared" si="3"/>
        <v>0</v>
      </c>
      <c r="I115" s="11">
        <f t="shared" si="0"/>
        <v>0</v>
      </c>
      <c r="J115" s="21">
        <f t="shared" si="1"/>
        <v>0</v>
      </c>
      <c r="K115" s="11">
        <f t="shared" si="2"/>
        <v>0</v>
      </c>
      <c r="L115" s="6">
        <f t="shared" si="4"/>
      </c>
      <c r="M115" s="21">
        <f>IF($A115="",0,SUMIFS('[1]销售出库'!$R$4:$R$2003,'[1]销售出库'!$H$4:$H$2003,$A115,'[1]销售出库'!$Q$4:$Q$2003,'首页'!$B$4*100+M$4))</f>
        <v>0</v>
      </c>
      <c r="N115" s="21">
        <f>IF($A115="",0,SUMIFS('[1]销售出库'!$R$4:$R$2003,'[1]销售出库'!$H$4:$H$2003,$A115,'[1]销售出库'!$Q$4:$Q$2003,'首页'!$B$4*100+N$4))</f>
        <v>0</v>
      </c>
      <c r="O115" s="21">
        <f>IF($A115="",0,SUMIFS('[1]销售出库'!$R$4:$R$2003,'[1]销售出库'!$H$4:$H$2003,$A115,'[1]销售出库'!$Q$4:$Q$2003,'首页'!$B$4*100+O$4))</f>
        <v>0</v>
      </c>
      <c r="P115" s="21">
        <f>IF($A115="",0,SUMIFS('[1]销售出库'!$R$4:$R$2003,'[1]销售出库'!$H$4:$H$2003,$A115,'[1]销售出库'!$Q$4:$Q$2003,'首页'!$B$4*100+P$4))</f>
        <v>0</v>
      </c>
      <c r="Q115" s="21">
        <f>IF($A115="",0,SUMIFS('[1]销售出库'!$R$4:$R$2003,'[1]销售出库'!$H$4:$H$2003,$A115,'[1]销售出库'!$Q$4:$Q$2003,'首页'!$B$4*100+Q$4))</f>
        <v>0</v>
      </c>
      <c r="R115" s="21">
        <f>IF($A115="",0,SUMIFS('[1]销售出库'!$R$4:$R$2003,'[1]销售出库'!$H$4:$H$2003,$A115,'[1]销售出库'!$Q$4:$Q$2003,'首页'!$B$4*100+R$4))</f>
        <v>0</v>
      </c>
      <c r="S115" s="21">
        <f>IF($A115="",0,SUMIFS('[1]销售出库'!$R$4:$R$2003,'[1]销售出库'!$H$4:$H$2003,$A115,'[1]销售出库'!$Q$4:$Q$2003,'首页'!$B$4*100+S$4))</f>
        <v>0</v>
      </c>
      <c r="T115" s="21">
        <f>IF($A115="",0,SUMIFS('[1]销售出库'!$R$4:$R$2003,'[1]销售出库'!$H$4:$H$2003,$A115,'[1]销售出库'!$Q$4:$Q$2003,'首页'!$B$4*100+T$4))</f>
        <v>0</v>
      </c>
      <c r="U115" s="21">
        <f>IF($A115="",0,SUMIFS('[1]销售出库'!$R$4:$R$2003,'[1]销售出库'!$H$4:$H$2003,$A115,'[1]销售出库'!$Q$4:$Q$2003,'首页'!$B$4*100+U$4))</f>
        <v>0</v>
      </c>
      <c r="V115" s="21">
        <f>IF($A115="",0,SUMIFS('[1]销售出库'!$R$4:$R$2003,'[1]销售出库'!$H$4:$H$2003,$A115,'[1]销售出库'!$Q$4:$Q$2003,'首页'!$B$4*100+V$4))</f>
        <v>0</v>
      </c>
      <c r="W115" s="21">
        <f>IF($A115="",0,SUMIFS('[1]销售出库'!$R$4:$R$2003,'[1]销售出库'!$H$4:$H$2003,$A115,'[1]销售出库'!$Q$4:$Q$2003,'首页'!$B$4*100+W$4))</f>
        <v>0</v>
      </c>
      <c r="X115" s="21">
        <f>IF($A115="",0,SUMIFS('[1]销售出库'!$R$4:$R$2003,'[1]销售出库'!$H$4:$H$2003,$A115,'[1]销售出库'!$Q$4:$Q$2003,'首页'!$B$4*100+X$4))</f>
        <v>0</v>
      </c>
    </row>
    <row r="116">
      <c r="A116" s="6">
        <f>IF('[1]基础资料'!$P$115="","",'[1]基础资料'!$P$115)</f>
      </c>
      <c r="B116" s="6">
        <f>IF(A116="","",'[1]基础资料'!$Q$115&amp;"")</f>
      </c>
      <c r="C116" s="21">
        <f>IF(A116="",0,N('[1]基础资料'!$S$115))</f>
        <v>0</v>
      </c>
      <c r="D116" s="11">
        <f>IF(A116="",0,N('[1]基础资料'!$U$115))</f>
        <v>0</v>
      </c>
      <c r="E116" s="21">
        <f>IF(A116="",0,SUMIFS('[1]采购入库'!$U$4:$U$2003,'[1]采购入库'!$I$4:$I$2003,$A116))</f>
        <v>0</v>
      </c>
      <c r="F116" s="11">
        <f>IF(A116="",0,SUMIFS('[1]采购入库'!$V$4:$V$2003,'[1]采购入库'!$I$4:$I$2003,$A116))</f>
        <v>0</v>
      </c>
      <c r="G116" s="21">
        <f>IF(A116="",0,SUMIFS('[1]销售出库'!$R$4:$R$2003,'[1]销售出库'!$H$4:$H$2003,$A116))</f>
        <v>0</v>
      </c>
      <c r="H116" s="11">
        <f t="shared" si="3"/>
        <v>0</v>
      </c>
      <c r="I116" s="11">
        <f t="shared" si="0"/>
        <v>0</v>
      </c>
      <c r="J116" s="21">
        <f t="shared" si="1"/>
        <v>0</v>
      </c>
      <c r="K116" s="11">
        <f t="shared" si="2"/>
        <v>0</v>
      </c>
      <c r="L116" s="6">
        <f t="shared" si="4"/>
      </c>
      <c r="M116" s="21">
        <f>IF($A116="",0,SUMIFS('[1]销售出库'!$R$4:$R$2003,'[1]销售出库'!$H$4:$H$2003,$A116,'[1]销售出库'!$Q$4:$Q$2003,'首页'!$B$4*100+M$4))</f>
        <v>0</v>
      </c>
      <c r="N116" s="21">
        <f>IF($A116="",0,SUMIFS('[1]销售出库'!$R$4:$R$2003,'[1]销售出库'!$H$4:$H$2003,$A116,'[1]销售出库'!$Q$4:$Q$2003,'首页'!$B$4*100+N$4))</f>
        <v>0</v>
      </c>
      <c r="O116" s="21">
        <f>IF($A116="",0,SUMIFS('[1]销售出库'!$R$4:$R$2003,'[1]销售出库'!$H$4:$H$2003,$A116,'[1]销售出库'!$Q$4:$Q$2003,'首页'!$B$4*100+O$4))</f>
        <v>0</v>
      </c>
      <c r="P116" s="21">
        <f>IF($A116="",0,SUMIFS('[1]销售出库'!$R$4:$R$2003,'[1]销售出库'!$H$4:$H$2003,$A116,'[1]销售出库'!$Q$4:$Q$2003,'首页'!$B$4*100+P$4))</f>
        <v>0</v>
      </c>
      <c r="Q116" s="21">
        <f>IF($A116="",0,SUMIFS('[1]销售出库'!$R$4:$R$2003,'[1]销售出库'!$H$4:$H$2003,$A116,'[1]销售出库'!$Q$4:$Q$2003,'首页'!$B$4*100+Q$4))</f>
        <v>0</v>
      </c>
      <c r="R116" s="21">
        <f>IF($A116="",0,SUMIFS('[1]销售出库'!$R$4:$R$2003,'[1]销售出库'!$H$4:$H$2003,$A116,'[1]销售出库'!$Q$4:$Q$2003,'首页'!$B$4*100+R$4))</f>
        <v>0</v>
      </c>
      <c r="S116" s="21">
        <f>IF($A116="",0,SUMIFS('[1]销售出库'!$R$4:$R$2003,'[1]销售出库'!$H$4:$H$2003,$A116,'[1]销售出库'!$Q$4:$Q$2003,'首页'!$B$4*100+S$4))</f>
        <v>0</v>
      </c>
      <c r="T116" s="21">
        <f>IF($A116="",0,SUMIFS('[1]销售出库'!$R$4:$R$2003,'[1]销售出库'!$H$4:$H$2003,$A116,'[1]销售出库'!$Q$4:$Q$2003,'首页'!$B$4*100+T$4))</f>
        <v>0</v>
      </c>
      <c r="U116" s="21">
        <f>IF($A116="",0,SUMIFS('[1]销售出库'!$R$4:$R$2003,'[1]销售出库'!$H$4:$H$2003,$A116,'[1]销售出库'!$Q$4:$Q$2003,'首页'!$B$4*100+U$4))</f>
        <v>0</v>
      </c>
      <c r="V116" s="21">
        <f>IF($A116="",0,SUMIFS('[1]销售出库'!$R$4:$R$2003,'[1]销售出库'!$H$4:$H$2003,$A116,'[1]销售出库'!$Q$4:$Q$2003,'首页'!$B$4*100+V$4))</f>
        <v>0</v>
      </c>
      <c r="W116" s="21">
        <f>IF($A116="",0,SUMIFS('[1]销售出库'!$R$4:$R$2003,'[1]销售出库'!$H$4:$H$2003,$A116,'[1]销售出库'!$Q$4:$Q$2003,'首页'!$B$4*100+W$4))</f>
        <v>0</v>
      </c>
      <c r="X116" s="21">
        <f>IF($A116="",0,SUMIFS('[1]销售出库'!$R$4:$R$2003,'[1]销售出库'!$H$4:$H$2003,$A116,'[1]销售出库'!$Q$4:$Q$2003,'首页'!$B$4*100+X$4))</f>
        <v>0</v>
      </c>
    </row>
    <row r="117">
      <c r="A117" s="6">
        <f>IF('[1]基础资料'!$P$116="","",'[1]基础资料'!$P$116)</f>
      </c>
      <c r="B117" s="6">
        <f>IF(A117="","",'[1]基础资料'!$Q$116&amp;"")</f>
      </c>
      <c r="C117" s="21">
        <f>IF(A117="",0,N('[1]基础资料'!$S$116))</f>
        <v>0</v>
      </c>
      <c r="D117" s="11">
        <f>IF(A117="",0,N('[1]基础资料'!$U$116))</f>
        <v>0</v>
      </c>
      <c r="E117" s="21">
        <f>IF(A117="",0,SUMIFS('[1]采购入库'!$U$4:$U$2003,'[1]采购入库'!$I$4:$I$2003,$A117))</f>
        <v>0</v>
      </c>
      <c r="F117" s="11">
        <f>IF(A117="",0,SUMIFS('[1]采购入库'!$V$4:$V$2003,'[1]采购入库'!$I$4:$I$2003,$A117))</f>
        <v>0</v>
      </c>
      <c r="G117" s="21">
        <f>IF(A117="",0,SUMIFS('[1]销售出库'!$R$4:$R$2003,'[1]销售出库'!$H$4:$H$2003,$A117))</f>
        <v>0</v>
      </c>
      <c r="H117" s="11">
        <f t="shared" si="3"/>
        <v>0</v>
      </c>
      <c r="I117" s="11">
        <f t="shared" si="0"/>
        <v>0</v>
      </c>
      <c r="J117" s="21">
        <f t="shared" si="1"/>
        <v>0</v>
      </c>
      <c r="K117" s="11">
        <f t="shared" si="2"/>
        <v>0</v>
      </c>
      <c r="L117" s="6">
        <f t="shared" si="4"/>
      </c>
      <c r="M117" s="21">
        <f>IF($A117="",0,SUMIFS('[1]销售出库'!$R$4:$R$2003,'[1]销售出库'!$H$4:$H$2003,$A117,'[1]销售出库'!$Q$4:$Q$2003,'首页'!$B$4*100+M$4))</f>
        <v>0</v>
      </c>
      <c r="N117" s="21">
        <f>IF($A117="",0,SUMIFS('[1]销售出库'!$R$4:$R$2003,'[1]销售出库'!$H$4:$H$2003,$A117,'[1]销售出库'!$Q$4:$Q$2003,'首页'!$B$4*100+N$4))</f>
        <v>0</v>
      </c>
      <c r="O117" s="21">
        <f>IF($A117="",0,SUMIFS('[1]销售出库'!$R$4:$R$2003,'[1]销售出库'!$H$4:$H$2003,$A117,'[1]销售出库'!$Q$4:$Q$2003,'首页'!$B$4*100+O$4))</f>
        <v>0</v>
      </c>
      <c r="P117" s="21">
        <f>IF($A117="",0,SUMIFS('[1]销售出库'!$R$4:$R$2003,'[1]销售出库'!$H$4:$H$2003,$A117,'[1]销售出库'!$Q$4:$Q$2003,'首页'!$B$4*100+P$4))</f>
        <v>0</v>
      </c>
      <c r="Q117" s="21">
        <f>IF($A117="",0,SUMIFS('[1]销售出库'!$R$4:$R$2003,'[1]销售出库'!$H$4:$H$2003,$A117,'[1]销售出库'!$Q$4:$Q$2003,'首页'!$B$4*100+Q$4))</f>
        <v>0</v>
      </c>
      <c r="R117" s="21">
        <f>IF($A117="",0,SUMIFS('[1]销售出库'!$R$4:$R$2003,'[1]销售出库'!$H$4:$H$2003,$A117,'[1]销售出库'!$Q$4:$Q$2003,'首页'!$B$4*100+R$4))</f>
        <v>0</v>
      </c>
      <c r="S117" s="21">
        <f>IF($A117="",0,SUMIFS('[1]销售出库'!$R$4:$R$2003,'[1]销售出库'!$H$4:$H$2003,$A117,'[1]销售出库'!$Q$4:$Q$2003,'首页'!$B$4*100+S$4))</f>
        <v>0</v>
      </c>
      <c r="T117" s="21">
        <f>IF($A117="",0,SUMIFS('[1]销售出库'!$R$4:$R$2003,'[1]销售出库'!$H$4:$H$2003,$A117,'[1]销售出库'!$Q$4:$Q$2003,'首页'!$B$4*100+T$4))</f>
        <v>0</v>
      </c>
      <c r="U117" s="21">
        <f>IF($A117="",0,SUMIFS('[1]销售出库'!$R$4:$R$2003,'[1]销售出库'!$H$4:$H$2003,$A117,'[1]销售出库'!$Q$4:$Q$2003,'首页'!$B$4*100+U$4))</f>
        <v>0</v>
      </c>
      <c r="V117" s="21">
        <f>IF($A117="",0,SUMIFS('[1]销售出库'!$R$4:$R$2003,'[1]销售出库'!$H$4:$H$2003,$A117,'[1]销售出库'!$Q$4:$Q$2003,'首页'!$B$4*100+V$4))</f>
        <v>0</v>
      </c>
      <c r="W117" s="21">
        <f>IF($A117="",0,SUMIFS('[1]销售出库'!$R$4:$R$2003,'[1]销售出库'!$H$4:$H$2003,$A117,'[1]销售出库'!$Q$4:$Q$2003,'首页'!$B$4*100+W$4))</f>
        <v>0</v>
      </c>
      <c r="X117" s="21">
        <f>IF($A117="",0,SUMIFS('[1]销售出库'!$R$4:$R$2003,'[1]销售出库'!$H$4:$H$2003,$A117,'[1]销售出库'!$Q$4:$Q$2003,'首页'!$B$4*100+X$4))</f>
        <v>0</v>
      </c>
    </row>
    <row r="118">
      <c r="A118" s="6">
        <f>IF('[1]基础资料'!$P$117="","",'[1]基础资料'!$P$117)</f>
      </c>
      <c r="B118" s="6">
        <f>IF(A118="","",'[1]基础资料'!$Q$117&amp;"")</f>
      </c>
      <c r="C118" s="21">
        <f>IF(A118="",0,N('[1]基础资料'!$S$117))</f>
        <v>0</v>
      </c>
      <c r="D118" s="11">
        <f>IF(A118="",0,N('[1]基础资料'!$U$117))</f>
        <v>0</v>
      </c>
      <c r="E118" s="21">
        <f>IF(A118="",0,SUMIFS('[1]采购入库'!$U$4:$U$2003,'[1]采购入库'!$I$4:$I$2003,$A118))</f>
        <v>0</v>
      </c>
      <c r="F118" s="11">
        <f>IF(A118="",0,SUMIFS('[1]采购入库'!$V$4:$V$2003,'[1]采购入库'!$I$4:$I$2003,$A118))</f>
        <v>0</v>
      </c>
      <c r="G118" s="21">
        <f>IF(A118="",0,SUMIFS('[1]销售出库'!$R$4:$R$2003,'[1]销售出库'!$H$4:$H$2003,$A118))</f>
        <v>0</v>
      </c>
      <c r="H118" s="11">
        <f t="shared" si="3"/>
        <v>0</v>
      </c>
      <c r="I118" s="11">
        <f t="shared" si="0"/>
        <v>0</v>
      </c>
      <c r="J118" s="21">
        <f t="shared" si="1"/>
        <v>0</v>
      </c>
      <c r="K118" s="11">
        <f t="shared" si="2"/>
        <v>0</v>
      </c>
      <c r="L118" s="6">
        <f t="shared" si="4"/>
      </c>
      <c r="M118" s="21">
        <f>IF($A118="",0,SUMIFS('[1]销售出库'!$R$4:$R$2003,'[1]销售出库'!$H$4:$H$2003,$A118,'[1]销售出库'!$Q$4:$Q$2003,'首页'!$B$4*100+M$4))</f>
        <v>0</v>
      </c>
      <c r="N118" s="21">
        <f>IF($A118="",0,SUMIFS('[1]销售出库'!$R$4:$R$2003,'[1]销售出库'!$H$4:$H$2003,$A118,'[1]销售出库'!$Q$4:$Q$2003,'首页'!$B$4*100+N$4))</f>
        <v>0</v>
      </c>
      <c r="O118" s="21">
        <f>IF($A118="",0,SUMIFS('[1]销售出库'!$R$4:$R$2003,'[1]销售出库'!$H$4:$H$2003,$A118,'[1]销售出库'!$Q$4:$Q$2003,'首页'!$B$4*100+O$4))</f>
        <v>0</v>
      </c>
      <c r="P118" s="21">
        <f>IF($A118="",0,SUMIFS('[1]销售出库'!$R$4:$R$2003,'[1]销售出库'!$H$4:$H$2003,$A118,'[1]销售出库'!$Q$4:$Q$2003,'首页'!$B$4*100+P$4))</f>
        <v>0</v>
      </c>
      <c r="Q118" s="21">
        <f>IF($A118="",0,SUMIFS('[1]销售出库'!$R$4:$R$2003,'[1]销售出库'!$H$4:$H$2003,$A118,'[1]销售出库'!$Q$4:$Q$2003,'首页'!$B$4*100+Q$4))</f>
        <v>0</v>
      </c>
      <c r="R118" s="21">
        <f>IF($A118="",0,SUMIFS('[1]销售出库'!$R$4:$R$2003,'[1]销售出库'!$H$4:$H$2003,$A118,'[1]销售出库'!$Q$4:$Q$2003,'首页'!$B$4*100+R$4))</f>
        <v>0</v>
      </c>
      <c r="S118" s="21">
        <f>IF($A118="",0,SUMIFS('[1]销售出库'!$R$4:$R$2003,'[1]销售出库'!$H$4:$H$2003,$A118,'[1]销售出库'!$Q$4:$Q$2003,'首页'!$B$4*100+S$4))</f>
        <v>0</v>
      </c>
      <c r="T118" s="21">
        <f>IF($A118="",0,SUMIFS('[1]销售出库'!$R$4:$R$2003,'[1]销售出库'!$H$4:$H$2003,$A118,'[1]销售出库'!$Q$4:$Q$2003,'首页'!$B$4*100+T$4))</f>
        <v>0</v>
      </c>
      <c r="U118" s="21">
        <f>IF($A118="",0,SUMIFS('[1]销售出库'!$R$4:$R$2003,'[1]销售出库'!$H$4:$H$2003,$A118,'[1]销售出库'!$Q$4:$Q$2003,'首页'!$B$4*100+U$4))</f>
        <v>0</v>
      </c>
      <c r="V118" s="21">
        <f>IF($A118="",0,SUMIFS('[1]销售出库'!$R$4:$R$2003,'[1]销售出库'!$H$4:$H$2003,$A118,'[1]销售出库'!$Q$4:$Q$2003,'首页'!$B$4*100+V$4))</f>
        <v>0</v>
      </c>
      <c r="W118" s="21">
        <f>IF($A118="",0,SUMIFS('[1]销售出库'!$R$4:$R$2003,'[1]销售出库'!$H$4:$H$2003,$A118,'[1]销售出库'!$Q$4:$Q$2003,'首页'!$B$4*100+W$4))</f>
        <v>0</v>
      </c>
      <c r="X118" s="21">
        <f>IF($A118="",0,SUMIFS('[1]销售出库'!$R$4:$R$2003,'[1]销售出库'!$H$4:$H$2003,$A118,'[1]销售出库'!$Q$4:$Q$2003,'首页'!$B$4*100+X$4))</f>
        <v>0</v>
      </c>
    </row>
    <row r="119">
      <c r="A119" s="6">
        <f>IF('[1]基础资料'!$P$118="","",'[1]基础资料'!$P$118)</f>
      </c>
      <c r="B119" s="6">
        <f>IF(A119="","",'[1]基础资料'!$Q$118&amp;"")</f>
      </c>
      <c r="C119" s="21">
        <f>IF(A119="",0,N('[1]基础资料'!$S$118))</f>
        <v>0</v>
      </c>
      <c r="D119" s="11">
        <f>IF(A119="",0,N('[1]基础资料'!$U$118))</f>
        <v>0</v>
      </c>
      <c r="E119" s="21">
        <f>IF(A119="",0,SUMIFS('[1]采购入库'!$U$4:$U$2003,'[1]采购入库'!$I$4:$I$2003,$A119))</f>
        <v>0</v>
      </c>
      <c r="F119" s="11">
        <f>IF(A119="",0,SUMIFS('[1]采购入库'!$V$4:$V$2003,'[1]采购入库'!$I$4:$I$2003,$A119))</f>
        <v>0</v>
      </c>
      <c r="G119" s="21">
        <f>IF(A119="",0,SUMIFS('[1]销售出库'!$R$4:$R$2003,'[1]销售出库'!$H$4:$H$2003,$A119))</f>
        <v>0</v>
      </c>
      <c r="H119" s="11">
        <f t="shared" si="3"/>
        <v>0</v>
      </c>
      <c r="I119" s="11">
        <f t="shared" si="0"/>
        <v>0</v>
      </c>
      <c r="J119" s="21">
        <f t="shared" si="1"/>
        <v>0</v>
      </c>
      <c r="K119" s="11">
        <f t="shared" si="2"/>
        <v>0</v>
      </c>
      <c r="L119" s="6">
        <f t="shared" si="4"/>
      </c>
      <c r="M119" s="21">
        <f>IF($A119="",0,SUMIFS('[1]销售出库'!$R$4:$R$2003,'[1]销售出库'!$H$4:$H$2003,$A119,'[1]销售出库'!$Q$4:$Q$2003,'首页'!$B$4*100+M$4))</f>
        <v>0</v>
      </c>
      <c r="N119" s="21">
        <f>IF($A119="",0,SUMIFS('[1]销售出库'!$R$4:$R$2003,'[1]销售出库'!$H$4:$H$2003,$A119,'[1]销售出库'!$Q$4:$Q$2003,'首页'!$B$4*100+N$4))</f>
        <v>0</v>
      </c>
      <c r="O119" s="21">
        <f>IF($A119="",0,SUMIFS('[1]销售出库'!$R$4:$R$2003,'[1]销售出库'!$H$4:$H$2003,$A119,'[1]销售出库'!$Q$4:$Q$2003,'首页'!$B$4*100+O$4))</f>
        <v>0</v>
      </c>
      <c r="P119" s="21">
        <f>IF($A119="",0,SUMIFS('[1]销售出库'!$R$4:$R$2003,'[1]销售出库'!$H$4:$H$2003,$A119,'[1]销售出库'!$Q$4:$Q$2003,'首页'!$B$4*100+P$4))</f>
        <v>0</v>
      </c>
      <c r="Q119" s="21">
        <f>IF($A119="",0,SUMIFS('[1]销售出库'!$R$4:$R$2003,'[1]销售出库'!$H$4:$H$2003,$A119,'[1]销售出库'!$Q$4:$Q$2003,'首页'!$B$4*100+Q$4))</f>
        <v>0</v>
      </c>
      <c r="R119" s="21">
        <f>IF($A119="",0,SUMIFS('[1]销售出库'!$R$4:$R$2003,'[1]销售出库'!$H$4:$H$2003,$A119,'[1]销售出库'!$Q$4:$Q$2003,'首页'!$B$4*100+R$4))</f>
        <v>0</v>
      </c>
      <c r="S119" s="21">
        <f>IF($A119="",0,SUMIFS('[1]销售出库'!$R$4:$R$2003,'[1]销售出库'!$H$4:$H$2003,$A119,'[1]销售出库'!$Q$4:$Q$2003,'首页'!$B$4*100+S$4))</f>
        <v>0</v>
      </c>
      <c r="T119" s="21">
        <f>IF($A119="",0,SUMIFS('[1]销售出库'!$R$4:$R$2003,'[1]销售出库'!$H$4:$H$2003,$A119,'[1]销售出库'!$Q$4:$Q$2003,'首页'!$B$4*100+T$4))</f>
        <v>0</v>
      </c>
      <c r="U119" s="21">
        <f>IF($A119="",0,SUMIFS('[1]销售出库'!$R$4:$R$2003,'[1]销售出库'!$H$4:$H$2003,$A119,'[1]销售出库'!$Q$4:$Q$2003,'首页'!$B$4*100+U$4))</f>
        <v>0</v>
      </c>
      <c r="V119" s="21">
        <f>IF($A119="",0,SUMIFS('[1]销售出库'!$R$4:$R$2003,'[1]销售出库'!$H$4:$H$2003,$A119,'[1]销售出库'!$Q$4:$Q$2003,'首页'!$B$4*100+V$4))</f>
        <v>0</v>
      </c>
      <c r="W119" s="21">
        <f>IF($A119="",0,SUMIFS('[1]销售出库'!$R$4:$R$2003,'[1]销售出库'!$H$4:$H$2003,$A119,'[1]销售出库'!$Q$4:$Q$2003,'首页'!$B$4*100+W$4))</f>
        <v>0</v>
      </c>
      <c r="X119" s="21">
        <f>IF($A119="",0,SUMIFS('[1]销售出库'!$R$4:$R$2003,'[1]销售出库'!$H$4:$H$2003,$A119,'[1]销售出库'!$Q$4:$Q$2003,'首页'!$B$4*100+X$4))</f>
        <v>0</v>
      </c>
    </row>
    <row r="120">
      <c r="A120" s="6">
        <f>IF('[1]基础资料'!$P$119="","",'[1]基础资料'!$P$119)</f>
      </c>
      <c r="B120" s="6">
        <f>IF(A120="","",'[1]基础资料'!$Q$119&amp;"")</f>
      </c>
      <c r="C120" s="21">
        <f>IF(A120="",0,N('[1]基础资料'!$S$119))</f>
        <v>0</v>
      </c>
      <c r="D120" s="11">
        <f>IF(A120="",0,N('[1]基础资料'!$U$119))</f>
        <v>0</v>
      </c>
      <c r="E120" s="21">
        <f>IF(A120="",0,SUMIFS('[1]采购入库'!$U$4:$U$2003,'[1]采购入库'!$I$4:$I$2003,$A120))</f>
        <v>0</v>
      </c>
      <c r="F120" s="11">
        <f>IF(A120="",0,SUMIFS('[1]采购入库'!$V$4:$V$2003,'[1]采购入库'!$I$4:$I$2003,$A120))</f>
        <v>0</v>
      </c>
      <c r="G120" s="21">
        <f>IF(A120="",0,SUMIFS('[1]销售出库'!$R$4:$R$2003,'[1]销售出库'!$H$4:$H$2003,$A120))</f>
        <v>0</v>
      </c>
      <c r="H120" s="11">
        <f t="shared" si="3"/>
        <v>0</v>
      </c>
      <c r="I120" s="11">
        <f t="shared" si="0"/>
        <v>0</v>
      </c>
      <c r="J120" s="21">
        <f t="shared" si="1"/>
        <v>0</v>
      </c>
      <c r="K120" s="11">
        <f t="shared" si="2"/>
        <v>0</v>
      </c>
      <c r="L120" s="6">
        <f t="shared" si="4"/>
      </c>
      <c r="M120" s="21">
        <f>IF($A120="",0,SUMIFS('[1]销售出库'!$R$4:$R$2003,'[1]销售出库'!$H$4:$H$2003,$A120,'[1]销售出库'!$Q$4:$Q$2003,'首页'!$B$4*100+M$4))</f>
        <v>0</v>
      </c>
      <c r="N120" s="21">
        <f>IF($A120="",0,SUMIFS('[1]销售出库'!$R$4:$R$2003,'[1]销售出库'!$H$4:$H$2003,$A120,'[1]销售出库'!$Q$4:$Q$2003,'首页'!$B$4*100+N$4))</f>
        <v>0</v>
      </c>
      <c r="O120" s="21">
        <f>IF($A120="",0,SUMIFS('[1]销售出库'!$R$4:$R$2003,'[1]销售出库'!$H$4:$H$2003,$A120,'[1]销售出库'!$Q$4:$Q$2003,'首页'!$B$4*100+O$4))</f>
        <v>0</v>
      </c>
      <c r="P120" s="21">
        <f>IF($A120="",0,SUMIFS('[1]销售出库'!$R$4:$R$2003,'[1]销售出库'!$H$4:$H$2003,$A120,'[1]销售出库'!$Q$4:$Q$2003,'首页'!$B$4*100+P$4))</f>
        <v>0</v>
      </c>
      <c r="Q120" s="21">
        <f>IF($A120="",0,SUMIFS('[1]销售出库'!$R$4:$R$2003,'[1]销售出库'!$H$4:$H$2003,$A120,'[1]销售出库'!$Q$4:$Q$2003,'首页'!$B$4*100+Q$4))</f>
        <v>0</v>
      </c>
      <c r="R120" s="21">
        <f>IF($A120="",0,SUMIFS('[1]销售出库'!$R$4:$R$2003,'[1]销售出库'!$H$4:$H$2003,$A120,'[1]销售出库'!$Q$4:$Q$2003,'首页'!$B$4*100+R$4))</f>
        <v>0</v>
      </c>
      <c r="S120" s="21">
        <f>IF($A120="",0,SUMIFS('[1]销售出库'!$R$4:$R$2003,'[1]销售出库'!$H$4:$H$2003,$A120,'[1]销售出库'!$Q$4:$Q$2003,'首页'!$B$4*100+S$4))</f>
        <v>0</v>
      </c>
      <c r="T120" s="21">
        <f>IF($A120="",0,SUMIFS('[1]销售出库'!$R$4:$R$2003,'[1]销售出库'!$H$4:$H$2003,$A120,'[1]销售出库'!$Q$4:$Q$2003,'首页'!$B$4*100+T$4))</f>
        <v>0</v>
      </c>
      <c r="U120" s="21">
        <f>IF($A120="",0,SUMIFS('[1]销售出库'!$R$4:$R$2003,'[1]销售出库'!$H$4:$H$2003,$A120,'[1]销售出库'!$Q$4:$Q$2003,'首页'!$B$4*100+U$4))</f>
        <v>0</v>
      </c>
      <c r="V120" s="21">
        <f>IF($A120="",0,SUMIFS('[1]销售出库'!$R$4:$R$2003,'[1]销售出库'!$H$4:$H$2003,$A120,'[1]销售出库'!$Q$4:$Q$2003,'首页'!$B$4*100+V$4))</f>
        <v>0</v>
      </c>
      <c r="W120" s="21">
        <f>IF($A120="",0,SUMIFS('[1]销售出库'!$R$4:$R$2003,'[1]销售出库'!$H$4:$H$2003,$A120,'[1]销售出库'!$Q$4:$Q$2003,'首页'!$B$4*100+W$4))</f>
        <v>0</v>
      </c>
      <c r="X120" s="21">
        <f>IF($A120="",0,SUMIFS('[1]销售出库'!$R$4:$R$2003,'[1]销售出库'!$H$4:$H$2003,$A120,'[1]销售出库'!$Q$4:$Q$2003,'首页'!$B$4*100+X$4))</f>
        <v>0</v>
      </c>
    </row>
    <row r="121">
      <c r="A121" s="6">
        <f>IF('[1]基础资料'!$P$120="","",'[1]基础资料'!$P$120)</f>
      </c>
      <c r="B121" s="6">
        <f>IF(A121="","",'[1]基础资料'!$Q$120&amp;"")</f>
      </c>
      <c r="C121" s="21">
        <f>IF(A121="",0,N('[1]基础资料'!$S$120))</f>
        <v>0</v>
      </c>
      <c r="D121" s="11">
        <f>IF(A121="",0,N('[1]基础资料'!$U$120))</f>
        <v>0</v>
      </c>
      <c r="E121" s="21">
        <f>IF(A121="",0,SUMIFS('[1]采购入库'!$U$4:$U$2003,'[1]采购入库'!$I$4:$I$2003,$A121))</f>
        <v>0</v>
      </c>
      <c r="F121" s="11">
        <f>IF(A121="",0,SUMIFS('[1]采购入库'!$V$4:$V$2003,'[1]采购入库'!$I$4:$I$2003,$A121))</f>
        <v>0</v>
      </c>
      <c r="G121" s="21">
        <f>IF(A121="",0,SUMIFS('[1]销售出库'!$R$4:$R$2003,'[1]销售出库'!$H$4:$H$2003,$A121))</f>
        <v>0</v>
      </c>
      <c r="H121" s="11">
        <f t="shared" si="3"/>
        <v>0</v>
      </c>
      <c r="I121" s="11">
        <f t="shared" si="0"/>
        <v>0</v>
      </c>
      <c r="J121" s="21">
        <f t="shared" si="1"/>
        <v>0</v>
      </c>
      <c r="K121" s="11">
        <f t="shared" si="2"/>
        <v>0</v>
      </c>
      <c r="L121" s="6">
        <f t="shared" si="4"/>
      </c>
      <c r="M121" s="21">
        <f>IF($A121="",0,SUMIFS('[1]销售出库'!$R$4:$R$2003,'[1]销售出库'!$H$4:$H$2003,$A121,'[1]销售出库'!$Q$4:$Q$2003,'首页'!$B$4*100+M$4))</f>
        <v>0</v>
      </c>
      <c r="N121" s="21">
        <f>IF($A121="",0,SUMIFS('[1]销售出库'!$R$4:$R$2003,'[1]销售出库'!$H$4:$H$2003,$A121,'[1]销售出库'!$Q$4:$Q$2003,'首页'!$B$4*100+N$4))</f>
        <v>0</v>
      </c>
      <c r="O121" s="21">
        <f>IF($A121="",0,SUMIFS('[1]销售出库'!$R$4:$R$2003,'[1]销售出库'!$H$4:$H$2003,$A121,'[1]销售出库'!$Q$4:$Q$2003,'首页'!$B$4*100+O$4))</f>
        <v>0</v>
      </c>
      <c r="P121" s="21">
        <f>IF($A121="",0,SUMIFS('[1]销售出库'!$R$4:$R$2003,'[1]销售出库'!$H$4:$H$2003,$A121,'[1]销售出库'!$Q$4:$Q$2003,'首页'!$B$4*100+P$4))</f>
        <v>0</v>
      </c>
      <c r="Q121" s="21">
        <f>IF($A121="",0,SUMIFS('[1]销售出库'!$R$4:$R$2003,'[1]销售出库'!$H$4:$H$2003,$A121,'[1]销售出库'!$Q$4:$Q$2003,'首页'!$B$4*100+Q$4))</f>
        <v>0</v>
      </c>
      <c r="R121" s="21">
        <f>IF($A121="",0,SUMIFS('[1]销售出库'!$R$4:$R$2003,'[1]销售出库'!$H$4:$H$2003,$A121,'[1]销售出库'!$Q$4:$Q$2003,'首页'!$B$4*100+R$4))</f>
        <v>0</v>
      </c>
      <c r="S121" s="21">
        <f>IF($A121="",0,SUMIFS('[1]销售出库'!$R$4:$R$2003,'[1]销售出库'!$H$4:$H$2003,$A121,'[1]销售出库'!$Q$4:$Q$2003,'首页'!$B$4*100+S$4))</f>
        <v>0</v>
      </c>
      <c r="T121" s="21">
        <f>IF($A121="",0,SUMIFS('[1]销售出库'!$R$4:$R$2003,'[1]销售出库'!$H$4:$H$2003,$A121,'[1]销售出库'!$Q$4:$Q$2003,'首页'!$B$4*100+T$4))</f>
        <v>0</v>
      </c>
      <c r="U121" s="21">
        <f>IF($A121="",0,SUMIFS('[1]销售出库'!$R$4:$R$2003,'[1]销售出库'!$H$4:$H$2003,$A121,'[1]销售出库'!$Q$4:$Q$2003,'首页'!$B$4*100+U$4))</f>
        <v>0</v>
      </c>
      <c r="V121" s="21">
        <f>IF($A121="",0,SUMIFS('[1]销售出库'!$R$4:$R$2003,'[1]销售出库'!$H$4:$H$2003,$A121,'[1]销售出库'!$Q$4:$Q$2003,'首页'!$B$4*100+V$4))</f>
        <v>0</v>
      </c>
      <c r="W121" s="21">
        <f>IF($A121="",0,SUMIFS('[1]销售出库'!$R$4:$R$2003,'[1]销售出库'!$H$4:$H$2003,$A121,'[1]销售出库'!$Q$4:$Q$2003,'首页'!$B$4*100+W$4))</f>
        <v>0</v>
      </c>
      <c r="X121" s="21">
        <f>IF($A121="",0,SUMIFS('[1]销售出库'!$R$4:$R$2003,'[1]销售出库'!$H$4:$H$2003,$A121,'[1]销售出库'!$Q$4:$Q$2003,'首页'!$B$4*100+X$4))</f>
        <v>0</v>
      </c>
    </row>
    <row r="122">
      <c r="A122" s="6">
        <f>IF('[1]基础资料'!$P$121="","",'[1]基础资料'!$P$121)</f>
      </c>
      <c r="B122" s="6">
        <f>IF(A122="","",'[1]基础资料'!$Q$121&amp;"")</f>
      </c>
      <c r="C122" s="21">
        <f>IF(A122="",0,N('[1]基础资料'!$S$121))</f>
        <v>0</v>
      </c>
      <c r="D122" s="11">
        <f>IF(A122="",0,N('[1]基础资料'!$U$121))</f>
        <v>0</v>
      </c>
      <c r="E122" s="21">
        <f>IF(A122="",0,SUMIFS('[1]采购入库'!$U$4:$U$2003,'[1]采购入库'!$I$4:$I$2003,$A122))</f>
        <v>0</v>
      </c>
      <c r="F122" s="11">
        <f>IF(A122="",0,SUMIFS('[1]采购入库'!$V$4:$V$2003,'[1]采购入库'!$I$4:$I$2003,$A122))</f>
        <v>0</v>
      </c>
      <c r="G122" s="21">
        <f>IF(A122="",0,SUMIFS('[1]销售出库'!$R$4:$R$2003,'[1]销售出库'!$H$4:$H$2003,$A122))</f>
        <v>0</v>
      </c>
      <c r="H122" s="11">
        <f t="shared" si="3"/>
        <v>0</v>
      </c>
      <c r="I122" s="11">
        <f t="shared" si="0"/>
        <v>0</v>
      </c>
      <c r="J122" s="21">
        <f t="shared" si="1"/>
        <v>0</v>
      </c>
      <c r="K122" s="11">
        <f t="shared" si="2"/>
        <v>0</v>
      </c>
      <c r="L122" s="6">
        <f t="shared" si="4"/>
      </c>
      <c r="M122" s="21">
        <f>IF($A122="",0,SUMIFS('[1]销售出库'!$R$4:$R$2003,'[1]销售出库'!$H$4:$H$2003,$A122,'[1]销售出库'!$Q$4:$Q$2003,'首页'!$B$4*100+M$4))</f>
        <v>0</v>
      </c>
      <c r="N122" s="21">
        <f>IF($A122="",0,SUMIFS('[1]销售出库'!$R$4:$R$2003,'[1]销售出库'!$H$4:$H$2003,$A122,'[1]销售出库'!$Q$4:$Q$2003,'首页'!$B$4*100+N$4))</f>
        <v>0</v>
      </c>
      <c r="O122" s="21">
        <f>IF($A122="",0,SUMIFS('[1]销售出库'!$R$4:$R$2003,'[1]销售出库'!$H$4:$H$2003,$A122,'[1]销售出库'!$Q$4:$Q$2003,'首页'!$B$4*100+O$4))</f>
        <v>0</v>
      </c>
      <c r="P122" s="21">
        <f>IF($A122="",0,SUMIFS('[1]销售出库'!$R$4:$R$2003,'[1]销售出库'!$H$4:$H$2003,$A122,'[1]销售出库'!$Q$4:$Q$2003,'首页'!$B$4*100+P$4))</f>
        <v>0</v>
      </c>
      <c r="Q122" s="21">
        <f>IF($A122="",0,SUMIFS('[1]销售出库'!$R$4:$R$2003,'[1]销售出库'!$H$4:$H$2003,$A122,'[1]销售出库'!$Q$4:$Q$2003,'首页'!$B$4*100+Q$4))</f>
        <v>0</v>
      </c>
      <c r="R122" s="21">
        <f>IF($A122="",0,SUMIFS('[1]销售出库'!$R$4:$R$2003,'[1]销售出库'!$H$4:$H$2003,$A122,'[1]销售出库'!$Q$4:$Q$2003,'首页'!$B$4*100+R$4))</f>
        <v>0</v>
      </c>
      <c r="S122" s="21">
        <f>IF($A122="",0,SUMIFS('[1]销售出库'!$R$4:$R$2003,'[1]销售出库'!$H$4:$H$2003,$A122,'[1]销售出库'!$Q$4:$Q$2003,'首页'!$B$4*100+S$4))</f>
        <v>0</v>
      </c>
      <c r="T122" s="21">
        <f>IF($A122="",0,SUMIFS('[1]销售出库'!$R$4:$R$2003,'[1]销售出库'!$H$4:$H$2003,$A122,'[1]销售出库'!$Q$4:$Q$2003,'首页'!$B$4*100+T$4))</f>
        <v>0</v>
      </c>
      <c r="U122" s="21">
        <f>IF($A122="",0,SUMIFS('[1]销售出库'!$R$4:$R$2003,'[1]销售出库'!$H$4:$H$2003,$A122,'[1]销售出库'!$Q$4:$Q$2003,'首页'!$B$4*100+U$4))</f>
        <v>0</v>
      </c>
      <c r="V122" s="21">
        <f>IF($A122="",0,SUMIFS('[1]销售出库'!$R$4:$R$2003,'[1]销售出库'!$H$4:$H$2003,$A122,'[1]销售出库'!$Q$4:$Q$2003,'首页'!$B$4*100+V$4))</f>
        <v>0</v>
      </c>
      <c r="W122" s="21">
        <f>IF($A122="",0,SUMIFS('[1]销售出库'!$R$4:$R$2003,'[1]销售出库'!$H$4:$H$2003,$A122,'[1]销售出库'!$Q$4:$Q$2003,'首页'!$B$4*100+W$4))</f>
        <v>0</v>
      </c>
      <c r="X122" s="21">
        <f>IF($A122="",0,SUMIFS('[1]销售出库'!$R$4:$R$2003,'[1]销售出库'!$H$4:$H$2003,$A122,'[1]销售出库'!$Q$4:$Q$2003,'首页'!$B$4*100+X$4))</f>
        <v>0</v>
      </c>
    </row>
    <row r="123">
      <c r="A123" s="6">
        <f>IF('[1]基础资料'!$P$122="","",'[1]基础资料'!$P$122)</f>
      </c>
      <c r="B123" s="6">
        <f>IF(A123="","",'[1]基础资料'!$Q$122&amp;"")</f>
      </c>
      <c r="C123" s="21">
        <f>IF(A123="",0,N('[1]基础资料'!$S$122))</f>
        <v>0</v>
      </c>
      <c r="D123" s="11">
        <f>IF(A123="",0,N('[1]基础资料'!$U$122))</f>
        <v>0</v>
      </c>
      <c r="E123" s="21">
        <f>IF(A123="",0,SUMIFS('[1]采购入库'!$U$4:$U$2003,'[1]采购入库'!$I$4:$I$2003,$A123))</f>
        <v>0</v>
      </c>
      <c r="F123" s="11">
        <f>IF(A123="",0,SUMIFS('[1]采购入库'!$V$4:$V$2003,'[1]采购入库'!$I$4:$I$2003,$A123))</f>
        <v>0</v>
      </c>
      <c r="G123" s="21">
        <f>IF(A123="",0,SUMIFS('[1]销售出库'!$R$4:$R$2003,'[1]销售出库'!$H$4:$H$2003,$A123))</f>
        <v>0</v>
      </c>
      <c r="H123" s="11">
        <f t="shared" si="3"/>
        <v>0</v>
      </c>
      <c r="I123" s="11">
        <f t="shared" si="0"/>
        <v>0</v>
      </c>
      <c r="J123" s="21">
        <f t="shared" si="1"/>
        <v>0</v>
      </c>
      <c r="K123" s="11">
        <f t="shared" si="2"/>
        <v>0</v>
      </c>
      <c r="L123" s="6">
        <f t="shared" si="4"/>
      </c>
      <c r="M123" s="21">
        <f>IF($A123="",0,SUMIFS('[1]销售出库'!$R$4:$R$2003,'[1]销售出库'!$H$4:$H$2003,$A123,'[1]销售出库'!$Q$4:$Q$2003,'首页'!$B$4*100+M$4))</f>
        <v>0</v>
      </c>
      <c r="N123" s="21">
        <f>IF($A123="",0,SUMIFS('[1]销售出库'!$R$4:$R$2003,'[1]销售出库'!$H$4:$H$2003,$A123,'[1]销售出库'!$Q$4:$Q$2003,'首页'!$B$4*100+N$4))</f>
        <v>0</v>
      </c>
      <c r="O123" s="21">
        <f>IF($A123="",0,SUMIFS('[1]销售出库'!$R$4:$R$2003,'[1]销售出库'!$H$4:$H$2003,$A123,'[1]销售出库'!$Q$4:$Q$2003,'首页'!$B$4*100+O$4))</f>
        <v>0</v>
      </c>
      <c r="P123" s="21">
        <f>IF($A123="",0,SUMIFS('[1]销售出库'!$R$4:$R$2003,'[1]销售出库'!$H$4:$H$2003,$A123,'[1]销售出库'!$Q$4:$Q$2003,'首页'!$B$4*100+P$4))</f>
        <v>0</v>
      </c>
      <c r="Q123" s="21">
        <f>IF($A123="",0,SUMIFS('[1]销售出库'!$R$4:$R$2003,'[1]销售出库'!$H$4:$H$2003,$A123,'[1]销售出库'!$Q$4:$Q$2003,'首页'!$B$4*100+Q$4))</f>
        <v>0</v>
      </c>
      <c r="R123" s="21">
        <f>IF($A123="",0,SUMIFS('[1]销售出库'!$R$4:$R$2003,'[1]销售出库'!$H$4:$H$2003,$A123,'[1]销售出库'!$Q$4:$Q$2003,'首页'!$B$4*100+R$4))</f>
        <v>0</v>
      </c>
      <c r="S123" s="21">
        <f>IF($A123="",0,SUMIFS('[1]销售出库'!$R$4:$R$2003,'[1]销售出库'!$H$4:$H$2003,$A123,'[1]销售出库'!$Q$4:$Q$2003,'首页'!$B$4*100+S$4))</f>
        <v>0</v>
      </c>
      <c r="T123" s="21">
        <f>IF($A123="",0,SUMIFS('[1]销售出库'!$R$4:$R$2003,'[1]销售出库'!$H$4:$H$2003,$A123,'[1]销售出库'!$Q$4:$Q$2003,'首页'!$B$4*100+T$4))</f>
        <v>0</v>
      </c>
      <c r="U123" s="21">
        <f>IF($A123="",0,SUMIFS('[1]销售出库'!$R$4:$R$2003,'[1]销售出库'!$H$4:$H$2003,$A123,'[1]销售出库'!$Q$4:$Q$2003,'首页'!$B$4*100+U$4))</f>
        <v>0</v>
      </c>
      <c r="V123" s="21">
        <f>IF($A123="",0,SUMIFS('[1]销售出库'!$R$4:$R$2003,'[1]销售出库'!$H$4:$H$2003,$A123,'[1]销售出库'!$Q$4:$Q$2003,'首页'!$B$4*100+V$4))</f>
        <v>0</v>
      </c>
      <c r="W123" s="21">
        <f>IF($A123="",0,SUMIFS('[1]销售出库'!$R$4:$R$2003,'[1]销售出库'!$H$4:$H$2003,$A123,'[1]销售出库'!$Q$4:$Q$2003,'首页'!$B$4*100+W$4))</f>
        <v>0</v>
      </c>
      <c r="X123" s="21">
        <f>IF($A123="",0,SUMIFS('[1]销售出库'!$R$4:$R$2003,'[1]销售出库'!$H$4:$H$2003,$A123,'[1]销售出库'!$Q$4:$Q$2003,'首页'!$B$4*100+X$4))</f>
        <v>0</v>
      </c>
    </row>
    <row r="124">
      <c r="A124" s="6">
        <f>IF('[1]基础资料'!$P$123="","",'[1]基础资料'!$P$123)</f>
      </c>
      <c r="B124" s="6">
        <f>IF(A124="","",'[1]基础资料'!$Q$123&amp;"")</f>
      </c>
      <c r="C124" s="21">
        <f>IF(A124="",0,N('[1]基础资料'!$S$123))</f>
        <v>0</v>
      </c>
      <c r="D124" s="11">
        <f>IF(A124="",0,N('[1]基础资料'!$U$123))</f>
        <v>0</v>
      </c>
      <c r="E124" s="21">
        <f>IF(A124="",0,SUMIFS('[1]采购入库'!$U$4:$U$2003,'[1]采购入库'!$I$4:$I$2003,$A124))</f>
        <v>0</v>
      </c>
      <c r="F124" s="11">
        <f>IF(A124="",0,SUMIFS('[1]采购入库'!$V$4:$V$2003,'[1]采购入库'!$I$4:$I$2003,$A124))</f>
        <v>0</v>
      </c>
      <c r="G124" s="21">
        <f>IF(A124="",0,SUMIFS('[1]销售出库'!$R$4:$R$2003,'[1]销售出库'!$H$4:$H$2003,$A124))</f>
        <v>0</v>
      </c>
      <c r="H124" s="11">
        <f t="shared" si="3"/>
        <v>0</v>
      </c>
      <c r="I124" s="11">
        <f t="shared" si="0"/>
        <v>0</v>
      </c>
      <c r="J124" s="21">
        <f t="shared" si="1"/>
        <v>0</v>
      </c>
      <c r="K124" s="11">
        <f t="shared" si="2"/>
        <v>0</v>
      </c>
      <c r="L124" s="6">
        <f t="shared" si="4"/>
      </c>
      <c r="M124" s="21">
        <f>IF($A124="",0,SUMIFS('[1]销售出库'!$R$4:$R$2003,'[1]销售出库'!$H$4:$H$2003,$A124,'[1]销售出库'!$Q$4:$Q$2003,'首页'!$B$4*100+M$4))</f>
        <v>0</v>
      </c>
      <c r="N124" s="21">
        <f>IF($A124="",0,SUMIFS('[1]销售出库'!$R$4:$R$2003,'[1]销售出库'!$H$4:$H$2003,$A124,'[1]销售出库'!$Q$4:$Q$2003,'首页'!$B$4*100+N$4))</f>
        <v>0</v>
      </c>
      <c r="O124" s="21">
        <f>IF($A124="",0,SUMIFS('[1]销售出库'!$R$4:$R$2003,'[1]销售出库'!$H$4:$H$2003,$A124,'[1]销售出库'!$Q$4:$Q$2003,'首页'!$B$4*100+O$4))</f>
        <v>0</v>
      </c>
      <c r="P124" s="21">
        <f>IF($A124="",0,SUMIFS('[1]销售出库'!$R$4:$R$2003,'[1]销售出库'!$H$4:$H$2003,$A124,'[1]销售出库'!$Q$4:$Q$2003,'首页'!$B$4*100+P$4))</f>
        <v>0</v>
      </c>
      <c r="Q124" s="21">
        <f>IF($A124="",0,SUMIFS('[1]销售出库'!$R$4:$R$2003,'[1]销售出库'!$H$4:$H$2003,$A124,'[1]销售出库'!$Q$4:$Q$2003,'首页'!$B$4*100+Q$4))</f>
        <v>0</v>
      </c>
      <c r="R124" s="21">
        <f>IF($A124="",0,SUMIFS('[1]销售出库'!$R$4:$R$2003,'[1]销售出库'!$H$4:$H$2003,$A124,'[1]销售出库'!$Q$4:$Q$2003,'首页'!$B$4*100+R$4))</f>
        <v>0</v>
      </c>
      <c r="S124" s="21">
        <f>IF($A124="",0,SUMIFS('[1]销售出库'!$R$4:$R$2003,'[1]销售出库'!$H$4:$H$2003,$A124,'[1]销售出库'!$Q$4:$Q$2003,'首页'!$B$4*100+S$4))</f>
        <v>0</v>
      </c>
      <c r="T124" s="21">
        <f>IF($A124="",0,SUMIFS('[1]销售出库'!$R$4:$R$2003,'[1]销售出库'!$H$4:$H$2003,$A124,'[1]销售出库'!$Q$4:$Q$2003,'首页'!$B$4*100+T$4))</f>
        <v>0</v>
      </c>
      <c r="U124" s="21">
        <f>IF($A124="",0,SUMIFS('[1]销售出库'!$R$4:$R$2003,'[1]销售出库'!$H$4:$H$2003,$A124,'[1]销售出库'!$Q$4:$Q$2003,'首页'!$B$4*100+U$4))</f>
        <v>0</v>
      </c>
      <c r="V124" s="21">
        <f>IF($A124="",0,SUMIFS('[1]销售出库'!$R$4:$R$2003,'[1]销售出库'!$H$4:$H$2003,$A124,'[1]销售出库'!$Q$4:$Q$2003,'首页'!$B$4*100+V$4))</f>
        <v>0</v>
      </c>
      <c r="W124" s="21">
        <f>IF($A124="",0,SUMIFS('[1]销售出库'!$R$4:$R$2003,'[1]销售出库'!$H$4:$H$2003,$A124,'[1]销售出库'!$Q$4:$Q$2003,'首页'!$B$4*100+W$4))</f>
        <v>0</v>
      </c>
      <c r="X124" s="21">
        <f>IF($A124="",0,SUMIFS('[1]销售出库'!$R$4:$R$2003,'[1]销售出库'!$H$4:$H$2003,$A124,'[1]销售出库'!$Q$4:$Q$2003,'首页'!$B$4*100+X$4))</f>
        <v>0</v>
      </c>
    </row>
    <row r="125">
      <c r="A125" s="6">
        <f>IF('[1]基础资料'!$P$124="","",'[1]基础资料'!$P$124)</f>
      </c>
      <c r="B125" s="6">
        <f>IF(A125="","",'[1]基础资料'!$Q$124&amp;"")</f>
      </c>
      <c r="C125" s="21">
        <f>IF(A125="",0,N('[1]基础资料'!$S$124))</f>
        <v>0</v>
      </c>
      <c r="D125" s="11">
        <f>IF(A125="",0,N('[1]基础资料'!$U$124))</f>
        <v>0</v>
      </c>
      <c r="E125" s="21">
        <f>IF(A125="",0,SUMIFS('[1]采购入库'!$U$4:$U$2003,'[1]采购入库'!$I$4:$I$2003,$A125))</f>
        <v>0</v>
      </c>
      <c r="F125" s="11">
        <f>IF(A125="",0,SUMIFS('[1]采购入库'!$V$4:$V$2003,'[1]采购入库'!$I$4:$I$2003,$A125))</f>
        <v>0</v>
      </c>
      <c r="G125" s="21">
        <f>IF(A125="",0,SUMIFS('[1]销售出库'!$R$4:$R$2003,'[1]销售出库'!$H$4:$H$2003,$A125))</f>
        <v>0</v>
      </c>
      <c r="H125" s="11">
        <f t="shared" si="3"/>
        <v>0</v>
      </c>
      <c r="I125" s="11">
        <f t="shared" si="0"/>
        <v>0</v>
      </c>
      <c r="J125" s="21">
        <f t="shared" si="1"/>
        <v>0</v>
      </c>
      <c r="K125" s="11">
        <f t="shared" si="2"/>
        <v>0</v>
      </c>
      <c r="L125" s="6">
        <f t="shared" si="4"/>
      </c>
      <c r="M125" s="21">
        <f>IF($A125="",0,SUMIFS('[1]销售出库'!$R$4:$R$2003,'[1]销售出库'!$H$4:$H$2003,$A125,'[1]销售出库'!$Q$4:$Q$2003,'首页'!$B$4*100+M$4))</f>
        <v>0</v>
      </c>
      <c r="N125" s="21">
        <f>IF($A125="",0,SUMIFS('[1]销售出库'!$R$4:$R$2003,'[1]销售出库'!$H$4:$H$2003,$A125,'[1]销售出库'!$Q$4:$Q$2003,'首页'!$B$4*100+N$4))</f>
        <v>0</v>
      </c>
      <c r="O125" s="21">
        <f>IF($A125="",0,SUMIFS('[1]销售出库'!$R$4:$R$2003,'[1]销售出库'!$H$4:$H$2003,$A125,'[1]销售出库'!$Q$4:$Q$2003,'首页'!$B$4*100+O$4))</f>
        <v>0</v>
      </c>
      <c r="P125" s="21">
        <f>IF($A125="",0,SUMIFS('[1]销售出库'!$R$4:$R$2003,'[1]销售出库'!$H$4:$H$2003,$A125,'[1]销售出库'!$Q$4:$Q$2003,'首页'!$B$4*100+P$4))</f>
        <v>0</v>
      </c>
      <c r="Q125" s="21">
        <f>IF($A125="",0,SUMIFS('[1]销售出库'!$R$4:$R$2003,'[1]销售出库'!$H$4:$H$2003,$A125,'[1]销售出库'!$Q$4:$Q$2003,'首页'!$B$4*100+Q$4))</f>
        <v>0</v>
      </c>
      <c r="R125" s="21">
        <f>IF($A125="",0,SUMIFS('[1]销售出库'!$R$4:$R$2003,'[1]销售出库'!$H$4:$H$2003,$A125,'[1]销售出库'!$Q$4:$Q$2003,'首页'!$B$4*100+R$4))</f>
        <v>0</v>
      </c>
      <c r="S125" s="21">
        <f>IF($A125="",0,SUMIFS('[1]销售出库'!$R$4:$R$2003,'[1]销售出库'!$H$4:$H$2003,$A125,'[1]销售出库'!$Q$4:$Q$2003,'首页'!$B$4*100+S$4))</f>
        <v>0</v>
      </c>
      <c r="T125" s="21">
        <f>IF($A125="",0,SUMIFS('[1]销售出库'!$R$4:$R$2003,'[1]销售出库'!$H$4:$H$2003,$A125,'[1]销售出库'!$Q$4:$Q$2003,'首页'!$B$4*100+T$4))</f>
        <v>0</v>
      </c>
      <c r="U125" s="21">
        <f>IF($A125="",0,SUMIFS('[1]销售出库'!$R$4:$R$2003,'[1]销售出库'!$H$4:$H$2003,$A125,'[1]销售出库'!$Q$4:$Q$2003,'首页'!$B$4*100+U$4))</f>
        <v>0</v>
      </c>
      <c r="V125" s="21">
        <f>IF($A125="",0,SUMIFS('[1]销售出库'!$R$4:$R$2003,'[1]销售出库'!$H$4:$H$2003,$A125,'[1]销售出库'!$Q$4:$Q$2003,'首页'!$B$4*100+V$4))</f>
        <v>0</v>
      </c>
      <c r="W125" s="21">
        <f>IF($A125="",0,SUMIFS('[1]销售出库'!$R$4:$R$2003,'[1]销售出库'!$H$4:$H$2003,$A125,'[1]销售出库'!$Q$4:$Q$2003,'首页'!$B$4*100+W$4))</f>
        <v>0</v>
      </c>
      <c r="X125" s="21">
        <f>IF($A125="",0,SUMIFS('[1]销售出库'!$R$4:$R$2003,'[1]销售出库'!$H$4:$H$2003,$A125,'[1]销售出库'!$Q$4:$Q$2003,'首页'!$B$4*100+X$4))</f>
        <v>0</v>
      </c>
    </row>
    <row r="126">
      <c r="A126" s="6">
        <f>IF('[1]基础资料'!$P$125="","",'[1]基础资料'!$P$125)</f>
      </c>
      <c r="B126" s="6">
        <f>IF(A126="","",'[1]基础资料'!$Q$125&amp;"")</f>
      </c>
      <c r="C126" s="21">
        <f>IF(A126="",0,N('[1]基础资料'!$S$125))</f>
        <v>0</v>
      </c>
      <c r="D126" s="11">
        <f>IF(A126="",0,N('[1]基础资料'!$U$125))</f>
        <v>0</v>
      </c>
      <c r="E126" s="21">
        <f>IF(A126="",0,SUMIFS('[1]采购入库'!$U$4:$U$2003,'[1]采购入库'!$I$4:$I$2003,$A126))</f>
        <v>0</v>
      </c>
      <c r="F126" s="11">
        <f>IF(A126="",0,SUMIFS('[1]采购入库'!$V$4:$V$2003,'[1]采购入库'!$I$4:$I$2003,$A126))</f>
        <v>0</v>
      </c>
      <c r="G126" s="21">
        <f>IF(A126="",0,SUMIFS('[1]销售出库'!$R$4:$R$2003,'[1]销售出库'!$H$4:$H$2003,$A126))</f>
        <v>0</v>
      </c>
      <c r="H126" s="11">
        <f t="shared" si="3"/>
        <v>0</v>
      </c>
      <c r="I126" s="11">
        <f t="shared" si="0"/>
        <v>0</v>
      </c>
      <c r="J126" s="21">
        <f t="shared" si="1"/>
        <v>0</v>
      </c>
      <c r="K126" s="11">
        <f t="shared" si="2"/>
        <v>0</v>
      </c>
      <c r="L126" s="6">
        <f t="shared" si="4"/>
      </c>
      <c r="M126" s="21">
        <f>IF($A126="",0,SUMIFS('[1]销售出库'!$R$4:$R$2003,'[1]销售出库'!$H$4:$H$2003,$A126,'[1]销售出库'!$Q$4:$Q$2003,'首页'!$B$4*100+M$4))</f>
        <v>0</v>
      </c>
      <c r="N126" s="21">
        <f>IF($A126="",0,SUMIFS('[1]销售出库'!$R$4:$R$2003,'[1]销售出库'!$H$4:$H$2003,$A126,'[1]销售出库'!$Q$4:$Q$2003,'首页'!$B$4*100+N$4))</f>
        <v>0</v>
      </c>
      <c r="O126" s="21">
        <f>IF($A126="",0,SUMIFS('[1]销售出库'!$R$4:$R$2003,'[1]销售出库'!$H$4:$H$2003,$A126,'[1]销售出库'!$Q$4:$Q$2003,'首页'!$B$4*100+O$4))</f>
        <v>0</v>
      </c>
      <c r="P126" s="21">
        <f>IF($A126="",0,SUMIFS('[1]销售出库'!$R$4:$R$2003,'[1]销售出库'!$H$4:$H$2003,$A126,'[1]销售出库'!$Q$4:$Q$2003,'首页'!$B$4*100+P$4))</f>
        <v>0</v>
      </c>
      <c r="Q126" s="21">
        <f>IF($A126="",0,SUMIFS('[1]销售出库'!$R$4:$R$2003,'[1]销售出库'!$H$4:$H$2003,$A126,'[1]销售出库'!$Q$4:$Q$2003,'首页'!$B$4*100+Q$4))</f>
        <v>0</v>
      </c>
      <c r="R126" s="21">
        <f>IF($A126="",0,SUMIFS('[1]销售出库'!$R$4:$R$2003,'[1]销售出库'!$H$4:$H$2003,$A126,'[1]销售出库'!$Q$4:$Q$2003,'首页'!$B$4*100+R$4))</f>
        <v>0</v>
      </c>
      <c r="S126" s="21">
        <f>IF($A126="",0,SUMIFS('[1]销售出库'!$R$4:$R$2003,'[1]销售出库'!$H$4:$H$2003,$A126,'[1]销售出库'!$Q$4:$Q$2003,'首页'!$B$4*100+S$4))</f>
        <v>0</v>
      </c>
      <c r="T126" s="21">
        <f>IF($A126="",0,SUMIFS('[1]销售出库'!$R$4:$R$2003,'[1]销售出库'!$H$4:$H$2003,$A126,'[1]销售出库'!$Q$4:$Q$2003,'首页'!$B$4*100+T$4))</f>
        <v>0</v>
      </c>
      <c r="U126" s="21">
        <f>IF($A126="",0,SUMIFS('[1]销售出库'!$R$4:$R$2003,'[1]销售出库'!$H$4:$H$2003,$A126,'[1]销售出库'!$Q$4:$Q$2003,'首页'!$B$4*100+U$4))</f>
        <v>0</v>
      </c>
      <c r="V126" s="21">
        <f>IF($A126="",0,SUMIFS('[1]销售出库'!$R$4:$R$2003,'[1]销售出库'!$H$4:$H$2003,$A126,'[1]销售出库'!$Q$4:$Q$2003,'首页'!$B$4*100+V$4))</f>
        <v>0</v>
      </c>
      <c r="W126" s="21">
        <f>IF($A126="",0,SUMIFS('[1]销售出库'!$R$4:$R$2003,'[1]销售出库'!$H$4:$H$2003,$A126,'[1]销售出库'!$Q$4:$Q$2003,'首页'!$B$4*100+W$4))</f>
        <v>0</v>
      </c>
      <c r="X126" s="21">
        <f>IF($A126="",0,SUMIFS('[1]销售出库'!$R$4:$R$2003,'[1]销售出库'!$H$4:$H$2003,$A126,'[1]销售出库'!$Q$4:$Q$2003,'首页'!$B$4*100+X$4))</f>
        <v>0</v>
      </c>
    </row>
    <row r="127">
      <c r="A127" s="6">
        <f>IF('[1]基础资料'!$P$126="","",'[1]基础资料'!$P$126)</f>
      </c>
      <c r="B127" s="6">
        <f>IF(A127="","",'[1]基础资料'!$Q$126&amp;"")</f>
      </c>
      <c r="C127" s="21">
        <f>IF(A127="",0,N('[1]基础资料'!$S$126))</f>
        <v>0</v>
      </c>
      <c r="D127" s="11">
        <f>IF(A127="",0,N('[1]基础资料'!$U$126))</f>
        <v>0</v>
      </c>
      <c r="E127" s="21">
        <f>IF(A127="",0,SUMIFS('[1]采购入库'!$U$4:$U$2003,'[1]采购入库'!$I$4:$I$2003,$A127))</f>
        <v>0</v>
      </c>
      <c r="F127" s="11">
        <f>IF(A127="",0,SUMIFS('[1]采购入库'!$V$4:$V$2003,'[1]采购入库'!$I$4:$I$2003,$A127))</f>
        <v>0</v>
      </c>
      <c r="G127" s="21">
        <f>IF(A127="",0,SUMIFS('[1]销售出库'!$R$4:$R$2003,'[1]销售出库'!$H$4:$H$2003,$A127))</f>
        <v>0</v>
      </c>
      <c r="H127" s="11">
        <f t="shared" si="3"/>
        <v>0</v>
      </c>
      <c r="I127" s="11">
        <f t="shared" si="0"/>
        <v>0</v>
      </c>
      <c r="J127" s="21">
        <f t="shared" si="1"/>
        <v>0</v>
      </c>
      <c r="K127" s="11">
        <f t="shared" si="2"/>
        <v>0</v>
      </c>
      <c r="L127" s="6">
        <f t="shared" si="4"/>
      </c>
      <c r="M127" s="21">
        <f>IF($A127="",0,SUMIFS('[1]销售出库'!$R$4:$R$2003,'[1]销售出库'!$H$4:$H$2003,$A127,'[1]销售出库'!$Q$4:$Q$2003,'首页'!$B$4*100+M$4))</f>
        <v>0</v>
      </c>
      <c r="N127" s="21">
        <f>IF($A127="",0,SUMIFS('[1]销售出库'!$R$4:$R$2003,'[1]销售出库'!$H$4:$H$2003,$A127,'[1]销售出库'!$Q$4:$Q$2003,'首页'!$B$4*100+N$4))</f>
        <v>0</v>
      </c>
      <c r="O127" s="21">
        <f>IF($A127="",0,SUMIFS('[1]销售出库'!$R$4:$R$2003,'[1]销售出库'!$H$4:$H$2003,$A127,'[1]销售出库'!$Q$4:$Q$2003,'首页'!$B$4*100+O$4))</f>
        <v>0</v>
      </c>
      <c r="P127" s="21">
        <f>IF($A127="",0,SUMIFS('[1]销售出库'!$R$4:$R$2003,'[1]销售出库'!$H$4:$H$2003,$A127,'[1]销售出库'!$Q$4:$Q$2003,'首页'!$B$4*100+P$4))</f>
        <v>0</v>
      </c>
      <c r="Q127" s="21">
        <f>IF($A127="",0,SUMIFS('[1]销售出库'!$R$4:$R$2003,'[1]销售出库'!$H$4:$H$2003,$A127,'[1]销售出库'!$Q$4:$Q$2003,'首页'!$B$4*100+Q$4))</f>
        <v>0</v>
      </c>
      <c r="R127" s="21">
        <f>IF($A127="",0,SUMIFS('[1]销售出库'!$R$4:$R$2003,'[1]销售出库'!$H$4:$H$2003,$A127,'[1]销售出库'!$Q$4:$Q$2003,'首页'!$B$4*100+R$4))</f>
        <v>0</v>
      </c>
      <c r="S127" s="21">
        <f>IF($A127="",0,SUMIFS('[1]销售出库'!$R$4:$R$2003,'[1]销售出库'!$H$4:$H$2003,$A127,'[1]销售出库'!$Q$4:$Q$2003,'首页'!$B$4*100+S$4))</f>
        <v>0</v>
      </c>
      <c r="T127" s="21">
        <f>IF($A127="",0,SUMIFS('[1]销售出库'!$R$4:$R$2003,'[1]销售出库'!$H$4:$H$2003,$A127,'[1]销售出库'!$Q$4:$Q$2003,'首页'!$B$4*100+T$4))</f>
        <v>0</v>
      </c>
      <c r="U127" s="21">
        <f>IF($A127="",0,SUMIFS('[1]销售出库'!$R$4:$R$2003,'[1]销售出库'!$H$4:$H$2003,$A127,'[1]销售出库'!$Q$4:$Q$2003,'首页'!$B$4*100+U$4))</f>
        <v>0</v>
      </c>
      <c r="V127" s="21">
        <f>IF($A127="",0,SUMIFS('[1]销售出库'!$R$4:$R$2003,'[1]销售出库'!$H$4:$H$2003,$A127,'[1]销售出库'!$Q$4:$Q$2003,'首页'!$B$4*100+V$4))</f>
        <v>0</v>
      </c>
      <c r="W127" s="21">
        <f>IF($A127="",0,SUMIFS('[1]销售出库'!$R$4:$R$2003,'[1]销售出库'!$H$4:$H$2003,$A127,'[1]销售出库'!$Q$4:$Q$2003,'首页'!$B$4*100+W$4))</f>
        <v>0</v>
      </c>
      <c r="X127" s="21">
        <f>IF($A127="",0,SUMIFS('[1]销售出库'!$R$4:$R$2003,'[1]销售出库'!$H$4:$H$2003,$A127,'[1]销售出库'!$Q$4:$Q$2003,'首页'!$B$4*100+X$4))</f>
        <v>0</v>
      </c>
    </row>
    <row r="128">
      <c r="A128" s="6">
        <f>IF('[1]基础资料'!$P$127="","",'[1]基础资料'!$P$127)</f>
      </c>
      <c r="B128" s="6">
        <f>IF(A128="","",'[1]基础资料'!$Q$127&amp;"")</f>
      </c>
      <c r="C128" s="21">
        <f>IF(A128="",0,N('[1]基础资料'!$S$127))</f>
        <v>0</v>
      </c>
      <c r="D128" s="11">
        <f>IF(A128="",0,N('[1]基础资料'!$U$127))</f>
        <v>0</v>
      </c>
      <c r="E128" s="21">
        <f>IF(A128="",0,SUMIFS('[1]采购入库'!$U$4:$U$2003,'[1]采购入库'!$I$4:$I$2003,$A128))</f>
        <v>0</v>
      </c>
      <c r="F128" s="11">
        <f>IF(A128="",0,SUMIFS('[1]采购入库'!$V$4:$V$2003,'[1]采购入库'!$I$4:$I$2003,$A128))</f>
        <v>0</v>
      </c>
      <c r="G128" s="21">
        <f>IF(A128="",0,SUMIFS('[1]销售出库'!$R$4:$R$2003,'[1]销售出库'!$H$4:$H$2003,$A128))</f>
        <v>0</v>
      </c>
      <c r="H128" s="11">
        <f t="shared" si="3"/>
        <v>0</v>
      </c>
      <c r="I128" s="11">
        <f t="shared" si="0"/>
        <v>0</v>
      </c>
      <c r="J128" s="21">
        <f t="shared" si="1"/>
        <v>0</v>
      </c>
      <c r="K128" s="11">
        <f t="shared" si="2"/>
        <v>0</v>
      </c>
      <c r="L128" s="6">
        <f t="shared" si="4"/>
      </c>
      <c r="M128" s="21">
        <f>IF($A128="",0,SUMIFS('[1]销售出库'!$R$4:$R$2003,'[1]销售出库'!$H$4:$H$2003,$A128,'[1]销售出库'!$Q$4:$Q$2003,'首页'!$B$4*100+M$4))</f>
        <v>0</v>
      </c>
      <c r="N128" s="21">
        <f>IF($A128="",0,SUMIFS('[1]销售出库'!$R$4:$R$2003,'[1]销售出库'!$H$4:$H$2003,$A128,'[1]销售出库'!$Q$4:$Q$2003,'首页'!$B$4*100+N$4))</f>
        <v>0</v>
      </c>
      <c r="O128" s="21">
        <f>IF($A128="",0,SUMIFS('[1]销售出库'!$R$4:$R$2003,'[1]销售出库'!$H$4:$H$2003,$A128,'[1]销售出库'!$Q$4:$Q$2003,'首页'!$B$4*100+O$4))</f>
        <v>0</v>
      </c>
      <c r="P128" s="21">
        <f>IF($A128="",0,SUMIFS('[1]销售出库'!$R$4:$R$2003,'[1]销售出库'!$H$4:$H$2003,$A128,'[1]销售出库'!$Q$4:$Q$2003,'首页'!$B$4*100+P$4))</f>
        <v>0</v>
      </c>
      <c r="Q128" s="21">
        <f>IF($A128="",0,SUMIFS('[1]销售出库'!$R$4:$R$2003,'[1]销售出库'!$H$4:$H$2003,$A128,'[1]销售出库'!$Q$4:$Q$2003,'首页'!$B$4*100+Q$4))</f>
        <v>0</v>
      </c>
      <c r="R128" s="21">
        <f>IF($A128="",0,SUMIFS('[1]销售出库'!$R$4:$R$2003,'[1]销售出库'!$H$4:$H$2003,$A128,'[1]销售出库'!$Q$4:$Q$2003,'首页'!$B$4*100+R$4))</f>
        <v>0</v>
      </c>
      <c r="S128" s="21">
        <f>IF($A128="",0,SUMIFS('[1]销售出库'!$R$4:$R$2003,'[1]销售出库'!$H$4:$H$2003,$A128,'[1]销售出库'!$Q$4:$Q$2003,'首页'!$B$4*100+S$4))</f>
        <v>0</v>
      </c>
      <c r="T128" s="21">
        <f>IF($A128="",0,SUMIFS('[1]销售出库'!$R$4:$R$2003,'[1]销售出库'!$H$4:$H$2003,$A128,'[1]销售出库'!$Q$4:$Q$2003,'首页'!$B$4*100+T$4))</f>
        <v>0</v>
      </c>
      <c r="U128" s="21">
        <f>IF($A128="",0,SUMIFS('[1]销售出库'!$R$4:$R$2003,'[1]销售出库'!$H$4:$H$2003,$A128,'[1]销售出库'!$Q$4:$Q$2003,'首页'!$B$4*100+U$4))</f>
        <v>0</v>
      </c>
      <c r="V128" s="21">
        <f>IF($A128="",0,SUMIFS('[1]销售出库'!$R$4:$R$2003,'[1]销售出库'!$H$4:$H$2003,$A128,'[1]销售出库'!$Q$4:$Q$2003,'首页'!$B$4*100+V$4))</f>
        <v>0</v>
      </c>
      <c r="W128" s="21">
        <f>IF($A128="",0,SUMIFS('[1]销售出库'!$R$4:$R$2003,'[1]销售出库'!$H$4:$H$2003,$A128,'[1]销售出库'!$Q$4:$Q$2003,'首页'!$B$4*100+W$4))</f>
        <v>0</v>
      </c>
      <c r="X128" s="21">
        <f>IF($A128="",0,SUMIFS('[1]销售出库'!$R$4:$R$2003,'[1]销售出库'!$H$4:$H$2003,$A128,'[1]销售出库'!$Q$4:$Q$2003,'首页'!$B$4*100+X$4))</f>
        <v>0</v>
      </c>
    </row>
    <row r="129">
      <c r="A129" s="6">
        <f>IF('[1]基础资料'!$P$128="","",'[1]基础资料'!$P$128)</f>
      </c>
      <c r="B129" s="6">
        <f>IF(A129="","",'[1]基础资料'!$Q$128&amp;"")</f>
      </c>
      <c r="C129" s="21">
        <f>IF(A129="",0,N('[1]基础资料'!$S$128))</f>
        <v>0</v>
      </c>
      <c r="D129" s="11">
        <f>IF(A129="",0,N('[1]基础资料'!$U$128))</f>
        <v>0</v>
      </c>
      <c r="E129" s="21">
        <f>IF(A129="",0,SUMIFS('[1]采购入库'!$U$4:$U$2003,'[1]采购入库'!$I$4:$I$2003,$A129))</f>
        <v>0</v>
      </c>
      <c r="F129" s="11">
        <f>IF(A129="",0,SUMIFS('[1]采购入库'!$V$4:$V$2003,'[1]采购入库'!$I$4:$I$2003,$A129))</f>
        <v>0</v>
      </c>
      <c r="G129" s="21">
        <f>IF(A129="",0,SUMIFS('[1]销售出库'!$R$4:$R$2003,'[1]销售出库'!$H$4:$H$2003,$A129))</f>
        <v>0</v>
      </c>
      <c r="H129" s="11">
        <f t="shared" si="3"/>
        <v>0</v>
      </c>
      <c r="I129" s="11">
        <f t="shared" si="0"/>
        <v>0</v>
      </c>
      <c r="J129" s="21">
        <f t="shared" si="1"/>
        <v>0</v>
      </c>
      <c r="K129" s="11">
        <f t="shared" si="2"/>
        <v>0</v>
      </c>
      <c r="L129" s="6">
        <f t="shared" si="4"/>
      </c>
      <c r="M129" s="21">
        <f>IF($A129="",0,SUMIFS('[1]销售出库'!$R$4:$R$2003,'[1]销售出库'!$H$4:$H$2003,$A129,'[1]销售出库'!$Q$4:$Q$2003,'首页'!$B$4*100+M$4))</f>
        <v>0</v>
      </c>
      <c r="N129" s="21">
        <f>IF($A129="",0,SUMIFS('[1]销售出库'!$R$4:$R$2003,'[1]销售出库'!$H$4:$H$2003,$A129,'[1]销售出库'!$Q$4:$Q$2003,'首页'!$B$4*100+N$4))</f>
        <v>0</v>
      </c>
      <c r="O129" s="21">
        <f>IF($A129="",0,SUMIFS('[1]销售出库'!$R$4:$R$2003,'[1]销售出库'!$H$4:$H$2003,$A129,'[1]销售出库'!$Q$4:$Q$2003,'首页'!$B$4*100+O$4))</f>
        <v>0</v>
      </c>
      <c r="P129" s="21">
        <f>IF($A129="",0,SUMIFS('[1]销售出库'!$R$4:$R$2003,'[1]销售出库'!$H$4:$H$2003,$A129,'[1]销售出库'!$Q$4:$Q$2003,'首页'!$B$4*100+P$4))</f>
        <v>0</v>
      </c>
      <c r="Q129" s="21">
        <f>IF($A129="",0,SUMIFS('[1]销售出库'!$R$4:$R$2003,'[1]销售出库'!$H$4:$H$2003,$A129,'[1]销售出库'!$Q$4:$Q$2003,'首页'!$B$4*100+Q$4))</f>
        <v>0</v>
      </c>
      <c r="R129" s="21">
        <f>IF($A129="",0,SUMIFS('[1]销售出库'!$R$4:$R$2003,'[1]销售出库'!$H$4:$H$2003,$A129,'[1]销售出库'!$Q$4:$Q$2003,'首页'!$B$4*100+R$4))</f>
        <v>0</v>
      </c>
      <c r="S129" s="21">
        <f>IF($A129="",0,SUMIFS('[1]销售出库'!$R$4:$R$2003,'[1]销售出库'!$H$4:$H$2003,$A129,'[1]销售出库'!$Q$4:$Q$2003,'首页'!$B$4*100+S$4))</f>
        <v>0</v>
      </c>
      <c r="T129" s="21">
        <f>IF($A129="",0,SUMIFS('[1]销售出库'!$R$4:$R$2003,'[1]销售出库'!$H$4:$H$2003,$A129,'[1]销售出库'!$Q$4:$Q$2003,'首页'!$B$4*100+T$4))</f>
        <v>0</v>
      </c>
      <c r="U129" s="21">
        <f>IF($A129="",0,SUMIFS('[1]销售出库'!$R$4:$R$2003,'[1]销售出库'!$H$4:$H$2003,$A129,'[1]销售出库'!$Q$4:$Q$2003,'首页'!$B$4*100+U$4))</f>
        <v>0</v>
      </c>
      <c r="V129" s="21">
        <f>IF($A129="",0,SUMIFS('[1]销售出库'!$R$4:$R$2003,'[1]销售出库'!$H$4:$H$2003,$A129,'[1]销售出库'!$Q$4:$Q$2003,'首页'!$B$4*100+V$4))</f>
        <v>0</v>
      </c>
      <c r="W129" s="21">
        <f>IF($A129="",0,SUMIFS('[1]销售出库'!$R$4:$R$2003,'[1]销售出库'!$H$4:$H$2003,$A129,'[1]销售出库'!$Q$4:$Q$2003,'首页'!$B$4*100+W$4))</f>
        <v>0</v>
      </c>
      <c r="X129" s="21">
        <f>IF($A129="",0,SUMIFS('[1]销售出库'!$R$4:$R$2003,'[1]销售出库'!$H$4:$H$2003,$A129,'[1]销售出库'!$Q$4:$Q$2003,'首页'!$B$4*100+X$4))</f>
        <v>0</v>
      </c>
    </row>
    <row r="130">
      <c r="A130" s="6">
        <f>IF('[1]基础资料'!$P$129="","",'[1]基础资料'!$P$129)</f>
      </c>
      <c r="B130" s="6">
        <f>IF(A130="","",'[1]基础资料'!$Q$129&amp;"")</f>
      </c>
      <c r="C130" s="21">
        <f>IF(A130="",0,N('[1]基础资料'!$S$129))</f>
        <v>0</v>
      </c>
      <c r="D130" s="11">
        <f>IF(A130="",0,N('[1]基础资料'!$U$129))</f>
        <v>0</v>
      </c>
      <c r="E130" s="21">
        <f>IF(A130="",0,SUMIFS('[1]采购入库'!$U$4:$U$2003,'[1]采购入库'!$I$4:$I$2003,$A130))</f>
        <v>0</v>
      </c>
      <c r="F130" s="11">
        <f>IF(A130="",0,SUMIFS('[1]采购入库'!$V$4:$V$2003,'[1]采购入库'!$I$4:$I$2003,$A130))</f>
        <v>0</v>
      </c>
      <c r="G130" s="21">
        <f>IF(A130="",0,SUMIFS('[1]销售出库'!$R$4:$R$2003,'[1]销售出库'!$H$4:$H$2003,$A130))</f>
        <v>0</v>
      </c>
      <c r="H130" s="11">
        <f t="shared" si="3"/>
        <v>0</v>
      </c>
      <c r="I130" s="11">
        <f t="shared" si="0"/>
        <v>0</v>
      </c>
      <c r="J130" s="21">
        <f t="shared" si="1"/>
        <v>0</v>
      </c>
      <c r="K130" s="11">
        <f t="shared" si="2"/>
        <v>0</v>
      </c>
      <c r="L130" s="6">
        <f t="shared" si="4"/>
      </c>
      <c r="M130" s="21">
        <f>IF($A130="",0,SUMIFS('[1]销售出库'!$R$4:$R$2003,'[1]销售出库'!$H$4:$H$2003,$A130,'[1]销售出库'!$Q$4:$Q$2003,'首页'!$B$4*100+M$4))</f>
        <v>0</v>
      </c>
      <c r="N130" s="21">
        <f>IF($A130="",0,SUMIFS('[1]销售出库'!$R$4:$R$2003,'[1]销售出库'!$H$4:$H$2003,$A130,'[1]销售出库'!$Q$4:$Q$2003,'首页'!$B$4*100+N$4))</f>
        <v>0</v>
      </c>
      <c r="O130" s="21">
        <f>IF($A130="",0,SUMIFS('[1]销售出库'!$R$4:$R$2003,'[1]销售出库'!$H$4:$H$2003,$A130,'[1]销售出库'!$Q$4:$Q$2003,'首页'!$B$4*100+O$4))</f>
        <v>0</v>
      </c>
      <c r="P130" s="21">
        <f>IF($A130="",0,SUMIFS('[1]销售出库'!$R$4:$R$2003,'[1]销售出库'!$H$4:$H$2003,$A130,'[1]销售出库'!$Q$4:$Q$2003,'首页'!$B$4*100+P$4))</f>
        <v>0</v>
      </c>
      <c r="Q130" s="21">
        <f>IF($A130="",0,SUMIFS('[1]销售出库'!$R$4:$R$2003,'[1]销售出库'!$H$4:$H$2003,$A130,'[1]销售出库'!$Q$4:$Q$2003,'首页'!$B$4*100+Q$4))</f>
        <v>0</v>
      </c>
      <c r="R130" s="21">
        <f>IF($A130="",0,SUMIFS('[1]销售出库'!$R$4:$R$2003,'[1]销售出库'!$H$4:$H$2003,$A130,'[1]销售出库'!$Q$4:$Q$2003,'首页'!$B$4*100+R$4))</f>
        <v>0</v>
      </c>
      <c r="S130" s="21">
        <f>IF($A130="",0,SUMIFS('[1]销售出库'!$R$4:$R$2003,'[1]销售出库'!$H$4:$H$2003,$A130,'[1]销售出库'!$Q$4:$Q$2003,'首页'!$B$4*100+S$4))</f>
        <v>0</v>
      </c>
      <c r="T130" s="21">
        <f>IF($A130="",0,SUMIFS('[1]销售出库'!$R$4:$R$2003,'[1]销售出库'!$H$4:$H$2003,$A130,'[1]销售出库'!$Q$4:$Q$2003,'首页'!$B$4*100+T$4))</f>
        <v>0</v>
      </c>
      <c r="U130" s="21">
        <f>IF($A130="",0,SUMIFS('[1]销售出库'!$R$4:$R$2003,'[1]销售出库'!$H$4:$H$2003,$A130,'[1]销售出库'!$Q$4:$Q$2003,'首页'!$B$4*100+U$4))</f>
        <v>0</v>
      </c>
      <c r="V130" s="21">
        <f>IF($A130="",0,SUMIFS('[1]销售出库'!$R$4:$R$2003,'[1]销售出库'!$H$4:$H$2003,$A130,'[1]销售出库'!$Q$4:$Q$2003,'首页'!$B$4*100+V$4))</f>
        <v>0</v>
      </c>
      <c r="W130" s="21">
        <f>IF($A130="",0,SUMIFS('[1]销售出库'!$R$4:$R$2003,'[1]销售出库'!$H$4:$H$2003,$A130,'[1]销售出库'!$Q$4:$Q$2003,'首页'!$B$4*100+W$4))</f>
        <v>0</v>
      </c>
      <c r="X130" s="21">
        <f>IF($A130="",0,SUMIFS('[1]销售出库'!$R$4:$R$2003,'[1]销售出库'!$H$4:$H$2003,$A130,'[1]销售出库'!$Q$4:$Q$2003,'首页'!$B$4*100+X$4))</f>
        <v>0</v>
      </c>
    </row>
    <row r="131">
      <c r="A131" s="6">
        <f>IF('[1]基础资料'!$P$130="","",'[1]基础资料'!$P$130)</f>
      </c>
      <c r="B131" s="6">
        <f>IF(A131="","",'[1]基础资料'!$Q$130&amp;"")</f>
      </c>
      <c r="C131" s="21">
        <f>IF(A131="",0,N('[1]基础资料'!$S$130))</f>
        <v>0</v>
      </c>
      <c r="D131" s="11">
        <f>IF(A131="",0,N('[1]基础资料'!$U$130))</f>
        <v>0</v>
      </c>
      <c r="E131" s="21">
        <f>IF(A131="",0,SUMIFS('[1]采购入库'!$U$4:$U$2003,'[1]采购入库'!$I$4:$I$2003,$A131))</f>
        <v>0</v>
      </c>
      <c r="F131" s="11">
        <f>IF(A131="",0,SUMIFS('[1]采购入库'!$V$4:$V$2003,'[1]采购入库'!$I$4:$I$2003,$A131))</f>
        <v>0</v>
      </c>
      <c r="G131" s="21">
        <f>IF(A131="",0,SUMIFS('[1]销售出库'!$R$4:$R$2003,'[1]销售出库'!$H$4:$H$2003,$A131))</f>
        <v>0</v>
      </c>
      <c r="H131" s="11">
        <f t="shared" si="3"/>
        <v>0</v>
      </c>
      <c r="I131" s="11">
        <f t="shared" si="0"/>
        <v>0</v>
      </c>
      <c r="J131" s="21">
        <f t="shared" si="1"/>
        <v>0</v>
      </c>
      <c r="K131" s="11">
        <f t="shared" si="2"/>
        <v>0</v>
      </c>
      <c r="L131" s="6">
        <f t="shared" si="4"/>
      </c>
      <c r="M131" s="21">
        <f>IF($A131="",0,SUMIFS('[1]销售出库'!$R$4:$R$2003,'[1]销售出库'!$H$4:$H$2003,$A131,'[1]销售出库'!$Q$4:$Q$2003,'首页'!$B$4*100+M$4))</f>
        <v>0</v>
      </c>
      <c r="N131" s="21">
        <f>IF($A131="",0,SUMIFS('[1]销售出库'!$R$4:$R$2003,'[1]销售出库'!$H$4:$H$2003,$A131,'[1]销售出库'!$Q$4:$Q$2003,'首页'!$B$4*100+N$4))</f>
        <v>0</v>
      </c>
      <c r="O131" s="21">
        <f>IF($A131="",0,SUMIFS('[1]销售出库'!$R$4:$R$2003,'[1]销售出库'!$H$4:$H$2003,$A131,'[1]销售出库'!$Q$4:$Q$2003,'首页'!$B$4*100+O$4))</f>
        <v>0</v>
      </c>
      <c r="P131" s="21">
        <f>IF($A131="",0,SUMIFS('[1]销售出库'!$R$4:$R$2003,'[1]销售出库'!$H$4:$H$2003,$A131,'[1]销售出库'!$Q$4:$Q$2003,'首页'!$B$4*100+P$4))</f>
        <v>0</v>
      </c>
      <c r="Q131" s="21">
        <f>IF($A131="",0,SUMIFS('[1]销售出库'!$R$4:$R$2003,'[1]销售出库'!$H$4:$H$2003,$A131,'[1]销售出库'!$Q$4:$Q$2003,'首页'!$B$4*100+Q$4))</f>
        <v>0</v>
      </c>
      <c r="R131" s="21">
        <f>IF($A131="",0,SUMIFS('[1]销售出库'!$R$4:$R$2003,'[1]销售出库'!$H$4:$H$2003,$A131,'[1]销售出库'!$Q$4:$Q$2003,'首页'!$B$4*100+R$4))</f>
        <v>0</v>
      </c>
      <c r="S131" s="21">
        <f>IF($A131="",0,SUMIFS('[1]销售出库'!$R$4:$R$2003,'[1]销售出库'!$H$4:$H$2003,$A131,'[1]销售出库'!$Q$4:$Q$2003,'首页'!$B$4*100+S$4))</f>
        <v>0</v>
      </c>
      <c r="T131" s="21">
        <f>IF($A131="",0,SUMIFS('[1]销售出库'!$R$4:$R$2003,'[1]销售出库'!$H$4:$H$2003,$A131,'[1]销售出库'!$Q$4:$Q$2003,'首页'!$B$4*100+T$4))</f>
        <v>0</v>
      </c>
      <c r="U131" s="21">
        <f>IF($A131="",0,SUMIFS('[1]销售出库'!$R$4:$R$2003,'[1]销售出库'!$H$4:$H$2003,$A131,'[1]销售出库'!$Q$4:$Q$2003,'首页'!$B$4*100+U$4))</f>
        <v>0</v>
      </c>
      <c r="V131" s="21">
        <f>IF($A131="",0,SUMIFS('[1]销售出库'!$R$4:$R$2003,'[1]销售出库'!$H$4:$H$2003,$A131,'[1]销售出库'!$Q$4:$Q$2003,'首页'!$B$4*100+V$4))</f>
        <v>0</v>
      </c>
      <c r="W131" s="21">
        <f>IF($A131="",0,SUMIFS('[1]销售出库'!$R$4:$R$2003,'[1]销售出库'!$H$4:$H$2003,$A131,'[1]销售出库'!$Q$4:$Q$2003,'首页'!$B$4*100+W$4))</f>
        <v>0</v>
      </c>
      <c r="X131" s="21">
        <f>IF($A131="",0,SUMIFS('[1]销售出库'!$R$4:$R$2003,'[1]销售出库'!$H$4:$H$2003,$A131,'[1]销售出库'!$Q$4:$Q$2003,'首页'!$B$4*100+X$4))</f>
        <v>0</v>
      </c>
    </row>
    <row r="132">
      <c r="A132" s="6">
        <f>IF('[1]基础资料'!$P$131="","",'[1]基础资料'!$P$131)</f>
      </c>
      <c r="B132" s="6">
        <f>IF(A132="","",'[1]基础资料'!$Q$131&amp;"")</f>
      </c>
      <c r="C132" s="21">
        <f>IF(A132="",0,N('[1]基础资料'!$S$131))</f>
        <v>0</v>
      </c>
      <c r="D132" s="11">
        <f>IF(A132="",0,N('[1]基础资料'!$U$131))</f>
        <v>0</v>
      </c>
      <c r="E132" s="21">
        <f>IF(A132="",0,SUMIFS('[1]采购入库'!$U$4:$U$2003,'[1]采购入库'!$I$4:$I$2003,$A132))</f>
        <v>0</v>
      </c>
      <c r="F132" s="11">
        <f>IF(A132="",0,SUMIFS('[1]采购入库'!$V$4:$V$2003,'[1]采购入库'!$I$4:$I$2003,$A132))</f>
        <v>0</v>
      </c>
      <c r="G132" s="21">
        <f>IF(A132="",0,SUMIFS('[1]销售出库'!$R$4:$R$2003,'[1]销售出库'!$H$4:$H$2003,$A132))</f>
        <v>0</v>
      </c>
      <c r="H132" s="11">
        <f t="shared" si="3"/>
        <v>0</v>
      </c>
      <c r="I132" s="11">
        <f t="shared" si="0"/>
        <v>0</v>
      </c>
      <c r="J132" s="21">
        <f t="shared" si="1"/>
        <v>0</v>
      </c>
      <c r="K132" s="11">
        <f t="shared" si="2"/>
        <v>0</v>
      </c>
      <c r="L132" s="6">
        <f t="shared" si="4"/>
      </c>
      <c r="M132" s="21">
        <f>IF($A132="",0,SUMIFS('[1]销售出库'!$R$4:$R$2003,'[1]销售出库'!$H$4:$H$2003,$A132,'[1]销售出库'!$Q$4:$Q$2003,'首页'!$B$4*100+M$4))</f>
        <v>0</v>
      </c>
      <c r="N132" s="21">
        <f>IF($A132="",0,SUMIFS('[1]销售出库'!$R$4:$R$2003,'[1]销售出库'!$H$4:$H$2003,$A132,'[1]销售出库'!$Q$4:$Q$2003,'首页'!$B$4*100+N$4))</f>
        <v>0</v>
      </c>
      <c r="O132" s="21">
        <f>IF($A132="",0,SUMIFS('[1]销售出库'!$R$4:$R$2003,'[1]销售出库'!$H$4:$H$2003,$A132,'[1]销售出库'!$Q$4:$Q$2003,'首页'!$B$4*100+O$4))</f>
        <v>0</v>
      </c>
      <c r="P132" s="21">
        <f>IF($A132="",0,SUMIFS('[1]销售出库'!$R$4:$R$2003,'[1]销售出库'!$H$4:$H$2003,$A132,'[1]销售出库'!$Q$4:$Q$2003,'首页'!$B$4*100+P$4))</f>
        <v>0</v>
      </c>
      <c r="Q132" s="21">
        <f>IF($A132="",0,SUMIFS('[1]销售出库'!$R$4:$R$2003,'[1]销售出库'!$H$4:$H$2003,$A132,'[1]销售出库'!$Q$4:$Q$2003,'首页'!$B$4*100+Q$4))</f>
        <v>0</v>
      </c>
      <c r="R132" s="21">
        <f>IF($A132="",0,SUMIFS('[1]销售出库'!$R$4:$R$2003,'[1]销售出库'!$H$4:$H$2003,$A132,'[1]销售出库'!$Q$4:$Q$2003,'首页'!$B$4*100+R$4))</f>
        <v>0</v>
      </c>
      <c r="S132" s="21">
        <f>IF($A132="",0,SUMIFS('[1]销售出库'!$R$4:$R$2003,'[1]销售出库'!$H$4:$H$2003,$A132,'[1]销售出库'!$Q$4:$Q$2003,'首页'!$B$4*100+S$4))</f>
        <v>0</v>
      </c>
      <c r="T132" s="21">
        <f>IF($A132="",0,SUMIFS('[1]销售出库'!$R$4:$R$2003,'[1]销售出库'!$H$4:$H$2003,$A132,'[1]销售出库'!$Q$4:$Q$2003,'首页'!$B$4*100+T$4))</f>
        <v>0</v>
      </c>
      <c r="U132" s="21">
        <f>IF($A132="",0,SUMIFS('[1]销售出库'!$R$4:$R$2003,'[1]销售出库'!$H$4:$H$2003,$A132,'[1]销售出库'!$Q$4:$Q$2003,'首页'!$B$4*100+U$4))</f>
        <v>0</v>
      </c>
      <c r="V132" s="21">
        <f>IF($A132="",0,SUMIFS('[1]销售出库'!$R$4:$R$2003,'[1]销售出库'!$H$4:$H$2003,$A132,'[1]销售出库'!$Q$4:$Q$2003,'首页'!$B$4*100+V$4))</f>
        <v>0</v>
      </c>
      <c r="W132" s="21">
        <f>IF($A132="",0,SUMIFS('[1]销售出库'!$R$4:$R$2003,'[1]销售出库'!$H$4:$H$2003,$A132,'[1]销售出库'!$Q$4:$Q$2003,'首页'!$B$4*100+W$4))</f>
        <v>0</v>
      </c>
      <c r="X132" s="21">
        <f>IF($A132="",0,SUMIFS('[1]销售出库'!$R$4:$R$2003,'[1]销售出库'!$H$4:$H$2003,$A132,'[1]销售出库'!$Q$4:$Q$2003,'首页'!$B$4*100+X$4))</f>
        <v>0</v>
      </c>
    </row>
    <row r="133">
      <c r="A133" s="6">
        <f>IF('[1]基础资料'!$P$132="","",'[1]基础资料'!$P$132)</f>
      </c>
      <c r="B133" s="6">
        <f>IF(A133="","",'[1]基础资料'!$Q$132&amp;"")</f>
      </c>
      <c r="C133" s="21">
        <f>IF(A133="",0,N('[1]基础资料'!$S$132))</f>
        <v>0</v>
      </c>
      <c r="D133" s="11">
        <f>IF(A133="",0,N('[1]基础资料'!$U$132))</f>
        <v>0</v>
      </c>
      <c r="E133" s="21">
        <f>IF(A133="",0,SUMIFS('[1]采购入库'!$U$4:$U$2003,'[1]采购入库'!$I$4:$I$2003,$A133))</f>
        <v>0</v>
      </c>
      <c r="F133" s="11">
        <f>IF(A133="",0,SUMIFS('[1]采购入库'!$V$4:$V$2003,'[1]采购入库'!$I$4:$I$2003,$A133))</f>
        <v>0</v>
      </c>
      <c r="G133" s="21">
        <f>IF(A133="",0,SUMIFS('[1]销售出库'!$R$4:$R$2003,'[1]销售出库'!$H$4:$H$2003,$A133))</f>
        <v>0</v>
      </c>
      <c r="H133" s="11">
        <f t="shared" si="3"/>
        <v>0</v>
      </c>
      <c r="I133" s="11">
        <f t="shared" si="0"/>
        <v>0</v>
      </c>
      <c r="J133" s="21">
        <f t="shared" si="1"/>
        <v>0</v>
      </c>
      <c r="K133" s="11">
        <f t="shared" si="2"/>
        <v>0</v>
      </c>
      <c r="L133" s="6">
        <f t="shared" si="4"/>
      </c>
      <c r="M133" s="21">
        <f>IF($A133="",0,SUMIFS('[1]销售出库'!$R$4:$R$2003,'[1]销售出库'!$H$4:$H$2003,$A133,'[1]销售出库'!$Q$4:$Q$2003,'首页'!$B$4*100+M$4))</f>
        <v>0</v>
      </c>
      <c r="N133" s="21">
        <f>IF($A133="",0,SUMIFS('[1]销售出库'!$R$4:$R$2003,'[1]销售出库'!$H$4:$H$2003,$A133,'[1]销售出库'!$Q$4:$Q$2003,'首页'!$B$4*100+N$4))</f>
        <v>0</v>
      </c>
      <c r="O133" s="21">
        <f>IF($A133="",0,SUMIFS('[1]销售出库'!$R$4:$R$2003,'[1]销售出库'!$H$4:$H$2003,$A133,'[1]销售出库'!$Q$4:$Q$2003,'首页'!$B$4*100+O$4))</f>
        <v>0</v>
      </c>
      <c r="P133" s="21">
        <f>IF($A133="",0,SUMIFS('[1]销售出库'!$R$4:$R$2003,'[1]销售出库'!$H$4:$H$2003,$A133,'[1]销售出库'!$Q$4:$Q$2003,'首页'!$B$4*100+P$4))</f>
        <v>0</v>
      </c>
      <c r="Q133" s="21">
        <f>IF($A133="",0,SUMIFS('[1]销售出库'!$R$4:$R$2003,'[1]销售出库'!$H$4:$H$2003,$A133,'[1]销售出库'!$Q$4:$Q$2003,'首页'!$B$4*100+Q$4))</f>
        <v>0</v>
      </c>
      <c r="R133" s="21">
        <f>IF($A133="",0,SUMIFS('[1]销售出库'!$R$4:$R$2003,'[1]销售出库'!$H$4:$H$2003,$A133,'[1]销售出库'!$Q$4:$Q$2003,'首页'!$B$4*100+R$4))</f>
        <v>0</v>
      </c>
      <c r="S133" s="21">
        <f>IF($A133="",0,SUMIFS('[1]销售出库'!$R$4:$R$2003,'[1]销售出库'!$H$4:$H$2003,$A133,'[1]销售出库'!$Q$4:$Q$2003,'首页'!$B$4*100+S$4))</f>
        <v>0</v>
      </c>
      <c r="T133" s="21">
        <f>IF($A133="",0,SUMIFS('[1]销售出库'!$R$4:$R$2003,'[1]销售出库'!$H$4:$H$2003,$A133,'[1]销售出库'!$Q$4:$Q$2003,'首页'!$B$4*100+T$4))</f>
        <v>0</v>
      </c>
      <c r="U133" s="21">
        <f>IF($A133="",0,SUMIFS('[1]销售出库'!$R$4:$R$2003,'[1]销售出库'!$H$4:$H$2003,$A133,'[1]销售出库'!$Q$4:$Q$2003,'首页'!$B$4*100+U$4))</f>
        <v>0</v>
      </c>
      <c r="V133" s="21">
        <f>IF($A133="",0,SUMIFS('[1]销售出库'!$R$4:$R$2003,'[1]销售出库'!$H$4:$H$2003,$A133,'[1]销售出库'!$Q$4:$Q$2003,'首页'!$B$4*100+V$4))</f>
        <v>0</v>
      </c>
      <c r="W133" s="21">
        <f>IF($A133="",0,SUMIFS('[1]销售出库'!$R$4:$R$2003,'[1]销售出库'!$H$4:$H$2003,$A133,'[1]销售出库'!$Q$4:$Q$2003,'首页'!$B$4*100+W$4))</f>
        <v>0</v>
      </c>
      <c r="X133" s="21">
        <f>IF($A133="",0,SUMIFS('[1]销售出库'!$R$4:$R$2003,'[1]销售出库'!$H$4:$H$2003,$A133,'[1]销售出库'!$Q$4:$Q$2003,'首页'!$B$4*100+X$4))</f>
        <v>0</v>
      </c>
    </row>
    <row r="134">
      <c r="A134" s="6">
        <f>IF('[1]基础资料'!$P$133="","",'[1]基础资料'!$P$133)</f>
      </c>
      <c r="B134" s="6">
        <f>IF(A134="","",'[1]基础资料'!$Q$133&amp;"")</f>
      </c>
      <c r="C134" s="21">
        <f>IF(A134="",0,N('[1]基础资料'!$S$133))</f>
        <v>0</v>
      </c>
      <c r="D134" s="11">
        <f>IF(A134="",0,N('[1]基础资料'!$U$133))</f>
        <v>0</v>
      </c>
      <c r="E134" s="21">
        <f>IF(A134="",0,SUMIFS('[1]采购入库'!$U$4:$U$2003,'[1]采购入库'!$I$4:$I$2003,$A134))</f>
        <v>0</v>
      </c>
      <c r="F134" s="11">
        <f>IF(A134="",0,SUMIFS('[1]采购入库'!$V$4:$V$2003,'[1]采购入库'!$I$4:$I$2003,$A134))</f>
        <v>0</v>
      </c>
      <c r="G134" s="21">
        <f>IF(A134="",0,SUMIFS('[1]销售出库'!$R$4:$R$2003,'[1]销售出库'!$H$4:$H$2003,$A134))</f>
        <v>0</v>
      </c>
      <c r="H134" s="11">
        <f t="shared" si="3"/>
        <v>0</v>
      </c>
      <c r="I134" s="11">
        <f t="shared" si="0"/>
        <v>0</v>
      </c>
      <c r="J134" s="21">
        <f t="shared" si="1"/>
        <v>0</v>
      </c>
      <c r="K134" s="11">
        <f t="shared" si="2"/>
        <v>0</v>
      </c>
      <c r="L134" s="6">
        <f t="shared" si="4"/>
      </c>
      <c r="M134" s="21">
        <f>IF($A134="",0,SUMIFS('[1]销售出库'!$R$4:$R$2003,'[1]销售出库'!$H$4:$H$2003,$A134,'[1]销售出库'!$Q$4:$Q$2003,'首页'!$B$4*100+M$4))</f>
        <v>0</v>
      </c>
      <c r="N134" s="21">
        <f>IF($A134="",0,SUMIFS('[1]销售出库'!$R$4:$R$2003,'[1]销售出库'!$H$4:$H$2003,$A134,'[1]销售出库'!$Q$4:$Q$2003,'首页'!$B$4*100+N$4))</f>
        <v>0</v>
      </c>
      <c r="O134" s="21">
        <f>IF($A134="",0,SUMIFS('[1]销售出库'!$R$4:$R$2003,'[1]销售出库'!$H$4:$H$2003,$A134,'[1]销售出库'!$Q$4:$Q$2003,'首页'!$B$4*100+O$4))</f>
        <v>0</v>
      </c>
      <c r="P134" s="21">
        <f>IF($A134="",0,SUMIFS('[1]销售出库'!$R$4:$R$2003,'[1]销售出库'!$H$4:$H$2003,$A134,'[1]销售出库'!$Q$4:$Q$2003,'首页'!$B$4*100+P$4))</f>
        <v>0</v>
      </c>
      <c r="Q134" s="21">
        <f>IF($A134="",0,SUMIFS('[1]销售出库'!$R$4:$R$2003,'[1]销售出库'!$H$4:$H$2003,$A134,'[1]销售出库'!$Q$4:$Q$2003,'首页'!$B$4*100+Q$4))</f>
        <v>0</v>
      </c>
      <c r="R134" s="21">
        <f>IF($A134="",0,SUMIFS('[1]销售出库'!$R$4:$R$2003,'[1]销售出库'!$H$4:$H$2003,$A134,'[1]销售出库'!$Q$4:$Q$2003,'首页'!$B$4*100+R$4))</f>
        <v>0</v>
      </c>
      <c r="S134" s="21">
        <f>IF($A134="",0,SUMIFS('[1]销售出库'!$R$4:$R$2003,'[1]销售出库'!$H$4:$H$2003,$A134,'[1]销售出库'!$Q$4:$Q$2003,'首页'!$B$4*100+S$4))</f>
        <v>0</v>
      </c>
      <c r="T134" s="21">
        <f>IF($A134="",0,SUMIFS('[1]销售出库'!$R$4:$R$2003,'[1]销售出库'!$H$4:$H$2003,$A134,'[1]销售出库'!$Q$4:$Q$2003,'首页'!$B$4*100+T$4))</f>
        <v>0</v>
      </c>
      <c r="U134" s="21">
        <f>IF($A134="",0,SUMIFS('[1]销售出库'!$R$4:$R$2003,'[1]销售出库'!$H$4:$H$2003,$A134,'[1]销售出库'!$Q$4:$Q$2003,'首页'!$B$4*100+U$4))</f>
        <v>0</v>
      </c>
      <c r="V134" s="21">
        <f>IF($A134="",0,SUMIFS('[1]销售出库'!$R$4:$R$2003,'[1]销售出库'!$H$4:$H$2003,$A134,'[1]销售出库'!$Q$4:$Q$2003,'首页'!$B$4*100+V$4))</f>
        <v>0</v>
      </c>
      <c r="W134" s="21">
        <f>IF($A134="",0,SUMIFS('[1]销售出库'!$R$4:$R$2003,'[1]销售出库'!$H$4:$H$2003,$A134,'[1]销售出库'!$Q$4:$Q$2003,'首页'!$B$4*100+W$4))</f>
        <v>0</v>
      </c>
      <c r="X134" s="21">
        <f>IF($A134="",0,SUMIFS('[1]销售出库'!$R$4:$R$2003,'[1]销售出库'!$H$4:$H$2003,$A134,'[1]销售出库'!$Q$4:$Q$2003,'首页'!$B$4*100+X$4))</f>
        <v>0</v>
      </c>
    </row>
    <row r="135">
      <c r="A135" s="6">
        <f>IF('[1]基础资料'!$P$134="","",'[1]基础资料'!$P$134)</f>
      </c>
      <c r="B135" s="6">
        <f>IF(A135="","",'[1]基础资料'!$Q$134&amp;"")</f>
      </c>
      <c r="C135" s="21">
        <f>IF(A135="",0,N('[1]基础资料'!$S$134))</f>
        <v>0</v>
      </c>
      <c r="D135" s="11">
        <f>IF(A135="",0,N('[1]基础资料'!$U$134))</f>
        <v>0</v>
      </c>
      <c r="E135" s="21">
        <f>IF(A135="",0,SUMIFS('[1]采购入库'!$U$4:$U$2003,'[1]采购入库'!$I$4:$I$2003,$A135))</f>
        <v>0</v>
      </c>
      <c r="F135" s="11">
        <f>IF(A135="",0,SUMIFS('[1]采购入库'!$V$4:$V$2003,'[1]采购入库'!$I$4:$I$2003,$A135))</f>
        <v>0</v>
      </c>
      <c r="G135" s="21">
        <f>IF(A135="",0,SUMIFS('[1]销售出库'!$R$4:$R$2003,'[1]销售出库'!$H$4:$H$2003,$A135))</f>
        <v>0</v>
      </c>
      <c r="H135" s="11">
        <f t="shared" si="3"/>
        <v>0</v>
      </c>
      <c r="I135" s="11">
        <f t="shared" si="0"/>
        <v>0</v>
      </c>
      <c r="J135" s="21">
        <f t="shared" si="1"/>
        <v>0</v>
      </c>
      <c r="K135" s="11">
        <f t="shared" si="2"/>
        <v>0</v>
      </c>
      <c r="L135" s="6">
        <f t="shared" si="4"/>
      </c>
      <c r="M135" s="21">
        <f>IF($A135="",0,SUMIFS('[1]销售出库'!$R$4:$R$2003,'[1]销售出库'!$H$4:$H$2003,$A135,'[1]销售出库'!$Q$4:$Q$2003,'首页'!$B$4*100+M$4))</f>
        <v>0</v>
      </c>
      <c r="N135" s="21">
        <f>IF($A135="",0,SUMIFS('[1]销售出库'!$R$4:$R$2003,'[1]销售出库'!$H$4:$H$2003,$A135,'[1]销售出库'!$Q$4:$Q$2003,'首页'!$B$4*100+N$4))</f>
        <v>0</v>
      </c>
      <c r="O135" s="21">
        <f>IF($A135="",0,SUMIFS('[1]销售出库'!$R$4:$R$2003,'[1]销售出库'!$H$4:$H$2003,$A135,'[1]销售出库'!$Q$4:$Q$2003,'首页'!$B$4*100+O$4))</f>
        <v>0</v>
      </c>
      <c r="P135" s="21">
        <f>IF($A135="",0,SUMIFS('[1]销售出库'!$R$4:$R$2003,'[1]销售出库'!$H$4:$H$2003,$A135,'[1]销售出库'!$Q$4:$Q$2003,'首页'!$B$4*100+P$4))</f>
        <v>0</v>
      </c>
      <c r="Q135" s="21">
        <f>IF($A135="",0,SUMIFS('[1]销售出库'!$R$4:$R$2003,'[1]销售出库'!$H$4:$H$2003,$A135,'[1]销售出库'!$Q$4:$Q$2003,'首页'!$B$4*100+Q$4))</f>
        <v>0</v>
      </c>
      <c r="R135" s="21">
        <f>IF($A135="",0,SUMIFS('[1]销售出库'!$R$4:$R$2003,'[1]销售出库'!$H$4:$H$2003,$A135,'[1]销售出库'!$Q$4:$Q$2003,'首页'!$B$4*100+R$4))</f>
        <v>0</v>
      </c>
      <c r="S135" s="21">
        <f>IF($A135="",0,SUMIFS('[1]销售出库'!$R$4:$R$2003,'[1]销售出库'!$H$4:$H$2003,$A135,'[1]销售出库'!$Q$4:$Q$2003,'首页'!$B$4*100+S$4))</f>
        <v>0</v>
      </c>
      <c r="T135" s="21">
        <f>IF($A135="",0,SUMIFS('[1]销售出库'!$R$4:$R$2003,'[1]销售出库'!$H$4:$H$2003,$A135,'[1]销售出库'!$Q$4:$Q$2003,'首页'!$B$4*100+T$4))</f>
        <v>0</v>
      </c>
      <c r="U135" s="21">
        <f>IF($A135="",0,SUMIFS('[1]销售出库'!$R$4:$R$2003,'[1]销售出库'!$H$4:$H$2003,$A135,'[1]销售出库'!$Q$4:$Q$2003,'首页'!$B$4*100+U$4))</f>
        <v>0</v>
      </c>
      <c r="V135" s="21">
        <f>IF($A135="",0,SUMIFS('[1]销售出库'!$R$4:$R$2003,'[1]销售出库'!$H$4:$H$2003,$A135,'[1]销售出库'!$Q$4:$Q$2003,'首页'!$B$4*100+V$4))</f>
        <v>0</v>
      </c>
      <c r="W135" s="21">
        <f>IF($A135="",0,SUMIFS('[1]销售出库'!$R$4:$R$2003,'[1]销售出库'!$H$4:$H$2003,$A135,'[1]销售出库'!$Q$4:$Q$2003,'首页'!$B$4*100+W$4))</f>
        <v>0</v>
      </c>
      <c r="X135" s="21">
        <f>IF($A135="",0,SUMIFS('[1]销售出库'!$R$4:$R$2003,'[1]销售出库'!$H$4:$H$2003,$A135,'[1]销售出库'!$Q$4:$Q$2003,'首页'!$B$4*100+X$4))</f>
        <v>0</v>
      </c>
    </row>
    <row r="136">
      <c r="A136" s="6">
        <f>IF('[1]基础资料'!$P$135="","",'[1]基础资料'!$P$135)</f>
      </c>
      <c r="B136" s="6">
        <f>IF(A136="","",'[1]基础资料'!$Q$135&amp;"")</f>
      </c>
      <c r="C136" s="21">
        <f>IF(A136="",0,N('[1]基础资料'!$S$135))</f>
        <v>0</v>
      </c>
      <c r="D136" s="11">
        <f>IF(A136="",0,N('[1]基础资料'!$U$135))</f>
        <v>0</v>
      </c>
      <c r="E136" s="21">
        <f>IF(A136="",0,SUMIFS('[1]采购入库'!$U$4:$U$2003,'[1]采购入库'!$I$4:$I$2003,$A136))</f>
        <v>0</v>
      </c>
      <c r="F136" s="11">
        <f>IF(A136="",0,SUMIFS('[1]采购入库'!$V$4:$V$2003,'[1]采购入库'!$I$4:$I$2003,$A136))</f>
        <v>0</v>
      </c>
      <c r="G136" s="21">
        <f>IF(A136="",0,SUMIFS('[1]销售出库'!$R$4:$R$2003,'[1]销售出库'!$H$4:$H$2003,$A136))</f>
        <v>0</v>
      </c>
      <c r="H136" s="11">
        <f t="shared" si="3"/>
        <v>0</v>
      </c>
      <c r="I136" s="11">
        <f t="shared" si="0"/>
        <v>0</v>
      </c>
      <c r="J136" s="21">
        <f t="shared" si="1"/>
        <v>0</v>
      </c>
      <c r="K136" s="11">
        <f t="shared" si="2"/>
        <v>0</v>
      </c>
      <c r="L136" s="6">
        <f t="shared" si="4"/>
      </c>
      <c r="M136" s="21">
        <f>IF($A136="",0,SUMIFS('[1]销售出库'!$R$4:$R$2003,'[1]销售出库'!$H$4:$H$2003,$A136,'[1]销售出库'!$Q$4:$Q$2003,'首页'!$B$4*100+M$4))</f>
        <v>0</v>
      </c>
      <c r="N136" s="21">
        <f>IF($A136="",0,SUMIFS('[1]销售出库'!$R$4:$R$2003,'[1]销售出库'!$H$4:$H$2003,$A136,'[1]销售出库'!$Q$4:$Q$2003,'首页'!$B$4*100+N$4))</f>
        <v>0</v>
      </c>
      <c r="O136" s="21">
        <f>IF($A136="",0,SUMIFS('[1]销售出库'!$R$4:$R$2003,'[1]销售出库'!$H$4:$H$2003,$A136,'[1]销售出库'!$Q$4:$Q$2003,'首页'!$B$4*100+O$4))</f>
        <v>0</v>
      </c>
      <c r="P136" s="21">
        <f>IF($A136="",0,SUMIFS('[1]销售出库'!$R$4:$R$2003,'[1]销售出库'!$H$4:$H$2003,$A136,'[1]销售出库'!$Q$4:$Q$2003,'首页'!$B$4*100+P$4))</f>
        <v>0</v>
      </c>
      <c r="Q136" s="21">
        <f>IF($A136="",0,SUMIFS('[1]销售出库'!$R$4:$R$2003,'[1]销售出库'!$H$4:$H$2003,$A136,'[1]销售出库'!$Q$4:$Q$2003,'首页'!$B$4*100+Q$4))</f>
        <v>0</v>
      </c>
      <c r="R136" s="21">
        <f>IF($A136="",0,SUMIFS('[1]销售出库'!$R$4:$R$2003,'[1]销售出库'!$H$4:$H$2003,$A136,'[1]销售出库'!$Q$4:$Q$2003,'首页'!$B$4*100+R$4))</f>
        <v>0</v>
      </c>
      <c r="S136" s="21">
        <f>IF($A136="",0,SUMIFS('[1]销售出库'!$R$4:$R$2003,'[1]销售出库'!$H$4:$H$2003,$A136,'[1]销售出库'!$Q$4:$Q$2003,'首页'!$B$4*100+S$4))</f>
        <v>0</v>
      </c>
      <c r="T136" s="21">
        <f>IF($A136="",0,SUMIFS('[1]销售出库'!$R$4:$R$2003,'[1]销售出库'!$H$4:$H$2003,$A136,'[1]销售出库'!$Q$4:$Q$2003,'首页'!$B$4*100+T$4))</f>
        <v>0</v>
      </c>
      <c r="U136" s="21">
        <f>IF($A136="",0,SUMIFS('[1]销售出库'!$R$4:$R$2003,'[1]销售出库'!$H$4:$H$2003,$A136,'[1]销售出库'!$Q$4:$Q$2003,'首页'!$B$4*100+U$4))</f>
        <v>0</v>
      </c>
      <c r="V136" s="21">
        <f>IF($A136="",0,SUMIFS('[1]销售出库'!$R$4:$R$2003,'[1]销售出库'!$H$4:$H$2003,$A136,'[1]销售出库'!$Q$4:$Q$2003,'首页'!$B$4*100+V$4))</f>
        <v>0</v>
      </c>
      <c r="W136" s="21">
        <f>IF($A136="",0,SUMIFS('[1]销售出库'!$R$4:$R$2003,'[1]销售出库'!$H$4:$H$2003,$A136,'[1]销售出库'!$Q$4:$Q$2003,'首页'!$B$4*100+W$4))</f>
        <v>0</v>
      </c>
      <c r="X136" s="21">
        <f>IF($A136="",0,SUMIFS('[1]销售出库'!$R$4:$R$2003,'[1]销售出库'!$H$4:$H$2003,$A136,'[1]销售出库'!$Q$4:$Q$2003,'首页'!$B$4*100+X$4))</f>
        <v>0</v>
      </c>
    </row>
    <row r="137">
      <c r="A137" s="6">
        <f>IF('[1]基础资料'!$P$136="","",'[1]基础资料'!$P$136)</f>
      </c>
      <c r="B137" s="6">
        <f>IF(A137="","",'[1]基础资料'!$Q$136&amp;"")</f>
      </c>
      <c r="C137" s="21">
        <f>IF(A137="",0,N('[1]基础资料'!$S$136))</f>
        <v>0</v>
      </c>
      <c r="D137" s="11">
        <f>IF(A137="",0,N('[1]基础资料'!$U$136))</f>
        <v>0</v>
      </c>
      <c r="E137" s="21">
        <f>IF(A137="",0,SUMIFS('[1]采购入库'!$U$4:$U$2003,'[1]采购入库'!$I$4:$I$2003,$A137))</f>
        <v>0</v>
      </c>
      <c r="F137" s="11">
        <f>IF(A137="",0,SUMIFS('[1]采购入库'!$V$4:$V$2003,'[1]采购入库'!$I$4:$I$2003,$A137))</f>
        <v>0</v>
      </c>
      <c r="G137" s="21">
        <f>IF(A137="",0,SUMIFS('[1]销售出库'!$R$4:$R$2003,'[1]销售出库'!$H$4:$H$2003,$A137))</f>
        <v>0</v>
      </c>
      <c r="H137" s="11">
        <f t="shared" si="3"/>
        <v>0</v>
      </c>
      <c r="I137" s="11">
        <f t="shared" si="0"/>
        <v>0</v>
      </c>
      <c r="J137" s="21">
        <f t="shared" si="1"/>
        <v>0</v>
      </c>
      <c r="K137" s="11">
        <f t="shared" si="2"/>
        <v>0</v>
      </c>
      <c r="L137" s="6">
        <f t="shared" si="4"/>
      </c>
      <c r="M137" s="21">
        <f>IF($A137="",0,SUMIFS('[1]销售出库'!$R$4:$R$2003,'[1]销售出库'!$H$4:$H$2003,$A137,'[1]销售出库'!$Q$4:$Q$2003,'首页'!$B$4*100+M$4))</f>
        <v>0</v>
      </c>
      <c r="N137" s="21">
        <f>IF($A137="",0,SUMIFS('[1]销售出库'!$R$4:$R$2003,'[1]销售出库'!$H$4:$H$2003,$A137,'[1]销售出库'!$Q$4:$Q$2003,'首页'!$B$4*100+N$4))</f>
        <v>0</v>
      </c>
      <c r="O137" s="21">
        <f>IF($A137="",0,SUMIFS('[1]销售出库'!$R$4:$R$2003,'[1]销售出库'!$H$4:$H$2003,$A137,'[1]销售出库'!$Q$4:$Q$2003,'首页'!$B$4*100+O$4))</f>
        <v>0</v>
      </c>
      <c r="P137" s="21">
        <f>IF($A137="",0,SUMIFS('[1]销售出库'!$R$4:$R$2003,'[1]销售出库'!$H$4:$H$2003,$A137,'[1]销售出库'!$Q$4:$Q$2003,'首页'!$B$4*100+P$4))</f>
        <v>0</v>
      </c>
      <c r="Q137" s="21">
        <f>IF($A137="",0,SUMIFS('[1]销售出库'!$R$4:$R$2003,'[1]销售出库'!$H$4:$H$2003,$A137,'[1]销售出库'!$Q$4:$Q$2003,'首页'!$B$4*100+Q$4))</f>
        <v>0</v>
      </c>
      <c r="R137" s="21">
        <f>IF($A137="",0,SUMIFS('[1]销售出库'!$R$4:$R$2003,'[1]销售出库'!$H$4:$H$2003,$A137,'[1]销售出库'!$Q$4:$Q$2003,'首页'!$B$4*100+R$4))</f>
        <v>0</v>
      </c>
      <c r="S137" s="21">
        <f>IF($A137="",0,SUMIFS('[1]销售出库'!$R$4:$R$2003,'[1]销售出库'!$H$4:$H$2003,$A137,'[1]销售出库'!$Q$4:$Q$2003,'首页'!$B$4*100+S$4))</f>
        <v>0</v>
      </c>
      <c r="T137" s="21">
        <f>IF($A137="",0,SUMIFS('[1]销售出库'!$R$4:$R$2003,'[1]销售出库'!$H$4:$H$2003,$A137,'[1]销售出库'!$Q$4:$Q$2003,'首页'!$B$4*100+T$4))</f>
        <v>0</v>
      </c>
      <c r="U137" s="21">
        <f>IF($A137="",0,SUMIFS('[1]销售出库'!$R$4:$R$2003,'[1]销售出库'!$H$4:$H$2003,$A137,'[1]销售出库'!$Q$4:$Q$2003,'首页'!$B$4*100+U$4))</f>
        <v>0</v>
      </c>
      <c r="V137" s="21">
        <f>IF($A137="",0,SUMIFS('[1]销售出库'!$R$4:$R$2003,'[1]销售出库'!$H$4:$H$2003,$A137,'[1]销售出库'!$Q$4:$Q$2003,'首页'!$B$4*100+V$4))</f>
        <v>0</v>
      </c>
      <c r="W137" s="21">
        <f>IF($A137="",0,SUMIFS('[1]销售出库'!$R$4:$R$2003,'[1]销售出库'!$H$4:$H$2003,$A137,'[1]销售出库'!$Q$4:$Q$2003,'首页'!$B$4*100+W$4))</f>
        <v>0</v>
      </c>
      <c r="X137" s="21">
        <f>IF($A137="",0,SUMIFS('[1]销售出库'!$R$4:$R$2003,'[1]销售出库'!$H$4:$H$2003,$A137,'[1]销售出库'!$Q$4:$Q$2003,'首页'!$B$4*100+X$4))</f>
        <v>0</v>
      </c>
    </row>
    <row r="138">
      <c r="A138" s="6">
        <f>IF('[1]基础资料'!$P$137="","",'[1]基础资料'!$P$137)</f>
      </c>
      <c r="B138" s="6">
        <f>IF(A138="","",'[1]基础资料'!$Q$137&amp;"")</f>
      </c>
      <c r="C138" s="21">
        <f>IF(A138="",0,N('[1]基础资料'!$S$137))</f>
        <v>0</v>
      </c>
      <c r="D138" s="11">
        <f>IF(A138="",0,N('[1]基础资料'!$U$137))</f>
        <v>0</v>
      </c>
      <c r="E138" s="21">
        <f>IF(A138="",0,SUMIFS('[1]采购入库'!$U$4:$U$2003,'[1]采购入库'!$I$4:$I$2003,$A138))</f>
        <v>0</v>
      </c>
      <c r="F138" s="11">
        <f>IF(A138="",0,SUMIFS('[1]采购入库'!$V$4:$V$2003,'[1]采购入库'!$I$4:$I$2003,$A138))</f>
        <v>0</v>
      </c>
      <c r="G138" s="21">
        <f>IF(A138="",0,SUMIFS('[1]销售出库'!$R$4:$R$2003,'[1]销售出库'!$H$4:$H$2003,$A138))</f>
        <v>0</v>
      </c>
      <c r="H138" s="11">
        <f t="shared" si="3"/>
        <v>0</v>
      </c>
      <c r="I138" s="11">
        <f t="shared" si="0"/>
        <v>0</v>
      </c>
      <c r="J138" s="21">
        <f t="shared" si="1"/>
        <v>0</v>
      </c>
      <c r="K138" s="11">
        <f t="shared" si="2"/>
        <v>0</v>
      </c>
      <c r="L138" s="6">
        <f t="shared" si="4"/>
      </c>
      <c r="M138" s="21">
        <f>IF($A138="",0,SUMIFS('[1]销售出库'!$R$4:$R$2003,'[1]销售出库'!$H$4:$H$2003,$A138,'[1]销售出库'!$Q$4:$Q$2003,'首页'!$B$4*100+M$4))</f>
        <v>0</v>
      </c>
      <c r="N138" s="21">
        <f>IF($A138="",0,SUMIFS('[1]销售出库'!$R$4:$R$2003,'[1]销售出库'!$H$4:$H$2003,$A138,'[1]销售出库'!$Q$4:$Q$2003,'首页'!$B$4*100+N$4))</f>
        <v>0</v>
      </c>
      <c r="O138" s="21">
        <f>IF($A138="",0,SUMIFS('[1]销售出库'!$R$4:$R$2003,'[1]销售出库'!$H$4:$H$2003,$A138,'[1]销售出库'!$Q$4:$Q$2003,'首页'!$B$4*100+O$4))</f>
        <v>0</v>
      </c>
      <c r="P138" s="21">
        <f>IF($A138="",0,SUMIFS('[1]销售出库'!$R$4:$R$2003,'[1]销售出库'!$H$4:$H$2003,$A138,'[1]销售出库'!$Q$4:$Q$2003,'首页'!$B$4*100+P$4))</f>
        <v>0</v>
      </c>
      <c r="Q138" s="21">
        <f>IF($A138="",0,SUMIFS('[1]销售出库'!$R$4:$R$2003,'[1]销售出库'!$H$4:$H$2003,$A138,'[1]销售出库'!$Q$4:$Q$2003,'首页'!$B$4*100+Q$4))</f>
        <v>0</v>
      </c>
      <c r="R138" s="21">
        <f>IF($A138="",0,SUMIFS('[1]销售出库'!$R$4:$R$2003,'[1]销售出库'!$H$4:$H$2003,$A138,'[1]销售出库'!$Q$4:$Q$2003,'首页'!$B$4*100+R$4))</f>
        <v>0</v>
      </c>
      <c r="S138" s="21">
        <f>IF($A138="",0,SUMIFS('[1]销售出库'!$R$4:$R$2003,'[1]销售出库'!$H$4:$H$2003,$A138,'[1]销售出库'!$Q$4:$Q$2003,'首页'!$B$4*100+S$4))</f>
        <v>0</v>
      </c>
      <c r="T138" s="21">
        <f>IF($A138="",0,SUMIFS('[1]销售出库'!$R$4:$R$2003,'[1]销售出库'!$H$4:$H$2003,$A138,'[1]销售出库'!$Q$4:$Q$2003,'首页'!$B$4*100+T$4))</f>
        <v>0</v>
      </c>
      <c r="U138" s="21">
        <f>IF($A138="",0,SUMIFS('[1]销售出库'!$R$4:$R$2003,'[1]销售出库'!$H$4:$H$2003,$A138,'[1]销售出库'!$Q$4:$Q$2003,'首页'!$B$4*100+U$4))</f>
        <v>0</v>
      </c>
      <c r="V138" s="21">
        <f>IF($A138="",0,SUMIFS('[1]销售出库'!$R$4:$R$2003,'[1]销售出库'!$H$4:$H$2003,$A138,'[1]销售出库'!$Q$4:$Q$2003,'首页'!$B$4*100+V$4))</f>
        <v>0</v>
      </c>
      <c r="W138" s="21">
        <f>IF($A138="",0,SUMIFS('[1]销售出库'!$R$4:$R$2003,'[1]销售出库'!$H$4:$H$2003,$A138,'[1]销售出库'!$Q$4:$Q$2003,'首页'!$B$4*100+W$4))</f>
        <v>0</v>
      </c>
      <c r="X138" s="21">
        <f>IF($A138="",0,SUMIFS('[1]销售出库'!$R$4:$R$2003,'[1]销售出库'!$H$4:$H$2003,$A138,'[1]销售出库'!$Q$4:$Q$2003,'首页'!$B$4*100+X$4))</f>
        <v>0</v>
      </c>
    </row>
    <row r="139">
      <c r="A139" s="6">
        <f>IF('[1]基础资料'!$P$138="","",'[1]基础资料'!$P$138)</f>
      </c>
      <c r="B139" s="6">
        <f>IF(A139="","",'[1]基础资料'!$Q$138&amp;"")</f>
      </c>
      <c r="C139" s="21">
        <f>IF(A139="",0,N('[1]基础资料'!$S$138))</f>
        <v>0</v>
      </c>
      <c r="D139" s="11">
        <f>IF(A139="",0,N('[1]基础资料'!$U$138))</f>
        <v>0</v>
      </c>
      <c r="E139" s="21">
        <f>IF(A139="",0,SUMIFS('[1]采购入库'!$U$4:$U$2003,'[1]采购入库'!$I$4:$I$2003,$A139))</f>
        <v>0</v>
      </c>
      <c r="F139" s="11">
        <f>IF(A139="",0,SUMIFS('[1]采购入库'!$V$4:$V$2003,'[1]采购入库'!$I$4:$I$2003,$A139))</f>
        <v>0</v>
      </c>
      <c r="G139" s="21">
        <f>IF(A139="",0,SUMIFS('[1]销售出库'!$R$4:$R$2003,'[1]销售出库'!$H$4:$H$2003,$A139))</f>
        <v>0</v>
      </c>
      <c r="H139" s="11">
        <f t="shared" si="3"/>
        <v>0</v>
      </c>
      <c r="I139" s="11">
        <f t="shared" si="0"/>
        <v>0</v>
      </c>
      <c r="J139" s="21">
        <f t="shared" si="1"/>
        <v>0</v>
      </c>
      <c r="K139" s="11">
        <f t="shared" si="2"/>
        <v>0</v>
      </c>
      <c r="L139" s="6">
        <f t="shared" si="4"/>
      </c>
      <c r="M139" s="21">
        <f>IF($A139="",0,SUMIFS('[1]销售出库'!$R$4:$R$2003,'[1]销售出库'!$H$4:$H$2003,$A139,'[1]销售出库'!$Q$4:$Q$2003,'首页'!$B$4*100+M$4))</f>
        <v>0</v>
      </c>
      <c r="N139" s="21">
        <f>IF($A139="",0,SUMIFS('[1]销售出库'!$R$4:$R$2003,'[1]销售出库'!$H$4:$H$2003,$A139,'[1]销售出库'!$Q$4:$Q$2003,'首页'!$B$4*100+N$4))</f>
        <v>0</v>
      </c>
      <c r="O139" s="21">
        <f>IF($A139="",0,SUMIFS('[1]销售出库'!$R$4:$R$2003,'[1]销售出库'!$H$4:$H$2003,$A139,'[1]销售出库'!$Q$4:$Q$2003,'首页'!$B$4*100+O$4))</f>
        <v>0</v>
      </c>
      <c r="P139" s="21">
        <f>IF($A139="",0,SUMIFS('[1]销售出库'!$R$4:$R$2003,'[1]销售出库'!$H$4:$H$2003,$A139,'[1]销售出库'!$Q$4:$Q$2003,'首页'!$B$4*100+P$4))</f>
        <v>0</v>
      </c>
      <c r="Q139" s="21">
        <f>IF($A139="",0,SUMIFS('[1]销售出库'!$R$4:$R$2003,'[1]销售出库'!$H$4:$H$2003,$A139,'[1]销售出库'!$Q$4:$Q$2003,'首页'!$B$4*100+Q$4))</f>
        <v>0</v>
      </c>
      <c r="R139" s="21">
        <f>IF($A139="",0,SUMIFS('[1]销售出库'!$R$4:$R$2003,'[1]销售出库'!$H$4:$H$2003,$A139,'[1]销售出库'!$Q$4:$Q$2003,'首页'!$B$4*100+R$4))</f>
        <v>0</v>
      </c>
      <c r="S139" s="21">
        <f>IF($A139="",0,SUMIFS('[1]销售出库'!$R$4:$R$2003,'[1]销售出库'!$H$4:$H$2003,$A139,'[1]销售出库'!$Q$4:$Q$2003,'首页'!$B$4*100+S$4))</f>
        <v>0</v>
      </c>
      <c r="T139" s="21">
        <f>IF($A139="",0,SUMIFS('[1]销售出库'!$R$4:$R$2003,'[1]销售出库'!$H$4:$H$2003,$A139,'[1]销售出库'!$Q$4:$Q$2003,'首页'!$B$4*100+T$4))</f>
        <v>0</v>
      </c>
      <c r="U139" s="21">
        <f>IF($A139="",0,SUMIFS('[1]销售出库'!$R$4:$R$2003,'[1]销售出库'!$H$4:$H$2003,$A139,'[1]销售出库'!$Q$4:$Q$2003,'首页'!$B$4*100+U$4))</f>
        <v>0</v>
      </c>
      <c r="V139" s="21">
        <f>IF($A139="",0,SUMIFS('[1]销售出库'!$R$4:$R$2003,'[1]销售出库'!$H$4:$H$2003,$A139,'[1]销售出库'!$Q$4:$Q$2003,'首页'!$B$4*100+V$4))</f>
        <v>0</v>
      </c>
      <c r="W139" s="21">
        <f>IF($A139="",0,SUMIFS('[1]销售出库'!$R$4:$R$2003,'[1]销售出库'!$H$4:$H$2003,$A139,'[1]销售出库'!$Q$4:$Q$2003,'首页'!$B$4*100+W$4))</f>
        <v>0</v>
      </c>
      <c r="X139" s="21">
        <f>IF($A139="",0,SUMIFS('[1]销售出库'!$R$4:$R$2003,'[1]销售出库'!$H$4:$H$2003,$A139,'[1]销售出库'!$Q$4:$Q$2003,'首页'!$B$4*100+X$4))</f>
        <v>0</v>
      </c>
    </row>
    <row r="140">
      <c r="A140" s="6">
        <f>IF('[1]基础资料'!$P$139="","",'[1]基础资料'!$P$139)</f>
      </c>
      <c r="B140" s="6">
        <f>IF(A140="","",'[1]基础资料'!$Q$139&amp;"")</f>
      </c>
      <c r="C140" s="21">
        <f>IF(A140="",0,N('[1]基础资料'!$S$139))</f>
        <v>0</v>
      </c>
      <c r="D140" s="11">
        <f>IF(A140="",0,N('[1]基础资料'!$U$139))</f>
        <v>0</v>
      </c>
      <c r="E140" s="21">
        <f>IF(A140="",0,SUMIFS('[1]采购入库'!$U$4:$U$2003,'[1]采购入库'!$I$4:$I$2003,$A140))</f>
        <v>0</v>
      </c>
      <c r="F140" s="11">
        <f>IF(A140="",0,SUMIFS('[1]采购入库'!$V$4:$V$2003,'[1]采购入库'!$I$4:$I$2003,$A140))</f>
        <v>0</v>
      </c>
      <c r="G140" s="21">
        <f>IF(A140="",0,SUMIFS('[1]销售出库'!$R$4:$R$2003,'[1]销售出库'!$H$4:$H$2003,$A140))</f>
        <v>0</v>
      </c>
      <c r="H140" s="11">
        <f t="shared" si="3"/>
        <v>0</v>
      </c>
      <c r="I140" s="11">
        <f t="shared" si="0"/>
        <v>0</v>
      </c>
      <c r="J140" s="21">
        <f t="shared" si="1"/>
        <v>0</v>
      </c>
      <c r="K140" s="11">
        <f t="shared" si="2"/>
        <v>0</v>
      </c>
      <c r="L140" s="6">
        <f t="shared" si="4"/>
      </c>
      <c r="M140" s="21">
        <f>IF($A140="",0,SUMIFS('[1]销售出库'!$R$4:$R$2003,'[1]销售出库'!$H$4:$H$2003,$A140,'[1]销售出库'!$Q$4:$Q$2003,'首页'!$B$4*100+M$4))</f>
        <v>0</v>
      </c>
      <c r="N140" s="21">
        <f>IF($A140="",0,SUMIFS('[1]销售出库'!$R$4:$R$2003,'[1]销售出库'!$H$4:$H$2003,$A140,'[1]销售出库'!$Q$4:$Q$2003,'首页'!$B$4*100+N$4))</f>
        <v>0</v>
      </c>
      <c r="O140" s="21">
        <f>IF($A140="",0,SUMIFS('[1]销售出库'!$R$4:$R$2003,'[1]销售出库'!$H$4:$H$2003,$A140,'[1]销售出库'!$Q$4:$Q$2003,'首页'!$B$4*100+O$4))</f>
        <v>0</v>
      </c>
      <c r="P140" s="21">
        <f>IF($A140="",0,SUMIFS('[1]销售出库'!$R$4:$R$2003,'[1]销售出库'!$H$4:$H$2003,$A140,'[1]销售出库'!$Q$4:$Q$2003,'首页'!$B$4*100+P$4))</f>
        <v>0</v>
      </c>
      <c r="Q140" s="21">
        <f>IF($A140="",0,SUMIFS('[1]销售出库'!$R$4:$R$2003,'[1]销售出库'!$H$4:$H$2003,$A140,'[1]销售出库'!$Q$4:$Q$2003,'首页'!$B$4*100+Q$4))</f>
        <v>0</v>
      </c>
      <c r="R140" s="21">
        <f>IF($A140="",0,SUMIFS('[1]销售出库'!$R$4:$R$2003,'[1]销售出库'!$H$4:$H$2003,$A140,'[1]销售出库'!$Q$4:$Q$2003,'首页'!$B$4*100+R$4))</f>
        <v>0</v>
      </c>
      <c r="S140" s="21">
        <f>IF($A140="",0,SUMIFS('[1]销售出库'!$R$4:$R$2003,'[1]销售出库'!$H$4:$H$2003,$A140,'[1]销售出库'!$Q$4:$Q$2003,'首页'!$B$4*100+S$4))</f>
        <v>0</v>
      </c>
      <c r="T140" s="21">
        <f>IF($A140="",0,SUMIFS('[1]销售出库'!$R$4:$R$2003,'[1]销售出库'!$H$4:$H$2003,$A140,'[1]销售出库'!$Q$4:$Q$2003,'首页'!$B$4*100+T$4))</f>
        <v>0</v>
      </c>
      <c r="U140" s="21">
        <f>IF($A140="",0,SUMIFS('[1]销售出库'!$R$4:$R$2003,'[1]销售出库'!$H$4:$H$2003,$A140,'[1]销售出库'!$Q$4:$Q$2003,'首页'!$B$4*100+U$4))</f>
        <v>0</v>
      </c>
      <c r="V140" s="21">
        <f>IF($A140="",0,SUMIFS('[1]销售出库'!$R$4:$R$2003,'[1]销售出库'!$H$4:$H$2003,$A140,'[1]销售出库'!$Q$4:$Q$2003,'首页'!$B$4*100+V$4))</f>
        <v>0</v>
      </c>
      <c r="W140" s="21">
        <f>IF($A140="",0,SUMIFS('[1]销售出库'!$R$4:$R$2003,'[1]销售出库'!$H$4:$H$2003,$A140,'[1]销售出库'!$Q$4:$Q$2003,'首页'!$B$4*100+W$4))</f>
        <v>0</v>
      </c>
      <c r="X140" s="21">
        <f>IF($A140="",0,SUMIFS('[1]销售出库'!$R$4:$R$2003,'[1]销售出库'!$H$4:$H$2003,$A140,'[1]销售出库'!$Q$4:$Q$2003,'首页'!$B$4*100+X$4))</f>
        <v>0</v>
      </c>
    </row>
    <row r="141">
      <c r="A141" s="6">
        <f>IF('[1]基础资料'!$P$140="","",'[1]基础资料'!$P$140)</f>
      </c>
      <c r="B141" s="6">
        <f>IF(A141="","",'[1]基础资料'!$Q$140&amp;"")</f>
      </c>
      <c r="C141" s="21">
        <f>IF(A141="",0,N('[1]基础资料'!$S$140))</f>
        <v>0</v>
      </c>
      <c r="D141" s="11">
        <f>IF(A141="",0,N('[1]基础资料'!$U$140))</f>
        <v>0</v>
      </c>
      <c r="E141" s="21">
        <f>IF(A141="",0,SUMIFS('[1]采购入库'!$U$4:$U$2003,'[1]采购入库'!$I$4:$I$2003,$A141))</f>
        <v>0</v>
      </c>
      <c r="F141" s="11">
        <f>IF(A141="",0,SUMIFS('[1]采购入库'!$V$4:$V$2003,'[1]采购入库'!$I$4:$I$2003,$A141))</f>
        <v>0</v>
      </c>
      <c r="G141" s="21">
        <f>IF(A141="",0,SUMIFS('[1]销售出库'!$R$4:$R$2003,'[1]销售出库'!$H$4:$H$2003,$A141))</f>
        <v>0</v>
      </c>
      <c r="H141" s="11">
        <f t="shared" si="3"/>
        <v>0</v>
      </c>
      <c r="I141" s="11">
        <f t="shared" si="0"/>
        <v>0</v>
      </c>
      <c r="J141" s="21">
        <f t="shared" si="1"/>
        <v>0</v>
      </c>
      <c r="K141" s="11">
        <f t="shared" si="2"/>
        <v>0</v>
      </c>
      <c r="L141" s="6">
        <f t="shared" si="4"/>
      </c>
      <c r="M141" s="21">
        <f>IF($A141="",0,SUMIFS('[1]销售出库'!$R$4:$R$2003,'[1]销售出库'!$H$4:$H$2003,$A141,'[1]销售出库'!$Q$4:$Q$2003,'首页'!$B$4*100+M$4))</f>
        <v>0</v>
      </c>
      <c r="N141" s="21">
        <f>IF($A141="",0,SUMIFS('[1]销售出库'!$R$4:$R$2003,'[1]销售出库'!$H$4:$H$2003,$A141,'[1]销售出库'!$Q$4:$Q$2003,'首页'!$B$4*100+N$4))</f>
        <v>0</v>
      </c>
      <c r="O141" s="21">
        <f>IF($A141="",0,SUMIFS('[1]销售出库'!$R$4:$R$2003,'[1]销售出库'!$H$4:$H$2003,$A141,'[1]销售出库'!$Q$4:$Q$2003,'首页'!$B$4*100+O$4))</f>
        <v>0</v>
      </c>
      <c r="P141" s="21">
        <f>IF($A141="",0,SUMIFS('[1]销售出库'!$R$4:$R$2003,'[1]销售出库'!$H$4:$H$2003,$A141,'[1]销售出库'!$Q$4:$Q$2003,'首页'!$B$4*100+P$4))</f>
        <v>0</v>
      </c>
      <c r="Q141" s="21">
        <f>IF($A141="",0,SUMIFS('[1]销售出库'!$R$4:$R$2003,'[1]销售出库'!$H$4:$H$2003,$A141,'[1]销售出库'!$Q$4:$Q$2003,'首页'!$B$4*100+Q$4))</f>
        <v>0</v>
      </c>
      <c r="R141" s="21">
        <f>IF($A141="",0,SUMIFS('[1]销售出库'!$R$4:$R$2003,'[1]销售出库'!$H$4:$H$2003,$A141,'[1]销售出库'!$Q$4:$Q$2003,'首页'!$B$4*100+R$4))</f>
        <v>0</v>
      </c>
      <c r="S141" s="21">
        <f>IF($A141="",0,SUMIFS('[1]销售出库'!$R$4:$R$2003,'[1]销售出库'!$H$4:$H$2003,$A141,'[1]销售出库'!$Q$4:$Q$2003,'首页'!$B$4*100+S$4))</f>
        <v>0</v>
      </c>
      <c r="T141" s="21">
        <f>IF($A141="",0,SUMIFS('[1]销售出库'!$R$4:$R$2003,'[1]销售出库'!$H$4:$H$2003,$A141,'[1]销售出库'!$Q$4:$Q$2003,'首页'!$B$4*100+T$4))</f>
        <v>0</v>
      </c>
      <c r="U141" s="21">
        <f>IF($A141="",0,SUMIFS('[1]销售出库'!$R$4:$R$2003,'[1]销售出库'!$H$4:$H$2003,$A141,'[1]销售出库'!$Q$4:$Q$2003,'首页'!$B$4*100+U$4))</f>
        <v>0</v>
      </c>
      <c r="V141" s="21">
        <f>IF($A141="",0,SUMIFS('[1]销售出库'!$R$4:$R$2003,'[1]销售出库'!$H$4:$H$2003,$A141,'[1]销售出库'!$Q$4:$Q$2003,'首页'!$B$4*100+V$4))</f>
        <v>0</v>
      </c>
      <c r="W141" s="21">
        <f>IF($A141="",0,SUMIFS('[1]销售出库'!$R$4:$R$2003,'[1]销售出库'!$H$4:$H$2003,$A141,'[1]销售出库'!$Q$4:$Q$2003,'首页'!$B$4*100+W$4))</f>
        <v>0</v>
      </c>
      <c r="X141" s="21">
        <f>IF($A141="",0,SUMIFS('[1]销售出库'!$R$4:$R$2003,'[1]销售出库'!$H$4:$H$2003,$A141,'[1]销售出库'!$Q$4:$Q$2003,'首页'!$B$4*100+X$4))</f>
        <v>0</v>
      </c>
    </row>
    <row r="142">
      <c r="A142" s="6">
        <f>IF('[1]基础资料'!$P$141="","",'[1]基础资料'!$P$141)</f>
      </c>
      <c r="B142" s="6">
        <f>IF(A142="","",'[1]基础资料'!$Q$141&amp;"")</f>
      </c>
      <c r="C142" s="21">
        <f>IF(A142="",0,N('[1]基础资料'!$S$141))</f>
        <v>0</v>
      </c>
      <c r="D142" s="11">
        <f>IF(A142="",0,N('[1]基础资料'!$U$141))</f>
        <v>0</v>
      </c>
      <c r="E142" s="21">
        <f>IF(A142="",0,SUMIFS('[1]采购入库'!$U$4:$U$2003,'[1]采购入库'!$I$4:$I$2003,$A142))</f>
        <v>0</v>
      </c>
      <c r="F142" s="11">
        <f>IF(A142="",0,SUMIFS('[1]采购入库'!$V$4:$V$2003,'[1]采购入库'!$I$4:$I$2003,$A142))</f>
        <v>0</v>
      </c>
      <c r="G142" s="21">
        <f>IF(A142="",0,SUMIFS('[1]销售出库'!$R$4:$R$2003,'[1]销售出库'!$H$4:$H$2003,$A142))</f>
        <v>0</v>
      </c>
      <c r="H142" s="11">
        <f t="shared" si="3"/>
        <v>0</v>
      </c>
      <c r="I142" s="11">
        <f t="shared" si="0"/>
        <v>0</v>
      </c>
      <c r="J142" s="21">
        <f t="shared" si="1"/>
        <v>0</v>
      </c>
      <c r="K142" s="11">
        <f t="shared" si="2"/>
        <v>0</v>
      </c>
      <c r="L142" s="6">
        <f t="shared" si="4"/>
      </c>
      <c r="M142" s="21">
        <f>IF($A142="",0,SUMIFS('[1]销售出库'!$R$4:$R$2003,'[1]销售出库'!$H$4:$H$2003,$A142,'[1]销售出库'!$Q$4:$Q$2003,'首页'!$B$4*100+M$4))</f>
        <v>0</v>
      </c>
      <c r="N142" s="21">
        <f>IF($A142="",0,SUMIFS('[1]销售出库'!$R$4:$R$2003,'[1]销售出库'!$H$4:$H$2003,$A142,'[1]销售出库'!$Q$4:$Q$2003,'首页'!$B$4*100+N$4))</f>
        <v>0</v>
      </c>
      <c r="O142" s="21">
        <f>IF($A142="",0,SUMIFS('[1]销售出库'!$R$4:$R$2003,'[1]销售出库'!$H$4:$H$2003,$A142,'[1]销售出库'!$Q$4:$Q$2003,'首页'!$B$4*100+O$4))</f>
        <v>0</v>
      </c>
      <c r="P142" s="21">
        <f>IF($A142="",0,SUMIFS('[1]销售出库'!$R$4:$R$2003,'[1]销售出库'!$H$4:$H$2003,$A142,'[1]销售出库'!$Q$4:$Q$2003,'首页'!$B$4*100+P$4))</f>
        <v>0</v>
      </c>
      <c r="Q142" s="21">
        <f>IF($A142="",0,SUMIFS('[1]销售出库'!$R$4:$R$2003,'[1]销售出库'!$H$4:$H$2003,$A142,'[1]销售出库'!$Q$4:$Q$2003,'首页'!$B$4*100+Q$4))</f>
        <v>0</v>
      </c>
      <c r="R142" s="21">
        <f>IF($A142="",0,SUMIFS('[1]销售出库'!$R$4:$R$2003,'[1]销售出库'!$H$4:$H$2003,$A142,'[1]销售出库'!$Q$4:$Q$2003,'首页'!$B$4*100+R$4))</f>
        <v>0</v>
      </c>
      <c r="S142" s="21">
        <f>IF($A142="",0,SUMIFS('[1]销售出库'!$R$4:$R$2003,'[1]销售出库'!$H$4:$H$2003,$A142,'[1]销售出库'!$Q$4:$Q$2003,'首页'!$B$4*100+S$4))</f>
        <v>0</v>
      </c>
      <c r="T142" s="21">
        <f>IF($A142="",0,SUMIFS('[1]销售出库'!$R$4:$R$2003,'[1]销售出库'!$H$4:$H$2003,$A142,'[1]销售出库'!$Q$4:$Q$2003,'首页'!$B$4*100+T$4))</f>
        <v>0</v>
      </c>
      <c r="U142" s="21">
        <f>IF($A142="",0,SUMIFS('[1]销售出库'!$R$4:$R$2003,'[1]销售出库'!$H$4:$H$2003,$A142,'[1]销售出库'!$Q$4:$Q$2003,'首页'!$B$4*100+U$4))</f>
        <v>0</v>
      </c>
      <c r="V142" s="21">
        <f>IF($A142="",0,SUMIFS('[1]销售出库'!$R$4:$R$2003,'[1]销售出库'!$H$4:$H$2003,$A142,'[1]销售出库'!$Q$4:$Q$2003,'首页'!$B$4*100+V$4))</f>
        <v>0</v>
      </c>
      <c r="W142" s="21">
        <f>IF($A142="",0,SUMIFS('[1]销售出库'!$R$4:$R$2003,'[1]销售出库'!$H$4:$H$2003,$A142,'[1]销售出库'!$Q$4:$Q$2003,'首页'!$B$4*100+W$4))</f>
        <v>0</v>
      </c>
      <c r="X142" s="21">
        <f>IF($A142="",0,SUMIFS('[1]销售出库'!$R$4:$R$2003,'[1]销售出库'!$H$4:$H$2003,$A142,'[1]销售出库'!$Q$4:$Q$2003,'首页'!$B$4*100+X$4))</f>
        <v>0</v>
      </c>
    </row>
    <row r="143">
      <c r="A143" s="6">
        <f>IF('[1]基础资料'!$P$142="","",'[1]基础资料'!$P$142)</f>
      </c>
      <c r="B143" s="6">
        <f>IF(A143="","",'[1]基础资料'!$Q$142&amp;"")</f>
      </c>
      <c r="C143" s="21">
        <f>IF(A143="",0,N('[1]基础资料'!$S$142))</f>
        <v>0</v>
      </c>
      <c r="D143" s="11">
        <f>IF(A143="",0,N('[1]基础资料'!$U$142))</f>
        <v>0</v>
      </c>
      <c r="E143" s="21">
        <f>IF(A143="",0,SUMIFS('[1]采购入库'!$U$4:$U$2003,'[1]采购入库'!$I$4:$I$2003,$A143))</f>
        <v>0</v>
      </c>
      <c r="F143" s="11">
        <f>IF(A143="",0,SUMIFS('[1]采购入库'!$V$4:$V$2003,'[1]采购入库'!$I$4:$I$2003,$A143))</f>
        <v>0</v>
      </c>
      <c r="G143" s="21">
        <f>IF(A143="",0,SUMIFS('[1]销售出库'!$R$4:$R$2003,'[1]销售出库'!$H$4:$H$2003,$A143))</f>
        <v>0</v>
      </c>
      <c r="H143" s="11">
        <f t="shared" si="3"/>
        <v>0</v>
      </c>
      <c r="I143" s="11">
        <f t="shared" si="0"/>
        <v>0</v>
      </c>
      <c r="J143" s="21">
        <f t="shared" si="1"/>
        <v>0</v>
      </c>
      <c r="K143" s="11">
        <f t="shared" si="2"/>
        <v>0</v>
      </c>
      <c r="L143" s="6">
        <f t="shared" si="4"/>
      </c>
      <c r="M143" s="21">
        <f>IF($A143="",0,SUMIFS('[1]销售出库'!$R$4:$R$2003,'[1]销售出库'!$H$4:$H$2003,$A143,'[1]销售出库'!$Q$4:$Q$2003,'首页'!$B$4*100+M$4))</f>
        <v>0</v>
      </c>
      <c r="N143" s="21">
        <f>IF($A143="",0,SUMIFS('[1]销售出库'!$R$4:$R$2003,'[1]销售出库'!$H$4:$H$2003,$A143,'[1]销售出库'!$Q$4:$Q$2003,'首页'!$B$4*100+N$4))</f>
        <v>0</v>
      </c>
      <c r="O143" s="21">
        <f>IF($A143="",0,SUMIFS('[1]销售出库'!$R$4:$R$2003,'[1]销售出库'!$H$4:$H$2003,$A143,'[1]销售出库'!$Q$4:$Q$2003,'首页'!$B$4*100+O$4))</f>
        <v>0</v>
      </c>
      <c r="P143" s="21">
        <f>IF($A143="",0,SUMIFS('[1]销售出库'!$R$4:$R$2003,'[1]销售出库'!$H$4:$H$2003,$A143,'[1]销售出库'!$Q$4:$Q$2003,'首页'!$B$4*100+P$4))</f>
        <v>0</v>
      </c>
      <c r="Q143" s="21">
        <f>IF($A143="",0,SUMIFS('[1]销售出库'!$R$4:$R$2003,'[1]销售出库'!$H$4:$H$2003,$A143,'[1]销售出库'!$Q$4:$Q$2003,'首页'!$B$4*100+Q$4))</f>
        <v>0</v>
      </c>
      <c r="R143" s="21">
        <f>IF($A143="",0,SUMIFS('[1]销售出库'!$R$4:$R$2003,'[1]销售出库'!$H$4:$H$2003,$A143,'[1]销售出库'!$Q$4:$Q$2003,'首页'!$B$4*100+R$4))</f>
        <v>0</v>
      </c>
      <c r="S143" s="21">
        <f>IF($A143="",0,SUMIFS('[1]销售出库'!$R$4:$R$2003,'[1]销售出库'!$H$4:$H$2003,$A143,'[1]销售出库'!$Q$4:$Q$2003,'首页'!$B$4*100+S$4))</f>
        <v>0</v>
      </c>
      <c r="T143" s="21">
        <f>IF($A143="",0,SUMIFS('[1]销售出库'!$R$4:$R$2003,'[1]销售出库'!$H$4:$H$2003,$A143,'[1]销售出库'!$Q$4:$Q$2003,'首页'!$B$4*100+T$4))</f>
        <v>0</v>
      </c>
      <c r="U143" s="21">
        <f>IF($A143="",0,SUMIFS('[1]销售出库'!$R$4:$R$2003,'[1]销售出库'!$H$4:$H$2003,$A143,'[1]销售出库'!$Q$4:$Q$2003,'首页'!$B$4*100+U$4))</f>
        <v>0</v>
      </c>
      <c r="V143" s="21">
        <f>IF($A143="",0,SUMIFS('[1]销售出库'!$R$4:$R$2003,'[1]销售出库'!$H$4:$H$2003,$A143,'[1]销售出库'!$Q$4:$Q$2003,'首页'!$B$4*100+V$4))</f>
        <v>0</v>
      </c>
      <c r="W143" s="21">
        <f>IF($A143="",0,SUMIFS('[1]销售出库'!$R$4:$R$2003,'[1]销售出库'!$H$4:$H$2003,$A143,'[1]销售出库'!$Q$4:$Q$2003,'首页'!$B$4*100+W$4))</f>
        <v>0</v>
      </c>
      <c r="X143" s="21">
        <f>IF($A143="",0,SUMIFS('[1]销售出库'!$R$4:$R$2003,'[1]销售出库'!$H$4:$H$2003,$A143,'[1]销售出库'!$Q$4:$Q$2003,'首页'!$B$4*100+X$4))</f>
        <v>0</v>
      </c>
    </row>
    <row r="144">
      <c r="A144" s="6">
        <f>IF('[1]基础资料'!$P$143="","",'[1]基础资料'!$P$143)</f>
      </c>
      <c r="B144" s="6">
        <f>IF(A144="","",'[1]基础资料'!$Q$143&amp;"")</f>
      </c>
      <c r="C144" s="21">
        <f>IF(A144="",0,N('[1]基础资料'!$S$143))</f>
        <v>0</v>
      </c>
      <c r="D144" s="11">
        <f>IF(A144="",0,N('[1]基础资料'!$U$143))</f>
        <v>0</v>
      </c>
      <c r="E144" s="21">
        <f>IF(A144="",0,SUMIFS('[1]采购入库'!$U$4:$U$2003,'[1]采购入库'!$I$4:$I$2003,$A144))</f>
        <v>0</v>
      </c>
      <c r="F144" s="11">
        <f>IF(A144="",0,SUMIFS('[1]采购入库'!$V$4:$V$2003,'[1]采购入库'!$I$4:$I$2003,$A144))</f>
        <v>0</v>
      </c>
      <c r="G144" s="21">
        <f>IF(A144="",0,SUMIFS('[1]销售出库'!$R$4:$R$2003,'[1]销售出库'!$H$4:$H$2003,$A144))</f>
        <v>0</v>
      </c>
      <c r="H144" s="11">
        <f t="shared" si="3"/>
        <v>0</v>
      </c>
      <c r="I144" s="11">
        <f t="shared" si="0"/>
        <v>0</v>
      </c>
      <c r="J144" s="21">
        <f t="shared" si="1"/>
        <v>0</v>
      </c>
      <c r="K144" s="11">
        <f t="shared" si="2"/>
        <v>0</v>
      </c>
      <c r="L144" s="6">
        <f t="shared" si="4"/>
      </c>
      <c r="M144" s="21">
        <f>IF($A144="",0,SUMIFS('[1]销售出库'!$R$4:$R$2003,'[1]销售出库'!$H$4:$H$2003,$A144,'[1]销售出库'!$Q$4:$Q$2003,'首页'!$B$4*100+M$4))</f>
        <v>0</v>
      </c>
      <c r="N144" s="21">
        <f>IF($A144="",0,SUMIFS('[1]销售出库'!$R$4:$R$2003,'[1]销售出库'!$H$4:$H$2003,$A144,'[1]销售出库'!$Q$4:$Q$2003,'首页'!$B$4*100+N$4))</f>
        <v>0</v>
      </c>
      <c r="O144" s="21">
        <f>IF($A144="",0,SUMIFS('[1]销售出库'!$R$4:$R$2003,'[1]销售出库'!$H$4:$H$2003,$A144,'[1]销售出库'!$Q$4:$Q$2003,'首页'!$B$4*100+O$4))</f>
        <v>0</v>
      </c>
      <c r="P144" s="21">
        <f>IF($A144="",0,SUMIFS('[1]销售出库'!$R$4:$R$2003,'[1]销售出库'!$H$4:$H$2003,$A144,'[1]销售出库'!$Q$4:$Q$2003,'首页'!$B$4*100+P$4))</f>
        <v>0</v>
      </c>
      <c r="Q144" s="21">
        <f>IF($A144="",0,SUMIFS('[1]销售出库'!$R$4:$R$2003,'[1]销售出库'!$H$4:$H$2003,$A144,'[1]销售出库'!$Q$4:$Q$2003,'首页'!$B$4*100+Q$4))</f>
        <v>0</v>
      </c>
      <c r="R144" s="21">
        <f>IF($A144="",0,SUMIFS('[1]销售出库'!$R$4:$R$2003,'[1]销售出库'!$H$4:$H$2003,$A144,'[1]销售出库'!$Q$4:$Q$2003,'首页'!$B$4*100+R$4))</f>
        <v>0</v>
      </c>
      <c r="S144" s="21">
        <f>IF($A144="",0,SUMIFS('[1]销售出库'!$R$4:$R$2003,'[1]销售出库'!$H$4:$H$2003,$A144,'[1]销售出库'!$Q$4:$Q$2003,'首页'!$B$4*100+S$4))</f>
        <v>0</v>
      </c>
      <c r="T144" s="21">
        <f>IF($A144="",0,SUMIFS('[1]销售出库'!$R$4:$R$2003,'[1]销售出库'!$H$4:$H$2003,$A144,'[1]销售出库'!$Q$4:$Q$2003,'首页'!$B$4*100+T$4))</f>
        <v>0</v>
      </c>
      <c r="U144" s="21">
        <f>IF($A144="",0,SUMIFS('[1]销售出库'!$R$4:$R$2003,'[1]销售出库'!$H$4:$H$2003,$A144,'[1]销售出库'!$Q$4:$Q$2003,'首页'!$B$4*100+U$4))</f>
        <v>0</v>
      </c>
      <c r="V144" s="21">
        <f>IF($A144="",0,SUMIFS('[1]销售出库'!$R$4:$R$2003,'[1]销售出库'!$H$4:$H$2003,$A144,'[1]销售出库'!$Q$4:$Q$2003,'首页'!$B$4*100+V$4))</f>
        <v>0</v>
      </c>
      <c r="W144" s="21">
        <f>IF($A144="",0,SUMIFS('[1]销售出库'!$R$4:$R$2003,'[1]销售出库'!$H$4:$H$2003,$A144,'[1]销售出库'!$Q$4:$Q$2003,'首页'!$B$4*100+W$4))</f>
        <v>0</v>
      </c>
      <c r="X144" s="21">
        <f>IF($A144="",0,SUMIFS('[1]销售出库'!$R$4:$R$2003,'[1]销售出库'!$H$4:$H$2003,$A144,'[1]销售出库'!$Q$4:$Q$2003,'首页'!$B$4*100+X$4))</f>
        <v>0</v>
      </c>
    </row>
    <row r="145">
      <c r="A145" s="6">
        <f>IF('[1]基础资料'!$P$144="","",'[1]基础资料'!$P$144)</f>
      </c>
      <c r="B145" s="6">
        <f>IF(A145="","",'[1]基础资料'!$Q$144&amp;"")</f>
      </c>
      <c r="C145" s="21">
        <f>IF(A145="",0,N('[1]基础资料'!$S$144))</f>
        <v>0</v>
      </c>
      <c r="D145" s="11">
        <f>IF(A145="",0,N('[1]基础资料'!$U$144))</f>
        <v>0</v>
      </c>
      <c r="E145" s="21">
        <f>IF(A145="",0,SUMIFS('[1]采购入库'!$U$4:$U$2003,'[1]采购入库'!$I$4:$I$2003,$A145))</f>
        <v>0</v>
      </c>
      <c r="F145" s="11">
        <f>IF(A145="",0,SUMIFS('[1]采购入库'!$V$4:$V$2003,'[1]采购入库'!$I$4:$I$2003,$A145))</f>
        <v>0</v>
      </c>
      <c r="G145" s="21">
        <f>IF(A145="",0,SUMIFS('[1]销售出库'!$R$4:$R$2003,'[1]销售出库'!$H$4:$H$2003,$A145))</f>
        <v>0</v>
      </c>
      <c r="H145" s="11">
        <f t="shared" si="3"/>
        <v>0</v>
      </c>
      <c r="I145" s="11">
        <f t="shared" si="0"/>
        <v>0</v>
      </c>
      <c r="J145" s="21">
        <f t="shared" si="1"/>
        <v>0</v>
      </c>
      <c r="K145" s="11">
        <f t="shared" si="2"/>
        <v>0</v>
      </c>
      <c r="L145" s="6">
        <f t="shared" si="4"/>
      </c>
      <c r="M145" s="21">
        <f>IF($A145="",0,SUMIFS('[1]销售出库'!$R$4:$R$2003,'[1]销售出库'!$H$4:$H$2003,$A145,'[1]销售出库'!$Q$4:$Q$2003,'首页'!$B$4*100+M$4))</f>
        <v>0</v>
      </c>
      <c r="N145" s="21">
        <f>IF($A145="",0,SUMIFS('[1]销售出库'!$R$4:$R$2003,'[1]销售出库'!$H$4:$H$2003,$A145,'[1]销售出库'!$Q$4:$Q$2003,'首页'!$B$4*100+N$4))</f>
        <v>0</v>
      </c>
      <c r="O145" s="21">
        <f>IF($A145="",0,SUMIFS('[1]销售出库'!$R$4:$R$2003,'[1]销售出库'!$H$4:$H$2003,$A145,'[1]销售出库'!$Q$4:$Q$2003,'首页'!$B$4*100+O$4))</f>
        <v>0</v>
      </c>
      <c r="P145" s="21">
        <f>IF($A145="",0,SUMIFS('[1]销售出库'!$R$4:$R$2003,'[1]销售出库'!$H$4:$H$2003,$A145,'[1]销售出库'!$Q$4:$Q$2003,'首页'!$B$4*100+P$4))</f>
        <v>0</v>
      </c>
      <c r="Q145" s="21">
        <f>IF($A145="",0,SUMIFS('[1]销售出库'!$R$4:$R$2003,'[1]销售出库'!$H$4:$H$2003,$A145,'[1]销售出库'!$Q$4:$Q$2003,'首页'!$B$4*100+Q$4))</f>
        <v>0</v>
      </c>
      <c r="R145" s="21">
        <f>IF($A145="",0,SUMIFS('[1]销售出库'!$R$4:$R$2003,'[1]销售出库'!$H$4:$H$2003,$A145,'[1]销售出库'!$Q$4:$Q$2003,'首页'!$B$4*100+R$4))</f>
        <v>0</v>
      </c>
      <c r="S145" s="21">
        <f>IF($A145="",0,SUMIFS('[1]销售出库'!$R$4:$R$2003,'[1]销售出库'!$H$4:$H$2003,$A145,'[1]销售出库'!$Q$4:$Q$2003,'首页'!$B$4*100+S$4))</f>
        <v>0</v>
      </c>
      <c r="T145" s="21">
        <f>IF($A145="",0,SUMIFS('[1]销售出库'!$R$4:$R$2003,'[1]销售出库'!$H$4:$H$2003,$A145,'[1]销售出库'!$Q$4:$Q$2003,'首页'!$B$4*100+T$4))</f>
        <v>0</v>
      </c>
      <c r="U145" s="21">
        <f>IF($A145="",0,SUMIFS('[1]销售出库'!$R$4:$R$2003,'[1]销售出库'!$H$4:$H$2003,$A145,'[1]销售出库'!$Q$4:$Q$2003,'首页'!$B$4*100+U$4))</f>
        <v>0</v>
      </c>
      <c r="V145" s="21">
        <f>IF($A145="",0,SUMIFS('[1]销售出库'!$R$4:$R$2003,'[1]销售出库'!$H$4:$H$2003,$A145,'[1]销售出库'!$Q$4:$Q$2003,'首页'!$B$4*100+V$4))</f>
        <v>0</v>
      </c>
      <c r="W145" s="21">
        <f>IF($A145="",0,SUMIFS('[1]销售出库'!$R$4:$R$2003,'[1]销售出库'!$H$4:$H$2003,$A145,'[1]销售出库'!$Q$4:$Q$2003,'首页'!$B$4*100+W$4))</f>
        <v>0</v>
      </c>
      <c r="X145" s="21">
        <f>IF($A145="",0,SUMIFS('[1]销售出库'!$R$4:$R$2003,'[1]销售出库'!$H$4:$H$2003,$A145,'[1]销售出库'!$Q$4:$Q$2003,'首页'!$B$4*100+X$4))</f>
        <v>0</v>
      </c>
    </row>
    <row r="146">
      <c r="A146" s="6">
        <f>IF('[1]基础资料'!$P$145="","",'[1]基础资料'!$P$145)</f>
      </c>
      <c r="B146" s="6">
        <f>IF(A146="","",'[1]基础资料'!$Q$145&amp;"")</f>
      </c>
      <c r="C146" s="21">
        <f>IF(A146="",0,N('[1]基础资料'!$S$145))</f>
        <v>0</v>
      </c>
      <c r="D146" s="11">
        <f>IF(A146="",0,N('[1]基础资料'!$U$145))</f>
        <v>0</v>
      </c>
      <c r="E146" s="21">
        <f>IF(A146="",0,SUMIFS('[1]采购入库'!$U$4:$U$2003,'[1]采购入库'!$I$4:$I$2003,$A146))</f>
        <v>0</v>
      </c>
      <c r="F146" s="11">
        <f>IF(A146="",0,SUMIFS('[1]采购入库'!$V$4:$V$2003,'[1]采购入库'!$I$4:$I$2003,$A146))</f>
        <v>0</v>
      </c>
      <c r="G146" s="21">
        <f>IF(A146="",0,SUMIFS('[1]销售出库'!$R$4:$R$2003,'[1]销售出库'!$H$4:$H$2003,$A146))</f>
        <v>0</v>
      </c>
      <c r="H146" s="11">
        <f t="shared" si="3"/>
        <v>0</v>
      </c>
      <c r="I146" s="11">
        <f t="shared" si="0"/>
        <v>0</v>
      </c>
      <c r="J146" s="21">
        <f t="shared" si="1"/>
        <v>0</v>
      </c>
      <c r="K146" s="11">
        <f t="shared" si="2"/>
        <v>0</v>
      </c>
      <c r="L146" s="6">
        <f t="shared" si="4"/>
      </c>
      <c r="M146" s="21">
        <f>IF($A146="",0,SUMIFS('[1]销售出库'!$R$4:$R$2003,'[1]销售出库'!$H$4:$H$2003,$A146,'[1]销售出库'!$Q$4:$Q$2003,'首页'!$B$4*100+M$4))</f>
        <v>0</v>
      </c>
      <c r="N146" s="21">
        <f>IF($A146="",0,SUMIFS('[1]销售出库'!$R$4:$R$2003,'[1]销售出库'!$H$4:$H$2003,$A146,'[1]销售出库'!$Q$4:$Q$2003,'首页'!$B$4*100+N$4))</f>
        <v>0</v>
      </c>
      <c r="O146" s="21">
        <f>IF($A146="",0,SUMIFS('[1]销售出库'!$R$4:$R$2003,'[1]销售出库'!$H$4:$H$2003,$A146,'[1]销售出库'!$Q$4:$Q$2003,'首页'!$B$4*100+O$4))</f>
        <v>0</v>
      </c>
      <c r="P146" s="21">
        <f>IF($A146="",0,SUMIFS('[1]销售出库'!$R$4:$R$2003,'[1]销售出库'!$H$4:$H$2003,$A146,'[1]销售出库'!$Q$4:$Q$2003,'首页'!$B$4*100+P$4))</f>
        <v>0</v>
      </c>
      <c r="Q146" s="21">
        <f>IF($A146="",0,SUMIFS('[1]销售出库'!$R$4:$R$2003,'[1]销售出库'!$H$4:$H$2003,$A146,'[1]销售出库'!$Q$4:$Q$2003,'首页'!$B$4*100+Q$4))</f>
        <v>0</v>
      </c>
      <c r="R146" s="21">
        <f>IF($A146="",0,SUMIFS('[1]销售出库'!$R$4:$R$2003,'[1]销售出库'!$H$4:$H$2003,$A146,'[1]销售出库'!$Q$4:$Q$2003,'首页'!$B$4*100+R$4))</f>
        <v>0</v>
      </c>
      <c r="S146" s="21">
        <f>IF($A146="",0,SUMIFS('[1]销售出库'!$R$4:$R$2003,'[1]销售出库'!$H$4:$H$2003,$A146,'[1]销售出库'!$Q$4:$Q$2003,'首页'!$B$4*100+S$4))</f>
        <v>0</v>
      </c>
      <c r="T146" s="21">
        <f>IF($A146="",0,SUMIFS('[1]销售出库'!$R$4:$R$2003,'[1]销售出库'!$H$4:$H$2003,$A146,'[1]销售出库'!$Q$4:$Q$2003,'首页'!$B$4*100+T$4))</f>
        <v>0</v>
      </c>
      <c r="U146" s="21">
        <f>IF($A146="",0,SUMIFS('[1]销售出库'!$R$4:$R$2003,'[1]销售出库'!$H$4:$H$2003,$A146,'[1]销售出库'!$Q$4:$Q$2003,'首页'!$B$4*100+U$4))</f>
        <v>0</v>
      </c>
      <c r="V146" s="21">
        <f>IF($A146="",0,SUMIFS('[1]销售出库'!$R$4:$R$2003,'[1]销售出库'!$H$4:$H$2003,$A146,'[1]销售出库'!$Q$4:$Q$2003,'首页'!$B$4*100+V$4))</f>
        <v>0</v>
      </c>
      <c r="W146" s="21">
        <f>IF($A146="",0,SUMIFS('[1]销售出库'!$R$4:$R$2003,'[1]销售出库'!$H$4:$H$2003,$A146,'[1]销售出库'!$Q$4:$Q$2003,'首页'!$B$4*100+W$4))</f>
        <v>0</v>
      </c>
      <c r="X146" s="21">
        <f>IF($A146="",0,SUMIFS('[1]销售出库'!$R$4:$R$2003,'[1]销售出库'!$H$4:$H$2003,$A146,'[1]销售出库'!$Q$4:$Q$2003,'首页'!$B$4*100+X$4))</f>
        <v>0</v>
      </c>
    </row>
    <row r="147">
      <c r="A147" s="6">
        <f>IF('[1]基础资料'!$P$146="","",'[1]基础资料'!$P$146)</f>
      </c>
      <c r="B147" s="6">
        <f>IF(A147="","",'[1]基础资料'!$Q$146&amp;"")</f>
      </c>
      <c r="C147" s="21">
        <f>IF(A147="",0,N('[1]基础资料'!$S$146))</f>
        <v>0</v>
      </c>
      <c r="D147" s="11">
        <f>IF(A147="",0,N('[1]基础资料'!$U$146))</f>
        <v>0</v>
      </c>
      <c r="E147" s="21">
        <f>IF(A147="",0,SUMIFS('[1]采购入库'!$U$4:$U$2003,'[1]采购入库'!$I$4:$I$2003,$A147))</f>
        <v>0</v>
      </c>
      <c r="F147" s="11">
        <f>IF(A147="",0,SUMIFS('[1]采购入库'!$V$4:$V$2003,'[1]采购入库'!$I$4:$I$2003,$A147))</f>
        <v>0</v>
      </c>
      <c r="G147" s="21">
        <f>IF(A147="",0,SUMIFS('[1]销售出库'!$R$4:$R$2003,'[1]销售出库'!$H$4:$H$2003,$A147))</f>
        <v>0</v>
      </c>
      <c r="H147" s="11">
        <f t="shared" si="3"/>
        <v>0</v>
      </c>
      <c r="I147" s="11">
        <f t="shared" si="0"/>
        <v>0</v>
      </c>
      <c r="J147" s="21">
        <f t="shared" si="1"/>
        <v>0</v>
      </c>
      <c r="K147" s="11">
        <f t="shared" si="2"/>
        <v>0</v>
      </c>
      <c r="L147" s="6">
        <f t="shared" si="4"/>
      </c>
      <c r="M147" s="21">
        <f>IF($A147="",0,SUMIFS('[1]销售出库'!$R$4:$R$2003,'[1]销售出库'!$H$4:$H$2003,$A147,'[1]销售出库'!$Q$4:$Q$2003,'首页'!$B$4*100+M$4))</f>
        <v>0</v>
      </c>
      <c r="N147" s="21">
        <f>IF($A147="",0,SUMIFS('[1]销售出库'!$R$4:$R$2003,'[1]销售出库'!$H$4:$H$2003,$A147,'[1]销售出库'!$Q$4:$Q$2003,'首页'!$B$4*100+N$4))</f>
        <v>0</v>
      </c>
      <c r="O147" s="21">
        <f>IF($A147="",0,SUMIFS('[1]销售出库'!$R$4:$R$2003,'[1]销售出库'!$H$4:$H$2003,$A147,'[1]销售出库'!$Q$4:$Q$2003,'首页'!$B$4*100+O$4))</f>
        <v>0</v>
      </c>
      <c r="P147" s="21">
        <f>IF($A147="",0,SUMIFS('[1]销售出库'!$R$4:$R$2003,'[1]销售出库'!$H$4:$H$2003,$A147,'[1]销售出库'!$Q$4:$Q$2003,'首页'!$B$4*100+P$4))</f>
        <v>0</v>
      </c>
      <c r="Q147" s="21">
        <f>IF($A147="",0,SUMIFS('[1]销售出库'!$R$4:$R$2003,'[1]销售出库'!$H$4:$H$2003,$A147,'[1]销售出库'!$Q$4:$Q$2003,'首页'!$B$4*100+Q$4))</f>
        <v>0</v>
      </c>
      <c r="R147" s="21">
        <f>IF($A147="",0,SUMIFS('[1]销售出库'!$R$4:$R$2003,'[1]销售出库'!$H$4:$H$2003,$A147,'[1]销售出库'!$Q$4:$Q$2003,'首页'!$B$4*100+R$4))</f>
        <v>0</v>
      </c>
      <c r="S147" s="21">
        <f>IF($A147="",0,SUMIFS('[1]销售出库'!$R$4:$R$2003,'[1]销售出库'!$H$4:$H$2003,$A147,'[1]销售出库'!$Q$4:$Q$2003,'首页'!$B$4*100+S$4))</f>
        <v>0</v>
      </c>
      <c r="T147" s="21">
        <f>IF($A147="",0,SUMIFS('[1]销售出库'!$R$4:$R$2003,'[1]销售出库'!$H$4:$H$2003,$A147,'[1]销售出库'!$Q$4:$Q$2003,'首页'!$B$4*100+T$4))</f>
        <v>0</v>
      </c>
      <c r="U147" s="21">
        <f>IF($A147="",0,SUMIFS('[1]销售出库'!$R$4:$R$2003,'[1]销售出库'!$H$4:$H$2003,$A147,'[1]销售出库'!$Q$4:$Q$2003,'首页'!$B$4*100+U$4))</f>
        <v>0</v>
      </c>
      <c r="V147" s="21">
        <f>IF($A147="",0,SUMIFS('[1]销售出库'!$R$4:$R$2003,'[1]销售出库'!$H$4:$H$2003,$A147,'[1]销售出库'!$Q$4:$Q$2003,'首页'!$B$4*100+V$4))</f>
        <v>0</v>
      </c>
      <c r="W147" s="21">
        <f>IF($A147="",0,SUMIFS('[1]销售出库'!$R$4:$R$2003,'[1]销售出库'!$H$4:$H$2003,$A147,'[1]销售出库'!$Q$4:$Q$2003,'首页'!$B$4*100+W$4))</f>
        <v>0</v>
      </c>
      <c r="X147" s="21">
        <f>IF($A147="",0,SUMIFS('[1]销售出库'!$R$4:$R$2003,'[1]销售出库'!$H$4:$H$2003,$A147,'[1]销售出库'!$Q$4:$Q$2003,'首页'!$B$4*100+X$4))</f>
        <v>0</v>
      </c>
    </row>
    <row r="148">
      <c r="A148" s="6">
        <f>IF('[1]基础资料'!$P$147="","",'[1]基础资料'!$P$147)</f>
      </c>
      <c r="B148" s="6">
        <f>IF(A148="","",'[1]基础资料'!$Q$147&amp;"")</f>
      </c>
      <c r="C148" s="21">
        <f>IF(A148="",0,N('[1]基础资料'!$S$147))</f>
        <v>0</v>
      </c>
      <c r="D148" s="11">
        <f>IF(A148="",0,N('[1]基础资料'!$U$147))</f>
        <v>0</v>
      </c>
      <c r="E148" s="21">
        <f>IF(A148="",0,SUMIFS('[1]采购入库'!$U$4:$U$2003,'[1]采购入库'!$I$4:$I$2003,$A148))</f>
        <v>0</v>
      </c>
      <c r="F148" s="11">
        <f>IF(A148="",0,SUMIFS('[1]采购入库'!$V$4:$V$2003,'[1]采购入库'!$I$4:$I$2003,$A148))</f>
        <v>0</v>
      </c>
      <c r="G148" s="21">
        <f>IF(A148="",0,SUMIFS('[1]销售出库'!$R$4:$R$2003,'[1]销售出库'!$H$4:$H$2003,$A148))</f>
        <v>0</v>
      </c>
      <c r="H148" s="11">
        <f t="shared" si="3"/>
        <v>0</v>
      </c>
      <c r="I148" s="11">
        <f t="shared" si="0"/>
        <v>0</v>
      </c>
      <c r="J148" s="21">
        <f t="shared" si="1"/>
        <v>0</v>
      </c>
      <c r="K148" s="11">
        <f t="shared" si="2"/>
        <v>0</v>
      </c>
      <c r="L148" s="6">
        <f t="shared" si="4"/>
      </c>
      <c r="M148" s="21">
        <f>IF($A148="",0,SUMIFS('[1]销售出库'!$R$4:$R$2003,'[1]销售出库'!$H$4:$H$2003,$A148,'[1]销售出库'!$Q$4:$Q$2003,'首页'!$B$4*100+M$4))</f>
        <v>0</v>
      </c>
      <c r="N148" s="21">
        <f>IF($A148="",0,SUMIFS('[1]销售出库'!$R$4:$R$2003,'[1]销售出库'!$H$4:$H$2003,$A148,'[1]销售出库'!$Q$4:$Q$2003,'首页'!$B$4*100+N$4))</f>
        <v>0</v>
      </c>
      <c r="O148" s="21">
        <f>IF($A148="",0,SUMIFS('[1]销售出库'!$R$4:$R$2003,'[1]销售出库'!$H$4:$H$2003,$A148,'[1]销售出库'!$Q$4:$Q$2003,'首页'!$B$4*100+O$4))</f>
        <v>0</v>
      </c>
      <c r="P148" s="21">
        <f>IF($A148="",0,SUMIFS('[1]销售出库'!$R$4:$R$2003,'[1]销售出库'!$H$4:$H$2003,$A148,'[1]销售出库'!$Q$4:$Q$2003,'首页'!$B$4*100+P$4))</f>
        <v>0</v>
      </c>
      <c r="Q148" s="21">
        <f>IF($A148="",0,SUMIFS('[1]销售出库'!$R$4:$R$2003,'[1]销售出库'!$H$4:$H$2003,$A148,'[1]销售出库'!$Q$4:$Q$2003,'首页'!$B$4*100+Q$4))</f>
        <v>0</v>
      </c>
      <c r="R148" s="21">
        <f>IF($A148="",0,SUMIFS('[1]销售出库'!$R$4:$R$2003,'[1]销售出库'!$H$4:$H$2003,$A148,'[1]销售出库'!$Q$4:$Q$2003,'首页'!$B$4*100+R$4))</f>
        <v>0</v>
      </c>
      <c r="S148" s="21">
        <f>IF($A148="",0,SUMIFS('[1]销售出库'!$R$4:$R$2003,'[1]销售出库'!$H$4:$H$2003,$A148,'[1]销售出库'!$Q$4:$Q$2003,'首页'!$B$4*100+S$4))</f>
        <v>0</v>
      </c>
      <c r="T148" s="21">
        <f>IF($A148="",0,SUMIFS('[1]销售出库'!$R$4:$R$2003,'[1]销售出库'!$H$4:$H$2003,$A148,'[1]销售出库'!$Q$4:$Q$2003,'首页'!$B$4*100+T$4))</f>
        <v>0</v>
      </c>
      <c r="U148" s="21">
        <f>IF($A148="",0,SUMIFS('[1]销售出库'!$R$4:$R$2003,'[1]销售出库'!$H$4:$H$2003,$A148,'[1]销售出库'!$Q$4:$Q$2003,'首页'!$B$4*100+U$4))</f>
        <v>0</v>
      </c>
      <c r="V148" s="21">
        <f>IF($A148="",0,SUMIFS('[1]销售出库'!$R$4:$R$2003,'[1]销售出库'!$H$4:$H$2003,$A148,'[1]销售出库'!$Q$4:$Q$2003,'首页'!$B$4*100+V$4))</f>
        <v>0</v>
      </c>
      <c r="W148" s="21">
        <f>IF($A148="",0,SUMIFS('[1]销售出库'!$R$4:$R$2003,'[1]销售出库'!$H$4:$H$2003,$A148,'[1]销售出库'!$Q$4:$Q$2003,'首页'!$B$4*100+W$4))</f>
        <v>0</v>
      </c>
      <c r="X148" s="21">
        <f>IF($A148="",0,SUMIFS('[1]销售出库'!$R$4:$R$2003,'[1]销售出库'!$H$4:$H$2003,$A148,'[1]销售出库'!$Q$4:$Q$2003,'首页'!$B$4*100+X$4))</f>
        <v>0</v>
      </c>
    </row>
    <row r="149">
      <c r="A149" s="6">
        <f>IF('[1]基础资料'!$P$148="","",'[1]基础资料'!$P$148)</f>
      </c>
      <c r="B149" s="6">
        <f>IF(A149="","",'[1]基础资料'!$Q$148&amp;"")</f>
      </c>
      <c r="C149" s="21">
        <f>IF(A149="",0,N('[1]基础资料'!$S$148))</f>
        <v>0</v>
      </c>
      <c r="D149" s="11">
        <f>IF(A149="",0,N('[1]基础资料'!$U$148))</f>
        <v>0</v>
      </c>
      <c r="E149" s="21">
        <f>IF(A149="",0,SUMIFS('[1]采购入库'!$U$4:$U$2003,'[1]采购入库'!$I$4:$I$2003,$A149))</f>
        <v>0</v>
      </c>
      <c r="F149" s="11">
        <f>IF(A149="",0,SUMIFS('[1]采购入库'!$V$4:$V$2003,'[1]采购入库'!$I$4:$I$2003,$A149))</f>
        <v>0</v>
      </c>
      <c r="G149" s="21">
        <f>IF(A149="",0,SUMIFS('[1]销售出库'!$R$4:$R$2003,'[1]销售出库'!$H$4:$H$2003,$A149))</f>
        <v>0</v>
      </c>
      <c r="H149" s="11">
        <f t="shared" si="3"/>
        <v>0</v>
      </c>
      <c r="I149" s="11">
        <f t="shared" si="0"/>
        <v>0</v>
      </c>
      <c r="J149" s="21">
        <f t="shared" si="1"/>
        <v>0</v>
      </c>
      <c r="K149" s="11">
        <f t="shared" si="2"/>
        <v>0</v>
      </c>
      <c r="L149" s="6">
        <f t="shared" si="4"/>
      </c>
      <c r="M149" s="21">
        <f>IF($A149="",0,SUMIFS('[1]销售出库'!$R$4:$R$2003,'[1]销售出库'!$H$4:$H$2003,$A149,'[1]销售出库'!$Q$4:$Q$2003,'首页'!$B$4*100+M$4))</f>
        <v>0</v>
      </c>
      <c r="N149" s="21">
        <f>IF($A149="",0,SUMIFS('[1]销售出库'!$R$4:$R$2003,'[1]销售出库'!$H$4:$H$2003,$A149,'[1]销售出库'!$Q$4:$Q$2003,'首页'!$B$4*100+N$4))</f>
        <v>0</v>
      </c>
      <c r="O149" s="21">
        <f>IF($A149="",0,SUMIFS('[1]销售出库'!$R$4:$R$2003,'[1]销售出库'!$H$4:$H$2003,$A149,'[1]销售出库'!$Q$4:$Q$2003,'首页'!$B$4*100+O$4))</f>
        <v>0</v>
      </c>
      <c r="P149" s="21">
        <f>IF($A149="",0,SUMIFS('[1]销售出库'!$R$4:$R$2003,'[1]销售出库'!$H$4:$H$2003,$A149,'[1]销售出库'!$Q$4:$Q$2003,'首页'!$B$4*100+P$4))</f>
        <v>0</v>
      </c>
      <c r="Q149" s="21">
        <f>IF($A149="",0,SUMIFS('[1]销售出库'!$R$4:$R$2003,'[1]销售出库'!$H$4:$H$2003,$A149,'[1]销售出库'!$Q$4:$Q$2003,'首页'!$B$4*100+Q$4))</f>
        <v>0</v>
      </c>
      <c r="R149" s="21">
        <f>IF($A149="",0,SUMIFS('[1]销售出库'!$R$4:$R$2003,'[1]销售出库'!$H$4:$H$2003,$A149,'[1]销售出库'!$Q$4:$Q$2003,'首页'!$B$4*100+R$4))</f>
        <v>0</v>
      </c>
      <c r="S149" s="21">
        <f>IF($A149="",0,SUMIFS('[1]销售出库'!$R$4:$R$2003,'[1]销售出库'!$H$4:$H$2003,$A149,'[1]销售出库'!$Q$4:$Q$2003,'首页'!$B$4*100+S$4))</f>
        <v>0</v>
      </c>
      <c r="T149" s="21">
        <f>IF($A149="",0,SUMIFS('[1]销售出库'!$R$4:$R$2003,'[1]销售出库'!$H$4:$H$2003,$A149,'[1]销售出库'!$Q$4:$Q$2003,'首页'!$B$4*100+T$4))</f>
        <v>0</v>
      </c>
      <c r="U149" s="21">
        <f>IF($A149="",0,SUMIFS('[1]销售出库'!$R$4:$R$2003,'[1]销售出库'!$H$4:$H$2003,$A149,'[1]销售出库'!$Q$4:$Q$2003,'首页'!$B$4*100+U$4))</f>
        <v>0</v>
      </c>
      <c r="V149" s="21">
        <f>IF($A149="",0,SUMIFS('[1]销售出库'!$R$4:$R$2003,'[1]销售出库'!$H$4:$H$2003,$A149,'[1]销售出库'!$Q$4:$Q$2003,'首页'!$B$4*100+V$4))</f>
        <v>0</v>
      </c>
      <c r="W149" s="21">
        <f>IF($A149="",0,SUMIFS('[1]销售出库'!$R$4:$R$2003,'[1]销售出库'!$H$4:$H$2003,$A149,'[1]销售出库'!$Q$4:$Q$2003,'首页'!$B$4*100+W$4))</f>
        <v>0</v>
      </c>
      <c r="X149" s="21">
        <f>IF($A149="",0,SUMIFS('[1]销售出库'!$R$4:$R$2003,'[1]销售出库'!$H$4:$H$2003,$A149,'[1]销售出库'!$Q$4:$Q$2003,'首页'!$B$4*100+X$4))</f>
        <v>0</v>
      </c>
    </row>
    <row r="150">
      <c r="A150" s="6">
        <f>IF('[1]基础资料'!$P$149="","",'[1]基础资料'!$P$149)</f>
      </c>
      <c r="B150" s="6">
        <f>IF(A150="","",'[1]基础资料'!$Q$149&amp;"")</f>
      </c>
      <c r="C150" s="21">
        <f>IF(A150="",0,N('[1]基础资料'!$S$149))</f>
        <v>0</v>
      </c>
      <c r="D150" s="11">
        <f>IF(A150="",0,N('[1]基础资料'!$U$149))</f>
        <v>0</v>
      </c>
      <c r="E150" s="21">
        <f>IF(A150="",0,SUMIFS('[1]采购入库'!$U$4:$U$2003,'[1]采购入库'!$I$4:$I$2003,$A150))</f>
        <v>0</v>
      </c>
      <c r="F150" s="11">
        <f>IF(A150="",0,SUMIFS('[1]采购入库'!$V$4:$V$2003,'[1]采购入库'!$I$4:$I$2003,$A150))</f>
        <v>0</v>
      </c>
      <c r="G150" s="21">
        <f>IF(A150="",0,SUMIFS('[1]销售出库'!$R$4:$R$2003,'[1]销售出库'!$H$4:$H$2003,$A150))</f>
        <v>0</v>
      </c>
      <c r="H150" s="11">
        <f t="shared" si="3"/>
        <v>0</v>
      </c>
      <c r="I150" s="11">
        <f t="shared" si="0"/>
        <v>0</v>
      </c>
      <c r="J150" s="21">
        <f t="shared" si="1"/>
        <v>0</v>
      </c>
      <c r="K150" s="11">
        <f t="shared" si="2"/>
        <v>0</v>
      </c>
      <c r="L150" s="6">
        <f t="shared" si="4"/>
      </c>
      <c r="M150" s="21">
        <f>IF($A150="",0,SUMIFS('[1]销售出库'!$R$4:$R$2003,'[1]销售出库'!$H$4:$H$2003,$A150,'[1]销售出库'!$Q$4:$Q$2003,'首页'!$B$4*100+M$4))</f>
        <v>0</v>
      </c>
      <c r="N150" s="21">
        <f>IF($A150="",0,SUMIFS('[1]销售出库'!$R$4:$R$2003,'[1]销售出库'!$H$4:$H$2003,$A150,'[1]销售出库'!$Q$4:$Q$2003,'首页'!$B$4*100+N$4))</f>
        <v>0</v>
      </c>
      <c r="O150" s="21">
        <f>IF($A150="",0,SUMIFS('[1]销售出库'!$R$4:$R$2003,'[1]销售出库'!$H$4:$H$2003,$A150,'[1]销售出库'!$Q$4:$Q$2003,'首页'!$B$4*100+O$4))</f>
        <v>0</v>
      </c>
      <c r="P150" s="21">
        <f>IF($A150="",0,SUMIFS('[1]销售出库'!$R$4:$R$2003,'[1]销售出库'!$H$4:$H$2003,$A150,'[1]销售出库'!$Q$4:$Q$2003,'首页'!$B$4*100+P$4))</f>
        <v>0</v>
      </c>
      <c r="Q150" s="21">
        <f>IF($A150="",0,SUMIFS('[1]销售出库'!$R$4:$R$2003,'[1]销售出库'!$H$4:$H$2003,$A150,'[1]销售出库'!$Q$4:$Q$2003,'首页'!$B$4*100+Q$4))</f>
        <v>0</v>
      </c>
      <c r="R150" s="21">
        <f>IF($A150="",0,SUMIFS('[1]销售出库'!$R$4:$R$2003,'[1]销售出库'!$H$4:$H$2003,$A150,'[1]销售出库'!$Q$4:$Q$2003,'首页'!$B$4*100+R$4))</f>
        <v>0</v>
      </c>
      <c r="S150" s="21">
        <f>IF($A150="",0,SUMIFS('[1]销售出库'!$R$4:$R$2003,'[1]销售出库'!$H$4:$H$2003,$A150,'[1]销售出库'!$Q$4:$Q$2003,'首页'!$B$4*100+S$4))</f>
        <v>0</v>
      </c>
      <c r="T150" s="21">
        <f>IF($A150="",0,SUMIFS('[1]销售出库'!$R$4:$R$2003,'[1]销售出库'!$H$4:$H$2003,$A150,'[1]销售出库'!$Q$4:$Q$2003,'首页'!$B$4*100+T$4))</f>
        <v>0</v>
      </c>
      <c r="U150" s="21">
        <f>IF($A150="",0,SUMIFS('[1]销售出库'!$R$4:$R$2003,'[1]销售出库'!$H$4:$H$2003,$A150,'[1]销售出库'!$Q$4:$Q$2003,'首页'!$B$4*100+U$4))</f>
        <v>0</v>
      </c>
      <c r="V150" s="21">
        <f>IF($A150="",0,SUMIFS('[1]销售出库'!$R$4:$R$2003,'[1]销售出库'!$H$4:$H$2003,$A150,'[1]销售出库'!$Q$4:$Q$2003,'首页'!$B$4*100+V$4))</f>
        <v>0</v>
      </c>
      <c r="W150" s="21">
        <f>IF($A150="",0,SUMIFS('[1]销售出库'!$R$4:$R$2003,'[1]销售出库'!$H$4:$H$2003,$A150,'[1]销售出库'!$Q$4:$Q$2003,'首页'!$B$4*100+W$4))</f>
        <v>0</v>
      </c>
      <c r="X150" s="21">
        <f>IF($A150="",0,SUMIFS('[1]销售出库'!$R$4:$R$2003,'[1]销售出库'!$H$4:$H$2003,$A150,'[1]销售出库'!$Q$4:$Q$2003,'首页'!$B$4*100+X$4))</f>
        <v>0</v>
      </c>
    </row>
    <row r="151">
      <c r="A151" s="6">
        <f>IF('[1]基础资料'!$P$150="","",'[1]基础资料'!$P$150)</f>
      </c>
      <c r="B151" s="6">
        <f>IF(A151="","",'[1]基础资料'!$Q$150&amp;"")</f>
      </c>
      <c r="C151" s="21">
        <f>IF(A151="",0,N('[1]基础资料'!$S$150))</f>
        <v>0</v>
      </c>
      <c r="D151" s="11">
        <f>IF(A151="",0,N('[1]基础资料'!$U$150))</f>
        <v>0</v>
      </c>
      <c r="E151" s="21">
        <f>IF(A151="",0,SUMIFS('[1]采购入库'!$U$4:$U$2003,'[1]采购入库'!$I$4:$I$2003,$A151))</f>
        <v>0</v>
      </c>
      <c r="F151" s="11">
        <f>IF(A151="",0,SUMIFS('[1]采购入库'!$V$4:$V$2003,'[1]采购入库'!$I$4:$I$2003,$A151))</f>
        <v>0</v>
      </c>
      <c r="G151" s="21">
        <f>IF(A151="",0,SUMIFS('[1]销售出库'!$R$4:$R$2003,'[1]销售出库'!$H$4:$H$2003,$A151))</f>
        <v>0</v>
      </c>
      <c r="H151" s="11">
        <f t="shared" si="3"/>
        <v>0</v>
      </c>
      <c r="I151" s="11">
        <f t="shared" si="0"/>
        <v>0</v>
      </c>
      <c r="J151" s="21">
        <f t="shared" si="1"/>
        <v>0</v>
      </c>
      <c r="K151" s="11">
        <f t="shared" si="2"/>
        <v>0</v>
      </c>
      <c r="L151" s="6">
        <f t="shared" si="4"/>
      </c>
      <c r="M151" s="21">
        <f>IF($A151="",0,SUMIFS('[1]销售出库'!$R$4:$R$2003,'[1]销售出库'!$H$4:$H$2003,$A151,'[1]销售出库'!$Q$4:$Q$2003,'首页'!$B$4*100+M$4))</f>
        <v>0</v>
      </c>
      <c r="N151" s="21">
        <f>IF($A151="",0,SUMIFS('[1]销售出库'!$R$4:$R$2003,'[1]销售出库'!$H$4:$H$2003,$A151,'[1]销售出库'!$Q$4:$Q$2003,'首页'!$B$4*100+N$4))</f>
        <v>0</v>
      </c>
      <c r="O151" s="21">
        <f>IF($A151="",0,SUMIFS('[1]销售出库'!$R$4:$R$2003,'[1]销售出库'!$H$4:$H$2003,$A151,'[1]销售出库'!$Q$4:$Q$2003,'首页'!$B$4*100+O$4))</f>
        <v>0</v>
      </c>
      <c r="P151" s="21">
        <f>IF($A151="",0,SUMIFS('[1]销售出库'!$R$4:$R$2003,'[1]销售出库'!$H$4:$H$2003,$A151,'[1]销售出库'!$Q$4:$Q$2003,'首页'!$B$4*100+P$4))</f>
        <v>0</v>
      </c>
      <c r="Q151" s="21">
        <f>IF($A151="",0,SUMIFS('[1]销售出库'!$R$4:$R$2003,'[1]销售出库'!$H$4:$H$2003,$A151,'[1]销售出库'!$Q$4:$Q$2003,'首页'!$B$4*100+Q$4))</f>
        <v>0</v>
      </c>
      <c r="R151" s="21">
        <f>IF($A151="",0,SUMIFS('[1]销售出库'!$R$4:$R$2003,'[1]销售出库'!$H$4:$H$2003,$A151,'[1]销售出库'!$Q$4:$Q$2003,'首页'!$B$4*100+R$4))</f>
        <v>0</v>
      </c>
      <c r="S151" s="21">
        <f>IF($A151="",0,SUMIFS('[1]销售出库'!$R$4:$R$2003,'[1]销售出库'!$H$4:$H$2003,$A151,'[1]销售出库'!$Q$4:$Q$2003,'首页'!$B$4*100+S$4))</f>
        <v>0</v>
      </c>
      <c r="T151" s="21">
        <f>IF($A151="",0,SUMIFS('[1]销售出库'!$R$4:$R$2003,'[1]销售出库'!$H$4:$H$2003,$A151,'[1]销售出库'!$Q$4:$Q$2003,'首页'!$B$4*100+T$4))</f>
        <v>0</v>
      </c>
      <c r="U151" s="21">
        <f>IF($A151="",0,SUMIFS('[1]销售出库'!$R$4:$R$2003,'[1]销售出库'!$H$4:$H$2003,$A151,'[1]销售出库'!$Q$4:$Q$2003,'首页'!$B$4*100+U$4))</f>
        <v>0</v>
      </c>
      <c r="V151" s="21">
        <f>IF($A151="",0,SUMIFS('[1]销售出库'!$R$4:$R$2003,'[1]销售出库'!$H$4:$H$2003,$A151,'[1]销售出库'!$Q$4:$Q$2003,'首页'!$B$4*100+V$4))</f>
        <v>0</v>
      </c>
      <c r="W151" s="21">
        <f>IF($A151="",0,SUMIFS('[1]销售出库'!$R$4:$R$2003,'[1]销售出库'!$H$4:$H$2003,$A151,'[1]销售出库'!$Q$4:$Q$2003,'首页'!$B$4*100+W$4))</f>
        <v>0</v>
      </c>
      <c r="X151" s="21">
        <f>IF($A151="",0,SUMIFS('[1]销售出库'!$R$4:$R$2003,'[1]销售出库'!$H$4:$H$2003,$A151,'[1]销售出库'!$Q$4:$Q$2003,'首页'!$B$4*100+X$4))</f>
        <v>0</v>
      </c>
    </row>
    <row r="152">
      <c r="A152" s="6">
        <f>IF('[1]基础资料'!$P$151="","",'[1]基础资料'!$P$151)</f>
      </c>
      <c r="B152" s="6">
        <f>IF(A152="","",'[1]基础资料'!$Q$151&amp;"")</f>
      </c>
      <c r="C152" s="21">
        <f>IF(A152="",0,N('[1]基础资料'!$S$151))</f>
        <v>0</v>
      </c>
      <c r="D152" s="11">
        <f>IF(A152="",0,N('[1]基础资料'!$U$151))</f>
        <v>0</v>
      </c>
      <c r="E152" s="21">
        <f>IF(A152="",0,SUMIFS('[1]采购入库'!$U$4:$U$2003,'[1]采购入库'!$I$4:$I$2003,$A152))</f>
        <v>0</v>
      </c>
      <c r="F152" s="11">
        <f>IF(A152="",0,SUMIFS('[1]采购入库'!$V$4:$V$2003,'[1]采购入库'!$I$4:$I$2003,$A152))</f>
        <v>0</v>
      </c>
      <c r="G152" s="21">
        <f>IF(A152="",0,SUMIFS('[1]销售出库'!$R$4:$R$2003,'[1]销售出库'!$H$4:$H$2003,$A152))</f>
        <v>0</v>
      </c>
      <c r="H152" s="11">
        <f t="shared" si="3"/>
        <v>0</v>
      </c>
      <c r="I152" s="11">
        <f t="shared" si="0"/>
        <v>0</v>
      </c>
      <c r="J152" s="21">
        <f t="shared" si="1"/>
        <v>0</v>
      </c>
      <c r="K152" s="11">
        <f t="shared" si="2"/>
        <v>0</v>
      </c>
      <c r="L152" s="6">
        <f t="shared" si="4"/>
      </c>
      <c r="M152" s="21">
        <f>IF($A152="",0,SUMIFS('[1]销售出库'!$R$4:$R$2003,'[1]销售出库'!$H$4:$H$2003,$A152,'[1]销售出库'!$Q$4:$Q$2003,'首页'!$B$4*100+M$4))</f>
        <v>0</v>
      </c>
      <c r="N152" s="21">
        <f>IF($A152="",0,SUMIFS('[1]销售出库'!$R$4:$R$2003,'[1]销售出库'!$H$4:$H$2003,$A152,'[1]销售出库'!$Q$4:$Q$2003,'首页'!$B$4*100+N$4))</f>
        <v>0</v>
      </c>
      <c r="O152" s="21">
        <f>IF($A152="",0,SUMIFS('[1]销售出库'!$R$4:$R$2003,'[1]销售出库'!$H$4:$H$2003,$A152,'[1]销售出库'!$Q$4:$Q$2003,'首页'!$B$4*100+O$4))</f>
        <v>0</v>
      </c>
      <c r="P152" s="21">
        <f>IF($A152="",0,SUMIFS('[1]销售出库'!$R$4:$R$2003,'[1]销售出库'!$H$4:$H$2003,$A152,'[1]销售出库'!$Q$4:$Q$2003,'首页'!$B$4*100+P$4))</f>
        <v>0</v>
      </c>
      <c r="Q152" s="21">
        <f>IF($A152="",0,SUMIFS('[1]销售出库'!$R$4:$R$2003,'[1]销售出库'!$H$4:$H$2003,$A152,'[1]销售出库'!$Q$4:$Q$2003,'首页'!$B$4*100+Q$4))</f>
        <v>0</v>
      </c>
      <c r="R152" s="21">
        <f>IF($A152="",0,SUMIFS('[1]销售出库'!$R$4:$R$2003,'[1]销售出库'!$H$4:$H$2003,$A152,'[1]销售出库'!$Q$4:$Q$2003,'首页'!$B$4*100+R$4))</f>
        <v>0</v>
      </c>
      <c r="S152" s="21">
        <f>IF($A152="",0,SUMIFS('[1]销售出库'!$R$4:$R$2003,'[1]销售出库'!$H$4:$H$2003,$A152,'[1]销售出库'!$Q$4:$Q$2003,'首页'!$B$4*100+S$4))</f>
        <v>0</v>
      </c>
      <c r="T152" s="21">
        <f>IF($A152="",0,SUMIFS('[1]销售出库'!$R$4:$R$2003,'[1]销售出库'!$H$4:$H$2003,$A152,'[1]销售出库'!$Q$4:$Q$2003,'首页'!$B$4*100+T$4))</f>
        <v>0</v>
      </c>
      <c r="U152" s="21">
        <f>IF($A152="",0,SUMIFS('[1]销售出库'!$R$4:$R$2003,'[1]销售出库'!$H$4:$H$2003,$A152,'[1]销售出库'!$Q$4:$Q$2003,'首页'!$B$4*100+U$4))</f>
        <v>0</v>
      </c>
      <c r="V152" s="21">
        <f>IF($A152="",0,SUMIFS('[1]销售出库'!$R$4:$R$2003,'[1]销售出库'!$H$4:$H$2003,$A152,'[1]销售出库'!$Q$4:$Q$2003,'首页'!$B$4*100+V$4))</f>
        <v>0</v>
      </c>
      <c r="W152" s="21">
        <f>IF($A152="",0,SUMIFS('[1]销售出库'!$R$4:$R$2003,'[1]销售出库'!$H$4:$H$2003,$A152,'[1]销售出库'!$Q$4:$Q$2003,'首页'!$B$4*100+W$4))</f>
        <v>0</v>
      </c>
      <c r="X152" s="21">
        <f>IF($A152="",0,SUMIFS('[1]销售出库'!$R$4:$R$2003,'[1]销售出库'!$H$4:$H$2003,$A152,'[1]销售出库'!$Q$4:$Q$2003,'首页'!$B$4*100+X$4))</f>
        <v>0</v>
      </c>
    </row>
    <row r="153">
      <c r="A153" s="6">
        <f>IF('[1]基础资料'!$P$152="","",'[1]基础资料'!$P$152)</f>
      </c>
      <c r="B153" s="6">
        <f>IF(A153="","",'[1]基础资料'!$Q$152&amp;"")</f>
      </c>
      <c r="C153" s="21">
        <f>IF(A153="",0,N('[1]基础资料'!$S$152))</f>
        <v>0</v>
      </c>
      <c r="D153" s="11">
        <f>IF(A153="",0,N('[1]基础资料'!$U$152))</f>
        <v>0</v>
      </c>
      <c r="E153" s="21">
        <f>IF(A153="",0,SUMIFS('[1]采购入库'!$U$4:$U$2003,'[1]采购入库'!$I$4:$I$2003,$A153))</f>
        <v>0</v>
      </c>
      <c r="F153" s="11">
        <f>IF(A153="",0,SUMIFS('[1]采购入库'!$V$4:$V$2003,'[1]采购入库'!$I$4:$I$2003,$A153))</f>
        <v>0</v>
      </c>
      <c r="G153" s="21">
        <f>IF(A153="",0,SUMIFS('[1]销售出库'!$R$4:$R$2003,'[1]销售出库'!$H$4:$H$2003,$A153))</f>
        <v>0</v>
      </c>
      <c r="H153" s="11">
        <f t="shared" si="3"/>
        <v>0</v>
      </c>
      <c r="I153" s="11">
        <f t="shared" si="0"/>
        <v>0</v>
      </c>
      <c r="J153" s="21">
        <f t="shared" si="1"/>
        <v>0</v>
      </c>
      <c r="K153" s="11">
        <f t="shared" si="2"/>
        <v>0</v>
      </c>
      <c r="L153" s="6">
        <f t="shared" si="4"/>
      </c>
      <c r="M153" s="21">
        <f>IF($A153="",0,SUMIFS('[1]销售出库'!$R$4:$R$2003,'[1]销售出库'!$H$4:$H$2003,$A153,'[1]销售出库'!$Q$4:$Q$2003,'首页'!$B$4*100+M$4))</f>
        <v>0</v>
      </c>
      <c r="N153" s="21">
        <f>IF($A153="",0,SUMIFS('[1]销售出库'!$R$4:$R$2003,'[1]销售出库'!$H$4:$H$2003,$A153,'[1]销售出库'!$Q$4:$Q$2003,'首页'!$B$4*100+N$4))</f>
        <v>0</v>
      </c>
      <c r="O153" s="21">
        <f>IF($A153="",0,SUMIFS('[1]销售出库'!$R$4:$R$2003,'[1]销售出库'!$H$4:$H$2003,$A153,'[1]销售出库'!$Q$4:$Q$2003,'首页'!$B$4*100+O$4))</f>
        <v>0</v>
      </c>
      <c r="P153" s="21">
        <f>IF($A153="",0,SUMIFS('[1]销售出库'!$R$4:$R$2003,'[1]销售出库'!$H$4:$H$2003,$A153,'[1]销售出库'!$Q$4:$Q$2003,'首页'!$B$4*100+P$4))</f>
        <v>0</v>
      </c>
      <c r="Q153" s="21">
        <f>IF($A153="",0,SUMIFS('[1]销售出库'!$R$4:$R$2003,'[1]销售出库'!$H$4:$H$2003,$A153,'[1]销售出库'!$Q$4:$Q$2003,'首页'!$B$4*100+Q$4))</f>
        <v>0</v>
      </c>
      <c r="R153" s="21">
        <f>IF($A153="",0,SUMIFS('[1]销售出库'!$R$4:$R$2003,'[1]销售出库'!$H$4:$H$2003,$A153,'[1]销售出库'!$Q$4:$Q$2003,'首页'!$B$4*100+R$4))</f>
        <v>0</v>
      </c>
      <c r="S153" s="21">
        <f>IF($A153="",0,SUMIFS('[1]销售出库'!$R$4:$R$2003,'[1]销售出库'!$H$4:$H$2003,$A153,'[1]销售出库'!$Q$4:$Q$2003,'首页'!$B$4*100+S$4))</f>
        <v>0</v>
      </c>
      <c r="T153" s="21">
        <f>IF($A153="",0,SUMIFS('[1]销售出库'!$R$4:$R$2003,'[1]销售出库'!$H$4:$H$2003,$A153,'[1]销售出库'!$Q$4:$Q$2003,'首页'!$B$4*100+T$4))</f>
        <v>0</v>
      </c>
      <c r="U153" s="21">
        <f>IF($A153="",0,SUMIFS('[1]销售出库'!$R$4:$R$2003,'[1]销售出库'!$H$4:$H$2003,$A153,'[1]销售出库'!$Q$4:$Q$2003,'首页'!$B$4*100+U$4))</f>
        <v>0</v>
      </c>
      <c r="V153" s="21">
        <f>IF($A153="",0,SUMIFS('[1]销售出库'!$R$4:$R$2003,'[1]销售出库'!$H$4:$H$2003,$A153,'[1]销售出库'!$Q$4:$Q$2003,'首页'!$B$4*100+V$4))</f>
        <v>0</v>
      </c>
      <c r="W153" s="21">
        <f>IF($A153="",0,SUMIFS('[1]销售出库'!$R$4:$R$2003,'[1]销售出库'!$H$4:$H$2003,$A153,'[1]销售出库'!$Q$4:$Q$2003,'首页'!$B$4*100+W$4))</f>
        <v>0</v>
      </c>
      <c r="X153" s="21">
        <f>IF($A153="",0,SUMIFS('[1]销售出库'!$R$4:$R$2003,'[1]销售出库'!$H$4:$H$2003,$A153,'[1]销售出库'!$Q$4:$Q$2003,'首页'!$B$4*100+X$4))</f>
        <v>0</v>
      </c>
    </row>
    <row r="154">
      <c r="A154" s="6">
        <f>IF('[1]基础资料'!$P$153="","",'[1]基础资料'!$P$153)</f>
      </c>
      <c r="B154" s="6">
        <f>IF(A154="","",'[1]基础资料'!$Q$153&amp;"")</f>
      </c>
      <c r="C154" s="21">
        <f>IF(A154="",0,N('[1]基础资料'!$S$153))</f>
        <v>0</v>
      </c>
      <c r="D154" s="11">
        <f>IF(A154="",0,N('[1]基础资料'!$U$153))</f>
        <v>0</v>
      </c>
      <c r="E154" s="21">
        <f>IF(A154="",0,SUMIFS('[1]采购入库'!$U$4:$U$2003,'[1]采购入库'!$I$4:$I$2003,$A154))</f>
        <v>0</v>
      </c>
      <c r="F154" s="11">
        <f>IF(A154="",0,SUMIFS('[1]采购入库'!$V$4:$V$2003,'[1]采购入库'!$I$4:$I$2003,$A154))</f>
        <v>0</v>
      </c>
      <c r="G154" s="21">
        <f>IF(A154="",0,SUMIFS('[1]销售出库'!$R$4:$R$2003,'[1]销售出库'!$H$4:$H$2003,$A154))</f>
        <v>0</v>
      </c>
      <c r="H154" s="11">
        <f t="shared" si="3"/>
        <v>0</v>
      </c>
      <c r="I154" s="11">
        <f t="shared" si="0"/>
        <v>0</v>
      </c>
      <c r="J154" s="21">
        <f t="shared" si="1"/>
        <v>0</v>
      </c>
      <c r="K154" s="11">
        <f t="shared" si="2"/>
        <v>0</v>
      </c>
      <c r="L154" s="6">
        <f t="shared" si="4"/>
      </c>
      <c r="M154" s="21">
        <f>IF($A154="",0,SUMIFS('[1]销售出库'!$R$4:$R$2003,'[1]销售出库'!$H$4:$H$2003,$A154,'[1]销售出库'!$Q$4:$Q$2003,'首页'!$B$4*100+M$4))</f>
        <v>0</v>
      </c>
      <c r="N154" s="21">
        <f>IF($A154="",0,SUMIFS('[1]销售出库'!$R$4:$R$2003,'[1]销售出库'!$H$4:$H$2003,$A154,'[1]销售出库'!$Q$4:$Q$2003,'首页'!$B$4*100+N$4))</f>
        <v>0</v>
      </c>
      <c r="O154" s="21">
        <f>IF($A154="",0,SUMIFS('[1]销售出库'!$R$4:$R$2003,'[1]销售出库'!$H$4:$H$2003,$A154,'[1]销售出库'!$Q$4:$Q$2003,'首页'!$B$4*100+O$4))</f>
        <v>0</v>
      </c>
      <c r="P154" s="21">
        <f>IF($A154="",0,SUMIFS('[1]销售出库'!$R$4:$R$2003,'[1]销售出库'!$H$4:$H$2003,$A154,'[1]销售出库'!$Q$4:$Q$2003,'首页'!$B$4*100+P$4))</f>
        <v>0</v>
      </c>
      <c r="Q154" s="21">
        <f>IF($A154="",0,SUMIFS('[1]销售出库'!$R$4:$R$2003,'[1]销售出库'!$H$4:$H$2003,$A154,'[1]销售出库'!$Q$4:$Q$2003,'首页'!$B$4*100+Q$4))</f>
        <v>0</v>
      </c>
      <c r="R154" s="21">
        <f>IF($A154="",0,SUMIFS('[1]销售出库'!$R$4:$R$2003,'[1]销售出库'!$H$4:$H$2003,$A154,'[1]销售出库'!$Q$4:$Q$2003,'首页'!$B$4*100+R$4))</f>
        <v>0</v>
      </c>
      <c r="S154" s="21">
        <f>IF($A154="",0,SUMIFS('[1]销售出库'!$R$4:$R$2003,'[1]销售出库'!$H$4:$H$2003,$A154,'[1]销售出库'!$Q$4:$Q$2003,'首页'!$B$4*100+S$4))</f>
        <v>0</v>
      </c>
      <c r="T154" s="21">
        <f>IF($A154="",0,SUMIFS('[1]销售出库'!$R$4:$R$2003,'[1]销售出库'!$H$4:$H$2003,$A154,'[1]销售出库'!$Q$4:$Q$2003,'首页'!$B$4*100+T$4))</f>
        <v>0</v>
      </c>
      <c r="U154" s="21">
        <f>IF($A154="",0,SUMIFS('[1]销售出库'!$R$4:$R$2003,'[1]销售出库'!$H$4:$H$2003,$A154,'[1]销售出库'!$Q$4:$Q$2003,'首页'!$B$4*100+U$4))</f>
        <v>0</v>
      </c>
      <c r="V154" s="21">
        <f>IF($A154="",0,SUMIFS('[1]销售出库'!$R$4:$R$2003,'[1]销售出库'!$H$4:$H$2003,$A154,'[1]销售出库'!$Q$4:$Q$2003,'首页'!$B$4*100+V$4))</f>
        <v>0</v>
      </c>
      <c r="W154" s="21">
        <f>IF($A154="",0,SUMIFS('[1]销售出库'!$R$4:$R$2003,'[1]销售出库'!$H$4:$H$2003,$A154,'[1]销售出库'!$Q$4:$Q$2003,'首页'!$B$4*100+W$4))</f>
        <v>0</v>
      </c>
      <c r="X154" s="21">
        <f>IF($A154="",0,SUMIFS('[1]销售出库'!$R$4:$R$2003,'[1]销售出库'!$H$4:$H$2003,$A154,'[1]销售出库'!$Q$4:$Q$2003,'首页'!$B$4*100+X$4))</f>
        <v>0</v>
      </c>
    </row>
    <row r="155">
      <c r="A155" s="6">
        <f>IF('[1]基础资料'!$P$154="","",'[1]基础资料'!$P$154)</f>
      </c>
      <c r="B155" s="6">
        <f>IF(A155="","",'[1]基础资料'!$Q$154&amp;"")</f>
      </c>
      <c r="C155" s="21">
        <f>IF(A155="",0,N('[1]基础资料'!$S$154))</f>
        <v>0</v>
      </c>
      <c r="D155" s="11">
        <f>IF(A155="",0,N('[1]基础资料'!$U$154))</f>
        <v>0</v>
      </c>
      <c r="E155" s="21">
        <f>IF(A155="",0,SUMIFS('[1]采购入库'!$U$4:$U$2003,'[1]采购入库'!$I$4:$I$2003,$A155))</f>
        <v>0</v>
      </c>
      <c r="F155" s="11">
        <f>IF(A155="",0,SUMIFS('[1]采购入库'!$V$4:$V$2003,'[1]采购入库'!$I$4:$I$2003,$A155))</f>
        <v>0</v>
      </c>
      <c r="G155" s="21">
        <f>IF(A155="",0,SUMIFS('[1]销售出库'!$R$4:$R$2003,'[1]销售出库'!$H$4:$H$2003,$A155))</f>
        <v>0</v>
      </c>
      <c r="H155" s="11">
        <f t="shared" si="3"/>
        <v>0</v>
      </c>
      <c r="I155" s="11">
        <f t="shared" si="0"/>
        <v>0</v>
      </c>
      <c r="J155" s="21">
        <f t="shared" si="1"/>
        <v>0</v>
      </c>
      <c r="K155" s="11">
        <f t="shared" si="2"/>
        <v>0</v>
      </c>
      <c r="L155" s="6">
        <f t="shared" si="4"/>
      </c>
      <c r="M155" s="21">
        <f>IF($A155="",0,SUMIFS('[1]销售出库'!$R$4:$R$2003,'[1]销售出库'!$H$4:$H$2003,$A155,'[1]销售出库'!$Q$4:$Q$2003,'首页'!$B$4*100+M$4))</f>
        <v>0</v>
      </c>
      <c r="N155" s="21">
        <f>IF($A155="",0,SUMIFS('[1]销售出库'!$R$4:$R$2003,'[1]销售出库'!$H$4:$H$2003,$A155,'[1]销售出库'!$Q$4:$Q$2003,'首页'!$B$4*100+N$4))</f>
        <v>0</v>
      </c>
      <c r="O155" s="21">
        <f>IF($A155="",0,SUMIFS('[1]销售出库'!$R$4:$R$2003,'[1]销售出库'!$H$4:$H$2003,$A155,'[1]销售出库'!$Q$4:$Q$2003,'首页'!$B$4*100+O$4))</f>
        <v>0</v>
      </c>
      <c r="P155" s="21">
        <f>IF($A155="",0,SUMIFS('[1]销售出库'!$R$4:$R$2003,'[1]销售出库'!$H$4:$H$2003,$A155,'[1]销售出库'!$Q$4:$Q$2003,'首页'!$B$4*100+P$4))</f>
        <v>0</v>
      </c>
      <c r="Q155" s="21">
        <f>IF($A155="",0,SUMIFS('[1]销售出库'!$R$4:$R$2003,'[1]销售出库'!$H$4:$H$2003,$A155,'[1]销售出库'!$Q$4:$Q$2003,'首页'!$B$4*100+Q$4))</f>
        <v>0</v>
      </c>
      <c r="R155" s="21">
        <f>IF($A155="",0,SUMIFS('[1]销售出库'!$R$4:$R$2003,'[1]销售出库'!$H$4:$H$2003,$A155,'[1]销售出库'!$Q$4:$Q$2003,'首页'!$B$4*100+R$4))</f>
        <v>0</v>
      </c>
      <c r="S155" s="21">
        <f>IF($A155="",0,SUMIFS('[1]销售出库'!$R$4:$R$2003,'[1]销售出库'!$H$4:$H$2003,$A155,'[1]销售出库'!$Q$4:$Q$2003,'首页'!$B$4*100+S$4))</f>
        <v>0</v>
      </c>
      <c r="T155" s="21">
        <f>IF($A155="",0,SUMIFS('[1]销售出库'!$R$4:$R$2003,'[1]销售出库'!$H$4:$H$2003,$A155,'[1]销售出库'!$Q$4:$Q$2003,'首页'!$B$4*100+T$4))</f>
        <v>0</v>
      </c>
      <c r="U155" s="21">
        <f>IF($A155="",0,SUMIFS('[1]销售出库'!$R$4:$R$2003,'[1]销售出库'!$H$4:$H$2003,$A155,'[1]销售出库'!$Q$4:$Q$2003,'首页'!$B$4*100+U$4))</f>
        <v>0</v>
      </c>
      <c r="V155" s="21">
        <f>IF($A155="",0,SUMIFS('[1]销售出库'!$R$4:$R$2003,'[1]销售出库'!$H$4:$H$2003,$A155,'[1]销售出库'!$Q$4:$Q$2003,'首页'!$B$4*100+V$4))</f>
        <v>0</v>
      </c>
      <c r="W155" s="21">
        <f>IF($A155="",0,SUMIFS('[1]销售出库'!$R$4:$R$2003,'[1]销售出库'!$H$4:$H$2003,$A155,'[1]销售出库'!$Q$4:$Q$2003,'首页'!$B$4*100+W$4))</f>
        <v>0</v>
      </c>
      <c r="X155" s="21">
        <f>IF($A155="",0,SUMIFS('[1]销售出库'!$R$4:$R$2003,'[1]销售出库'!$H$4:$H$2003,$A155,'[1]销售出库'!$Q$4:$Q$2003,'首页'!$B$4*100+X$4))</f>
        <v>0</v>
      </c>
    </row>
    <row r="156">
      <c r="A156" s="6">
        <f>IF('[1]基础资料'!$P$155="","",'[1]基础资料'!$P$155)</f>
      </c>
      <c r="B156" s="6">
        <f>IF(A156="","",'[1]基础资料'!$Q$155&amp;"")</f>
      </c>
      <c r="C156" s="21">
        <f>IF(A156="",0,N('[1]基础资料'!$S$155))</f>
        <v>0</v>
      </c>
      <c r="D156" s="11">
        <f>IF(A156="",0,N('[1]基础资料'!$U$155))</f>
        <v>0</v>
      </c>
      <c r="E156" s="21">
        <f>IF(A156="",0,SUMIFS('[1]采购入库'!$U$4:$U$2003,'[1]采购入库'!$I$4:$I$2003,$A156))</f>
        <v>0</v>
      </c>
      <c r="F156" s="11">
        <f>IF(A156="",0,SUMIFS('[1]采购入库'!$V$4:$V$2003,'[1]采购入库'!$I$4:$I$2003,$A156))</f>
        <v>0</v>
      </c>
      <c r="G156" s="21">
        <f>IF(A156="",0,SUMIFS('[1]销售出库'!$R$4:$R$2003,'[1]销售出库'!$H$4:$H$2003,$A156))</f>
        <v>0</v>
      </c>
      <c r="H156" s="11">
        <f t="shared" si="3"/>
        <v>0</v>
      </c>
      <c r="I156" s="11">
        <f t="shared" si="0"/>
        <v>0</v>
      </c>
      <c r="J156" s="21">
        <f t="shared" si="1"/>
        <v>0</v>
      </c>
      <c r="K156" s="11">
        <f t="shared" si="2"/>
        <v>0</v>
      </c>
      <c r="L156" s="6">
        <f t="shared" si="4"/>
      </c>
      <c r="M156" s="21">
        <f>IF($A156="",0,SUMIFS('[1]销售出库'!$R$4:$R$2003,'[1]销售出库'!$H$4:$H$2003,$A156,'[1]销售出库'!$Q$4:$Q$2003,'首页'!$B$4*100+M$4))</f>
        <v>0</v>
      </c>
      <c r="N156" s="21">
        <f>IF($A156="",0,SUMIFS('[1]销售出库'!$R$4:$R$2003,'[1]销售出库'!$H$4:$H$2003,$A156,'[1]销售出库'!$Q$4:$Q$2003,'首页'!$B$4*100+N$4))</f>
        <v>0</v>
      </c>
      <c r="O156" s="21">
        <f>IF($A156="",0,SUMIFS('[1]销售出库'!$R$4:$R$2003,'[1]销售出库'!$H$4:$H$2003,$A156,'[1]销售出库'!$Q$4:$Q$2003,'首页'!$B$4*100+O$4))</f>
        <v>0</v>
      </c>
      <c r="P156" s="21">
        <f>IF($A156="",0,SUMIFS('[1]销售出库'!$R$4:$R$2003,'[1]销售出库'!$H$4:$H$2003,$A156,'[1]销售出库'!$Q$4:$Q$2003,'首页'!$B$4*100+P$4))</f>
        <v>0</v>
      </c>
      <c r="Q156" s="21">
        <f>IF($A156="",0,SUMIFS('[1]销售出库'!$R$4:$R$2003,'[1]销售出库'!$H$4:$H$2003,$A156,'[1]销售出库'!$Q$4:$Q$2003,'首页'!$B$4*100+Q$4))</f>
        <v>0</v>
      </c>
      <c r="R156" s="21">
        <f>IF($A156="",0,SUMIFS('[1]销售出库'!$R$4:$R$2003,'[1]销售出库'!$H$4:$H$2003,$A156,'[1]销售出库'!$Q$4:$Q$2003,'首页'!$B$4*100+R$4))</f>
        <v>0</v>
      </c>
      <c r="S156" s="21">
        <f>IF($A156="",0,SUMIFS('[1]销售出库'!$R$4:$R$2003,'[1]销售出库'!$H$4:$H$2003,$A156,'[1]销售出库'!$Q$4:$Q$2003,'首页'!$B$4*100+S$4))</f>
        <v>0</v>
      </c>
      <c r="T156" s="21">
        <f>IF($A156="",0,SUMIFS('[1]销售出库'!$R$4:$R$2003,'[1]销售出库'!$H$4:$H$2003,$A156,'[1]销售出库'!$Q$4:$Q$2003,'首页'!$B$4*100+T$4))</f>
        <v>0</v>
      </c>
      <c r="U156" s="21">
        <f>IF($A156="",0,SUMIFS('[1]销售出库'!$R$4:$R$2003,'[1]销售出库'!$H$4:$H$2003,$A156,'[1]销售出库'!$Q$4:$Q$2003,'首页'!$B$4*100+U$4))</f>
        <v>0</v>
      </c>
      <c r="V156" s="21">
        <f>IF($A156="",0,SUMIFS('[1]销售出库'!$R$4:$R$2003,'[1]销售出库'!$H$4:$H$2003,$A156,'[1]销售出库'!$Q$4:$Q$2003,'首页'!$B$4*100+V$4))</f>
        <v>0</v>
      </c>
      <c r="W156" s="21">
        <f>IF($A156="",0,SUMIFS('[1]销售出库'!$R$4:$R$2003,'[1]销售出库'!$H$4:$H$2003,$A156,'[1]销售出库'!$Q$4:$Q$2003,'首页'!$B$4*100+W$4))</f>
        <v>0</v>
      </c>
      <c r="X156" s="21">
        <f>IF($A156="",0,SUMIFS('[1]销售出库'!$R$4:$R$2003,'[1]销售出库'!$H$4:$H$2003,$A156,'[1]销售出库'!$Q$4:$Q$2003,'首页'!$B$4*100+X$4))</f>
        <v>0</v>
      </c>
    </row>
    <row r="157">
      <c r="A157" s="6">
        <f>IF('[1]基础资料'!$P$156="","",'[1]基础资料'!$P$156)</f>
      </c>
      <c r="B157" s="6">
        <f>IF(A157="","",'[1]基础资料'!$Q$156&amp;"")</f>
      </c>
      <c r="C157" s="21">
        <f>IF(A157="",0,N('[1]基础资料'!$S$156))</f>
        <v>0</v>
      </c>
      <c r="D157" s="11">
        <f>IF(A157="",0,N('[1]基础资料'!$U$156))</f>
        <v>0</v>
      </c>
      <c r="E157" s="21">
        <f>IF(A157="",0,SUMIFS('[1]采购入库'!$U$4:$U$2003,'[1]采购入库'!$I$4:$I$2003,$A157))</f>
        <v>0</v>
      </c>
      <c r="F157" s="11">
        <f>IF(A157="",0,SUMIFS('[1]采购入库'!$V$4:$V$2003,'[1]采购入库'!$I$4:$I$2003,$A157))</f>
        <v>0</v>
      </c>
      <c r="G157" s="21">
        <f>IF(A157="",0,SUMIFS('[1]销售出库'!$R$4:$R$2003,'[1]销售出库'!$H$4:$H$2003,$A157))</f>
        <v>0</v>
      </c>
      <c r="H157" s="11">
        <f t="shared" si="3"/>
        <v>0</v>
      </c>
      <c r="I157" s="11">
        <f t="shared" si="0"/>
        <v>0</v>
      </c>
      <c r="J157" s="21">
        <f t="shared" si="1"/>
        <v>0</v>
      </c>
      <c r="K157" s="11">
        <f t="shared" si="2"/>
        <v>0</v>
      </c>
      <c r="L157" s="6">
        <f t="shared" si="4"/>
      </c>
      <c r="M157" s="21">
        <f>IF($A157="",0,SUMIFS('[1]销售出库'!$R$4:$R$2003,'[1]销售出库'!$H$4:$H$2003,$A157,'[1]销售出库'!$Q$4:$Q$2003,'首页'!$B$4*100+M$4))</f>
        <v>0</v>
      </c>
      <c r="N157" s="21">
        <f>IF($A157="",0,SUMIFS('[1]销售出库'!$R$4:$R$2003,'[1]销售出库'!$H$4:$H$2003,$A157,'[1]销售出库'!$Q$4:$Q$2003,'首页'!$B$4*100+N$4))</f>
        <v>0</v>
      </c>
      <c r="O157" s="21">
        <f>IF($A157="",0,SUMIFS('[1]销售出库'!$R$4:$R$2003,'[1]销售出库'!$H$4:$H$2003,$A157,'[1]销售出库'!$Q$4:$Q$2003,'首页'!$B$4*100+O$4))</f>
        <v>0</v>
      </c>
      <c r="P157" s="21">
        <f>IF($A157="",0,SUMIFS('[1]销售出库'!$R$4:$R$2003,'[1]销售出库'!$H$4:$H$2003,$A157,'[1]销售出库'!$Q$4:$Q$2003,'首页'!$B$4*100+P$4))</f>
        <v>0</v>
      </c>
      <c r="Q157" s="21">
        <f>IF($A157="",0,SUMIFS('[1]销售出库'!$R$4:$R$2003,'[1]销售出库'!$H$4:$H$2003,$A157,'[1]销售出库'!$Q$4:$Q$2003,'首页'!$B$4*100+Q$4))</f>
        <v>0</v>
      </c>
      <c r="R157" s="21">
        <f>IF($A157="",0,SUMIFS('[1]销售出库'!$R$4:$R$2003,'[1]销售出库'!$H$4:$H$2003,$A157,'[1]销售出库'!$Q$4:$Q$2003,'首页'!$B$4*100+R$4))</f>
        <v>0</v>
      </c>
      <c r="S157" s="21">
        <f>IF($A157="",0,SUMIFS('[1]销售出库'!$R$4:$R$2003,'[1]销售出库'!$H$4:$H$2003,$A157,'[1]销售出库'!$Q$4:$Q$2003,'首页'!$B$4*100+S$4))</f>
        <v>0</v>
      </c>
      <c r="T157" s="21">
        <f>IF($A157="",0,SUMIFS('[1]销售出库'!$R$4:$R$2003,'[1]销售出库'!$H$4:$H$2003,$A157,'[1]销售出库'!$Q$4:$Q$2003,'首页'!$B$4*100+T$4))</f>
        <v>0</v>
      </c>
      <c r="U157" s="21">
        <f>IF($A157="",0,SUMIFS('[1]销售出库'!$R$4:$R$2003,'[1]销售出库'!$H$4:$H$2003,$A157,'[1]销售出库'!$Q$4:$Q$2003,'首页'!$B$4*100+U$4))</f>
        <v>0</v>
      </c>
      <c r="V157" s="21">
        <f>IF($A157="",0,SUMIFS('[1]销售出库'!$R$4:$R$2003,'[1]销售出库'!$H$4:$H$2003,$A157,'[1]销售出库'!$Q$4:$Q$2003,'首页'!$B$4*100+V$4))</f>
        <v>0</v>
      </c>
      <c r="W157" s="21">
        <f>IF($A157="",0,SUMIFS('[1]销售出库'!$R$4:$R$2003,'[1]销售出库'!$H$4:$H$2003,$A157,'[1]销售出库'!$Q$4:$Q$2003,'首页'!$B$4*100+W$4))</f>
        <v>0</v>
      </c>
      <c r="X157" s="21">
        <f>IF($A157="",0,SUMIFS('[1]销售出库'!$R$4:$R$2003,'[1]销售出库'!$H$4:$H$2003,$A157,'[1]销售出库'!$Q$4:$Q$2003,'首页'!$B$4*100+X$4))</f>
        <v>0</v>
      </c>
    </row>
    <row r="158">
      <c r="A158" s="6">
        <f>IF('[1]基础资料'!$P$157="","",'[1]基础资料'!$P$157)</f>
      </c>
      <c r="B158" s="6">
        <f>IF(A158="","",'[1]基础资料'!$Q$157&amp;"")</f>
      </c>
      <c r="C158" s="21">
        <f>IF(A158="",0,N('[1]基础资料'!$S$157))</f>
        <v>0</v>
      </c>
      <c r="D158" s="11">
        <f>IF(A158="",0,N('[1]基础资料'!$U$157))</f>
        <v>0</v>
      </c>
      <c r="E158" s="21">
        <f>IF(A158="",0,SUMIFS('[1]采购入库'!$U$4:$U$2003,'[1]采购入库'!$I$4:$I$2003,$A158))</f>
        <v>0</v>
      </c>
      <c r="F158" s="11">
        <f>IF(A158="",0,SUMIFS('[1]采购入库'!$V$4:$V$2003,'[1]采购入库'!$I$4:$I$2003,$A158))</f>
        <v>0</v>
      </c>
      <c r="G158" s="21">
        <f>IF(A158="",0,SUMIFS('[1]销售出库'!$R$4:$R$2003,'[1]销售出库'!$H$4:$H$2003,$A158))</f>
        <v>0</v>
      </c>
      <c r="H158" s="11">
        <f t="shared" si="3"/>
        <v>0</v>
      </c>
      <c r="I158" s="11">
        <f t="shared" si="0"/>
        <v>0</v>
      </c>
      <c r="J158" s="21">
        <f t="shared" si="1"/>
        <v>0</v>
      </c>
      <c r="K158" s="11">
        <f t="shared" si="2"/>
        <v>0</v>
      </c>
      <c r="L158" s="6">
        <f t="shared" si="4"/>
      </c>
      <c r="M158" s="21">
        <f>IF($A158="",0,SUMIFS('[1]销售出库'!$R$4:$R$2003,'[1]销售出库'!$H$4:$H$2003,$A158,'[1]销售出库'!$Q$4:$Q$2003,'首页'!$B$4*100+M$4))</f>
        <v>0</v>
      </c>
      <c r="N158" s="21">
        <f>IF($A158="",0,SUMIFS('[1]销售出库'!$R$4:$R$2003,'[1]销售出库'!$H$4:$H$2003,$A158,'[1]销售出库'!$Q$4:$Q$2003,'首页'!$B$4*100+N$4))</f>
        <v>0</v>
      </c>
      <c r="O158" s="21">
        <f>IF($A158="",0,SUMIFS('[1]销售出库'!$R$4:$R$2003,'[1]销售出库'!$H$4:$H$2003,$A158,'[1]销售出库'!$Q$4:$Q$2003,'首页'!$B$4*100+O$4))</f>
        <v>0</v>
      </c>
      <c r="P158" s="21">
        <f>IF($A158="",0,SUMIFS('[1]销售出库'!$R$4:$R$2003,'[1]销售出库'!$H$4:$H$2003,$A158,'[1]销售出库'!$Q$4:$Q$2003,'首页'!$B$4*100+P$4))</f>
        <v>0</v>
      </c>
      <c r="Q158" s="21">
        <f>IF($A158="",0,SUMIFS('[1]销售出库'!$R$4:$R$2003,'[1]销售出库'!$H$4:$H$2003,$A158,'[1]销售出库'!$Q$4:$Q$2003,'首页'!$B$4*100+Q$4))</f>
        <v>0</v>
      </c>
      <c r="R158" s="21">
        <f>IF($A158="",0,SUMIFS('[1]销售出库'!$R$4:$R$2003,'[1]销售出库'!$H$4:$H$2003,$A158,'[1]销售出库'!$Q$4:$Q$2003,'首页'!$B$4*100+R$4))</f>
        <v>0</v>
      </c>
      <c r="S158" s="21">
        <f>IF($A158="",0,SUMIFS('[1]销售出库'!$R$4:$R$2003,'[1]销售出库'!$H$4:$H$2003,$A158,'[1]销售出库'!$Q$4:$Q$2003,'首页'!$B$4*100+S$4))</f>
        <v>0</v>
      </c>
      <c r="T158" s="21">
        <f>IF($A158="",0,SUMIFS('[1]销售出库'!$R$4:$R$2003,'[1]销售出库'!$H$4:$H$2003,$A158,'[1]销售出库'!$Q$4:$Q$2003,'首页'!$B$4*100+T$4))</f>
        <v>0</v>
      </c>
      <c r="U158" s="21">
        <f>IF($A158="",0,SUMIFS('[1]销售出库'!$R$4:$R$2003,'[1]销售出库'!$H$4:$H$2003,$A158,'[1]销售出库'!$Q$4:$Q$2003,'首页'!$B$4*100+U$4))</f>
        <v>0</v>
      </c>
      <c r="V158" s="21">
        <f>IF($A158="",0,SUMIFS('[1]销售出库'!$R$4:$R$2003,'[1]销售出库'!$H$4:$H$2003,$A158,'[1]销售出库'!$Q$4:$Q$2003,'首页'!$B$4*100+V$4))</f>
        <v>0</v>
      </c>
      <c r="W158" s="21">
        <f>IF($A158="",0,SUMIFS('[1]销售出库'!$R$4:$R$2003,'[1]销售出库'!$H$4:$H$2003,$A158,'[1]销售出库'!$Q$4:$Q$2003,'首页'!$B$4*100+W$4))</f>
        <v>0</v>
      </c>
      <c r="X158" s="21">
        <f>IF($A158="",0,SUMIFS('[1]销售出库'!$R$4:$R$2003,'[1]销售出库'!$H$4:$H$2003,$A158,'[1]销售出库'!$Q$4:$Q$2003,'首页'!$B$4*100+X$4))</f>
        <v>0</v>
      </c>
    </row>
    <row r="159">
      <c r="A159" s="6">
        <f>IF('[1]基础资料'!$P$158="","",'[1]基础资料'!$P$158)</f>
      </c>
      <c r="B159" s="6">
        <f>IF(A159="","",'[1]基础资料'!$Q$158&amp;"")</f>
      </c>
      <c r="C159" s="21">
        <f>IF(A159="",0,N('[1]基础资料'!$S$158))</f>
        <v>0</v>
      </c>
      <c r="D159" s="11">
        <f>IF(A159="",0,N('[1]基础资料'!$U$158))</f>
        <v>0</v>
      </c>
      <c r="E159" s="21">
        <f>IF(A159="",0,SUMIFS('[1]采购入库'!$U$4:$U$2003,'[1]采购入库'!$I$4:$I$2003,$A159))</f>
        <v>0</v>
      </c>
      <c r="F159" s="11">
        <f>IF(A159="",0,SUMIFS('[1]采购入库'!$V$4:$V$2003,'[1]采购入库'!$I$4:$I$2003,$A159))</f>
        <v>0</v>
      </c>
      <c r="G159" s="21">
        <f>IF(A159="",0,SUMIFS('[1]销售出库'!$R$4:$R$2003,'[1]销售出库'!$H$4:$H$2003,$A159))</f>
        <v>0</v>
      </c>
      <c r="H159" s="11">
        <f t="shared" si="3"/>
        <v>0</v>
      </c>
      <c r="I159" s="11">
        <f t="shared" si="0"/>
        <v>0</v>
      </c>
      <c r="J159" s="21">
        <f t="shared" si="1"/>
        <v>0</v>
      </c>
      <c r="K159" s="11">
        <f t="shared" si="2"/>
        <v>0</v>
      </c>
      <c r="L159" s="6">
        <f t="shared" si="4"/>
      </c>
      <c r="M159" s="21">
        <f>IF($A159="",0,SUMIFS('[1]销售出库'!$R$4:$R$2003,'[1]销售出库'!$H$4:$H$2003,$A159,'[1]销售出库'!$Q$4:$Q$2003,'首页'!$B$4*100+M$4))</f>
        <v>0</v>
      </c>
      <c r="N159" s="21">
        <f>IF($A159="",0,SUMIFS('[1]销售出库'!$R$4:$R$2003,'[1]销售出库'!$H$4:$H$2003,$A159,'[1]销售出库'!$Q$4:$Q$2003,'首页'!$B$4*100+N$4))</f>
        <v>0</v>
      </c>
      <c r="O159" s="21">
        <f>IF($A159="",0,SUMIFS('[1]销售出库'!$R$4:$R$2003,'[1]销售出库'!$H$4:$H$2003,$A159,'[1]销售出库'!$Q$4:$Q$2003,'首页'!$B$4*100+O$4))</f>
        <v>0</v>
      </c>
      <c r="P159" s="21">
        <f>IF($A159="",0,SUMIFS('[1]销售出库'!$R$4:$R$2003,'[1]销售出库'!$H$4:$H$2003,$A159,'[1]销售出库'!$Q$4:$Q$2003,'首页'!$B$4*100+P$4))</f>
        <v>0</v>
      </c>
      <c r="Q159" s="21">
        <f>IF($A159="",0,SUMIFS('[1]销售出库'!$R$4:$R$2003,'[1]销售出库'!$H$4:$H$2003,$A159,'[1]销售出库'!$Q$4:$Q$2003,'首页'!$B$4*100+Q$4))</f>
        <v>0</v>
      </c>
      <c r="R159" s="21">
        <f>IF($A159="",0,SUMIFS('[1]销售出库'!$R$4:$R$2003,'[1]销售出库'!$H$4:$H$2003,$A159,'[1]销售出库'!$Q$4:$Q$2003,'首页'!$B$4*100+R$4))</f>
        <v>0</v>
      </c>
      <c r="S159" s="21">
        <f>IF($A159="",0,SUMIFS('[1]销售出库'!$R$4:$R$2003,'[1]销售出库'!$H$4:$H$2003,$A159,'[1]销售出库'!$Q$4:$Q$2003,'首页'!$B$4*100+S$4))</f>
        <v>0</v>
      </c>
      <c r="T159" s="21">
        <f>IF($A159="",0,SUMIFS('[1]销售出库'!$R$4:$R$2003,'[1]销售出库'!$H$4:$H$2003,$A159,'[1]销售出库'!$Q$4:$Q$2003,'首页'!$B$4*100+T$4))</f>
        <v>0</v>
      </c>
      <c r="U159" s="21">
        <f>IF($A159="",0,SUMIFS('[1]销售出库'!$R$4:$R$2003,'[1]销售出库'!$H$4:$H$2003,$A159,'[1]销售出库'!$Q$4:$Q$2003,'首页'!$B$4*100+U$4))</f>
        <v>0</v>
      </c>
      <c r="V159" s="21">
        <f>IF($A159="",0,SUMIFS('[1]销售出库'!$R$4:$R$2003,'[1]销售出库'!$H$4:$H$2003,$A159,'[1]销售出库'!$Q$4:$Q$2003,'首页'!$B$4*100+V$4))</f>
        <v>0</v>
      </c>
      <c r="W159" s="21">
        <f>IF($A159="",0,SUMIFS('[1]销售出库'!$R$4:$R$2003,'[1]销售出库'!$H$4:$H$2003,$A159,'[1]销售出库'!$Q$4:$Q$2003,'首页'!$B$4*100+W$4))</f>
        <v>0</v>
      </c>
      <c r="X159" s="21">
        <f>IF($A159="",0,SUMIFS('[1]销售出库'!$R$4:$R$2003,'[1]销售出库'!$H$4:$H$2003,$A159,'[1]销售出库'!$Q$4:$Q$2003,'首页'!$B$4*100+X$4))</f>
        <v>0</v>
      </c>
    </row>
    <row r="160">
      <c r="A160" s="6">
        <f>IF('[1]基础资料'!$P$159="","",'[1]基础资料'!$P$159)</f>
      </c>
      <c r="B160" s="6">
        <f>IF(A160="","",'[1]基础资料'!$Q$159&amp;"")</f>
      </c>
      <c r="C160" s="21">
        <f>IF(A160="",0,N('[1]基础资料'!$S$159))</f>
        <v>0</v>
      </c>
      <c r="D160" s="11">
        <f>IF(A160="",0,N('[1]基础资料'!$U$159))</f>
        <v>0</v>
      </c>
      <c r="E160" s="21">
        <f>IF(A160="",0,SUMIFS('[1]采购入库'!$U$4:$U$2003,'[1]采购入库'!$I$4:$I$2003,$A160))</f>
        <v>0</v>
      </c>
      <c r="F160" s="11">
        <f>IF(A160="",0,SUMIFS('[1]采购入库'!$V$4:$V$2003,'[1]采购入库'!$I$4:$I$2003,$A160))</f>
        <v>0</v>
      </c>
      <c r="G160" s="21">
        <f>IF(A160="",0,SUMIFS('[1]销售出库'!$R$4:$R$2003,'[1]销售出库'!$H$4:$H$2003,$A160))</f>
        <v>0</v>
      </c>
      <c r="H160" s="11">
        <f t="shared" si="3"/>
        <v>0</v>
      </c>
      <c r="I160" s="11">
        <f t="shared" si="0"/>
        <v>0</v>
      </c>
      <c r="J160" s="21">
        <f t="shared" si="1"/>
        <v>0</v>
      </c>
      <c r="K160" s="11">
        <f t="shared" si="2"/>
        <v>0</v>
      </c>
      <c r="L160" s="6">
        <f t="shared" si="4"/>
      </c>
      <c r="M160" s="21">
        <f>IF($A160="",0,SUMIFS('[1]销售出库'!$R$4:$R$2003,'[1]销售出库'!$H$4:$H$2003,$A160,'[1]销售出库'!$Q$4:$Q$2003,'首页'!$B$4*100+M$4))</f>
        <v>0</v>
      </c>
      <c r="N160" s="21">
        <f>IF($A160="",0,SUMIFS('[1]销售出库'!$R$4:$R$2003,'[1]销售出库'!$H$4:$H$2003,$A160,'[1]销售出库'!$Q$4:$Q$2003,'首页'!$B$4*100+N$4))</f>
        <v>0</v>
      </c>
      <c r="O160" s="21">
        <f>IF($A160="",0,SUMIFS('[1]销售出库'!$R$4:$R$2003,'[1]销售出库'!$H$4:$H$2003,$A160,'[1]销售出库'!$Q$4:$Q$2003,'首页'!$B$4*100+O$4))</f>
        <v>0</v>
      </c>
      <c r="P160" s="21">
        <f>IF($A160="",0,SUMIFS('[1]销售出库'!$R$4:$R$2003,'[1]销售出库'!$H$4:$H$2003,$A160,'[1]销售出库'!$Q$4:$Q$2003,'首页'!$B$4*100+P$4))</f>
        <v>0</v>
      </c>
      <c r="Q160" s="21">
        <f>IF($A160="",0,SUMIFS('[1]销售出库'!$R$4:$R$2003,'[1]销售出库'!$H$4:$H$2003,$A160,'[1]销售出库'!$Q$4:$Q$2003,'首页'!$B$4*100+Q$4))</f>
        <v>0</v>
      </c>
      <c r="R160" s="21">
        <f>IF($A160="",0,SUMIFS('[1]销售出库'!$R$4:$R$2003,'[1]销售出库'!$H$4:$H$2003,$A160,'[1]销售出库'!$Q$4:$Q$2003,'首页'!$B$4*100+R$4))</f>
        <v>0</v>
      </c>
      <c r="S160" s="21">
        <f>IF($A160="",0,SUMIFS('[1]销售出库'!$R$4:$R$2003,'[1]销售出库'!$H$4:$H$2003,$A160,'[1]销售出库'!$Q$4:$Q$2003,'首页'!$B$4*100+S$4))</f>
        <v>0</v>
      </c>
      <c r="T160" s="21">
        <f>IF($A160="",0,SUMIFS('[1]销售出库'!$R$4:$R$2003,'[1]销售出库'!$H$4:$H$2003,$A160,'[1]销售出库'!$Q$4:$Q$2003,'首页'!$B$4*100+T$4))</f>
        <v>0</v>
      </c>
      <c r="U160" s="21">
        <f>IF($A160="",0,SUMIFS('[1]销售出库'!$R$4:$R$2003,'[1]销售出库'!$H$4:$H$2003,$A160,'[1]销售出库'!$Q$4:$Q$2003,'首页'!$B$4*100+U$4))</f>
        <v>0</v>
      </c>
      <c r="V160" s="21">
        <f>IF($A160="",0,SUMIFS('[1]销售出库'!$R$4:$R$2003,'[1]销售出库'!$H$4:$H$2003,$A160,'[1]销售出库'!$Q$4:$Q$2003,'首页'!$B$4*100+V$4))</f>
        <v>0</v>
      </c>
      <c r="W160" s="21">
        <f>IF($A160="",0,SUMIFS('[1]销售出库'!$R$4:$R$2003,'[1]销售出库'!$H$4:$H$2003,$A160,'[1]销售出库'!$Q$4:$Q$2003,'首页'!$B$4*100+W$4))</f>
        <v>0</v>
      </c>
      <c r="X160" s="21">
        <f>IF($A160="",0,SUMIFS('[1]销售出库'!$R$4:$R$2003,'[1]销售出库'!$H$4:$H$2003,$A160,'[1]销售出库'!$Q$4:$Q$2003,'首页'!$B$4*100+X$4))</f>
        <v>0</v>
      </c>
    </row>
    <row r="161">
      <c r="A161" s="6">
        <f>IF('[1]基础资料'!$P$160="","",'[1]基础资料'!$P$160)</f>
      </c>
      <c r="B161" s="6">
        <f>IF(A161="","",'[1]基础资料'!$Q$160&amp;"")</f>
      </c>
      <c r="C161" s="21">
        <f>IF(A161="",0,N('[1]基础资料'!$S$160))</f>
        <v>0</v>
      </c>
      <c r="D161" s="11">
        <f>IF(A161="",0,N('[1]基础资料'!$U$160))</f>
        <v>0</v>
      </c>
      <c r="E161" s="21">
        <f>IF(A161="",0,SUMIFS('[1]采购入库'!$U$4:$U$2003,'[1]采购入库'!$I$4:$I$2003,$A161))</f>
        <v>0</v>
      </c>
      <c r="F161" s="11">
        <f>IF(A161="",0,SUMIFS('[1]采购入库'!$V$4:$V$2003,'[1]采购入库'!$I$4:$I$2003,$A161))</f>
        <v>0</v>
      </c>
      <c r="G161" s="21">
        <f>IF(A161="",0,SUMIFS('[1]销售出库'!$R$4:$R$2003,'[1]销售出库'!$H$4:$H$2003,$A161))</f>
        <v>0</v>
      </c>
      <c r="H161" s="11">
        <f t="shared" si="3"/>
        <v>0</v>
      </c>
      <c r="I161" s="11">
        <f t="shared" si="0"/>
        <v>0</v>
      </c>
      <c r="J161" s="21">
        <f t="shared" si="1"/>
        <v>0</v>
      </c>
      <c r="K161" s="11">
        <f t="shared" si="2"/>
        <v>0</v>
      </c>
      <c r="L161" s="6">
        <f t="shared" si="4"/>
      </c>
      <c r="M161" s="21">
        <f>IF($A161="",0,SUMIFS('[1]销售出库'!$R$4:$R$2003,'[1]销售出库'!$H$4:$H$2003,$A161,'[1]销售出库'!$Q$4:$Q$2003,'首页'!$B$4*100+M$4))</f>
        <v>0</v>
      </c>
      <c r="N161" s="21">
        <f>IF($A161="",0,SUMIFS('[1]销售出库'!$R$4:$R$2003,'[1]销售出库'!$H$4:$H$2003,$A161,'[1]销售出库'!$Q$4:$Q$2003,'首页'!$B$4*100+N$4))</f>
        <v>0</v>
      </c>
      <c r="O161" s="21">
        <f>IF($A161="",0,SUMIFS('[1]销售出库'!$R$4:$R$2003,'[1]销售出库'!$H$4:$H$2003,$A161,'[1]销售出库'!$Q$4:$Q$2003,'首页'!$B$4*100+O$4))</f>
        <v>0</v>
      </c>
      <c r="P161" s="21">
        <f>IF($A161="",0,SUMIFS('[1]销售出库'!$R$4:$R$2003,'[1]销售出库'!$H$4:$H$2003,$A161,'[1]销售出库'!$Q$4:$Q$2003,'首页'!$B$4*100+P$4))</f>
        <v>0</v>
      </c>
      <c r="Q161" s="21">
        <f>IF($A161="",0,SUMIFS('[1]销售出库'!$R$4:$R$2003,'[1]销售出库'!$H$4:$H$2003,$A161,'[1]销售出库'!$Q$4:$Q$2003,'首页'!$B$4*100+Q$4))</f>
        <v>0</v>
      </c>
      <c r="R161" s="21">
        <f>IF($A161="",0,SUMIFS('[1]销售出库'!$R$4:$R$2003,'[1]销售出库'!$H$4:$H$2003,$A161,'[1]销售出库'!$Q$4:$Q$2003,'首页'!$B$4*100+R$4))</f>
        <v>0</v>
      </c>
      <c r="S161" s="21">
        <f>IF($A161="",0,SUMIFS('[1]销售出库'!$R$4:$R$2003,'[1]销售出库'!$H$4:$H$2003,$A161,'[1]销售出库'!$Q$4:$Q$2003,'首页'!$B$4*100+S$4))</f>
        <v>0</v>
      </c>
      <c r="T161" s="21">
        <f>IF($A161="",0,SUMIFS('[1]销售出库'!$R$4:$R$2003,'[1]销售出库'!$H$4:$H$2003,$A161,'[1]销售出库'!$Q$4:$Q$2003,'首页'!$B$4*100+T$4))</f>
        <v>0</v>
      </c>
      <c r="U161" s="21">
        <f>IF($A161="",0,SUMIFS('[1]销售出库'!$R$4:$R$2003,'[1]销售出库'!$H$4:$H$2003,$A161,'[1]销售出库'!$Q$4:$Q$2003,'首页'!$B$4*100+U$4))</f>
        <v>0</v>
      </c>
      <c r="V161" s="21">
        <f>IF($A161="",0,SUMIFS('[1]销售出库'!$R$4:$R$2003,'[1]销售出库'!$H$4:$H$2003,$A161,'[1]销售出库'!$Q$4:$Q$2003,'首页'!$B$4*100+V$4))</f>
        <v>0</v>
      </c>
      <c r="W161" s="21">
        <f>IF($A161="",0,SUMIFS('[1]销售出库'!$R$4:$R$2003,'[1]销售出库'!$H$4:$H$2003,$A161,'[1]销售出库'!$Q$4:$Q$2003,'首页'!$B$4*100+W$4))</f>
        <v>0</v>
      </c>
      <c r="X161" s="21">
        <f>IF($A161="",0,SUMIFS('[1]销售出库'!$R$4:$R$2003,'[1]销售出库'!$H$4:$H$2003,$A161,'[1]销售出库'!$Q$4:$Q$2003,'首页'!$B$4*100+X$4))</f>
        <v>0</v>
      </c>
    </row>
    <row r="162">
      <c r="A162" s="6">
        <f>IF('[1]基础资料'!$P$161="","",'[1]基础资料'!$P$161)</f>
      </c>
      <c r="B162" s="6">
        <f>IF(A162="","",'[1]基础资料'!$Q$161&amp;"")</f>
      </c>
      <c r="C162" s="21">
        <f>IF(A162="",0,N('[1]基础资料'!$S$161))</f>
        <v>0</v>
      </c>
      <c r="D162" s="11">
        <f>IF(A162="",0,N('[1]基础资料'!$U$161))</f>
        <v>0</v>
      </c>
      <c r="E162" s="21">
        <f>IF(A162="",0,SUMIFS('[1]采购入库'!$U$4:$U$2003,'[1]采购入库'!$I$4:$I$2003,$A162))</f>
        <v>0</v>
      </c>
      <c r="F162" s="11">
        <f>IF(A162="",0,SUMIFS('[1]采购入库'!$V$4:$V$2003,'[1]采购入库'!$I$4:$I$2003,$A162))</f>
        <v>0</v>
      </c>
      <c r="G162" s="21">
        <f>IF(A162="",0,SUMIFS('[1]销售出库'!$R$4:$R$2003,'[1]销售出库'!$H$4:$H$2003,$A162))</f>
        <v>0</v>
      </c>
      <c r="H162" s="11">
        <f t="shared" si="3"/>
        <v>0</v>
      </c>
      <c r="I162" s="11">
        <f t="shared" si="0"/>
        <v>0</v>
      </c>
      <c r="J162" s="21">
        <f t="shared" si="1"/>
        <v>0</v>
      </c>
      <c r="K162" s="11">
        <f t="shared" si="2"/>
        <v>0</v>
      </c>
      <c r="L162" s="6">
        <f t="shared" si="4"/>
      </c>
      <c r="M162" s="21">
        <f>IF($A162="",0,SUMIFS('[1]销售出库'!$R$4:$R$2003,'[1]销售出库'!$H$4:$H$2003,$A162,'[1]销售出库'!$Q$4:$Q$2003,'首页'!$B$4*100+M$4))</f>
        <v>0</v>
      </c>
      <c r="N162" s="21">
        <f>IF($A162="",0,SUMIFS('[1]销售出库'!$R$4:$R$2003,'[1]销售出库'!$H$4:$H$2003,$A162,'[1]销售出库'!$Q$4:$Q$2003,'首页'!$B$4*100+N$4))</f>
        <v>0</v>
      </c>
      <c r="O162" s="21">
        <f>IF($A162="",0,SUMIFS('[1]销售出库'!$R$4:$R$2003,'[1]销售出库'!$H$4:$H$2003,$A162,'[1]销售出库'!$Q$4:$Q$2003,'首页'!$B$4*100+O$4))</f>
        <v>0</v>
      </c>
      <c r="P162" s="21">
        <f>IF($A162="",0,SUMIFS('[1]销售出库'!$R$4:$R$2003,'[1]销售出库'!$H$4:$H$2003,$A162,'[1]销售出库'!$Q$4:$Q$2003,'首页'!$B$4*100+P$4))</f>
        <v>0</v>
      </c>
      <c r="Q162" s="21">
        <f>IF($A162="",0,SUMIFS('[1]销售出库'!$R$4:$R$2003,'[1]销售出库'!$H$4:$H$2003,$A162,'[1]销售出库'!$Q$4:$Q$2003,'首页'!$B$4*100+Q$4))</f>
        <v>0</v>
      </c>
      <c r="R162" s="21">
        <f>IF($A162="",0,SUMIFS('[1]销售出库'!$R$4:$R$2003,'[1]销售出库'!$H$4:$H$2003,$A162,'[1]销售出库'!$Q$4:$Q$2003,'首页'!$B$4*100+R$4))</f>
        <v>0</v>
      </c>
      <c r="S162" s="21">
        <f>IF($A162="",0,SUMIFS('[1]销售出库'!$R$4:$R$2003,'[1]销售出库'!$H$4:$H$2003,$A162,'[1]销售出库'!$Q$4:$Q$2003,'首页'!$B$4*100+S$4))</f>
        <v>0</v>
      </c>
      <c r="T162" s="21">
        <f>IF($A162="",0,SUMIFS('[1]销售出库'!$R$4:$R$2003,'[1]销售出库'!$H$4:$H$2003,$A162,'[1]销售出库'!$Q$4:$Q$2003,'首页'!$B$4*100+T$4))</f>
        <v>0</v>
      </c>
      <c r="U162" s="21">
        <f>IF($A162="",0,SUMIFS('[1]销售出库'!$R$4:$R$2003,'[1]销售出库'!$H$4:$H$2003,$A162,'[1]销售出库'!$Q$4:$Q$2003,'首页'!$B$4*100+U$4))</f>
        <v>0</v>
      </c>
      <c r="V162" s="21">
        <f>IF($A162="",0,SUMIFS('[1]销售出库'!$R$4:$R$2003,'[1]销售出库'!$H$4:$H$2003,$A162,'[1]销售出库'!$Q$4:$Q$2003,'首页'!$B$4*100+V$4))</f>
        <v>0</v>
      </c>
      <c r="W162" s="21">
        <f>IF($A162="",0,SUMIFS('[1]销售出库'!$R$4:$R$2003,'[1]销售出库'!$H$4:$H$2003,$A162,'[1]销售出库'!$Q$4:$Q$2003,'首页'!$B$4*100+W$4))</f>
        <v>0</v>
      </c>
      <c r="X162" s="21">
        <f>IF($A162="",0,SUMIFS('[1]销售出库'!$R$4:$R$2003,'[1]销售出库'!$H$4:$H$2003,$A162,'[1]销售出库'!$Q$4:$Q$2003,'首页'!$B$4*100+X$4))</f>
        <v>0</v>
      </c>
    </row>
    <row r="163">
      <c r="A163" s="6">
        <f>IF('[1]基础资料'!$P$162="","",'[1]基础资料'!$P$162)</f>
      </c>
      <c r="B163" s="6">
        <f>IF(A163="","",'[1]基础资料'!$Q$162&amp;"")</f>
      </c>
      <c r="C163" s="21">
        <f>IF(A163="",0,N('[1]基础资料'!$S$162))</f>
        <v>0</v>
      </c>
      <c r="D163" s="11">
        <f>IF(A163="",0,N('[1]基础资料'!$U$162))</f>
        <v>0</v>
      </c>
      <c r="E163" s="21">
        <f>IF(A163="",0,SUMIFS('[1]采购入库'!$U$4:$U$2003,'[1]采购入库'!$I$4:$I$2003,$A163))</f>
        <v>0</v>
      </c>
      <c r="F163" s="11">
        <f>IF(A163="",0,SUMIFS('[1]采购入库'!$V$4:$V$2003,'[1]采购入库'!$I$4:$I$2003,$A163))</f>
        <v>0</v>
      </c>
      <c r="G163" s="21">
        <f>IF(A163="",0,SUMIFS('[1]销售出库'!$R$4:$R$2003,'[1]销售出库'!$H$4:$H$2003,$A163))</f>
        <v>0</v>
      </c>
      <c r="H163" s="11">
        <f t="shared" si="3"/>
        <v>0</v>
      </c>
      <c r="I163" s="11">
        <f t="shared" si="0"/>
        <v>0</v>
      </c>
      <c r="J163" s="21">
        <f t="shared" si="1"/>
        <v>0</v>
      </c>
      <c r="K163" s="11">
        <f t="shared" si="2"/>
        <v>0</v>
      </c>
      <c r="L163" s="6">
        <f t="shared" si="4"/>
      </c>
      <c r="M163" s="21">
        <f>IF($A163="",0,SUMIFS('[1]销售出库'!$R$4:$R$2003,'[1]销售出库'!$H$4:$H$2003,$A163,'[1]销售出库'!$Q$4:$Q$2003,'首页'!$B$4*100+M$4))</f>
        <v>0</v>
      </c>
      <c r="N163" s="21">
        <f>IF($A163="",0,SUMIFS('[1]销售出库'!$R$4:$R$2003,'[1]销售出库'!$H$4:$H$2003,$A163,'[1]销售出库'!$Q$4:$Q$2003,'首页'!$B$4*100+N$4))</f>
        <v>0</v>
      </c>
      <c r="O163" s="21">
        <f>IF($A163="",0,SUMIFS('[1]销售出库'!$R$4:$R$2003,'[1]销售出库'!$H$4:$H$2003,$A163,'[1]销售出库'!$Q$4:$Q$2003,'首页'!$B$4*100+O$4))</f>
        <v>0</v>
      </c>
      <c r="P163" s="21">
        <f>IF($A163="",0,SUMIFS('[1]销售出库'!$R$4:$R$2003,'[1]销售出库'!$H$4:$H$2003,$A163,'[1]销售出库'!$Q$4:$Q$2003,'首页'!$B$4*100+P$4))</f>
        <v>0</v>
      </c>
      <c r="Q163" s="21">
        <f>IF($A163="",0,SUMIFS('[1]销售出库'!$R$4:$R$2003,'[1]销售出库'!$H$4:$H$2003,$A163,'[1]销售出库'!$Q$4:$Q$2003,'首页'!$B$4*100+Q$4))</f>
        <v>0</v>
      </c>
      <c r="R163" s="21">
        <f>IF($A163="",0,SUMIFS('[1]销售出库'!$R$4:$R$2003,'[1]销售出库'!$H$4:$H$2003,$A163,'[1]销售出库'!$Q$4:$Q$2003,'首页'!$B$4*100+R$4))</f>
        <v>0</v>
      </c>
      <c r="S163" s="21">
        <f>IF($A163="",0,SUMIFS('[1]销售出库'!$R$4:$R$2003,'[1]销售出库'!$H$4:$H$2003,$A163,'[1]销售出库'!$Q$4:$Q$2003,'首页'!$B$4*100+S$4))</f>
        <v>0</v>
      </c>
      <c r="T163" s="21">
        <f>IF($A163="",0,SUMIFS('[1]销售出库'!$R$4:$R$2003,'[1]销售出库'!$H$4:$H$2003,$A163,'[1]销售出库'!$Q$4:$Q$2003,'首页'!$B$4*100+T$4))</f>
        <v>0</v>
      </c>
      <c r="U163" s="21">
        <f>IF($A163="",0,SUMIFS('[1]销售出库'!$R$4:$R$2003,'[1]销售出库'!$H$4:$H$2003,$A163,'[1]销售出库'!$Q$4:$Q$2003,'首页'!$B$4*100+U$4))</f>
        <v>0</v>
      </c>
      <c r="V163" s="21">
        <f>IF($A163="",0,SUMIFS('[1]销售出库'!$R$4:$R$2003,'[1]销售出库'!$H$4:$H$2003,$A163,'[1]销售出库'!$Q$4:$Q$2003,'首页'!$B$4*100+V$4))</f>
        <v>0</v>
      </c>
      <c r="W163" s="21">
        <f>IF($A163="",0,SUMIFS('[1]销售出库'!$R$4:$R$2003,'[1]销售出库'!$H$4:$H$2003,$A163,'[1]销售出库'!$Q$4:$Q$2003,'首页'!$B$4*100+W$4))</f>
        <v>0</v>
      </c>
      <c r="X163" s="21">
        <f>IF($A163="",0,SUMIFS('[1]销售出库'!$R$4:$R$2003,'[1]销售出库'!$H$4:$H$2003,$A163,'[1]销售出库'!$Q$4:$Q$2003,'首页'!$B$4*100+X$4))</f>
        <v>0</v>
      </c>
    </row>
    <row r="164">
      <c r="A164" s="6">
        <f>IF('[1]基础资料'!$P$163="","",'[1]基础资料'!$P$163)</f>
      </c>
      <c r="B164" s="6">
        <f>IF(A164="","",'[1]基础资料'!$Q$163&amp;"")</f>
      </c>
      <c r="C164" s="21">
        <f>IF(A164="",0,N('[1]基础资料'!$S$163))</f>
        <v>0</v>
      </c>
      <c r="D164" s="11">
        <f>IF(A164="",0,N('[1]基础资料'!$U$163))</f>
        <v>0</v>
      </c>
      <c r="E164" s="21">
        <f>IF(A164="",0,SUMIFS('[1]采购入库'!$U$4:$U$2003,'[1]采购入库'!$I$4:$I$2003,$A164))</f>
        <v>0</v>
      </c>
      <c r="F164" s="11">
        <f>IF(A164="",0,SUMIFS('[1]采购入库'!$V$4:$V$2003,'[1]采购入库'!$I$4:$I$2003,$A164))</f>
        <v>0</v>
      </c>
      <c r="G164" s="21">
        <f>IF(A164="",0,SUMIFS('[1]销售出库'!$R$4:$R$2003,'[1]销售出库'!$H$4:$H$2003,$A164))</f>
        <v>0</v>
      </c>
      <c r="H164" s="11">
        <f t="shared" si="3"/>
        <v>0</v>
      </c>
      <c r="I164" s="11">
        <f t="shared" si="0"/>
        <v>0</v>
      </c>
      <c r="J164" s="21">
        <f t="shared" si="1"/>
        <v>0</v>
      </c>
      <c r="K164" s="11">
        <f t="shared" si="2"/>
        <v>0</v>
      </c>
      <c r="L164" s="6">
        <f t="shared" si="4"/>
      </c>
      <c r="M164" s="21">
        <f>IF($A164="",0,SUMIFS('[1]销售出库'!$R$4:$R$2003,'[1]销售出库'!$H$4:$H$2003,$A164,'[1]销售出库'!$Q$4:$Q$2003,'首页'!$B$4*100+M$4))</f>
        <v>0</v>
      </c>
      <c r="N164" s="21">
        <f>IF($A164="",0,SUMIFS('[1]销售出库'!$R$4:$R$2003,'[1]销售出库'!$H$4:$H$2003,$A164,'[1]销售出库'!$Q$4:$Q$2003,'首页'!$B$4*100+N$4))</f>
        <v>0</v>
      </c>
      <c r="O164" s="21">
        <f>IF($A164="",0,SUMIFS('[1]销售出库'!$R$4:$R$2003,'[1]销售出库'!$H$4:$H$2003,$A164,'[1]销售出库'!$Q$4:$Q$2003,'首页'!$B$4*100+O$4))</f>
        <v>0</v>
      </c>
      <c r="P164" s="21">
        <f>IF($A164="",0,SUMIFS('[1]销售出库'!$R$4:$R$2003,'[1]销售出库'!$H$4:$H$2003,$A164,'[1]销售出库'!$Q$4:$Q$2003,'首页'!$B$4*100+P$4))</f>
        <v>0</v>
      </c>
      <c r="Q164" s="21">
        <f>IF($A164="",0,SUMIFS('[1]销售出库'!$R$4:$R$2003,'[1]销售出库'!$H$4:$H$2003,$A164,'[1]销售出库'!$Q$4:$Q$2003,'首页'!$B$4*100+Q$4))</f>
        <v>0</v>
      </c>
      <c r="R164" s="21">
        <f>IF($A164="",0,SUMIFS('[1]销售出库'!$R$4:$R$2003,'[1]销售出库'!$H$4:$H$2003,$A164,'[1]销售出库'!$Q$4:$Q$2003,'首页'!$B$4*100+R$4))</f>
        <v>0</v>
      </c>
      <c r="S164" s="21">
        <f>IF($A164="",0,SUMIFS('[1]销售出库'!$R$4:$R$2003,'[1]销售出库'!$H$4:$H$2003,$A164,'[1]销售出库'!$Q$4:$Q$2003,'首页'!$B$4*100+S$4))</f>
        <v>0</v>
      </c>
      <c r="T164" s="21">
        <f>IF($A164="",0,SUMIFS('[1]销售出库'!$R$4:$R$2003,'[1]销售出库'!$H$4:$H$2003,$A164,'[1]销售出库'!$Q$4:$Q$2003,'首页'!$B$4*100+T$4))</f>
        <v>0</v>
      </c>
      <c r="U164" s="21">
        <f>IF($A164="",0,SUMIFS('[1]销售出库'!$R$4:$R$2003,'[1]销售出库'!$H$4:$H$2003,$A164,'[1]销售出库'!$Q$4:$Q$2003,'首页'!$B$4*100+U$4))</f>
        <v>0</v>
      </c>
      <c r="V164" s="21">
        <f>IF($A164="",0,SUMIFS('[1]销售出库'!$R$4:$R$2003,'[1]销售出库'!$H$4:$H$2003,$A164,'[1]销售出库'!$Q$4:$Q$2003,'首页'!$B$4*100+V$4))</f>
        <v>0</v>
      </c>
      <c r="W164" s="21">
        <f>IF($A164="",0,SUMIFS('[1]销售出库'!$R$4:$R$2003,'[1]销售出库'!$H$4:$H$2003,$A164,'[1]销售出库'!$Q$4:$Q$2003,'首页'!$B$4*100+W$4))</f>
        <v>0</v>
      </c>
      <c r="X164" s="21">
        <f>IF($A164="",0,SUMIFS('[1]销售出库'!$R$4:$R$2003,'[1]销售出库'!$H$4:$H$2003,$A164,'[1]销售出库'!$Q$4:$Q$2003,'首页'!$B$4*100+X$4))</f>
        <v>0</v>
      </c>
    </row>
    <row r="165">
      <c r="A165" s="6">
        <f>IF('[1]基础资料'!$P$164="","",'[1]基础资料'!$P$164)</f>
      </c>
      <c r="B165" s="6">
        <f>IF(A165="","",'[1]基础资料'!$Q$164&amp;"")</f>
      </c>
      <c r="C165" s="21">
        <f>IF(A165="",0,N('[1]基础资料'!$S$164))</f>
        <v>0</v>
      </c>
      <c r="D165" s="11">
        <f>IF(A165="",0,N('[1]基础资料'!$U$164))</f>
        <v>0</v>
      </c>
      <c r="E165" s="21">
        <f>IF(A165="",0,SUMIFS('[1]采购入库'!$U$4:$U$2003,'[1]采购入库'!$I$4:$I$2003,$A165))</f>
        <v>0</v>
      </c>
      <c r="F165" s="11">
        <f>IF(A165="",0,SUMIFS('[1]采购入库'!$V$4:$V$2003,'[1]采购入库'!$I$4:$I$2003,$A165))</f>
        <v>0</v>
      </c>
      <c r="G165" s="21">
        <f>IF(A165="",0,SUMIFS('[1]销售出库'!$R$4:$R$2003,'[1]销售出库'!$H$4:$H$2003,$A165))</f>
        <v>0</v>
      </c>
      <c r="H165" s="11">
        <f t="shared" si="3"/>
        <v>0</v>
      </c>
      <c r="I165" s="11">
        <f t="shared" si="0"/>
        <v>0</v>
      </c>
      <c r="J165" s="21">
        <f t="shared" si="1"/>
        <v>0</v>
      </c>
      <c r="K165" s="11">
        <f t="shared" si="2"/>
        <v>0</v>
      </c>
      <c r="L165" s="6">
        <f t="shared" si="4"/>
      </c>
      <c r="M165" s="21">
        <f>IF($A165="",0,SUMIFS('[1]销售出库'!$R$4:$R$2003,'[1]销售出库'!$H$4:$H$2003,$A165,'[1]销售出库'!$Q$4:$Q$2003,'首页'!$B$4*100+M$4))</f>
        <v>0</v>
      </c>
      <c r="N165" s="21">
        <f>IF($A165="",0,SUMIFS('[1]销售出库'!$R$4:$R$2003,'[1]销售出库'!$H$4:$H$2003,$A165,'[1]销售出库'!$Q$4:$Q$2003,'首页'!$B$4*100+N$4))</f>
        <v>0</v>
      </c>
      <c r="O165" s="21">
        <f>IF($A165="",0,SUMIFS('[1]销售出库'!$R$4:$R$2003,'[1]销售出库'!$H$4:$H$2003,$A165,'[1]销售出库'!$Q$4:$Q$2003,'首页'!$B$4*100+O$4))</f>
        <v>0</v>
      </c>
      <c r="P165" s="21">
        <f>IF($A165="",0,SUMIFS('[1]销售出库'!$R$4:$R$2003,'[1]销售出库'!$H$4:$H$2003,$A165,'[1]销售出库'!$Q$4:$Q$2003,'首页'!$B$4*100+P$4))</f>
        <v>0</v>
      </c>
      <c r="Q165" s="21">
        <f>IF($A165="",0,SUMIFS('[1]销售出库'!$R$4:$R$2003,'[1]销售出库'!$H$4:$H$2003,$A165,'[1]销售出库'!$Q$4:$Q$2003,'首页'!$B$4*100+Q$4))</f>
        <v>0</v>
      </c>
      <c r="R165" s="21">
        <f>IF($A165="",0,SUMIFS('[1]销售出库'!$R$4:$R$2003,'[1]销售出库'!$H$4:$H$2003,$A165,'[1]销售出库'!$Q$4:$Q$2003,'首页'!$B$4*100+R$4))</f>
        <v>0</v>
      </c>
      <c r="S165" s="21">
        <f>IF($A165="",0,SUMIFS('[1]销售出库'!$R$4:$R$2003,'[1]销售出库'!$H$4:$H$2003,$A165,'[1]销售出库'!$Q$4:$Q$2003,'首页'!$B$4*100+S$4))</f>
        <v>0</v>
      </c>
      <c r="T165" s="21">
        <f>IF($A165="",0,SUMIFS('[1]销售出库'!$R$4:$R$2003,'[1]销售出库'!$H$4:$H$2003,$A165,'[1]销售出库'!$Q$4:$Q$2003,'首页'!$B$4*100+T$4))</f>
        <v>0</v>
      </c>
      <c r="U165" s="21">
        <f>IF($A165="",0,SUMIFS('[1]销售出库'!$R$4:$R$2003,'[1]销售出库'!$H$4:$H$2003,$A165,'[1]销售出库'!$Q$4:$Q$2003,'首页'!$B$4*100+U$4))</f>
        <v>0</v>
      </c>
      <c r="V165" s="21">
        <f>IF($A165="",0,SUMIFS('[1]销售出库'!$R$4:$R$2003,'[1]销售出库'!$H$4:$H$2003,$A165,'[1]销售出库'!$Q$4:$Q$2003,'首页'!$B$4*100+V$4))</f>
        <v>0</v>
      </c>
      <c r="W165" s="21">
        <f>IF($A165="",0,SUMIFS('[1]销售出库'!$R$4:$R$2003,'[1]销售出库'!$H$4:$H$2003,$A165,'[1]销售出库'!$Q$4:$Q$2003,'首页'!$B$4*100+W$4))</f>
        <v>0</v>
      </c>
      <c r="X165" s="21">
        <f>IF($A165="",0,SUMIFS('[1]销售出库'!$R$4:$R$2003,'[1]销售出库'!$H$4:$H$2003,$A165,'[1]销售出库'!$Q$4:$Q$2003,'首页'!$B$4*100+X$4))</f>
        <v>0</v>
      </c>
    </row>
    <row r="166">
      <c r="A166" s="6">
        <f>IF('[1]基础资料'!$P$165="","",'[1]基础资料'!$P$165)</f>
      </c>
      <c r="B166" s="6">
        <f>IF(A166="","",'[1]基础资料'!$Q$165&amp;"")</f>
      </c>
      <c r="C166" s="21">
        <f>IF(A166="",0,N('[1]基础资料'!$S$165))</f>
        <v>0</v>
      </c>
      <c r="D166" s="11">
        <f>IF(A166="",0,N('[1]基础资料'!$U$165))</f>
        <v>0</v>
      </c>
      <c r="E166" s="21">
        <f>IF(A166="",0,SUMIFS('[1]采购入库'!$U$4:$U$2003,'[1]采购入库'!$I$4:$I$2003,$A166))</f>
        <v>0</v>
      </c>
      <c r="F166" s="11">
        <f>IF(A166="",0,SUMIFS('[1]采购入库'!$V$4:$V$2003,'[1]采购入库'!$I$4:$I$2003,$A166))</f>
        <v>0</v>
      </c>
      <c r="G166" s="21">
        <f>IF(A166="",0,SUMIFS('[1]销售出库'!$R$4:$R$2003,'[1]销售出库'!$H$4:$H$2003,$A166))</f>
        <v>0</v>
      </c>
      <c r="H166" s="11">
        <f t="shared" si="3"/>
        <v>0</v>
      </c>
      <c r="I166" s="11">
        <f t="shared" si="0"/>
        <v>0</v>
      </c>
      <c r="J166" s="21">
        <f t="shared" si="1"/>
        <v>0</v>
      </c>
      <c r="K166" s="11">
        <f t="shared" si="2"/>
        <v>0</v>
      </c>
      <c r="L166" s="6">
        <f t="shared" si="4"/>
      </c>
      <c r="M166" s="21">
        <f>IF($A166="",0,SUMIFS('[1]销售出库'!$R$4:$R$2003,'[1]销售出库'!$H$4:$H$2003,$A166,'[1]销售出库'!$Q$4:$Q$2003,'首页'!$B$4*100+M$4))</f>
        <v>0</v>
      </c>
      <c r="N166" s="21">
        <f>IF($A166="",0,SUMIFS('[1]销售出库'!$R$4:$R$2003,'[1]销售出库'!$H$4:$H$2003,$A166,'[1]销售出库'!$Q$4:$Q$2003,'首页'!$B$4*100+N$4))</f>
        <v>0</v>
      </c>
      <c r="O166" s="21">
        <f>IF($A166="",0,SUMIFS('[1]销售出库'!$R$4:$R$2003,'[1]销售出库'!$H$4:$H$2003,$A166,'[1]销售出库'!$Q$4:$Q$2003,'首页'!$B$4*100+O$4))</f>
        <v>0</v>
      </c>
      <c r="P166" s="21">
        <f>IF($A166="",0,SUMIFS('[1]销售出库'!$R$4:$R$2003,'[1]销售出库'!$H$4:$H$2003,$A166,'[1]销售出库'!$Q$4:$Q$2003,'首页'!$B$4*100+P$4))</f>
        <v>0</v>
      </c>
      <c r="Q166" s="21">
        <f>IF($A166="",0,SUMIFS('[1]销售出库'!$R$4:$R$2003,'[1]销售出库'!$H$4:$H$2003,$A166,'[1]销售出库'!$Q$4:$Q$2003,'首页'!$B$4*100+Q$4))</f>
        <v>0</v>
      </c>
      <c r="R166" s="21">
        <f>IF($A166="",0,SUMIFS('[1]销售出库'!$R$4:$R$2003,'[1]销售出库'!$H$4:$H$2003,$A166,'[1]销售出库'!$Q$4:$Q$2003,'首页'!$B$4*100+R$4))</f>
        <v>0</v>
      </c>
      <c r="S166" s="21">
        <f>IF($A166="",0,SUMIFS('[1]销售出库'!$R$4:$R$2003,'[1]销售出库'!$H$4:$H$2003,$A166,'[1]销售出库'!$Q$4:$Q$2003,'首页'!$B$4*100+S$4))</f>
        <v>0</v>
      </c>
      <c r="T166" s="21">
        <f>IF($A166="",0,SUMIFS('[1]销售出库'!$R$4:$R$2003,'[1]销售出库'!$H$4:$H$2003,$A166,'[1]销售出库'!$Q$4:$Q$2003,'首页'!$B$4*100+T$4))</f>
        <v>0</v>
      </c>
      <c r="U166" s="21">
        <f>IF($A166="",0,SUMIFS('[1]销售出库'!$R$4:$R$2003,'[1]销售出库'!$H$4:$H$2003,$A166,'[1]销售出库'!$Q$4:$Q$2003,'首页'!$B$4*100+U$4))</f>
        <v>0</v>
      </c>
      <c r="V166" s="21">
        <f>IF($A166="",0,SUMIFS('[1]销售出库'!$R$4:$R$2003,'[1]销售出库'!$H$4:$H$2003,$A166,'[1]销售出库'!$Q$4:$Q$2003,'首页'!$B$4*100+V$4))</f>
        <v>0</v>
      </c>
      <c r="W166" s="21">
        <f>IF($A166="",0,SUMIFS('[1]销售出库'!$R$4:$R$2003,'[1]销售出库'!$H$4:$H$2003,$A166,'[1]销售出库'!$Q$4:$Q$2003,'首页'!$B$4*100+W$4))</f>
        <v>0</v>
      </c>
      <c r="X166" s="21">
        <f>IF($A166="",0,SUMIFS('[1]销售出库'!$R$4:$R$2003,'[1]销售出库'!$H$4:$H$2003,$A166,'[1]销售出库'!$Q$4:$Q$2003,'首页'!$B$4*100+X$4))</f>
        <v>0</v>
      </c>
    </row>
    <row r="167">
      <c r="A167" s="6">
        <f>IF('[1]基础资料'!$P$166="","",'[1]基础资料'!$P$166)</f>
      </c>
      <c r="B167" s="6">
        <f>IF(A167="","",'[1]基础资料'!$Q$166&amp;"")</f>
      </c>
      <c r="C167" s="21">
        <f>IF(A167="",0,N('[1]基础资料'!$S$166))</f>
        <v>0</v>
      </c>
      <c r="D167" s="11">
        <f>IF(A167="",0,N('[1]基础资料'!$U$166))</f>
        <v>0</v>
      </c>
      <c r="E167" s="21">
        <f>IF(A167="",0,SUMIFS('[1]采购入库'!$U$4:$U$2003,'[1]采购入库'!$I$4:$I$2003,$A167))</f>
        <v>0</v>
      </c>
      <c r="F167" s="11">
        <f>IF(A167="",0,SUMIFS('[1]采购入库'!$V$4:$V$2003,'[1]采购入库'!$I$4:$I$2003,$A167))</f>
        <v>0</v>
      </c>
      <c r="G167" s="21">
        <f>IF(A167="",0,SUMIFS('[1]销售出库'!$R$4:$R$2003,'[1]销售出库'!$H$4:$H$2003,$A167))</f>
        <v>0</v>
      </c>
      <c r="H167" s="11">
        <f t="shared" si="3"/>
        <v>0</v>
      </c>
      <c r="I167" s="11">
        <f t="shared" si="0"/>
        <v>0</v>
      </c>
      <c r="J167" s="21">
        <f t="shared" si="1"/>
        <v>0</v>
      </c>
      <c r="K167" s="11">
        <f t="shared" si="2"/>
        <v>0</v>
      </c>
      <c r="L167" s="6">
        <f t="shared" si="4"/>
      </c>
      <c r="M167" s="21">
        <f>IF($A167="",0,SUMIFS('[1]销售出库'!$R$4:$R$2003,'[1]销售出库'!$H$4:$H$2003,$A167,'[1]销售出库'!$Q$4:$Q$2003,'首页'!$B$4*100+M$4))</f>
        <v>0</v>
      </c>
      <c r="N167" s="21">
        <f>IF($A167="",0,SUMIFS('[1]销售出库'!$R$4:$R$2003,'[1]销售出库'!$H$4:$H$2003,$A167,'[1]销售出库'!$Q$4:$Q$2003,'首页'!$B$4*100+N$4))</f>
        <v>0</v>
      </c>
      <c r="O167" s="21">
        <f>IF($A167="",0,SUMIFS('[1]销售出库'!$R$4:$R$2003,'[1]销售出库'!$H$4:$H$2003,$A167,'[1]销售出库'!$Q$4:$Q$2003,'首页'!$B$4*100+O$4))</f>
        <v>0</v>
      </c>
      <c r="P167" s="21">
        <f>IF($A167="",0,SUMIFS('[1]销售出库'!$R$4:$R$2003,'[1]销售出库'!$H$4:$H$2003,$A167,'[1]销售出库'!$Q$4:$Q$2003,'首页'!$B$4*100+P$4))</f>
        <v>0</v>
      </c>
      <c r="Q167" s="21">
        <f>IF($A167="",0,SUMIFS('[1]销售出库'!$R$4:$R$2003,'[1]销售出库'!$H$4:$H$2003,$A167,'[1]销售出库'!$Q$4:$Q$2003,'首页'!$B$4*100+Q$4))</f>
        <v>0</v>
      </c>
      <c r="R167" s="21">
        <f>IF($A167="",0,SUMIFS('[1]销售出库'!$R$4:$R$2003,'[1]销售出库'!$H$4:$H$2003,$A167,'[1]销售出库'!$Q$4:$Q$2003,'首页'!$B$4*100+R$4))</f>
        <v>0</v>
      </c>
      <c r="S167" s="21">
        <f>IF($A167="",0,SUMIFS('[1]销售出库'!$R$4:$R$2003,'[1]销售出库'!$H$4:$H$2003,$A167,'[1]销售出库'!$Q$4:$Q$2003,'首页'!$B$4*100+S$4))</f>
        <v>0</v>
      </c>
      <c r="T167" s="21">
        <f>IF($A167="",0,SUMIFS('[1]销售出库'!$R$4:$R$2003,'[1]销售出库'!$H$4:$H$2003,$A167,'[1]销售出库'!$Q$4:$Q$2003,'首页'!$B$4*100+T$4))</f>
        <v>0</v>
      </c>
      <c r="U167" s="21">
        <f>IF($A167="",0,SUMIFS('[1]销售出库'!$R$4:$R$2003,'[1]销售出库'!$H$4:$H$2003,$A167,'[1]销售出库'!$Q$4:$Q$2003,'首页'!$B$4*100+U$4))</f>
        <v>0</v>
      </c>
      <c r="V167" s="21">
        <f>IF($A167="",0,SUMIFS('[1]销售出库'!$R$4:$R$2003,'[1]销售出库'!$H$4:$H$2003,$A167,'[1]销售出库'!$Q$4:$Q$2003,'首页'!$B$4*100+V$4))</f>
        <v>0</v>
      </c>
      <c r="W167" s="21">
        <f>IF($A167="",0,SUMIFS('[1]销售出库'!$R$4:$R$2003,'[1]销售出库'!$H$4:$H$2003,$A167,'[1]销售出库'!$Q$4:$Q$2003,'首页'!$B$4*100+W$4))</f>
        <v>0</v>
      </c>
      <c r="X167" s="21">
        <f>IF($A167="",0,SUMIFS('[1]销售出库'!$R$4:$R$2003,'[1]销售出库'!$H$4:$H$2003,$A167,'[1]销售出库'!$Q$4:$Q$2003,'首页'!$B$4*100+X$4))</f>
        <v>0</v>
      </c>
    </row>
    <row r="168">
      <c r="A168" s="6">
        <f>IF('[1]基础资料'!$P$167="","",'[1]基础资料'!$P$167)</f>
      </c>
      <c r="B168" s="6">
        <f>IF(A168="","",'[1]基础资料'!$Q$167&amp;"")</f>
      </c>
      <c r="C168" s="21">
        <f>IF(A168="",0,N('[1]基础资料'!$S$167))</f>
        <v>0</v>
      </c>
      <c r="D168" s="11">
        <f>IF(A168="",0,N('[1]基础资料'!$U$167))</f>
        <v>0</v>
      </c>
      <c r="E168" s="21">
        <f>IF(A168="",0,SUMIFS('[1]采购入库'!$U$4:$U$2003,'[1]采购入库'!$I$4:$I$2003,$A168))</f>
        <v>0</v>
      </c>
      <c r="F168" s="11">
        <f>IF(A168="",0,SUMIFS('[1]采购入库'!$V$4:$V$2003,'[1]采购入库'!$I$4:$I$2003,$A168))</f>
        <v>0</v>
      </c>
      <c r="G168" s="21">
        <f>IF(A168="",0,SUMIFS('[1]销售出库'!$R$4:$R$2003,'[1]销售出库'!$H$4:$H$2003,$A168))</f>
        <v>0</v>
      </c>
      <c r="H168" s="11">
        <f t="shared" si="3"/>
        <v>0</v>
      </c>
      <c r="I168" s="11">
        <f t="shared" si="0"/>
        <v>0</v>
      </c>
      <c r="J168" s="21">
        <f t="shared" si="1"/>
        <v>0</v>
      </c>
      <c r="K168" s="11">
        <f t="shared" si="2"/>
        <v>0</v>
      </c>
      <c r="L168" s="6">
        <f t="shared" si="4"/>
      </c>
      <c r="M168" s="21">
        <f>IF($A168="",0,SUMIFS('[1]销售出库'!$R$4:$R$2003,'[1]销售出库'!$H$4:$H$2003,$A168,'[1]销售出库'!$Q$4:$Q$2003,'首页'!$B$4*100+M$4))</f>
        <v>0</v>
      </c>
      <c r="N168" s="21">
        <f>IF($A168="",0,SUMIFS('[1]销售出库'!$R$4:$R$2003,'[1]销售出库'!$H$4:$H$2003,$A168,'[1]销售出库'!$Q$4:$Q$2003,'首页'!$B$4*100+N$4))</f>
        <v>0</v>
      </c>
      <c r="O168" s="21">
        <f>IF($A168="",0,SUMIFS('[1]销售出库'!$R$4:$R$2003,'[1]销售出库'!$H$4:$H$2003,$A168,'[1]销售出库'!$Q$4:$Q$2003,'首页'!$B$4*100+O$4))</f>
        <v>0</v>
      </c>
      <c r="P168" s="21">
        <f>IF($A168="",0,SUMIFS('[1]销售出库'!$R$4:$R$2003,'[1]销售出库'!$H$4:$H$2003,$A168,'[1]销售出库'!$Q$4:$Q$2003,'首页'!$B$4*100+P$4))</f>
        <v>0</v>
      </c>
      <c r="Q168" s="21">
        <f>IF($A168="",0,SUMIFS('[1]销售出库'!$R$4:$R$2003,'[1]销售出库'!$H$4:$H$2003,$A168,'[1]销售出库'!$Q$4:$Q$2003,'首页'!$B$4*100+Q$4))</f>
        <v>0</v>
      </c>
      <c r="R168" s="21">
        <f>IF($A168="",0,SUMIFS('[1]销售出库'!$R$4:$R$2003,'[1]销售出库'!$H$4:$H$2003,$A168,'[1]销售出库'!$Q$4:$Q$2003,'首页'!$B$4*100+R$4))</f>
        <v>0</v>
      </c>
      <c r="S168" s="21">
        <f>IF($A168="",0,SUMIFS('[1]销售出库'!$R$4:$R$2003,'[1]销售出库'!$H$4:$H$2003,$A168,'[1]销售出库'!$Q$4:$Q$2003,'首页'!$B$4*100+S$4))</f>
        <v>0</v>
      </c>
      <c r="T168" s="21">
        <f>IF($A168="",0,SUMIFS('[1]销售出库'!$R$4:$R$2003,'[1]销售出库'!$H$4:$H$2003,$A168,'[1]销售出库'!$Q$4:$Q$2003,'首页'!$B$4*100+T$4))</f>
        <v>0</v>
      </c>
      <c r="U168" s="21">
        <f>IF($A168="",0,SUMIFS('[1]销售出库'!$R$4:$R$2003,'[1]销售出库'!$H$4:$H$2003,$A168,'[1]销售出库'!$Q$4:$Q$2003,'首页'!$B$4*100+U$4))</f>
        <v>0</v>
      </c>
      <c r="V168" s="21">
        <f>IF($A168="",0,SUMIFS('[1]销售出库'!$R$4:$R$2003,'[1]销售出库'!$H$4:$H$2003,$A168,'[1]销售出库'!$Q$4:$Q$2003,'首页'!$B$4*100+V$4))</f>
        <v>0</v>
      </c>
      <c r="W168" s="21">
        <f>IF($A168="",0,SUMIFS('[1]销售出库'!$R$4:$R$2003,'[1]销售出库'!$H$4:$H$2003,$A168,'[1]销售出库'!$Q$4:$Q$2003,'首页'!$B$4*100+W$4))</f>
        <v>0</v>
      </c>
      <c r="X168" s="21">
        <f>IF($A168="",0,SUMIFS('[1]销售出库'!$R$4:$R$2003,'[1]销售出库'!$H$4:$H$2003,$A168,'[1]销售出库'!$Q$4:$Q$2003,'首页'!$B$4*100+X$4))</f>
        <v>0</v>
      </c>
    </row>
    <row r="169">
      <c r="A169" s="6">
        <f>IF('[1]基础资料'!$P$168="","",'[1]基础资料'!$P$168)</f>
      </c>
      <c r="B169" s="6">
        <f>IF(A169="","",'[1]基础资料'!$Q$168&amp;"")</f>
      </c>
      <c r="C169" s="21">
        <f>IF(A169="",0,N('[1]基础资料'!$S$168))</f>
        <v>0</v>
      </c>
      <c r="D169" s="11">
        <f>IF(A169="",0,N('[1]基础资料'!$U$168))</f>
        <v>0</v>
      </c>
      <c r="E169" s="21">
        <f>IF(A169="",0,SUMIFS('[1]采购入库'!$U$4:$U$2003,'[1]采购入库'!$I$4:$I$2003,$A169))</f>
        <v>0</v>
      </c>
      <c r="F169" s="11">
        <f>IF(A169="",0,SUMIFS('[1]采购入库'!$V$4:$V$2003,'[1]采购入库'!$I$4:$I$2003,$A169))</f>
        <v>0</v>
      </c>
      <c r="G169" s="21">
        <f>IF(A169="",0,SUMIFS('[1]销售出库'!$R$4:$R$2003,'[1]销售出库'!$H$4:$H$2003,$A169))</f>
        <v>0</v>
      </c>
      <c r="H169" s="11">
        <f t="shared" si="3"/>
        <v>0</v>
      </c>
      <c r="I169" s="11">
        <f t="shared" si="0"/>
        <v>0</v>
      </c>
      <c r="J169" s="21">
        <f t="shared" si="1"/>
        <v>0</v>
      </c>
      <c r="K169" s="11">
        <f t="shared" si="2"/>
        <v>0</v>
      </c>
      <c r="L169" s="6">
        <f t="shared" si="4"/>
      </c>
      <c r="M169" s="21">
        <f>IF($A169="",0,SUMIFS('[1]销售出库'!$R$4:$R$2003,'[1]销售出库'!$H$4:$H$2003,$A169,'[1]销售出库'!$Q$4:$Q$2003,'首页'!$B$4*100+M$4))</f>
        <v>0</v>
      </c>
      <c r="N169" s="21">
        <f>IF($A169="",0,SUMIFS('[1]销售出库'!$R$4:$R$2003,'[1]销售出库'!$H$4:$H$2003,$A169,'[1]销售出库'!$Q$4:$Q$2003,'首页'!$B$4*100+N$4))</f>
        <v>0</v>
      </c>
      <c r="O169" s="21">
        <f>IF($A169="",0,SUMIFS('[1]销售出库'!$R$4:$R$2003,'[1]销售出库'!$H$4:$H$2003,$A169,'[1]销售出库'!$Q$4:$Q$2003,'首页'!$B$4*100+O$4))</f>
        <v>0</v>
      </c>
      <c r="P169" s="21">
        <f>IF($A169="",0,SUMIFS('[1]销售出库'!$R$4:$R$2003,'[1]销售出库'!$H$4:$H$2003,$A169,'[1]销售出库'!$Q$4:$Q$2003,'首页'!$B$4*100+P$4))</f>
        <v>0</v>
      </c>
      <c r="Q169" s="21">
        <f>IF($A169="",0,SUMIFS('[1]销售出库'!$R$4:$R$2003,'[1]销售出库'!$H$4:$H$2003,$A169,'[1]销售出库'!$Q$4:$Q$2003,'首页'!$B$4*100+Q$4))</f>
        <v>0</v>
      </c>
      <c r="R169" s="21">
        <f>IF($A169="",0,SUMIFS('[1]销售出库'!$R$4:$R$2003,'[1]销售出库'!$H$4:$H$2003,$A169,'[1]销售出库'!$Q$4:$Q$2003,'首页'!$B$4*100+R$4))</f>
        <v>0</v>
      </c>
      <c r="S169" s="21">
        <f>IF($A169="",0,SUMIFS('[1]销售出库'!$R$4:$R$2003,'[1]销售出库'!$H$4:$H$2003,$A169,'[1]销售出库'!$Q$4:$Q$2003,'首页'!$B$4*100+S$4))</f>
        <v>0</v>
      </c>
      <c r="T169" s="21">
        <f>IF($A169="",0,SUMIFS('[1]销售出库'!$R$4:$R$2003,'[1]销售出库'!$H$4:$H$2003,$A169,'[1]销售出库'!$Q$4:$Q$2003,'首页'!$B$4*100+T$4))</f>
        <v>0</v>
      </c>
      <c r="U169" s="21">
        <f>IF($A169="",0,SUMIFS('[1]销售出库'!$R$4:$R$2003,'[1]销售出库'!$H$4:$H$2003,$A169,'[1]销售出库'!$Q$4:$Q$2003,'首页'!$B$4*100+U$4))</f>
        <v>0</v>
      </c>
      <c r="V169" s="21">
        <f>IF($A169="",0,SUMIFS('[1]销售出库'!$R$4:$R$2003,'[1]销售出库'!$H$4:$H$2003,$A169,'[1]销售出库'!$Q$4:$Q$2003,'首页'!$B$4*100+V$4))</f>
        <v>0</v>
      </c>
      <c r="W169" s="21">
        <f>IF($A169="",0,SUMIFS('[1]销售出库'!$R$4:$R$2003,'[1]销售出库'!$H$4:$H$2003,$A169,'[1]销售出库'!$Q$4:$Q$2003,'首页'!$B$4*100+W$4))</f>
        <v>0</v>
      </c>
      <c r="X169" s="21">
        <f>IF($A169="",0,SUMIFS('[1]销售出库'!$R$4:$R$2003,'[1]销售出库'!$H$4:$H$2003,$A169,'[1]销售出库'!$Q$4:$Q$2003,'首页'!$B$4*100+X$4))</f>
        <v>0</v>
      </c>
    </row>
    <row r="170">
      <c r="A170" s="6">
        <f>IF('[1]基础资料'!$P$169="","",'[1]基础资料'!$P$169)</f>
      </c>
      <c r="B170" s="6">
        <f>IF(A170="","",'[1]基础资料'!$Q$169&amp;"")</f>
      </c>
      <c r="C170" s="21">
        <f>IF(A170="",0,N('[1]基础资料'!$S$169))</f>
        <v>0</v>
      </c>
      <c r="D170" s="11">
        <f>IF(A170="",0,N('[1]基础资料'!$U$169))</f>
        <v>0</v>
      </c>
      <c r="E170" s="21">
        <f>IF(A170="",0,SUMIFS('[1]采购入库'!$U$4:$U$2003,'[1]采购入库'!$I$4:$I$2003,$A170))</f>
        <v>0</v>
      </c>
      <c r="F170" s="11">
        <f>IF(A170="",0,SUMIFS('[1]采购入库'!$V$4:$V$2003,'[1]采购入库'!$I$4:$I$2003,$A170))</f>
        <v>0</v>
      </c>
      <c r="G170" s="21">
        <f>IF(A170="",0,SUMIFS('[1]销售出库'!$R$4:$R$2003,'[1]销售出库'!$H$4:$H$2003,$A170))</f>
        <v>0</v>
      </c>
      <c r="H170" s="11">
        <f t="shared" si="3"/>
        <v>0</v>
      </c>
      <c r="I170" s="11">
        <f t="shared" si="0"/>
        <v>0</v>
      </c>
      <c r="J170" s="21">
        <f t="shared" si="1"/>
        <v>0</v>
      </c>
      <c r="K170" s="11">
        <f t="shared" si="2"/>
        <v>0</v>
      </c>
      <c r="L170" s="6">
        <f t="shared" si="4"/>
      </c>
      <c r="M170" s="21">
        <f>IF($A170="",0,SUMIFS('[1]销售出库'!$R$4:$R$2003,'[1]销售出库'!$H$4:$H$2003,$A170,'[1]销售出库'!$Q$4:$Q$2003,'首页'!$B$4*100+M$4))</f>
        <v>0</v>
      </c>
      <c r="N170" s="21">
        <f>IF($A170="",0,SUMIFS('[1]销售出库'!$R$4:$R$2003,'[1]销售出库'!$H$4:$H$2003,$A170,'[1]销售出库'!$Q$4:$Q$2003,'首页'!$B$4*100+N$4))</f>
        <v>0</v>
      </c>
      <c r="O170" s="21">
        <f>IF($A170="",0,SUMIFS('[1]销售出库'!$R$4:$R$2003,'[1]销售出库'!$H$4:$H$2003,$A170,'[1]销售出库'!$Q$4:$Q$2003,'首页'!$B$4*100+O$4))</f>
        <v>0</v>
      </c>
      <c r="P170" s="21">
        <f>IF($A170="",0,SUMIFS('[1]销售出库'!$R$4:$R$2003,'[1]销售出库'!$H$4:$H$2003,$A170,'[1]销售出库'!$Q$4:$Q$2003,'首页'!$B$4*100+P$4))</f>
        <v>0</v>
      </c>
      <c r="Q170" s="21">
        <f>IF($A170="",0,SUMIFS('[1]销售出库'!$R$4:$R$2003,'[1]销售出库'!$H$4:$H$2003,$A170,'[1]销售出库'!$Q$4:$Q$2003,'首页'!$B$4*100+Q$4))</f>
        <v>0</v>
      </c>
      <c r="R170" s="21">
        <f>IF($A170="",0,SUMIFS('[1]销售出库'!$R$4:$R$2003,'[1]销售出库'!$H$4:$H$2003,$A170,'[1]销售出库'!$Q$4:$Q$2003,'首页'!$B$4*100+R$4))</f>
        <v>0</v>
      </c>
      <c r="S170" s="21">
        <f>IF($A170="",0,SUMIFS('[1]销售出库'!$R$4:$R$2003,'[1]销售出库'!$H$4:$H$2003,$A170,'[1]销售出库'!$Q$4:$Q$2003,'首页'!$B$4*100+S$4))</f>
        <v>0</v>
      </c>
      <c r="T170" s="21">
        <f>IF($A170="",0,SUMIFS('[1]销售出库'!$R$4:$R$2003,'[1]销售出库'!$H$4:$H$2003,$A170,'[1]销售出库'!$Q$4:$Q$2003,'首页'!$B$4*100+T$4))</f>
        <v>0</v>
      </c>
      <c r="U170" s="21">
        <f>IF($A170="",0,SUMIFS('[1]销售出库'!$R$4:$R$2003,'[1]销售出库'!$H$4:$H$2003,$A170,'[1]销售出库'!$Q$4:$Q$2003,'首页'!$B$4*100+U$4))</f>
        <v>0</v>
      </c>
      <c r="V170" s="21">
        <f>IF($A170="",0,SUMIFS('[1]销售出库'!$R$4:$R$2003,'[1]销售出库'!$H$4:$H$2003,$A170,'[1]销售出库'!$Q$4:$Q$2003,'首页'!$B$4*100+V$4))</f>
        <v>0</v>
      </c>
      <c r="W170" s="21">
        <f>IF($A170="",0,SUMIFS('[1]销售出库'!$R$4:$R$2003,'[1]销售出库'!$H$4:$H$2003,$A170,'[1]销售出库'!$Q$4:$Q$2003,'首页'!$B$4*100+W$4))</f>
        <v>0</v>
      </c>
      <c r="X170" s="21">
        <f>IF($A170="",0,SUMIFS('[1]销售出库'!$R$4:$R$2003,'[1]销售出库'!$H$4:$H$2003,$A170,'[1]销售出库'!$Q$4:$Q$2003,'首页'!$B$4*100+X$4))</f>
        <v>0</v>
      </c>
    </row>
    <row r="171">
      <c r="A171" s="6">
        <f>IF('[1]基础资料'!$P$170="","",'[1]基础资料'!$P$170)</f>
      </c>
      <c r="B171" s="6">
        <f>IF(A171="","",'[1]基础资料'!$Q$170&amp;"")</f>
      </c>
      <c r="C171" s="21">
        <f>IF(A171="",0,N('[1]基础资料'!$S$170))</f>
        <v>0</v>
      </c>
      <c r="D171" s="11">
        <f>IF(A171="",0,N('[1]基础资料'!$U$170))</f>
        <v>0</v>
      </c>
      <c r="E171" s="21">
        <f>IF(A171="",0,SUMIFS('[1]采购入库'!$U$4:$U$2003,'[1]采购入库'!$I$4:$I$2003,$A171))</f>
        <v>0</v>
      </c>
      <c r="F171" s="11">
        <f>IF(A171="",0,SUMIFS('[1]采购入库'!$V$4:$V$2003,'[1]采购入库'!$I$4:$I$2003,$A171))</f>
        <v>0</v>
      </c>
      <c r="G171" s="21">
        <f>IF(A171="",0,SUMIFS('[1]销售出库'!$R$4:$R$2003,'[1]销售出库'!$H$4:$H$2003,$A171))</f>
        <v>0</v>
      </c>
      <c r="H171" s="11">
        <f t="shared" si="3"/>
        <v>0</v>
      </c>
      <c r="I171" s="11">
        <f t="shared" si="0"/>
        <v>0</v>
      </c>
      <c r="J171" s="21">
        <f t="shared" si="1"/>
        <v>0</v>
      </c>
      <c r="K171" s="11">
        <f t="shared" si="2"/>
        <v>0</v>
      </c>
      <c r="L171" s="6">
        <f t="shared" si="4"/>
      </c>
      <c r="M171" s="21">
        <f>IF($A171="",0,SUMIFS('[1]销售出库'!$R$4:$R$2003,'[1]销售出库'!$H$4:$H$2003,$A171,'[1]销售出库'!$Q$4:$Q$2003,'首页'!$B$4*100+M$4))</f>
        <v>0</v>
      </c>
      <c r="N171" s="21">
        <f>IF($A171="",0,SUMIFS('[1]销售出库'!$R$4:$R$2003,'[1]销售出库'!$H$4:$H$2003,$A171,'[1]销售出库'!$Q$4:$Q$2003,'首页'!$B$4*100+N$4))</f>
        <v>0</v>
      </c>
      <c r="O171" s="21">
        <f>IF($A171="",0,SUMIFS('[1]销售出库'!$R$4:$R$2003,'[1]销售出库'!$H$4:$H$2003,$A171,'[1]销售出库'!$Q$4:$Q$2003,'首页'!$B$4*100+O$4))</f>
        <v>0</v>
      </c>
      <c r="P171" s="21">
        <f>IF($A171="",0,SUMIFS('[1]销售出库'!$R$4:$R$2003,'[1]销售出库'!$H$4:$H$2003,$A171,'[1]销售出库'!$Q$4:$Q$2003,'首页'!$B$4*100+P$4))</f>
        <v>0</v>
      </c>
      <c r="Q171" s="21">
        <f>IF($A171="",0,SUMIFS('[1]销售出库'!$R$4:$R$2003,'[1]销售出库'!$H$4:$H$2003,$A171,'[1]销售出库'!$Q$4:$Q$2003,'首页'!$B$4*100+Q$4))</f>
        <v>0</v>
      </c>
      <c r="R171" s="21">
        <f>IF($A171="",0,SUMIFS('[1]销售出库'!$R$4:$R$2003,'[1]销售出库'!$H$4:$H$2003,$A171,'[1]销售出库'!$Q$4:$Q$2003,'首页'!$B$4*100+R$4))</f>
        <v>0</v>
      </c>
      <c r="S171" s="21">
        <f>IF($A171="",0,SUMIFS('[1]销售出库'!$R$4:$R$2003,'[1]销售出库'!$H$4:$H$2003,$A171,'[1]销售出库'!$Q$4:$Q$2003,'首页'!$B$4*100+S$4))</f>
        <v>0</v>
      </c>
      <c r="T171" s="21">
        <f>IF($A171="",0,SUMIFS('[1]销售出库'!$R$4:$R$2003,'[1]销售出库'!$H$4:$H$2003,$A171,'[1]销售出库'!$Q$4:$Q$2003,'首页'!$B$4*100+T$4))</f>
        <v>0</v>
      </c>
      <c r="U171" s="21">
        <f>IF($A171="",0,SUMIFS('[1]销售出库'!$R$4:$R$2003,'[1]销售出库'!$H$4:$H$2003,$A171,'[1]销售出库'!$Q$4:$Q$2003,'首页'!$B$4*100+U$4))</f>
        <v>0</v>
      </c>
      <c r="V171" s="21">
        <f>IF($A171="",0,SUMIFS('[1]销售出库'!$R$4:$R$2003,'[1]销售出库'!$H$4:$H$2003,$A171,'[1]销售出库'!$Q$4:$Q$2003,'首页'!$B$4*100+V$4))</f>
        <v>0</v>
      </c>
      <c r="W171" s="21">
        <f>IF($A171="",0,SUMIFS('[1]销售出库'!$R$4:$R$2003,'[1]销售出库'!$H$4:$H$2003,$A171,'[1]销售出库'!$Q$4:$Q$2003,'首页'!$B$4*100+W$4))</f>
        <v>0</v>
      </c>
      <c r="X171" s="21">
        <f>IF($A171="",0,SUMIFS('[1]销售出库'!$R$4:$R$2003,'[1]销售出库'!$H$4:$H$2003,$A171,'[1]销售出库'!$Q$4:$Q$2003,'首页'!$B$4*100+X$4))</f>
        <v>0</v>
      </c>
    </row>
    <row r="172">
      <c r="A172" s="6">
        <f>IF('[1]基础资料'!$P$171="","",'[1]基础资料'!$P$171)</f>
      </c>
      <c r="B172" s="6">
        <f>IF(A172="","",'[1]基础资料'!$Q$171&amp;"")</f>
      </c>
      <c r="C172" s="21">
        <f>IF(A172="",0,N('[1]基础资料'!$S$171))</f>
        <v>0</v>
      </c>
      <c r="D172" s="11">
        <f>IF(A172="",0,N('[1]基础资料'!$U$171))</f>
        <v>0</v>
      </c>
      <c r="E172" s="21">
        <f>IF(A172="",0,SUMIFS('[1]采购入库'!$U$4:$U$2003,'[1]采购入库'!$I$4:$I$2003,$A172))</f>
        <v>0</v>
      </c>
      <c r="F172" s="11">
        <f>IF(A172="",0,SUMIFS('[1]采购入库'!$V$4:$V$2003,'[1]采购入库'!$I$4:$I$2003,$A172))</f>
        <v>0</v>
      </c>
      <c r="G172" s="21">
        <f>IF(A172="",0,SUMIFS('[1]销售出库'!$R$4:$R$2003,'[1]销售出库'!$H$4:$H$2003,$A172))</f>
        <v>0</v>
      </c>
      <c r="H172" s="11">
        <f t="shared" si="3"/>
        <v>0</v>
      </c>
      <c r="I172" s="11">
        <f t="shared" si="0"/>
        <v>0</v>
      </c>
      <c r="J172" s="21">
        <f t="shared" si="1"/>
        <v>0</v>
      </c>
      <c r="K172" s="11">
        <f t="shared" si="2"/>
        <v>0</v>
      </c>
      <c r="L172" s="6">
        <f t="shared" si="4"/>
      </c>
      <c r="M172" s="21">
        <f>IF($A172="",0,SUMIFS('[1]销售出库'!$R$4:$R$2003,'[1]销售出库'!$H$4:$H$2003,$A172,'[1]销售出库'!$Q$4:$Q$2003,'首页'!$B$4*100+M$4))</f>
        <v>0</v>
      </c>
      <c r="N172" s="21">
        <f>IF($A172="",0,SUMIFS('[1]销售出库'!$R$4:$R$2003,'[1]销售出库'!$H$4:$H$2003,$A172,'[1]销售出库'!$Q$4:$Q$2003,'首页'!$B$4*100+N$4))</f>
        <v>0</v>
      </c>
      <c r="O172" s="21">
        <f>IF($A172="",0,SUMIFS('[1]销售出库'!$R$4:$R$2003,'[1]销售出库'!$H$4:$H$2003,$A172,'[1]销售出库'!$Q$4:$Q$2003,'首页'!$B$4*100+O$4))</f>
        <v>0</v>
      </c>
      <c r="P172" s="21">
        <f>IF($A172="",0,SUMIFS('[1]销售出库'!$R$4:$R$2003,'[1]销售出库'!$H$4:$H$2003,$A172,'[1]销售出库'!$Q$4:$Q$2003,'首页'!$B$4*100+P$4))</f>
        <v>0</v>
      </c>
      <c r="Q172" s="21">
        <f>IF($A172="",0,SUMIFS('[1]销售出库'!$R$4:$R$2003,'[1]销售出库'!$H$4:$H$2003,$A172,'[1]销售出库'!$Q$4:$Q$2003,'首页'!$B$4*100+Q$4))</f>
        <v>0</v>
      </c>
      <c r="R172" s="21">
        <f>IF($A172="",0,SUMIFS('[1]销售出库'!$R$4:$R$2003,'[1]销售出库'!$H$4:$H$2003,$A172,'[1]销售出库'!$Q$4:$Q$2003,'首页'!$B$4*100+R$4))</f>
        <v>0</v>
      </c>
      <c r="S172" s="21">
        <f>IF($A172="",0,SUMIFS('[1]销售出库'!$R$4:$R$2003,'[1]销售出库'!$H$4:$H$2003,$A172,'[1]销售出库'!$Q$4:$Q$2003,'首页'!$B$4*100+S$4))</f>
        <v>0</v>
      </c>
      <c r="T172" s="21">
        <f>IF($A172="",0,SUMIFS('[1]销售出库'!$R$4:$R$2003,'[1]销售出库'!$H$4:$H$2003,$A172,'[1]销售出库'!$Q$4:$Q$2003,'首页'!$B$4*100+T$4))</f>
        <v>0</v>
      </c>
      <c r="U172" s="21">
        <f>IF($A172="",0,SUMIFS('[1]销售出库'!$R$4:$R$2003,'[1]销售出库'!$H$4:$H$2003,$A172,'[1]销售出库'!$Q$4:$Q$2003,'首页'!$B$4*100+U$4))</f>
        <v>0</v>
      </c>
      <c r="V172" s="21">
        <f>IF($A172="",0,SUMIFS('[1]销售出库'!$R$4:$R$2003,'[1]销售出库'!$H$4:$H$2003,$A172,'[1]销售出库'!$Q$4:$Q$2003,'首页'!$B$4*100+V$4))</f>
        <v>0</v>
      </c>
      <c r="W172" s="21">
        <f>IF($A172="",0,SUMIFS('[1]销售出库'!$R$4:$R$2003,'[1]销售出库'!$H$4:$H$2003,$A172,'[1]销售出库'!$Q$4:$Q$2003,'首页'!$B$4*100+W$4))</f>
        <v>0</v>
      </c>
      <c r="X172" s="21">
        <f>IF($A172="",0,SUMIFS('[1]销售出库'!$R$4:$R$2003,'[1]销售出库'!$H$4:$H$2003,$A172,'[1]销售出库'!$Q$4:$Q$2003,'首页'!$B$4*100+X$4))</f>
        <v>0</v>
      </c>
    </row>
    <row r="173">
      <c r="A173" s="6">
        <f>IF('[1]基础资料'!$P$172="","",'[1]基础资料'!$P$172)</f>
      </c>
      <c r="B173" s="6">
        <f>IF(A173="","",'[1]基础资料'!$Q$172&amp;"")</f>
      </c>
      <c r="C173" s="21">
        <f>IF(A173="",0,N('[1]基础资料'!$S$172))</f>
        <v>0</v>
      </c>
      <c r="D173" s="11">
        <f>IF(A173="",0,N('[1]基础资料'!$U$172))</f>
        <v>0</v>
      </c>
      <c r="E173" s="21">
        <f>IF(A173="",0,SUMIFS('[1]采购入库'!$U$4:$U$2003,'[1]采购入库'!$I$4:$I$2003,$A173))</f>
        <v>0</v>
      </c>
      <c r="F173" s="11">
        <f>IF(A173="",0,SUMIFS('[1]采购入库'!$V$4:$V$2003,'[1]采购入库'!$I$4:$I$2003,$A173))</f>
        <v>0</v>
      </c>
      <c r="G173" s="21">
        <f>IF(A173="",0,SUMIFS('[1]销售出库'!$R$4:$R$2003,'[1]销售出库'!$H$4:$H$2003,$A173))</f>
        <v>0</v>
      </c>
      <c r="H173" s="11">
        <f t="shared" si="3"/>
        <v>0</v>
      </c>
      <c r="I173" s="11">
        <f t="shared" si="0"/>
        <v>0</v>
      </c>
      <c r="J173" s="21">
        <f t="shared" si="1"/>
        <v>0</v>
      </c>
      <c r="K173" s="11">
        <f t="shared" si="2"/>
        <v>0</v>
      </c>
      <c r="L173" s="6">
        <f t="shared" si="4"/>
      </c>
      <c r="M173" s="21">
        <f>IF($A173="",0,SUMIFS('[1]销售出库'!$R$4:$R$2003,'[1]销售出库'!$H$4:$H$2003,$A173,'[1]销售出库'!$Q$4:$Q$2003,'首页'!$B$4*100+M$4))</f>
        <v>0</v>
      </c>
      <c r="N173" s="21">
        <f>IF($A173="",0,SUMIFS('[1]销售出库'!$R$4:$R$2003,'[1]销售出库'!$H$4:$H$2003,$A173,'[1]销售出库'!$Q$4:$Q$2003,'首页'!$B$4*100+N$4))</f>
        <v>0</v>
      </c>
      <c r="O173" s="21">
        <f>IF($A173="",0,SUMIFS('[1]销售出库'!$R$4:$R$2003,'[1]销售出库'!$H$4:$H$2003,$A173,'[1]销售出库'!$Q$4:$Q$2003,'首页'!$B$4*100+O$4))</f>
        <v>0</v>
      </c>
      <c r="P173" s="21">
        <f>IF($A173="",0,SUMIFS('[1]销售出库'!$R$4:$R$2003,'[1]销售出库'!$H$4:$H$2003,$A173,'[1]销售出库'!$Q$4:$Q$2003,'首页'!$B$4*100+P$4))</f>
        <v>0</v>
      </c>
      <c r="Q173" s="21">
        <f>IF($A173="",0,SUMIFS('[1]销售出库'!$R$4:$R$2003,'[1]销售出库'!$H$4:$H$2003,$A173,'[1]销售出库'!$Q$4:$Q$2003,'首页'!$B$4*100+Q$4))</f>
        <v>0</v>
      </c>
      <c r="R173" s="21">
        <f>IF($A173="",0,SUMIFS('[1]销售出库'!$R$4:$R$2003,'[1]销售出库'!$H$4:$H$2003,$A173,'[1]销售出库'!$Q$4:$Q$2003,'首页'!$B$4*100+R$4))</f>
        <v>0</v>
      </c>
      <c r="S173" s="21">
        <f>IF($A173="",0,SUMIFS('[1]销售出库'!$R$4:$R$2003,'[1]销售出库'!$H$4:$H$2003,$A173,'[1]销售出库'!$Q$4:$Q$2003,'首页'!$B$4*100+S$4))</f>
        <v>0</v>
      </c>
      <c r="T173" s="21">
        <f>IF($A173="",0,SUMIFS('[1]销售出库'!$R$4:$R$2003,'[1]销售出库'!$H$4:$H$2003,$A173,'[1]销售出库'!$Q$4:$Q$2003,'首页'!$B$4*100+T$4))</f>
        <v>0</v>
      </c>
      <c r="U173" s="21">
        <f>IF($A173="",0,SUMIFS('[1]销售出库'!$R$4:$R$2003,'[1]销售出库'!$H$4:$H$2003,$A173,'[1]销售出库'!$Q$4:$Q$2003,'首页'!$B$4*100+U$4))</f>
        <v>0</v>
      </c>
      <c r="V173" s="21">
        <f>IF($A173="",0,SUMIFS('[1]销售出库'!$R$4:$R$2003,'[1]销售出库'!$H$4:$H$2003,$A173,'[1]销售出库'!$Q$4:$Q$2003,'首页'!$B$4*100+V$4))</f>
        <v>0</v>
      </c>
      <c r="W173" s="21">
        <f>IF($A173="",0,SUMIFS('[1]销售出库'!$R$4:$R$2003,'[1]销售出库'!$H$4:$H$2003,$A173,'[1]销售出库'!$Q$4:$Q$2003,'首页'!$B$4*100+W$4))</f>
        <v>0</v>
      </c>
      <c r="X173" s="21">
        <f>IF($A173="",0,SUMIFS('[1]销售出库'!$R$4:$R$2003,'[1]销售出库'!$H$4:$H$2003,$A173,'[1]销售出库'!$Q$4:$Q$2003,'首页'!$B$4*100+X$4))</f>
        <v>0</v>
      </c>
    </row>
    <row r="174">
      <c r="A174" s="6">
        <f>IF('[1]基础资料'!$P$173="","",'[1]基础资料'!$P$173)</f>
      </c>
      <c r="B174" s="6">
        <f>IF(A174="","",'[1]基础资料'!$Q$173&amp;"")</f>
      </c>
      <c r="C174" s="21">
        <f>IF(A174="",0,N('[1]基础资料'!$S$173))</f>
        <v>0</v>
      </c>
      <c r="D174" s="11">
        <f>IF(A174="",0,N('[1]基础资料'!$U$173))</f>
        <v>0</v>
      </c>
      <c r="E174" s="21">
        <f>IF(A174="",0,SUMIFS('[1]采购入库'!$U$4:$U$2003,'[1]采购入库'!$I$4:$I$2003,$A174))</f>
        <v>0</v>
      </c>
      <c r="F174" s="11">
        <f>IF(A174="",0,SUMIFS('[1]采购入库'!$V$4:$V$2003,'[1]采购入库'!$I$4:$I$2003,$A174))</f>
        <v>0</v>
      </c>
      <c r="G174" s="21">
        <f>IF(A174="",0,SUMIFS('[1]销售出库'!$R$4:$R$2003,'[1]销售出库'!$H$4:$H$2003,$A174))</f>
        <v>0</v>
      </c>
      <c r="H174" s="11">
        <f t="shared" si="3"/>
        <v>0</v>
      </c>
      <c r="I174" s="11">
        <f t="shared" si="0"/>
        <v>0</v>
      </c>
      <c r="J174" s="21">
        <f t="shared" si="1"/>
        <v>0</v>
      </c>
      <c r="K174" s="11">
        <f t="shared" si="2"/>
        <v>0</v>
      </c>
      <c r="L174" s="6">
        <f t="shared" si="4"/>
      </c>
      <c r="M174" s="21">
        <f>IF($A174="",0,SUMIFS('[1]销售出库'!$R$4:$R$2003,'[1]销售出库'!$H$4:$H$2003,$A174,'[1]销售出库'!$Q$4:$Q$2003,'首页'!$B$4*100+M$4))</f>
        <v>0</v>
      </c>
      <c r="N174" s="21">
        <f>IF($A174="",0,SUMIFS('[1]销售出库'!$R$4:$R$2003,'[1]销售出库'!$H$4:$H$2003,$A174,'[1]销售出库'!$Q$4:$Q$2003,'首页'!$B$4*100+N$4))</f>
        <v>0</v>
      </c>
      <c r="O174" s="21">
        <f>IF($A174="",0,SUMIFS('[1]销售出库'!$R$4:$R$2003,'[1]销售出库'!$H$4:$H$2003,$A174,'[1]销售出库'!$Q$4:$Q$2003,'首页'!$B$4*100+O$4))</f>
        <v>0</v>
      </c>
      <c r="P174" s="21">
        <f>IF($A174="",0,SUMIFS('[1]销售出库'!$R$4:$R$2003,'[1]销售出库'!$H$4:$H$2003,$A174,'[1]销售出库'!$Q$4:$Q$2003,'首页'!$B$4*100+P$4))</f>
        <v>0</v>
      </c>
      <c r="Q174" s="21">
        <f>IF($A174="",0,SUMIFS('[1]销售出库'!$R$4:$R$2003,'[1]销售出库'!$H$4:$H$2003,$A174,'[1]销售出库'!$Q$4:$Q$2003,'首页'!$B$4*100+Q$4))</f>
        <v>0</v>
      </c>
      <c r="R174" s="21">
        <f>IF($A174="",0,SUMIFS('[1]销售出库'!$R$4:$R$2003,'[1]销售出库'!$H$4:$H$2003,$A174,'[1]销售出库'!$Q$4:$Q$2003,'首页'!$B$4*100+R$4))</f>
        <v>0</v>
      </c>
      <c r="S174" s="21">
        <f>IF($A174="",0,SUMIFS('[1]销售出库'!$R$4:$R$2003,'[1]销售出库'!$H$4:$H$2003,$A174,'[1]销售出库'!$Q$4:$Q$2003,'首页'!$B$4*100+S$4))</f>
        <v>0</v>
      </c>
      <c r="T174" s="21">
        <f>IF($A174="",0,SUMIFS('[1]销售出库'!$R$4:$R$2003,'[1]销售出库'!$H$4:$H$2003,$A174,'[1]销售出库'!$Q$4:$Q$2003,'首页'!$B$4*100+T$4))</f>
        <v>0</v>
      </c>
      <c r="U174" s="21">
        <f>IF($A174="",0,SUMIFS('[1]销售出库'!$R$4:$R$2003,'[1]销售出库'!$H$4:$H$2003,$A174,'[1]销售出库'!$Q$4:$Q$2003,'首页'!$B$4*100+U$4))</f>
        <v>0</v>
      </c>
      <c r="V174" s="21">
        <f>IF($A174="",0,SUMIFS('[1]销售出库'!$R$4:$R$2003,'[1]销售出库'!$H$4:$H$2003,$A174,'[1]销售出库'!$Q$4:$Q$2003,'首页'!$B$4*100+V$4))</f>
        <v>0</v>
      </c>
      <c r="W174" s="21">
        <f>IF($A174="",0,SUMIFS('[1]销售出库'!$R$4:$R$2003,'[1]销售出库'!$H$4:$H$2003,$A174,'[1]销售出库'!$Q$4:$Q$2003,'首页'!$B$4*100+W$4))</f>
        <v>0</v>
      </c>
      <c r="X174" s="21">
        <f>IF($A174="",0,SUMIFS('[1]销售出库'!$R$4:$R$2003,'[1]销售出库'!$H$4:$H$2003,$A174,'[1]销售出库'!$Q$4:$Q$2003,'首页'!$B$4*100+X$4))</f>
        <v>0</v>
      </c>
    </row>
    <row r="175">
      <c r="A175" s="6">
        <f>IF('[1]基础资料'!$P$174="","",'[1]基础资料'!$P$174)</f>
      </c>
      <c r="B175" s="6">
        <f>IF(A175="","",'[1]基础资料'!$Q$174&amp;"")</f>
      </c>
      <c r="C175" s="21">
        <f>IF(A175="",0,N('[1]基础资料'!$S$174))</f>
        <v>0</v>
      </c>
      <c r="D175" s="11">
        <f>IF(A175="",0,N('[1]基础资料'!$U$174))</f>
        <v>0</v>
      </c>
      <c r="E175" s="21">
        <f>IF(A175="",0,SUMIFS('[1]采购入库'!$U$4:$U$2003,'[1]采购入库'!$I$4:$I$2003,$A175))</f>
        <v>0</v>
      </c>
      <c r="F175" s="11">
        <f>IF(A175="",0,SUMIFS('[1]采购入库'!$V$4:$V$2003,'[1]采购入库'!$I$4:$I$2003,$A175))</f>
        <v>0</v>
      </c>
      <c r="G175" s="21">
        <f>IF(A175="",0,SUMIFS('[1]销售出库'!$R$4:$R$2003,'[1]销售出库'!$H$4:$H$2003,$A175))</f>
        <v>0</v>
      </c>
      <c r="H175" s="11">
        <f t="shared" si="3"/>
        <v>0</v>
      </c>
      <c r="I175" s="11">
        <f t="shared" si="0"/>
        <v>0</v>
      </c>
      <c r="J175" s="21">
        <f t="shared" si="1"/>
        <v>0</v>
      </c>
      <c r="K175" s="11">
        <f t="shared" si="2"/>
        <v>0</v>
      </c>
      <c r="L175" s="6">
        <f t="shared" si="4"/>
      </c>
      <c r="M175" s="21">
        <f>IF($A175="",0,SUMIFS('[1]销售出库'!$R$4:$R$2003,'[1]销售出库'!$H$4:$H$2003,$A175,'[1]销售出库'!$Q$4:$Q$2003,'首页'!$B$4*100+M$4))</f>
        <v>0</v>
      </c>
      <c r="N175" s="21">
        <f>IF($A175="",0,SUMIFS('[1]销售出库'!$R$4:$R$2003,'[1]销售出库'!$H$4:$H$2003,$A175,'[1]销售出库'!$Q$4:$Q$2003,'首页'!$B$4*100+N$4))</f>
        <v>0</v>
      </c>
      <c r="O175" s="21">
        <f>IF($A175="",0,SUMIFS('[1]销售出库'!$R$4:$R$2003,'[1]销售出库'!$H$4:$H$2003,$A175,'[1]销售出库'!$Q$4:$Q$2003,'首页'!$B$4*100+O$4))</f>
        <v>0</v>
      </c>
      <c r="P175" s="21">
        <f>IF($A175="",0,SUMIFS('[1]销售出库'!$R$4:$R$2003,'[1]销售出库'!$H$4:$H$2003,$A175,'[1]销售出库'!$Q$4:$Q$2003,'首页'!$B$4*100+P$4))</f>
        <v>0</v>
      </c>
      <c r="Q175" s="21">
        <f>IF($A175="",0,SUMIFS('[1]销售出库'!$R$4:$R$2003,'[1]销售出库'!$H$4:$H$2003,$A175,'[1]销售出库'!$Q$4:$Q$2003,'首页'!$B$4*100+Q$4))</f>
        <v>0</v>
      </c>
      <c r="R175" s="21">
        <f>IF($A175="",0,SUMIFS('[1]销售出库'!$R$4:$R$2003,'[1]销售出库'!$H$4:$H$2003,$A175,'[1]销售出库'!$Q$4:$Q$2003,'首页'!$B$4*100+R$4))</f>
        <v>0</v>
      </c>
      <c r="S175" s="21">
        <f>IF($A175="",0,SUMIFS('[1]销售出库'!$R$4:$R$2003,'[1]销售出库'!$H$4:$H$2003,$A175,'[1]销售出库'!$Q$4:$Q$2003,'首页'!$B$4*100+S$4))</f>
        <v>0</v>
      </c>
      <c r="T175" s="21">
        <f>IF($A175="",0,SUMIFS('[1]销售出库'!$R$4:$R$2003,'[1]销售出库'!$H$4:$H$2003,$A175,'[1]销售出库'!$Q$4:$Q$2003,'首页'!$B$4*100+T$4))</f>
        <v>0</v>
      </c>
      <c r="U175" s="21">
        <f>IF($A175="",0,SUMIFS('[1]销售出库'!$R$4:$R$2003,'[1]销售出库'!$H$4:$H$2003,$A175,'[1]销售出库'!$Q$4:$Q$2003,'首页'!$B$4*100+U$4))</f>
        <v>0</v>
      </c>
      <c r="V175" s="21">
        <f>IF($A175="",0,SUMIFS('[1]销售出库'!$R$4:$R$2003,'[1]销售出库'!$H$4:$H$2003,$A175,'[1]销售出库'!$Q$4:$Q$2003,'首页'!$B$4*100+V$4))</f>
        <v>0</v>
      </c>
      <c r="W175" s="21">
        <f>IF($A175="",0,SUMIFS('[1]销售出库'!$R$4:$R$2003,'[1]销售出库'!$H$4:$H$2003,$A175,'[1]销售出库'!$Q$4:$Q$2003,'首页'!$B$4*100+W$4))</f>
        <v>0</v>
      </c>
      <c r="X175" s="21">
        <f>IF($A175="",0,SUMIFS('[1]销售出库'!$R$4:$R$2003,'[1]销售出库'!$H$4:$H$2003,$A175,'[1]销售出库'!$Q$4:$Q$2003,'首页'!$B$4*100+X$4))</f>
        <v>0</v>
      </c>
    </row>
    <row r="176">
      <c r="A176" s="6">
        <f>IF('[1]基础资料'!$P$175="","",'[1]基础资料'!$P$175)</f>
      </c>
      <c r="B176" s="6">
        <f>IF(A176="","",'[1]基础资料'!$Q$175&amp;"")</f>
      </c>
      <c r="C176" s="21">
        <f>IF(A176="",0,N('[1]基础资料'!$S$175))</f>
        <v>0</v>
      </c>
      <c r="D176" s="11">
        <f>IF(A176="",0,N('[1]基础资料'!$U$175))</f>
        <v>0</v>
      </c>
      <c r="E176" s="21">
        <f>IF(A176="",0,SUMIFS('[1]采购入库'!$U$4:$U$2003,'[1]采购入库'!$I$4:$I$2003,$A176))</f>
        <v>0</v>
      </c>
      <c r="F176" s="11">
        <f>IF(A176="",0,SUMIFS('[1]采购入库'!$V$4:$V$2003,'[1]采购入库'!$I$4:$I$2003,$A176))</f>
        <v>0</v>
      </c>
      <c r="G176" s="21">
        <f>IF(A176="",0,SUMIFS('[1]销售出库'!$R$4:$R$2003,'[1]销售出库'!$H$4:$H$2003,$A176))</f>
        <v>0</v>
      </c>
      <c r="H176" s="11">
        <f t="shared" si="3"/>
        <v>0</v>
      </c>
      <c r="I176" s="11">
        <f t="shared" si="0"/>
        <v>0</v>
      </c>
      <c r="J176" s="21">
        <f t="shared" si="1"/>
        <v>0</v>
      </c>
      <c r="K176" s="11">
        <f t="shared" si="2"/>
        <v>0</v>
      </c>
      <c r="L176" s="6">
        <f t="shared" si="4"/>
      </c>
      <c r="M176" s="21">
        <f>IF($A176="",0,SUMIFS('[1]销售出库'!$R$4:$R$2003,'[1]销售出库'!$H$4:$H$2003,$A176,'[1]销售出库'!$Q$4:$Q$2003,'首页'!$B$4*100+M$4))</f>
        <v>0</v>
      </c>
      <c r="N176" s="21">
        <f>IF($A176="",0,SUMIFS('[1]销售出库'!$R$4:$R$2003,'[1]销售出库'!$H$4:$H$2003,$A176,'[1]销售出库'!$Q$4:$Q$2003,'首页'!$B$4*100+N$4))</f>
        <v>0</v>
      </c>
      <c r="O176" s="21">
        <f>IF($A176="",0,SUMIFS('[1]销售出库'!$R$4:$R$2003,'[1]销售出库'!$H$4:$H$2003,$A176,'[1]销售出库'!$Q$4:$Q$2003,'首页'!$B$4*100+O$4))</f>
        <v>0</v>
      </c>
      <c r="P176" s="21">
        <f>IF($A176="",0,SUMIFS('[1]销售出库'!$R$4:$R$2003,'[1]销售出库'!$H$4:$H$2003,$A176,'[1]销售出库'!$Q$4:$Q$2003,'首页'!$B$4*100+P$4))</f>
        <v>0</v>
      </c>
      <c r="Q176" s="21">
        <f>IF($A176="",0,SUMIFS('[1]销售出库'!$R$4:$R$2003,'[1]销售出库'!$H$4:$H$2003,$A176,'[1]销售出库'!$Q$4:$Q$2003,'首页'!$B$4*100+Q$4))</f>
        <v>0</v>
      </c>
      <c r="R176" s="21">
        <f>IF($A176="",0,SUMIFS('[1]销售出库'!$R$4:$R$2003,'[1]销售出库'!$H$4:$H$2003,$A176,'[1]销售出库'!$Q$4:$Q$2003,'首页'!$B$4*100+R$4))</f>
        <v>0</v>
      </c>
      <c r="S176" s="21">
        <f>IF($A176="",0,SUMIFS('[1]销售出库'!$R$4:$R$2003,'[1]销售出库'!$H$4:$H$2003,$A176,'[1]销售出库'!$Q$4:$Q$2003,'首页'!$B$4*100+S$4))</f>
        <v>0</v>
      </c>
      <c r="T176" s="21">
        <f>IF($A176="",0,SUMIFS('[1]销售出库'!$R$4:$R$2003,'[1]销售出库'!$H$4:$H$2003,$A176,'[1]销售出库'!$Q$4:$Q$2003,'首页'!$B$4*100+T$4))</f>
        <v>0</v>
      </c>
      <c r="U176" s="21">
        <f>IF($A176="",0,SUMIFS('[1]销售出库'!$R$4:$R$2003,'[1]销售出库'!$H$4:$H$2003,$A176,'[1]销售出库'!$Q$4:$Q$2003,'首页'!$B$4*100+U$4))</f>
        <v>0</v>
      </c>
      <c r="V176" s="21">
        <f>IF($A176="",0,SUMIFS('[1]销售出库'!$R$4:$R$2003,'[1]销售出库'!$H$4:$H$2003,$A176,'[1]销售出库'!$Q$4:$Q$2003,'首页'!$B$4*100+V$4))</f>
        <v>0</v>
      </c>
      <c r="W176" s="21">
        <f>IF($A176="",0,SUMIFS('[1]销售出库'!$R$4:$R$2003,'[1]销售出库'!$H$4:$H$2003,$A176,'[1]销售出库'!$Q$4:$Q$2003,'首页'!$B$4*100+W$4))</f>
        <v>0</v>
      </c>
      <c r="X176" s="21">
        <f>IF($A176="",0,SUMIFS('[1]销售出库'!$R$4:$R$2003,'[1]销售出库'!$H$4:$H$2003,$A176,'[1]销售出库'!$Q$4:$Q$2003,'首页'!$B$4*100+X$4))</f>
        <v>0</v>
      </c>
    </row>
    <row r="177">
      <c r="A177" s="6">
        <f>IF('[1]基础资料'!$P$176="","",'[1]基础资料'!$P$176)</f>
      </c>
      <c r="B177" s="6">
        <f>IF(A177="","",'[1]基础资料'!$Q$176&amp;"")</f>
      </c>
      <c r="C177" s="21">
        <f>IF(A177="",0,N('[1]基础资料'!$S$176))</f>
        <v>0</v>
      </c>
      <c r="D177" s="11">
        <f>IF(A177="",0,N('[1]基础资料'!$U$176))</f>
        <v>0</v>
      </c>
      <c r="E177" s="21">
        <f>IF(A177="",0,SUMIFS('[1]采购入库'!$U$4:$U$2003,'[1]采购入库'!$I$4:$I$2003,$A177))</f>
        <v>0</v>
      </c>
      <c r="F177" s="11">
        <f>IF(A177="",0,SUMIFS('[1]采购入库'!$V$4:$V$2003,'[1]采购入库'!$I$4:$I$2003,$A177))</f>
        <v>0</v>
      </c>
      <c r="G177" s="21">
        <f>IF(A177="",0,SUMIFS('[1]销售出库'!$R$4:$R$2003,'[1]销售出库'!$H$4:$H$2003,$A177))</f>
        <v>0</v>
      </c>
      <c r="H177" s="11">
        <f t="shared" si="3"/>
        <v>0</v>
      </c>
      <c r="I177" s="11">
        <f t="shared" si="0"/>
        <v>0</v>
      </c>
      <c r="J177" s="21">
        <f t="shared" si="1"/>
        <v>0</v>
      </c>
      <c r="K177" s="11">
        <f t="shared" si="2"/>
        <v>0</v>
      </c>
      <c r="L177" s="6">
        <f t="shared" si="4"/>
      </c>
      <c r="M177" s="21">
        <f>IF($A177="",0,SUMIFS('[1]销售出库'!$R$4:$R$2003,'[1]销售出库'!$H$4:$H$2003,$A177,'[1]销售出库'!$Q$4:$Q$2003,'首页'!$B$4*100+M$4))</f>
        <v>0</v>
      </c>
      <c r="N177" s="21">
        <f>IF($A177="",0,SUMIFS('[1]销售出库'!$R$4:$R$2003,'[1]销售出库'!$H$4:$H$2003,$A177,'[1]销售出库'!$Q$4:$Q$2003,'首页'!$B$4*100+N$4))</f>
        <v>0</v>
      </c>
      <c r="O177" s="21">
        <f>IF($A177="",0,SUMIFS('[1]销售出库'!$R$4:$R$2003,'[1]销售出库'!$H$4:$H$2003,$A177,'[1]销售出库'!$Q$4:$Q$2003,'首页'!$B$4*100+O$4))</f>
        <v>0</v>
      </c>
      <c r="P177" s="21">
        <f>IF($A177="",0,SUMIFS('[1]销售出库'!$R$4:$R$2003,'[1]销售出库'!$H$4:$H$2003,$A177,'[1]销售出库'!$Q$4:$Q$2003,'首页'!$B$4*100+P$4))</f>
        <v>0</v>
      </c>
      <c r="Q177" s="21">
        <f>IF($A177="",0,SUMIFS('[1]销售出库'!$R$4:$R$2003,'[1]销售出库'!$H$4:$H$2003,$A177,'[1]销售出库'!$Q$4:$Q$2003,'首页'!$B$4*100+Q$4))</f>
        <v>0</v>
      </c>
      <c r="R177" s="21">
        <f>IF($A177="",0,SUMIFS('[1]销售出库'!$R$4:$R$2003,'[1]销售出库'!$H$4:$H$2003,$A177,'[1]销售出库'!$Q$4:$Q$2003,'首页'!$B$4*100+R$4))</f>
        <v>0</v>
      </c>
      <c r="S177" s="21">
        <f>IF($A177="",0,SUMIFS('[1]销售出库'!$R$4:$R$2003,'[1]销售出库'!$H$4:$H$2003,$A177,'[1]销售出库'!$Q$4:$Q$2003,'首页'!$B$4*100+S$4))</f>
        <v>0</v>
      </c>
      <c r="T177" s="21">
        <f>IF($A177="",0,SUMIFS('[1]销售出库'!$R$4:$R$2003,'[1]销售出库'!$H$4:$H$2003,$A177,'[1]销售出库'!$Q$4:$Q$2003,'首页'!$B$4*100+T$4))</f>
        <v>0</v>
      </c>
      <c r="U177" s="21">
        <f>IF($A177="",0,SUMIFS('[1]销售出库'!$R$4:$R$2003,'[1]销售出库'!$H$4:$H$2003,$A177,'[1]销售出库'!$Q$4:$Q$2003,'首页'!$B$4*100+U$4))</f>
        <v>0</v>
      </c>
      <c r="V177" s="21">
        <f>IF($A177="",0,SUMIFS('[1]销售出库'!$R$4:$R$2003,'[1]销售出库'!$H$4:$H$2003,$A177,'[1]销售出库'!$Q$4:$Q$2003,'首页'!$B$4*100+V$4))</f>
        <v>0</v>
      </c>
      <c r="W177" s="21">
        <f>IF($A177="",0,SUMIFS('[1]销售出库'!$R$4:$R$2003,'[1]销售出库'!$H$4:$H$2003,$A177,'[1]销售出库'!$Q$4:$Q$2003,'首页'!$B$4*100+W$4))</f>
        <v>0</v>
      </c>
      <c r="X177" s="21">
        <f>IF($A177="",0,SUMIFS('[1]销售出库'!$R$4:$R$2003,'[1]销售出库'!$H$4:$H$2003,$A177,'[1]销售出库'!$Q$4:$Q$2003,'首页'!$B$4*100+X$4))</f>
        <v>0</v>
      </c>
    </row>
    <row r="178">
      <c r="A178" s="6">
        <f>IF('[1]基础资料'!$P$177="","",'[1]基础资料'!$P$177)</f>
      </c>
      <c r="B178" s="6">
        <f>IF(A178="","",'[1]基础资料'!$Q$177&amp;"")</f>
      </c>
      <c r="C178" s="21">
        <f>IF(A178="",0,N('[1]基础资料'!$S$177))</f>
        <v>0</v>
      </c>
      <c r="D178" s="11">
        <f>IF(A178="",0,N('[1]基础资料'!$U$177))</f>
        <v>0</v>
      </c>
      <c r="E178" s="21">
        <f>IF(A178="",0,SUMIFS('[1]采购入库'!$U$4:$U$2003,'[1]采购入库'!$I$4:$I$2003,$A178))</f>
        <v>0</v>
      </c>
      <c r="F178" s="11">
        <f>IF(A178="",0,SUMIFS('[1]采购入库'!$V$4:$V$2003,'[1]采购入库'!$I$4:$I$2003,$A178))</f>
        <v>0</v>
      </c>
      <c r="G178" s="21">
        <f>IF(A178="",0,SUMIFS('[1]销售出库'!$R$4:$R$2003,'[1]销售出库'!$H$4:$H$2003,$A178))</f>
        <v>0</v>
      </c>
      <c r="H178" s="11">
        <f t="shared" si="3"/>
        <v>0</v>
      </c>
      <c r="I178" s="11">
        <f t="shared" si="0"/>
        <v>0</v>
      </c>
      <c r="J178" s="21">
        <f t="shared" si="1"/>
        <v>0</v>
      </c>
      <c r="K178" s="11">
        <f t="shared" si="2"/>
        <v>0</v>
      </c>
      <c r="L178" s="6">
        <f t="shared" si="4"/>
      </c>
      <c r="M178" s="21">
        <f>IF($A178="",0,SUMIFS('[1]销售出库'!$R$4:$R$2003,'[1]销售出库'!$H$4:$H$2003,$A178,'[1]销售出库'!$Q$4:$Q$2003,'首页'!$B$4*100+M$4))</f>
        <v>0</v>
      </c>
      <c r="N178" s="21">
        <f>IF($A178="",0,SUMIFS('[1]销售出库'!$R$4:$R$2003,'[1]销售出库'!$H$4:$H$2003,$A178,'[1]销售出库'!$Q$4:$Q$2003,'首页'!$B$4*100+N$4))</f>
        <v>0</v>
      </c>
      <c r="O178" s="21">
        <f>IF($A178="",0,SUMIFS('[1]销售出库'!$R$4:$R$2003,'[1]销售出库'!$H$4:$H$2003,$A178,'[1]销售出库'!$Q$4:$Q$2003,'首页'!$B$4*100+O$4))</f>
        <v>0</v>
      </c>
      <c r="P178" s="21">
        <f>IF($A178="",0,SUMIFS('[1]销售出库'!$R$4:$R$2003,'[1]销售出库'!$H$4:$H$2003,$A178,'[1]销售出库'!$Q$4:$Q$2003,'首页'!$B$4*100+P$4))</f>
        <v>0</v>
      </c>
      <c r="Q178" s="21">
        <f>IF($A178="",0,SUMIFS('[1]销售出库'!$R$4:$R$2003,'[1]销售出库'!$H$4:$H$2003,$A178,'[1]销售出库'!$Q$4:$Q$2003,'首页'!$B$4*100+Q$4))</f>
        <v>0</v>
      </c>
      <c r="R178" s="21">
        <f>IF($A178="",0,SUMIFS('[1]销售出库'!$R$4:$R$2003,'[1]销售出库'!$H$4:$H$2003,$A178,'[1]销售出库'!$Q$4:$Q$2003,'首页'!$B$4*100+R$4))</f>
        <v>0</v>
      </c>
      <c r="S178" s="21">
        <f>IF($A178="",0,SUMIFS('[1]销售出库'!$R$4:$R$2003,'[1]销售出库'!$H$4:$H$2003,$A178,'[1]销售出库'!$Q$4:$Q$2003,'首页'!$B$4*100+S$4))</f>
        <v>0</v>
      </c>
      <c r="T178" s="21">
        <f>IF($A178="",0,SUMIFS('[1]销售出库'!$R$4:$R$2003,'[1]销售出库'!$H$4:$H$2003,$A178,'[1]销售出库'!$Q$4:$Q$2003,'首页'!$B$4*100+T$4))</f>
        <v>0</v>
      </c>
      <c r="U178" s="21">
        <f>IF($A178="",0,SUMIFS('[1]销售出库'!$R$4:$R$2003,'[1]销售出库'!$H$4:$H$2003,$A178,'[1]销售出库'!$Q$4:$Q$2003,'首页'!$B$4*100+U$4))</f>
        <v>0</v>
      </c>
      <c r="V178" s="21">
        <f>IF($A178="",0,SUMIFS('[1]销售出库'!$R$4:$R$2003,'[1]销售出库'!$H$4:$H$2003,$A178,'[1]销售出库'!$Q$4:$Q$2003,'首页'!$B$4*100+V$4))</f>
        <v>0</v>
      </c>
      <c r="W178" s="21">
        <f>IF($A178="",0,SUMIFS('[1]销售出库'!$R$4:$R$2003,'[1]销售出库'!$H$4:$H$2003,$A178,'[1]销售出库'!$Q$4:$Q$2003,'首页'!$B$4*100+W$4))</f>
        <v>0</v>
      </c>
      <c r="X178" s="21">
        <f>IF($A178="",0,SUMIFS('[1]销售出库'!$R$4:$R$2003,'[1]销售出库'!$H$4:$H$2003,$A178,'[1]销售出库'!$Q$4:$Q$2003,'首页'!$B$4*100+X$4))</f>
        <v>0</v>
      </c>
    </row>
    <row r="179">
      <c r="A179" s="6">
        <f>IF('[1]基础资料'!$P$178="","",'[1]基础资料'!$P$178)</f>
      </c>
      <c r="B179" s="6">
        <f>IF(A179="","",'[1]基础资料'!$Q$178&amp;"")</f>
      </c>
      <c r="C179" s="21">
        <f>IF(A179="",0,N('[1]基础资料'!$S$178))</f>
        <v>0</v>
      </c>
      <c r="D179" s="11">
        <f>IF(A179="",0,N('[1]基础资料'!$U$178))</f>
        <v>0</v>
      </c>
      <c r="E179" s="21">
        <f>IF(A179="",0,SUMIFS('[1]采购入库'!$U$4:$U$2003,'[1]采购入库'!$I$4:$I$2003,$A179))</f>
        <v>0</v>
      </c>
      <c r="F179" s="11">
        <f>IF(A179="",0,SUMIFS('[1]采购入库'!$V$4:$V$2003,'[1]采购入库'!$I$4:$I$2003,$A179))</f>
        <v>0</v>
      </c>
      <c r="G179" s="21">
        <f>IF(A179="",0,SUMIFS('[1]销售出库'!$R$4:$R$2003,'[1]销售出库'!$H$4:$H$2003,$A179))</f>
        <v>0</v>
      </c>
      <c r="H179" s="11">
        <f t="shared" si="3"/>
        <v>0</v>
      </c>
      <c r="I179" s="11">
        <f t="shared" si="0"/>
        <v>0</v>
      </c>
      <c r="J179" s="21">
        <f t="shared" si="1"/>
        <v>0</v>
      </c>
      <c r="K179" s="11">
        <f t="shared" si="2"/>
        <v>0</v>
      </c>
      <c r="L179" s="6">
        <f t="shared" si="4"/>
      </c>
      <c r="M179" s="21">
        <f>IF($A179="",0,SUMIFS('[1]销售出库'!$R$4:$R$2003,'[1]销售出库'!$H$4:$H$2003,$A179,'[1]销售出库'!$Q$4:$Q$2003,'首页'!$B$4*100+M$4))</f>
        <v>0</v>
      </c>
      <c r="N179" s="21">
        <f>IF($A179="",0,SUMIFS('[1]销售出库'!$R$4:$R$2003,'[1]销售出库'!$H$4:$H$2003,$A179,'[1]销售出库'!$Q$4:$Q$2003,'首页'!$B$4*100+N$4))</f>
        <v>0</v>
      </c>
      <c r="O179" s="21">
        <f>IF($A179="",0,SUMIFS('[1]销售出库'!$R$4:$R$2003,'[1]销售出库'!$H$4:$H$2003,$A179,'[1]销售出库'!$Q$4:$Q$2003,'首页'!$B$4*100+O$4))</f>
        <v>0</v>
      </c>
      <c r="P179" s="21">
        <f>IF($A179="",0,SUMIFS('[1]销售出库'!$R$4:$R$2003,'[1]销售出库'!$H$4:$H$2003,$A179,'[1]销售出库'!$Q$4:$Q$2003,'首页'!$B$4*100+P$4))</f>
        <v>0</v>
      </c>
      <c r="Q179" s="21">
        <f>IF($A179="",0,SUMIFS('[1]销售出库'!$R$4:$R$2003,'[1]销售出库'!$H$4:$H$2003,$A179,'[1]销售出库'!$Q$4:$Q$2003,'首页'!$B$4*100+Q$4))</f>
        <v>0</v>
      </c>
      <c r="R179" s="21">
        <f>IF($A179="",0,SUMIFS('[1]销售出库'!$R$4:$R$2003,'[1]销售出库'!$H$4:$H$2003,$A179,'[1]销售出库'!$Q$4:$Q$2003,'首页'!$B$4*100+R$4))</f>
        <v>0</v>
      </c>
      <c r="S179" s="21">
        <f>IF($A179="",0,SUMIFS('[1]销售出库'!$R$4:$R$2003,'[1]销售出库'!$H$4:$H$2003,$A179,'[1]销售出库'!$Q$4:$Q$2003,'首页'!$B$4*100+S$4))</f>
        <v>0</v>
      </c>
      <c r="T179" s="21">
        <f>IF($A179="",0,SUMIFS('[1]销售出库'!$R$4:$R$2003,'[1]销售出库'!$H$4:$H$2003,$A179,'[1]销售出库'!$Q$4:$Q$2003,'首页'!$B$4*100+T$4))</f>
        <v>0</v>
      </c>
      <c r="U179" s="21">
        <f>IF($A179="",0,SUMIFS('[1]销售出库'!$R$4:$R$2003,'[1]销售出库'!$H$4:$H$2003,$A179,'[1]销售出库'!$Q$4:$Q$2003,'首页'!$B$4*100+U$4))</f>
        <v>0</v>
      </c>
      <c r="V179" s="21">
        <f>IF($A179="",0,SUMIFS('[1]销售出库'!$R$4:$R$2003,'[1]销售出库'!$H$4:$H$2003,$A179,'[1]销售出库'!$Q$4:$Q$2003,'首页'!$B$4*100+V$4))</f>
        <v>0</v>
      </c>
      <c r="W179" s="21">
        <f>IF($A179="",0,SUMIFS('[1]销售出库'!$R$4:$R$2003,'[1]销售出库'!$H$4:$H$2003,$A179,'[1]销售出库'!$Q$4:$Q$2003,'首页'!$B$4*100+W$4))</f>
        <v>0</v>
      </c>
      <c r="X179" s="21">
        <f>IF($A179="",0,SUMIFS('[1]销售出库'!$R$4:$R$2003,'[1]销售出库'!$H$4:$H$2003,$A179,'[1]销售出库'!$Q$4:$Q$2003,'首页'!$B$4*100+X$4))</f>
        <v>0</v>
      </c>
    </row>
    <row r="180">
      <c r="A180" s="6">
        <f>IF('[1]基础资料'!$P$179="","",'[1]基础资料'!$P$179)</f>
      </c>
      <c r="B180" s="6">
        <f>IF(A180="","",'[1]基础资料'!$Q$179&amp;"")</f>
      </c>
      <c r="C180" s="21">
        <f>IF(A180="",0,N('[1]基础资料'!$S$179))</f>
        <v>0</v>
      </c>
      <c r="D180" s="11">
        <f>IF(A180="",0,N('[1]基础资料'!$U$179))</f>
        <v>0</v>
      </c>
      <c r="E180" s="21">
        <f>IF(A180="",0,SUMIFS('[1]采购入库'!$U$4:$U$2003,'[1]采购入库'!$I$4:$I$2003,$A180))</f>
        <v>0</v>
      </c>
      <c r="F180" s="11">
        <f>IF(A180="",0,SUMIFS('[1]采购入库'!$V$4:$V$2003,'[1]采购入库'!$I$4:$I$2003,$A180))</f>
        <v>0</v>
      </c>
      <c r="G180" s="21">
        <f>IF(A180="",0,SUMIFS('[1]销售出库'!$R$4:$R$2003,'[1]销售出库'!$H$4:$H$2003,$A180))</f>
        <v>0</v>
      </c>
      <c r="H180" s="11">
        <f t="shared" si="3"/>
        <v>0</v>
      </c>
      <c r="I180" s="11">
        <f t="shared" si="0"/>
        <v>0</v>
      </c>
      <c r="J180" s="21">
        <f t="shared" si="1"/>
        <v>0</v>
      </c>
      <c r="K180" s="11">
        <f t="shared" si="2"/>
        <v>0</v>
      </c>
      <c r="L180" s="6">
        <f t="shared" si="4"/>
      </c>
      <c r="M180" s="21">
        <f>IF($A180="",0,SUMIFS('[1]销售出库'!$R$4:$R$2003,'[1]销售出库'!$H$4:$H$2003,$A180,'[1]销售出库'!$Q$4:$Q$2003,'首页'!$B$4*100+M$4))</f>
        <v>0</v>
      </c>
      <c r="N180" s="21">
        <f>IF($A180="",0,SUMIFS('[1]销售出库'!$R$4:$R$2003,'[1]销售出库'!$H$4:$H$2003,$A180,'[1]销售出库'!$Q$4:$Q$2003,'首页'!$B$4*100+N$4))</f>
        <v>0</v>
      </c>
      <c r="O180" s="21">
        <f>IF($A180="",0,SUMIFS('[1]销售出库'!$R$4:$R$2003,'[1]销售出库'!$H$4:$H$2003,$A180,'[1]销售出库'!$Q$4:$Q$2003,'首页'!$B$4*100+O$4))</f>
        <v>0</v>
      </c>
      <c r="P180" s="21">
        <f>IF($A180="",0,SUMIFS('[1]销售出库'!$R$4:$R$2003,'[1]销售出库'!$H$4:$H$2003,$A180,'[1]销售出库'!$Q$4:$Q$2003,'首页'!$B$4*100+P$4))</f>
        <v>0</v>
      </c>
      <c r="Q180" s="21">
        <f>IF($A180="",0,SUMIFS('[1]销售出库'!$R$4:$R$2003,'[1]销售出库'!$H$4:$H$2003,$A180,'[1]销售出库'!$Q$4:$Q$2003,'首页'!$B$4*100+Q$4))</f>
        <v>0</v>
      </c>
      <c r="R180" s="21">
        <f>IF($A180="",0,SUMIFS('[1]销售出库'!$R$4:$R$2003,'[1]销售出库'!$H$4:$H$2003,$A180,'[1]销售出库'!$Q$4:$Q$2003,'首页'!$B$4*100+R$4))</f>
        <v>0</v>
      </c>
      <c r="S180" s="21">
        <f>IF($A180="",0,SUMIFS('[1]销售出库'!$R$4:$R$2003,'[1]销售出库'!$H$4:$H$2003,$A180,'[1]销售出库'!$Q$4:$Q$2003,'首页'!$B$4*100+S$4))</f>
        <v>0</v>
      </c>
      <c r="T180" s="21">
        <f>IF($A180="",0,SUMIFS('[1]销售出库'!$R$4:$R$2003,'[1]销售出库'!$H$4:$H$2003,$A180,'[1]销售出库'!$Q$4:$Q$2003,'首页'!$B$4*100+T$4))</f>
        <v>0</v>
      </c>
      <c r="U180" s="21">
        <f>IF($A180="",0,SUMIFS('[1]销售出库'!$R$4:$R$2003,'[1]销售出库'!$H$4:$H$2003,$A180,'[1]销售出库'!$Q$4:$Q$2003,'首页'!$B$4*100+U$4))</f>
        <v>0</v>
      </c>
      <c r="V180" s="21">
        <f>IF($A180="",0,SUMIFS('[1]销售出库'!$R$4:$R$2003,'[1]销售出库'!$H$4:$H$2003,$A180,'[1]销售出库'!$Q$4:$Q$2003,'首页'!$B$4*100+V$4))</f>
        <v>0</v>
      </c>
      <c r="W180" s="21">
        <f>IF($A180="",0,SUMIFS('[1]销售出库'!$R$4:$R$2003,'[1]销售出库'!$H$4:$H$2003,$A180,'[1]销售出库'!$Q$4:$Q$2003,'首页'!$B$4*100+W$4))</f>
        <v>0</v>
      </c>
      <c r="X180" s="21">
        <f>IF($A180="",0,SUMIFS('[1]销售出库'!$R$4:$R$2003,'[1]销售出库'!$H$4:$H$2003,$A180,'[1]销售出库'!$Q$4:$Q$2003,'首页'!$B$4*100+X$4))</f>
        <v>0</v>
      </c>
    </row>
    <row r="181">
      <c r="A181" s="6">
        <f>IF('[1]基础资料'!$P$180="","",'[1]基础资料'!$P$180)</f>
      </c>
      <c r="B181" s="6">
        <f>IF(A181="","",'[1]基础资料'!$Q$180&amp;"")</f>
      </c>
      <c r="C181" s="21">
        <f>IF(A181="",0,N('[1]基础资料'!$S$180))</f>
        <v>0</v>
      </c>
      <c r="D181" s="11">
        <f>IF(A181="",0,N('[1]基础资料'!$U$180))</f>
        <v>0</v>
      </c>
      <c r="E181" s="21">
        <f>IF(A181="",0,SUMIFS('[1]采购入库'!$U$4:$U$2003,'[1]采购入库'!$I$4:$I$2003,$A181))</f>
        <v>0</v>
      </c>
      <c r="F181" s="11">
        <f>IF(A181="",0,SUMIFS('[1]采购入库'!$V$4:$V$2003,'[1]采购入库'!$I$4:$I$2003,$A181))</f>
        <v>0</v>
      </c>
      <c r="G181" s="21">
        <f>IF(A181="",0,SUMIFS('[1]销售出库'!$R$4:$R$2003,'[1]销售出库'!$H$4:$H$2003,$A181))</f>
        <v>0</v>
      </c>
      <c r="H181" s="11">
        <f t="shared" si="3"/>
        <v>0</v>
      </c>
      <c r="I181" s="11">
        <f t="shared" si="0"/>
        <v>0</v>
      </c>
      <c r="J181" s="21">
        <f t="shared" si="1"/>
        <v>0</v>
      </c>
      <c r="K181" s="11">
        <f t="shared" si="2"/>
        <v>0</v>
      </c>
      <c r="L181" s="6">
        <f t="shared" si="4"/>
      </c>
      <c r="M181" s="21">
        <f>IF($A181="",0,SUMIFS('[1]销售出库'!$R$4:$R$2003,'[1]销售出库'!$H$4:$H$2003,$A181,'[1]销售出库'!$Q$4:$Q$2003,'首页'!$B$4*100+M$4))</f>
        <v>0</v>
      </c>
      <c r="N181" s="21">
        <f>IF($A181="",0,SUMIFS('[1]销售出库'!$R$4:$R$2003,'[1]销售出库'!$H$4:$H$2003,$A181,'[1]销售出库'!$Q$4:$Q$2003,'首页'!$B$4*100+N$4))</f>
        <v>0</v>
      </c>
      <c r="O181" s="21">
        <f>IF($A181="",0,SUMIFS('[1]销售出库'!$R$4:$R$2003,'[1]销售出库'!$H$4:$H$2003,$A181,'[1]销售出库'!$Q$4:$Q$2003,'首页'!$B$4*100+O$4))</f>
        <v>0</v>
      </c>
      <c r="P181" s="21">
        <f>IF($A181="",0,SUMIFS('[1]销售出库'!$R$4:$R$2003,'[1]销售出库'!$H$4:$H$2003,$A181,'[1]销售出库'!$Q$4:$Q$2003,'首页'!$B$4*100+P$4))</f>
        <v>0</v>
      </c>
      <c r="Q181" s="21">
        <f>IF($A181="",0,SUMIFS('[1]销售出库'!$R$4:$R$2003,'[1]销售出库'!$H$4:$H$2003,$A181,'[1]销售出库'!$Q$4:$Q$2003,'首页'!$B$4*100+Q$4))</f>
        <v>0</v>
      </c>
      <c r="R181" s="21">
        <f>IF($A181="",0,SUMIFS('[1]销售出库'!$R$4:$R$2003,'[1]销售出库'!$H$4:$H$2003,$A181,'[1]销售出库'!$Q$4:$Q$2003,'首页'!$B$4*100+R$4))</f>
        <v>0</v>
      </c>
      <c r="S181" s="21">
        <f>IF($A181="",0,SUMIFS('[1]销售出库'!$R$4:$R$2003,'[1]销售出库'!$H$4:$H$2003,$A181,'[1]销售出库'!$Q$4:$Q$2003,'首页'!$B$4*100+S$4))</f>
        <v>0</v>
      </c>
      <c r="T181" s="21">
        <f>IF($A181="",0,SUMIFS('[1]销售出库'!$R$4:$R$2003,'[1]销售出库'!$H$4:$H$2003,$A181,'[1]销售出库'!$Q$4:$Q$2003,'首页'!$B$4*100+T$4))</f>
        <v>0</v>
      </c>
      <c r="U181" s="21">
        <f>IF($A181="",0,SUMIFS('[1]销售出库'!$R$4:$R$2003,'[1]销售出库'!$H$4:$H$2003,$A181,'[1]销售出库'!$Q$4:$Q$2003,'首页'!$B$4*100+U$4))</f>
        <v>0</v>
      </c>
      <c r="V181" s="21">
        <f>IF($A181="",0,SUMIFS('[1]销售出库'!$R$4:$R$2003,'[1]销售出库'!$H$4:$H$2003,$A181,'[1]销售出库'!$Q$4:$Q$2003,'首页'!$B$4*100+V$4))</f>
        <v>0</v>
      </c>
      <c r="W181" s="21">
        <f>IF($A181="",0,SUMIFS('[1]销售出库'!$R$4:$R$2003,'[1]销售出库'!$H$4:$H$2003,$A181,'[1]销售出库'!$Q$4:$Q$2003,'首页'!$B$4*100+W$4))</f>
        <v>0</v>
      </c>
      <c r="X181" s="21">
        <f>IF($A181="",0,SUMIFS('[1]销售出库'!$R$4:$R$2003,'[1]销售出库'!$H$4:$H$2003,$A181,'[1]销售出库'!$Q$4:$Q$2003,'首页'!$B$4*100+X$4))</f>
        <v>0</v>
      </c>
    </row>
    <row r="182">
      <c r="A182" s="6">
        <f>IF('[1]基础资料'!$P$181="","",'[1]基础资料'!$P$181)</f>
      </c>
      <c r="B182" s="6">
        <f>IF(A182="","",'[1]基础资料'!$Q$181&amp;"")</f>
      </c>
      <c r="C182" s="21">
        <f>IF(A182="",0,N('[1]基础资料'!$S$181))</f>
        <v>0</v>
      </c>
      <c r="D182" s="11">
        <f>IF(A182="",0,N('[1]基础资料'!$U$181))</f>
        <v>0</v>
      </c>
      <c r="E182" s="21">
        <f>IF(A182="",0,SUMIFS('[1]采购入库'!$U$4:$U$2003,'[1]采购入库'!$I$4:$I$2003,$A182))</f>
        <v>0</v>
      </c>
      <c r="F182" s="11">
        <f>IF(A182="",0,SUMIFS('[1]采购入库'!$V$4:$V$2003,'[1]采购入库'!$I$4:$I$2003,$A182))</f>
        <v>0</v>
      </c>
      <c r="G182" s="21">
        <f>IF(A182="",0,SUMIFS('[1]销售出库'!$R$4:$R$2003,'[1]销售出库'!$H$4:$H$2003,$A182))</f>
        <v>0</v>
      </c>
      <c r="H182" s="11">
        <f t="shared" si="3"/>
        <v>0</v>
      </c>
      <c r="I182" s="11">
        <f t="shared" si="0"/>
        <v>0</v>
      </c>
      <c r="J182" s="21">
        <f t="shared" si="1"/>
        <v>0</v>
      </c>
      <c r="K182" s="11">
        <f t="shared" si="2"/>
        <v>0</v>
      </c>
      <c r="L182" s="6">
        <f t="shared" si="4"/>
      </c>
      <c r="M182" s="21">
        <f>IF($A182="",0,SUMIFS('[1]销售出库'!$R$4:$R$2003,'[1]销售出库'!$H$4:$H$2003,$A182,'[1]销售出库'!$Q$4:$Q$2003,'首页'!$B$4*100+M$4))</f>
        <v>0</v>
      </c>
      <c r="N182" s="21">
        <f>IF($A182="",0,SUMIFS('[1]销售出库'!$R$4:$R$2003,'[1]销售出库'!$H$4:$H$2003,$A182,'[1]销售出库'!$Q$4:$Q$2003,'首页'!$B$4*100+N$4))</f>
        <v>0</v>
      </c>
      <c r="O182" s="21">
        <f>IF($A182="",0,SUMIFS('[1]销售出库'!$R$4:$R$2003,'[1]销售出库'!$H$4:$H$2003,$A182,'[1]销售出库'!$Q$4:$Q$2003,'首页'!$B$4*100+O$4))</f>
        <v>0</v>
      </c>
      <c r="P182" s="21">
        <f>IF($A182="",0,SUMIFS('[1]销售出库'!$R$4:$R$2003,'[1]销售出库'!$H$4:$H$2003,$A182,'[1]销售出库'!$Q$4:$Q$2003,'首页'!$B$4*100+P$4))</f>
        <v>0</v>
      </c>
      <c r="Q182" s="21">
        <f>IF($A182="",0,SUMIFS('[1]销售出库'!$R$4:$R$2003,'[1]销售出库'!$H$4:$H$2003,$A182,'[1]销售出库'!$Q$4:$Q$2003,'首页'!$B$4*100+Q$4))</f>
        <v>0</v>
      </c>
      <c r="R182" s="21">
        <f>IF($A182="",0,SUMIFS('[1]销售出库'!$R$4:$R$2003,'[1]销售出库'!$H$4:$H$2003,$A182,'[1]销售出库'!$Q$4:$Q$2003,'首页'!$B$4*100+R$4))</f>
        <v>0</v>
      </c>
      <c r="S182" s="21">
        <f>IF($A182="",0,SUMIFS('[1]销售出库'!$R$4:$R$2003,'[1]销售出库'!$H$4:$H$2003,$A182,'[1]销售出库'!$Q$4:$Q$2003,'首页'!$B$4*100+S$4))</f>
        <v>0</v>
      </c>
      <c r="T182" s="21">
        <f>IF($A182="",0,SUMIFS('[1]销售出库'!$R$4:$R$2003,'[1]销售出库'!$H$4:$H$2003,$A182,'[1]销售出库'!$Q$4:$Q$2003,'首页'!$B$4*100+T$4))</f>
        <v>0</v>
      </c>
      <c r="U182" s="21">
        <f>IF($A182="",0,SUMIFS('[1]销售出库'!$R$4:$R$2003,'[1]销售出库'!$H$4:$H$2003,$A182,'[1]销售出库'!$Q$4:$Q$2003,'首页'!$B$4*100+U$4))</f>
        <v>0</v>
      </c>
      <c r="V182" s="21">
        <f>IF($A182="",0,SUMIFS('[1]销售出库'!$R$4:$R$2003,'[1]销售出库'!$H$4:$H$2003,$A182,'[1]销售出库'!$Q$4:$Q$2003,'首页'!$B$4*100+V$4))</f>
        <v>0</v>
      </c>
      <c r="W182" s="21">
        <f>IF($A182="",0,SUMIFS('[1]销售出库'!$R$4:$R$2003,'[1]销售出库'!$H$4:$H$2003,$A182,'[1]销售出库'!$Q$4:$Q$2003,'首页'!$B$4*100+W$4))</f>
        <v>0</v>
      </c>
      <c r="X182" s="21">
        <f>IF($A182="",0,SUMIFS('[1]销售出库'!$R$4:$R$2003,'[1]销售出库'!$H$4:$H$2003,$A182,'[1]销售出库'!$Q$4:$Q$2003,'首页'!$B$4*100+X$4))</f>
        <v>0</v>
      </c>
    </row>
    <row r="183">
      <c r="A183" s="6">
        <f>IF('[1]基础资料'!$P$182="","",'[1]基础资料'!$P$182)</f>
      </c>
      <c r="B183" s="6">
        <f>IF(A183="","",'[1]基础资料'!$Q$182&amp;"")</f>
      </c>
      <c r="C183" s="21">
        <f>IF(A183="",0,N('[1]基础资料'!$S$182))</f>
        <v>0</v>
      </c>
      <c r="D183" s="11">
        <f>IF(A183="",0,N('[1]基础资料'!$U$182))</f>
        <v>0</v>
      </c>
      <c r="E183" s="21">
        <f>IF(A183="",0,SUMIFS('[1]采购入库'!$U$4:$U$2003,'[1]采购入库'!$I$4:$I$2003,$A183))</f>
        <v>0</v>
      </c>
      <c r="F183" s="11">
        <f>IF(A183="",0,SUMIFS('[1]采购入库'!$V$4:$V$2003,'[1]采购入库'!$I$4:$I$2003,$A183))</f>
        <v>0</v>
      </c>
      <c r="G183" s="21">
        <f>IF(A183="",0,SUMIFS('[1]销售出库'!$R$4:$R$2003,'[1]销售出库'!$H$4:$H$2003,$A183))</f>
        <v>0</v>
      </c>
      <c r="H183" s="11">
        <f t="shared" si="3"/>
        <v>0</v>
      </c>
      <c r="I183" s="11">
        <f t="shared" si="0"/>
        <v>0</v>
      </c>
      <c r="J183" s="21">
        <f t="shared" si="1"/>
        <v>0</v>
      </c>
      <c r="K183" s="11">
        <f t="shared" si="2"/>
        <v>0</v>
      </c>
      <c r="L183" s="6">
        <f t="shared" si="4"/>
      </c>
      <c r="M183" s="21">
        <f>IF($A183="",0,SUMIFS('[1]销售出库'!$R$4:$R$2003,'[1]销售出库'!$H$4:$H$2003,$A183,'[1]销售出库'!$Q$4:$Q$2003,'首页'!$B$4*100+M$4))</f>
        <v>0</v>
      </c>
      <c r="N183" s="21">
        <f>IF($A183="",0,SUMIFS('[1]销售出库'!$R$4:$R$2003,'[1]销售出库'!$H$4:$H$2003,$A183,'[1]销售出库'!$Q$4:$Q$2003,'首页'!$B$4*100+N$4))</f>
        <v>0</v>
      </c>
      <c r="O183" s="21">
        <f>IF($A183="",0,SUMIFS('[1]销售出库'!$R$4:$R$2003,'[1]销售出库'!$H$4:$H$2003,$A183,'[1]销售出库'!$Q$4:$Q$2003,'首页'!$B$4*100+O$4))</f>
        <v>0</v>
      </c>
      <c r="P183" s="21">
        <f>IF($A183="",0,SUMIFS('[1]销售出库'!$R$4:$R$2003,'[1]销售出库'!$H$4:$H$2003,$A183,'[1]销售出库'!$Q$4:$Q$2003,'首页'!$B$4*100+P$4))</f>
        <v>0</v>
      </c>
      <c r="Q183" s="21">
        <f>IF($A183="",0,SUMIFS('[1]销售出库'!$R$4:$R$2003,'[1]销售出库'!$H$4:$H$2003,$A183,'[1]销售出库'!$Q$4:$Q$2003,'首页'!$B$4*100+Q$4))</f>
        <v>0</v>
      </c>
      <c r="R183" s="21">
        <f>IF($A183="",0,SUMIFS('[1]销售出库'!$R$4:$R$2003,'[1]销售出库'!$H$4:$H$2003,$A183,'[1]销售出库'!$Q$4:$Q$2003,'首页'!$B$4*100+R$4))</f>
        <v>0</v>
      </c>
      <c r="S183" s="21">
        <f>IF($A183="",0,SUMIFS('[1]销售出库'!$R$4:$R$2003,'[1]销售出库'!$H$4:$H$2003,$A183,'[1]销售出库'!$Q$4:$Q$2003,'首页'!$B$4*100+S$4))</f>
        <v>0</v>
      </c>
      <c r="T183" s="21">
        <f>IF($A183="",0,SUMIFS('[1]销售出库'!$R$4:$R$2003,'[1]销售出库'!$H$4:$H$2003,$A183,'[1]销售出库'!$Q$4:$Q$2003,'首页'!$B$4*100+T$4))</f>
        <v>0</v>
      </c>
      <c r="U183" s="21">
        <f>IF($A183="",0,SUMIFS('[1]销售出库'!$R$4:$R$2003,'[1]销售出库'!$H$4:$H$2003,$A183,'[1]销售出库'!$Q$4:$Q$2003,'首页'!$B$4*100+U$4))</f>
        <v>0</v>
      </c>
      <c r="V183" s="21">
        <f>IF($A183="",0,SUMIFS('[1]销售出库'!$R$4:$R$2003,'[1]销售出库'!$H$4:$H$2003,$A183,'[1]销售出库'!$Q$4:$Q$2003,'首页'!$B$4*100+V$4))</f>
        <v>0</v>
      </c>
      <c r="W183" s="21">
        <f>IF($A183="",0,SUMIFS('[1]销售出库'!$R$4:$R$2003,'[1]销售出库'!$H$4:$H$2003,$A183,'[1]销售出库'!$Q$4:$Q$2003,'首页'!$B$4*100+W$4))</f>
        <v>0</v>
      </c>
      <c r="X183" s="21">
        <f>IF($A183="",0,SUMIFS('[1]销售出库'!$R$4:$R$2003,'[1]销售出库'!$H$4:$H$2003,$A183,'[1]销售出库'!$Q$4:$Q$2003,'首页'!$B$4*100+X$4))</f>
        <v>0</v>
      </c>
    </row>
    <row r="184">
      <c r="A184" s="6">
        <f>IF('[1]基础资料'!$P$183="","",'[1]基础资料'!$P$183)</f>
      </c>
      <c r="B184" s="6">
        <f>IF(A184="","",'[1]基础资料'!$Q$183&amp;"")</f>
      </c>
      <c r="C184" s="21">
        <f>IF(A184="",0,N('[1]基础资料'!$S$183))</f>
        <v>0</v>
      </c>
      <c r="D184" s="11">
        <f>IF(A184="",0,N('[1]基础资料'!$U$183))</f>
        <v>0</v>
      </c>
      <c r="E184" s="21">
        <f>IF(A184="",0,SUMIFS('[1]采购入库'!$U$4:$U$2003,'[1]采购入库'!$I$4:$I$2003,$A184))</f>
        <v>0</v>
      </c>
      <c r="F184" s="11">
        <f>IF(A184="",0,SUMIFS('[1]采购入库'!$V$4:$V$2003,'[1]采购入库'!$I$4:$I$2003,$A184))</f>
        <v>0</v>
      </c>
      <c r="G184" s="21">
        <f>IF(A184="",0,SUMIFS('[1]销售出库'!$R$4:$R$2003,'[1]销售出库'!$H$4:$H$2003,$A184))</f>
        <v>0</v>
      </c>
      <c r="H184" s="11">
        <f t="shared" si="3"/>
        <v>0</v>
      </c>
      <c r="I184" s="11">
        <f t="shared" si="0"/>
        <v>0</v>
      </c>
      <c r="J184" s="21">
        <f t="shared" si="1"/>
        <v>0</v>
      </c>
      <c r="K184" s="11">
        <f t="shared" si="2"/>
        <v>0</v>
      </c>
      <c r="L184" s="6">
        <f t="shared" si="4"/>
      </c>
      <c r="M184" s="21">
        <f>IF($A184="",0,SUMIFS('[1]销售出库'!$R$4:$R$2003,'[1]销售出库'!$H$4:$H$2003,$A184,'[1]销售出库'!$Q$4:$Q$2003,'首页'!$B$4*100+M$4))</f>
        <v>0</v>
      </c>
      <c r="N184" s="21">
        <f>IF($A184="",0,SUMIFS('[1]销售出库'!$R$4:$R$2003,'[1]销售出库'!$H$4:$H$2003,$A184,'[1]销售出库'!$Q$4:$Q$2003,'首页'!$B$4*100+N$4))</f>
        <v>0</v>
      </c>
      <c r="O184" s="21">
        <f>IF($A184="",0,SUMIFS('[1]销售出库'!$R$4:$R$2003,'[1]销售出库'!$H$4:$H$2003,$A184,'[1]销售出库'!$Q$4:$Q$2003,'首页'!$B$4*100+O$4))</f>
        <v>0</v>
      </c>
      <c r="P184" s="21">
        <f>IF($A184="",0,SUMIFS('[1]销售出库'!$R$4:$R$2003,'[1]销售出库'!$H$4:$H$2003,$A184,'[1]销售出库'!$Q$4:$Q$2003,'首页'!$B$4*100+P$4))</f>
        <v>0</v>
      </c>
      <c r="Q184" s="21">
        <f>IF($A184="",0,SUMIFS('[1]销售出库'!$R$4:$R$2003,'[1]销售出库'!$H$4:$H$2003,$A184,'[1]销售出库'!$Q$4:$Q$2003,'首页'!$B$4*100+Q$4))</f>
        <v>0</v>
      </c>
      <c r="R184" s="21">
        <f>IF($A184="",0,SUMIFS('[1]销售出库'!$R$4:$R$2003,'[1]销售出库'!$H$4:$H$2003,$A184,'[1]销售出库'!$Q$4:$Q$2003,'首页'!$B$4*100+R$4))</f>
        <v>0</v>
      </c>
      <c r="S184" s="21">
        <f>IF($A184="",0,SUMIFS('[1]销售出库'!$R$4:$R$2003,'[1]销售出库'!$H$4:$H$2003,$A184,'[1]销售出库'!$Q$4:$Q$2003,'首页'!$B$4*100+S$4))</f>
        <v>0</v>
      </c>
      <c r="T184" s="21">
        <f>IF($A184="",0,SUMIFS('[1]销售出库'!$R$4:$R$2003,'[1]销售出库'!$H$4:$H$2003,$A184,'[1]销售出库'!$Q$4:$Q$2003,'首页'!$B$4*100+T$4))</f>
        <v>0</v>
      </c>
      <c r="U184" s="21">
        <f>IF($A184="",0,SUMIFS('[1]销售出库'!$R$4:$R$2003,'[1]销售出库'!$H$4:$H$2003,$A184,'[1]销售出库'!$Q$4:$Q$2003,'首页'!$B$4*100+U$4))</f>
        <v>0</v>
      </c>
      <c r="V184" s="21">
        <f>IF($A184="",0,SUMIFS('[1]销售出库'!$R$4:$R$2003,'[1]销售出库'!$H$4:$H$2003,$A184,'[1]销售出库'!$Q$4:$Q$2003,'首页'!$B$4*100+V$4))</f>
        <v>0</v>
      </c>
      <c r="W184" s="21">
        <f>IF($A184="",0,SUMIFS('[1]销售出库'!$R$4:$R$2003,'[1]销售出库'!$H$4:$H$2003,$A184,'[1]销售出库'!$Q$4:$Q$2003,'首页'!$B$4*100+W$4))</f>
        <v>0</v>
      </c>
      <c r="X184" s="21">
        <f>IF($A184="",0,SUMIFS('[1]销售出库'!$R$4:$R$2003,'[1]销售出库'!$H$4:$H$2003,$A184,'[1]销售出库'!$Q$4:$Q$2003,'首页'!$B$4*100+X$4))</f>
        <v>0</v>
      </c>
    </row>
    <row r="185">
      <c r="A185" s="6">
        <f>IF('[1]基础资料'!$P$184="","",'[1]基础资料'!$P$184)</f>
      </c>
      <c r="B185" s="6">
        <f>IF(A185="","",'[1]基础资料'!$Q$184&amp;"")</f>
      </c>
      <c r="C185" s="21">
        <f>IF(A185="",0,N('[1]基础资料'!$S$184))</f>
        <v>0</v>
      </c>
      <c r="D185" s="11">
        <f>IF(A185="",0,N('[1]基础资料'!$U$184))</f>
        <v>0</v>
      </c>
      <c r="E185" s="21">
        <f>IF(A185="",0,SUMIFS('[1]采购入库'!$U$4:$U$2003,'[1]采购入库'!$I$4:$I$2003,$A185))</f>
        <v>0</v>
      </c>
      <c r="F185" s="11">
        <f>IF(A185="",0,SUMIFS('[1]采购入库'!$V$4:$V$2003,'[1]采购入库'!$I$4:$I$2003,$A185))</f>
        <v>0</v>
      </c>
      <c r="G185" s="21">
        <f>IF(A185="",0,SUMIFS('[1]销售出库'!$R$4:$R$2003,'[1]销售出库'!$H$4:$H$2003,$A185))</f>
        <v>0</v>
      </c>
      <c r="H185" s="11">
        <f t="shared" si="3"/>
        <v>0</v>
      </c>
      <c r="I185" s="11">
        <f t="shared" si="0"/>
        <v>0</v>
      </c>
      <c r="J185" s="21">
        <f t="shared" si="1"/>
        <v>0</v>
      </c>
      <c r="K185" s="11">
        <f t="shared" si="2"/>
        <v>0</v>
      </c>
      <c r="L185" s="6">
        <f t="shared" si="4"/>
      </c>
      <c r="M185" s="21">
        <f>IF($A185="",0,SUMIFS('[1]销售出库'!$R$4:$R$2003,'[1]销售出库'!$H$4:$H$2003,$A185,'[1]销售出库'!$Q$4:$Q$2003,'首页'!$B$4*100+M$4))</f>
        <v>0</v>
      </c>
      <c r="N185" s="21">
        <f>IF($A185="",0,SUMIFS('[1]销售出库'!$R$4:$R$2003,'[1]销售出库'!$H$4:$H$2003,$A185,'[1]销售出库'!$Q$4:$Q$2003,'首页'!$B$4*100+N$4))</f>
        <v>0</v>
      </c>
      <c r="O185" s="21">
        <f>IF($A185="",0,SUMIFS('[1]销售出库'!$R$4:$R$2003,'[1]销售出库'!$H$4:$H$2003,$A185,'[1]销售出库'!$Q$4:$Q$2003,'首页'!$B$4*100+O$4))</f>
        <v>0</v>
      </c>
      <c r="P185" s="21">
        <f>IF($A185="",0,SUMIFS('[1]销售出库'!$R$4:$R$2003,'[1]销售出库'!$H$4:$H$2003,$A185,'[1]销售出库'!$Q$4:$Q$2003,'首页'!$B$4*100+P$4))</f>
        <v>0</v>
      </c>
      <c r="Q185" s="21">
        <f>IF($A185="",0,SUMIFS('[1]销售出库'!$R$4:$R$2003,'[1]销售出库'!$H$4:$H$2003,$A185,'[1]销售出库'!$Q$4:$Q$2003,'首页'!$B$4*100+Q$4))</f>
        <v>0</v>
      </c>
      <c r="R185" s="21">
        <f>IF($A185="",0,SUMIFS('[1]销售出库'!$R$4:$R$2003,'[1]销售出库'!$H$4:$H$2003,$A185,'[1]销售出库'!$Q$4:$Q$2003,'首页'!$B$4*100+R$4))</f>
        <v>0</v>
      </c>
      <c r="S185" s="21">
        <f>IF($A185="",0,SUMIFS('[1]销售出库'!$R$4:$R$2003,'[1]销售出库'!$H$4:$H$2003,$A185,'[1]销售出库'!$Q$4:$Q$2003,'首页'!$B$4*100+S$4))</f>
        <v>0</v>
      </c>
      <c r="T185" s="21">
        <f>IF($A185="",0,SUMIFS('[1]销售出库'!$R$4:$R$2003,'[1]销售出库'!$H$4:$H$2003,$A185,'[1]销售出库'!$Q$4:$Q$2003,'首页'!$B$4*100+T$4))</f>
        <v>0</v>
      </c>
      <c r="U185" s="21">
        <f>IF($A185="",0,SUMIFS('[1]销售出库'!$R$4:$R$2003,'[1]销售出库'!$H$4:$H$2003,$A185,'[1]销售出库'!$Q$4:$Q$2003,'首页'!$B$4*100+U$4))</f>
        <v>0</v>
      </c>
      <c r="V185" s="21">
        <f>IF($A185="",0,SUMIFS('[1]销售出库'!$R$4:$R$2003,'[1]销售出库'!$H$4:$H$2003,$A185,'[1]销售出库'!$Q$4:$Q$2003,'首页'!$B$4*100+V$4))</f>
        <v>0</v>
      </c>
      <c r="W185" s="21">
        <f>IF($A185="",0,SUMIFS('[1]销售出库'!$R$4:$R$2003,'[1]销售出库'!$H$4:$H$2003,$A185,'[1]销售出库'!$Q$4:$Q$2003,'首页'!$B$4*100+W$4))</f>
        <v>0</v>
      </c>
      <c r="X185" s="21">
        <f>IF($A185="",0,SUMIFS('[1]销售出库'!$R$4:$R$2003,'[1]销售出库'!$H$4:$H$2003,$A185,'[1]销售出库'!$Q$4:$Q$2003,'首页'!$B$4*100+X$4))</f>
        <v>0</v>
      </c>
    </row>
    <row r="186">
      <c r="A186" s="6">
        <f>IF('[1]基础资料'!$P$185="","",'[1]基础资料'!$P$185)</f>
      </c>
      <c r="B186" s="6">
        <f>IF(A186="","",'[1]基础资料'!$Q$185&amp;"")</f>
      </c>
      <c r="C186" s="21">
        <f>IF(A186="",0,N('[1]基础资料'!$S$185))</f>
        <v>0</v>
      </c>
      <c r="D186" s="11">
        <f>IF(A186="",0,N('[1]基础资料'!$U$185))</f>
        <v>0</v>
      </c>
      <c r="E186" s="21">
        <f>IF(A186="",0,SUMIFS('[1]采购入库'!$U$4:$U$2003,'[1]采购入库'!$I$4:$I$2003,$A186))</f>
        <v>0</v>
      </c>
      <c r="F186" s="11">
        <f>IF(A186="",0,SUMIFS('[1]采购入库'!$V$4:$V$2003,'[1]采购入库'!$I$4:$I$2003,$A186))</f>
        <v>0</v>
      </c>
      <c r="G186" s="21">
        <f>IF(A186="",0,SUMIFS('[1]销售出库'!$R$4:$R$2003,'[1]销售出库'!$H$4:$H$2003,$A186))</f>
        <v>0</v>
      </c>
      <c r="H186" s="11">
        <f t="shared" si="3"/>
        <v>0</v>
      </c>
      <c r="I186" s="11">
        <f t="shared" si="0"/>
        <v>0</v>
      </c>
      <c r="J186" s="21">
        <f t="shared" si="1"/>
        <v>0</v>
      </c>
      <c r="K186" s="11">
        <f t="shared" si="2"/>
        <v>0</v>
      </c>
      <c r="L186" s="6">
        <f t="shared" si="4"/>
      </c>
      <c r="M186" s="21">
        <f>IF($A186="",0,SUMIFS('[1]销售出库'!$R$4:$R$2003,'[1]销售出库'!$H$4:$H$2003,$A186,'[1]销售出库'!$Q$4:$Q$2003,'首页'!$B$4*100+M$4))</f>
        <v>0</v>
      </c>
      <c r="N186" s="21">
        <f>IF($A186="",0,SUMIFS('[1]销售出库'!$R$4:$R$2003,'[1]销售出库'!$H$4:$H$2003,$A186,'[1]销售出库'!$Q$4:$Q$2003,'首页'!$B$4*100+N$4))</f>
        <v>0</v>
      </c>
      <c r="O186" s="21">
        <f>IF($A186="",0,SUMIFS('[1]销售出库'!$R$4:$R$2003,'[1]销售出库'!$H$4:$H$2003,$A186,'[1]销售出库'!$Q$4:$Q$2003,'首页'!$B$4*100+O$4))</f>
        <v>0</v>
      </c>
      <c r="P186" s="21">
        <f>IF($A186="",0,SUMIFS('[1]销售出库'!$R$4:$R$2003,'[1]销售出库'!$H$4:$H$2003,$A186,'[1]销售出库'!$Q$4:$Q$2003,'首页'!$B$4*100+P$4))</f>
        <v>0</v>
      </c>
      <c r="Q186" s="21">
        <f>IF($A186="",0,SUMIFS('[1]销售出库'!$R$4:$R$2003,'[1]销售出库'!$H$4:$H$2003,$A186,'[1]销售出库'!$Q$4:$Q$2003,'首页'!$B$4*100+Q$4))</f>
        <v>0</v>
      </c>
      <c r="R186" s="21">
        <f>IF($A186="",0,SUMIFS('[1]销售出库'!$R$4:$R$2003,'[1]销售出库'!$H$4:$H$2003,$A186,'[1]销售出库'!$Q$4:$Q$2003,'首页'!$B$4*100+R$4))</f>
        <v>0</v>
      </c>
      <c r="S186" s="21">
        <f>IF($A186="",0,SUMIFS('[1]销售出库'!$R$4:$R$2003,'[1]销售出库'!$H$4:$H$2003,$A186,'[1]销售出库'!$Q$4:$Q$2003,'首页'!$B$4*100+S$4))</f>
        <v>0</v>
      </c>
      <c r="T186" s="21">
        <f>IF($A186="",0,SUMIFS('[1]销售出库'!$R$4:$R$2003,'[1]销售出库'!$H$4:$H$2003,$A186,'[1]销售出库'!$Q$4:$Q$2003,'首页'!$B$4*100+T$4))</f>
        <v>0</v>
      </c>
      <c r="U186" s="21">
        <f>IF($A186="",0,SUMIFS('[1]销售出库'!$R$4:$R$2003,'[1]销售出库'!$H$4:$H$2003,$A186,'[1]销售出库'!$Q$4:$Q$2003,'首页'!$B$4*100+U$4))</f>
        <v>0</v>
      </c>
      <c r="V186" s="21">
        <f>IF($A186="",0,SUMIFS('[1]销售出库'!$R$4:$R$2003,'[1]销售出库'!$H$4:$H$2003,$A186,'[1]销售出库'!$Q$4:$Q$2003,'首页'!$B$4*100+V$4))</f>
        <v>0</v>
      </c>
      <c r="W186" s="21">
        <f>IF($A186="",0,SUMIFS('[1]销售出库'!$R$4:$R$2003,'[1]销售出库'!$H$4:$H$2003,$A186,'[1]销售出库'!$Q$4:$Q$2003,'首页'!$B$4*100+W$4))</f>
        <v>0</v>
      </c>
      <c r="X186" s="21">
        <f>IF($A186="",0,SUMIFS('[1]销售出库'!$R$4:$R$2003,'[1]销售出库'!$H$4:$H$2003,$A186,'[1]销售出库'!$Q$4:$Q$2003,'首页'!$B$4*100+X$4))</f>
        <v>0</v>
      </c>
    </row>
    <row r="187">
      <c r="A187" s="6">
        <f>IF('[1]基础资料'!$P$186="","",'[1]基础资料'!$P$186)</f>
      </c>
      <c r="B187" s="6">
        <f>IF(A187="","",'[1]基础资料'!$Q$186&amp;"")</f>
      </c>
      <c r="C187" s="21">
        <f>IF(A187="",0,N('[1]基础资料'!$S$186))</f>
        <v>0</v>
      </c>
      <c r="D187" s="11">
        <f>IF(A187="",0,N('[1]基础资料'!$U$186))</f>
        <v>0</v>
      </c>
      <c r="E187" s="21">
        <f>IF(A187="",0,SUMIFS('[1]采购入库'!$U$4:$U$2003,'[1]采购入库'!$I$4:$I$2003,$A187))</f>
        <v>0</v>
      </c>
      <c r="F187" s="11">
        <f>IF(A187="",0,SUMIFS('[1]采购入库'!$V$4:$V$2003,'[1]采购入库'!$I$4:$I$2003,$A187))</f>
        <v>0</v>
      </c>
      <c r="G187" s="21">
        <f>IF(A187="",0,SUMIFS('[1]销售出库'!$R$4:$R$2003,'[1]销售出库'!$H$4:$H$2003,$A187))</f>
        <v>0</v>
      </c>
      <c r="H187" s="11">
        <f t="shared" si="3"/>
        <v>0</v>
      </c>
      <c r="I187" s="11">
        <f t="shared" si="0"/>
        <v>0</v>
      </c>
      <c r="J187" s="21">
        <f t="shared" si="1"/>
        <v>0</v>
      </c>
      <c r="K187" s="11">
        <f t="shared" si="2"/>
        <v>0</v>
      </c>
      <c r="L187" s="6">
        <f t="shared" si="4"/>
      </c>
      <c r="M187" s="21">
        <f>IF($A187="",0,SUMIFS('[1]销售出库'!$R$4:$R$2003,'[1]销售出库'!$H$4:$H$2003,$A187,'[1]销售出库'!$Q$4:$Q$2003,'首页'!$B$4*100+M$4))</f>
        <v>0</v>
      </c>
      <c r="N187" s="21">
        <f>IF($A187="",0,SUMIFS('[1]销售出库'!$R$4:$R$2003,'[1]销售出库'!$H$4:$H$2003,$A187,'[1]销售出库'!$Q$4:$Q$2003,'首页'!$B$4*100+N$4))</f>
        <v>0</v>
      </c>
      <c r="O187" s="21">
        <f>IF($A187="",0,SUMIFS('[1]销售出库'!$R$4:$R$2003,'[1]销售出库'!$H$4:$H$2003,$A187,'[1]销售出库'!$Q$4:$Q$2003,'首页'!$B$4*100+O$4))</f>
        <v>0</v>
      </c>
      <c r="P187" s="21">
        <f>IF($A187="",0,SUMIFS('[1]销售出库'!$R$4:$R$2003,'[1]销售出库'!$H$4:$H$2003,$A187,'[1]销售出库'!$Q$4:$Q$2003,'首页'!$B$4*100+P$4))</f>
        <v>0</v>
      </c>
      <c r="Q187" s="21">
        <f>IF($A187="",0,SUMIFS('[1]销售出库'!$R$4:$R$2003,'[1]销售出库'!$H$4:$H$2003,$A187,'[1]销售出库'!$Q$4:$Q$2003,'首页'!$B$4*100+Q$4))</f>
        <v>0</v>
      </c>
      <c r="R187" s="21">
        <f>IF($A187="",0,SUMIFS('[1]销售出库'!$R$4:$R$2003,'[1]销售出库'!$H$4:$H$2003,$A187,'[1]销售出库'!$Q$4:$Q$2003,'首页'!$B$4*100+R$4))</f>
        <v>0</v>
      </c>
      <c r="S187" s="21">
        <f>IF($A187="",0,SUMIFS('[1]销售出库'!$R$4:$R$2003,'[1]销售出库'!$H$4:$H$2003,$A187,'[1]销售出库'!$Q$4:$Q$2003,'首页'!$B$4*100+S$4))</f>
        <v>0</v>
      </c>
      <c r="T187" s="21">
        <f>IF($A187="",0,SUMIFS('[1]销售出库'!$R$4:$R$2003,'[1]销售出库'!$H$4:$H$2003,$A187,'[1]销售出库'!$Q$4:$Q$2003,'首页'!$B$4*100+T$4))</f>
        <v>0</v>
      </c>
      <c r="U187" s="21">
        <f>IF($A187="",0,SUMIFS('[1]销售出库'!$R$4:$R$2003,'[1]销售出库'!$H$4:$H$2003,$A187,'[1]销售出库'!$Q$4:$Q$2003,'首页'!$B$4*100+U$4))</f>
        <v>0</v>
      </c>
      <c r="V187" s="21">
        <f>IF($A187="",0,SUMIFS('[1]销售出库'!$R$4:$R$2003,'[1]销售出库'!$H$4:$H$2003,$A187,'[1]销售出库'!$Q$4:$Q$2003,'首页'!$B$4*100+V$4))</f>
        <v>0</v>
      </c>
      <c r="W187" s="21">
        <f>IF($A187="",0,SUMIFS('[1]销售出库'!$R$4:$R$2003,'[1]销售出库'!$H$4:$H$2003,$A187,'[1]销售出库'!$Q$4:$Q$2003,'首页'!$B$4*100+W$4))</f>
        <v>0</v>
      </c>
      <c r="X187" s="21">
        <f>IF($A187="",0,SUMIFS('[1]销售出库'!$R$4:$R$2003,'[1]销售出库'!$H$4:$H$2003,$A187,'[1]销售出库'!$Q$4:$Q$2003,'首页'!$B$4*100+X$4))</f>
        <v>0</v>
      </c>
    </row>
    <row r="188">
      <c r="A188" s="6">
        <f>IF('[1]基础资料'!$P$187="","",'[1]基础资料'!$P$187)</f>
      </c>
      <c r="B188" s="6">
        <f>IF(A188="","",'[1]基础资料'!$Q$187&amp;"")</f>
      </c>
      <c r="C188" s="21">
        <f>IF(A188="",0,N('[1]基础资料'!$S$187))</f>
        <v>0</v>
      </c>
      <c r="D188" s="11">
        <f>IF(A188="",0,N('[1]基础资料'!$U$187))</f>
        <v>0</v>
      </c>
      <c r="E188" s="21">
        <f>IF(A188="",0,SUMIFS('[1]采购入库'!$U$4:$U$2003,'[1]采购入库'!$I$4:$I$2003,$A188))</f>
        <v>0</v>
      </c>
      <c r="F188" s="11">
        <f>IF(A188="",0,SUMIFS('[1]采购入库'!$V$4:$V$2003,'[1]采购入库'!$I$4:$I$2003,$A188))</f>
        <v>0</v>
      </c>
      <c r="G188" s="21">
        <f>IF(A188="",0,SUMIFS('[1]销售出库'!$R$4:$R$2003,'[1]销售出库'!$H$4:$H$2003,$A188))</f>
        <v>0</v>
      </c>
      <c r="H188" s="11">
        <f t="shared" si="3"/>
        <v>0</v>
      </c>
      <c r="I188" s="11">
        <f t="shared" si="0"/>
        <v>0</v>
      </c>
      <c r="J188" s="21">
        <f t="shared" si="1"/>
        <v>0</v>
      </c>
      <c r="K188" s="11">
        <f t="shared" si="2"/>
        <v>0</v>
      </c>
      <c r="L188" s="6">
        <f t="shared" si="4"/>
      </c>
      <c r="M188" s="21">
        <f>IF($A188="",0,SUMIFS('[1]销售出库'!$R$4:$R$2003,'[1]销售出库'!$H$4:$H$2003,$A188,'[1]销售出库'!$Q$4:$Q$2003,'首页'!$B$4*100+M$4))</f>
        <v>0</v>
      </c>
      <c r="N188" s="21">
        <f>IF($A188="",0,SUMIFS('[1]销售出库'!$R$4:$R$2003,'[1]销售出库'!$H$4:$H$2003,$A188,'[1]销售出库'!$Q$4:$Q$2003,'首页'!$B$4*100+N$4))</f>
        <v>0</v>
      </c>
      <c r="O188" s="21">
        <f>IF($A188="",0,SUMIFS('[1]销售出库'!$R$4:$R$2003,'[1]销售出库'!$H$4:$H$2003,$A188,'[1]销售出库'!$Q$4:$Q$2003,'首页'!$B$4*100+O$4))</f>
        <v>0</v>
      </c>
      <c r="P188" s="21">
        <f>IF($A188="",0,SUMIFS('[1]销售出库'!$R$4:$R$2003,'[1]销售出库'!$H$4:$H$2003,$A188,'[1]销售出库'!$Q$4:$Q$2003,'首页'!$B$4*100+P$4))</f>
        <v>0</v>
      </c>
      <c r="Q188" s="21">
        <f>IF($A188="",0,SUMIFS('[1]销售出库'!$R$4:$R$2003,'[1]销售出库'!$H$4:$H$2003,$A188,'[1]销售出库'!$Q$4:$Q$2003,'首页'!$B$4*100+Q$4))</f>
        <v>0</v>
      </c>
      <c r="R188" s="21">
        <f>IF($A188="",0,SUMIFS('[1]销售出库'!$R$4:$R$2003,'[1]销售出库'!$H$4:$H$2003,$A188,'[1]销售出库'!$Q$4:$Q$2003,'首页'!$B$4*100+R$4))</f>
        <v>0</v>
      </c>
      <c r="S188" s="21">
        <f>IF($A188="",0,SUMIFS('[1]销售出库'!$R$4:$R$2003,'[1]销售出库'!$H$4:$H$2003,$A188,'[1]销售出库'!$Q$4:$Q$2003,'首页'!$B$4*100+S$4))</f>
        <v>0</v>
      </c>
      <c r="T188" s="21">
        <f>IF($A188="",0,SUMIFS('[1]销售出库'!$R$4:$R$2003,'[1]销售出库'!$H$4:$H$2003,$A188,'[1]销售出库'!$Q$4:$Q$2003,'首页'!$B$4*100+T$4))</f>
        <v>0</v>
      </c>
      <c r="U188" s="21">
        <f>IF($A188="",0,SUMIFS('[1]销售出库'!$R$4:$R$2003,'[1]销售出库'!$H$4:$H$2003,$A188,'[1]销售出库'!$Q$4:$Q$2003,'首页'!$B$4*100+U$4))</f>
        <v>0</v>
      </c>
      <c r="V188" s="21">
        <f>IF($A188="",0,SUMIFS('[1]销售出库'!$R$4:$R$2003,'[1]销售出库'!$H$4:$H$2003,$A188,'[1]销售出库'!$Q$4:$Q$2003,'首页'!$B$4*100+V$4))</f>
        <v>0</v>
      </c>
      <c r="W188" s="21">
        <f>IF($A188="",0,SUMIFS('[1]销售出库'!$R$4:$R$2003,'[1]销售出库'!$H$4:$H$2003,$A188,'[1]销售出库'!$Q$4:$Q$2003,'首页'!$B$4*100+W$4))</f>
        <v>0</v>
      </c>
      <c r="X188" s="21">
        <f>IF($A188="",0,SUMIFS('[1]销售出库'!$R$4:$R$2003,'[1]销售出库'!$H$4:$H$2003,$A188,'[1]销售出库'!$Q$4:$Q$2003,'首页'!$B$4*100+X$4))</f>
        <v>0</v>
      </c>
    </row>
    <row r="189">
      <c r="A189" s="6">
        <f>IF('[1]基础资料'!$P$188="","",'[1]基础资料'!$P$188)</f>
      </c>
      <c r="B189" s="6">
        <f>IF(A189="","",'[1]基础资料'!$Q$188&amp;"")</f>
      </c>
      <c r="C189" s="21">
        <f>IF(A189="",0,N('[1]基础资料'!$S$188))</f>
        <v>0</v>
      </c>
      <c r="D189" s="11">
        <f>IF(A189="",0,N('[1]基础资料'!$U$188))</f>
        <v>0</v>
      </c>
      <c r="E189" s="21">
        <f>IF(A189="",0,SUMIFS('[1]采购入库'!$U$4:$U$2003,'[1]采购入库'!$I$4:$I$2003,$A189))</f>
        <v>0</v>
      </c>
      <c r="F189" s="11">
        <f>IF(A189="",0,SUMIFS('[1]采购入库'!$V$4:$V$2003,'[1]采购入库'!$I$4:$I$2003,$A189))</f>
        <v>0</v>
      </c>
      <c r="G189" s="21">
        <f>IF(A189="",0,SUMIFS('[1]销售出库'!$R$4:$R$2003,'[1]销售出库'!$H$4:$H$2003,$A189))</f>
        <v>0</v>
      </c>
      <c r="H189" s="11">
        <f t="shared" si="3"/>
        <v>0</v>
      </c>
      <c r="I189" s="11">
        <f t="shared" si="0"/>
        <v>0</v>
      </c>
      <c r="J189" s="21">
        <f t="shared" si="1"/>
        <v>0</v>
      </c>
      <c r="K189" s="11">
        <f t="shared" si="2"/>
        <v>0</v>
      </c>
      <c r="L189" s="6">
        <f t="shared" si="4"/>
      </c>
      <c r="M189" s="21">
        <f>IF($A189="",0,SUMIFS('[1]销售出库'!$R$4:$R$2003,'[1]销售出库'!$H$4:$H$2003,$A189,'[1]销售出库'!$Q$4:$Q$2003,'首页'!$B$4*100+M$4))</f>
        <v>0</v>
      </c>
      <c r="N189" s="21">
        <f>IF($A189="",0,SUMIFS('[1]销售出库'!$R$4:$R$2003,'[1]销售出库'!$H$4:$H$2003,$A189,'[1]销售出库'!$Q$4:$Q$2003,'首页'!$B$4*100+N$4))</f>
        <v>0</v>
      </c>
      <c r="O189" s="21">
        <f>IF($A189="",0,SUMIFS('[1]销售出库'!$R$4:$R$2003,'[1]销售出库'!$H$4:$H$2003,$A189,'[1]销售出库'!$Q$4:$Q$2003,'首页'!$B$4*100+O$4))</f>
        <v>0</v>
      </c>
      <c r="P189" s="21">
        <f>IF($A189="",0,SUMIFS('[1]销售出库'!$R$4:$R$2003,'[1]销售出库'!$H$4:$H$2003,$A189,'[1]销售出库'!$Q$4:$Q$2003,'首页'!$B$4*100+P$4))</f>
        <v>0</v>
      </c>
      <c r="Q189" s="21">
        <f>IF($A189="",0,SUMIFS('[1]销售出库'!$R$4:$R$2003,'[1]销售出库'!$H$4:$H$2003,$A189,'[1]销售出库'!$Q$4:$Q$2003,'首页'!$B$4*100+Q$4))</f>
        <v>0</v>
      </c>
      <c r="R189" s="21">
        <f>IF($A189="",0,SUMIFS('[1]销售出库'!$R$4:$R$2003,'[1]销售出库'!$H$4:$H$2003,$A189,'[1]销售出库'!$Q$4:$Q$2003,'首页'!$B$4*100+R$4))</f>
        <v>0</v>
      </c>
      <c r="S189" s="21">
        <f>IF($A189="",0,SUMIFS('[1]销售出库'!$R$4:$R$2003,'[1]销售出库'!$H$4:$H$2003,$A189,'[1]销售出库'!$Q$4:$Q$2003,'首页'!$B$4*100+S$4))</f>
        <v>0</v>
      </c>
      <c r="T189" s="21">
        <f>IF($A189="",0,SUMIFS('[1]销售出库'!$R$4:$R$2003,'[1]销售出库'!$H$4:$H$2003,$A189,'[1]销售出库'!$Q$4:$Q$2003,'首页'!$B$4*100+T$4))</f>
        <v>0</v>
      </c>
      <c r="U189" s="21">
        <f>IF($A189="",0,SUMIFS('[1]销售出库'!$R$4:$R$2003,'[1]销售出库'!$H$4:$H$2003,$A189,'[1]销售出库'!$Q$4:$Q$2003,'首页'!$B$4*100+U$4))</f>
        <v>0</v>
      </c>
      <c r="V189" s="21">
        <f>IF($A189="",0,SUMIFS('[1]销售出库'!$R$4:$R$2003,'[1]销售出库'!$H$4:$H$2003,$A189,'[1]销售出库'!$Q$4:$Q$2003,'首页'!$B$4*100+V$4))</f>
        <v>0</v>
      </c>
      <c r="W189" s="21">
        <f>IF($A189="",0,SUMIFS('[1]销售出库'!$R$4:$R$2003,'[1]销售出库'!$H$4:$H$2003,$A189,'[1]销售出库'!$Q$4:$Q$2003,'首页'!$B$4*100+W$4))</f>
        <v>0</v>
      </c>
      <c r="X189" s="21">
        <f>IF($A189="",0,SUMIFS('[1]销售出库'!$R$4:$R$2003,'[1]销售出库'!$H$4:$H$2003,$A189,'[1]销售出库'!$Q$4:$Q$2003,'首页'!$B$4*100+X$4))</f>
        <v>0</v>
      </c>
    </row>
    <row r="190">
      <c r="A190" s="6">
        <f>IF('[1]基础资料'!$P$189="","",'[1]基础资料'!$P$189)</f>
      </c>
      <c r="B190" s="6">
        <f>IF(A190="","",'[1]基础资料'!$Q$189&amp;"")</f>
      </c>
      <c r="C190" s="21">
        <f>IF(A190="",0,N('[1]基础资料'!$S$189))</f>
        <v>0</v>
      </c>
      <c r="D190" s="11">
        <f>IF(A190="",0,N('[1]基础资料'!$U$189))</f>
        <v>0</v>
      </c>
      <c r="E190" s="21">
        <f>IF(A190="",0,SUMIFS('[1]采购入库'!$U$4:$U$2003,'[1]采购入库'!$I$4:$I$2003,$A190))</f>
        <v>0</v>
      </c>
      <c r="F190" s="11">
        <f>IF(A190="",0,SUMIFS('[1]采购入库'!$V$4:$V$2003,'[1]采购入库'!$I$4:$I$2003,$A190))</f>
        <v>0</v>
      </c>
      <c r="G190" s="21">
        <f>IF(A190="",0,SUMIFS('[1]销售出库'!$R$4:$R$2003,'[1]销售出库'!$H$4:$H$2003,$A190))</f>
        <v>0</v>
      </c>
      <c r="H190" s="11">
        <f t="shared" si="3"/>
        <v>0</v>
      </c>
      <c r="I190" s="11">
        <f t="shared" si="0"/>
        <v>0</v>
      </c>
      <c r="J190" s="21">
        <f t="shared" si="1"/>
        <v>0</v>
      </c>
      <c r="K190" s="11">
        <f t="shared" si="2"/>
        <v>0</v>
      </c>
      <c r="L190" s="6">
        <f t="shared" si="4"/>
      </c>
      <c r="M190" s="21">
        <f>IF($A190="",0,SUMIFS('[1]销售出库'!$R$4:$R$2003,'[1]销售出库'!$H$4:$H$2003,$A190,'[1]销售出库'!$Q$4:$Q$2003,'首页'!$B$4*100+M$4))</f>
        <v>0</v>
      </c>
      <c r="N190" s="21">
        <f>IF($A190="",0,SUMIFS('[1]销售出库'!$R$4:$R$2003,'[1]销售出库'!$H$4:$H$2003,$A190,'[1]销售出库'!$Q$4:$Q$2003,'首页'!$B$4*100+N$4))</f>
        <v>0</v>
      </c>
      <c r="O190" s="21">
        <f>IF($A190="",0,SUMIFS('[1]销售出库'!$R$4:$R$2003,'[1]销售出库'!$H$4:$H$2003,$A190,'[1]销售出库'!$Q$4:$Q$2003,'首页'!$B$4*100+O$4))</f>
        <v>0</v>
      </c>
      <c r="P190" s="21">
        <f>IF($A190="",0,SUMIFS('[1]销售出库'!$R$4:$R$2003,'[1]销售出库'!$H$4:$H$2003,$A190,'[1]销售出库'!$Q$4:$Q$2003,'首页'!$B$4*100+P$4))</f>
        <v>0</v>
      </c>
      <c r="Q190" s="21">
        <f>IF($A190="",0,SUMIFS('[1]销售出库'!$R$4:$R$2003,'[1]销售出库'!$H$4:$H$2003,$A190,'[1]销售出库'!$Q$4:$Q$2003,'首页'!$B$4*100+Q$4))</f>
        <v>0</v>
      </c>
      <c r="R190" s="21">
        <f>IF($A190="",0,SUMIFS('[1]销售出库'!$R$4:$R$2003,'[1]销售出库'!$H$4:$H$2003,$A190,'[1]销售出库'!$Q$4:$Q$2003,'首页'!$B$4*100+R$4))</f>
        <v>0</v>
      </c>
      <c r="S190" s="21">
        <f>IF($A190="",0,SUMIFS('[1]销售出库'!$R$4:$R$2003,'[1]销售出库'!$H$4:$H$2003,$A190,'[1]销售出库'!$Q$4:$Q$2003,'首页'!$B$4*100+S$4))</f>
        <v>0</v>
      </c>
      <c r="T190" s="21">
        <f>IF($A190="",0,SUMIFS('[1]销售出库'!$R$4:$R$2003,'[1]销售出库'!$H$4:$H$2003,$A190,'[1]销售出库'!$Q$4:$Q$2003,'首页'!$B$4*100+T$4))</f>
        <v>0</v>
      </c>
      <c r="U190" s="21">
        <f>IF($A190="",0,SUMIFS('[1]销售出库'!$R$4:$R$2003,'[1]销售出库'!$H$4:$H$2003,$A190,'[1]销售出库'!$Q$4:$Q$2003,'首页'!$B$4*100+U$4))</f>
        <v>0</v>
      </c>
      <c r="V190" s="21">
        <f>IF($A190="",0,SUMIFS('[1]销售出库'!$R$4:$R$2003,'[1]销售出库'!$H$4:$H$2003,$A190,'[1]销售出库'!$Q$4:$Q$2003,'首页'!$B$4*100+V$4))</f>
        <v>0</v>
      </c>
      <c r="W190" s="21">
        <f>IF($A190="",0,SUMIFS('[1]销售出库'!$R$4:$R$2003,'[1]销售出库'!$H$4:$H$2003,$A190,'[1]销售出库'!$Q$4:$Q$2003,'首页'!$B$4*100+W$4))</f>
        <v>0</v>
      </c>
      <c r="X190" s="21">
        <f>IF($A190="",0,SUMIFS('[1]销售出库'!$R$4:$R$2003,'[1]销售出库'!$H$4:$H$2003,$A190,'[1]销售出库'!$Q$4:$Q$2003,'首页'!$B$4*100+X$4))</f>
        <v>0</v>
      </c>
    </row>
    <row r="191">
      <c r="A191" s="6">
        <f>IF('[1]基础资料'!$P$190="","",'[1]基础资料'!$P$190)</f>
      </c>
      <c r="B191" s="6">
        <f>IF(A191="","",'[1]基础资料'!$Q$190&amp;"")</f>
      </c>
      <c r="C191" s="21">
        <f>IF(A191="",0,N('[1]基础资料'!$S$190))</f>
        <v>0</v>
      </c>
      <c r="D191" s="11">
        <f>IF(A191="",0,N('[1]基础资料'!$U$190))</f>
        <v>0</v>
      </c>
      <c r="E191" s="21">
        <f>IF(A191="",0,SUMIFS('[1]采购入库'!$U$4:$U$2003,'[1]采购入库'!$I$4:$I$2003,$A191))</f>
        <v>0</v>
      </c>
      <c r="F191" s="11">
        <f>IF(A191="",0,SUMIFS('[1]采购入库'!$V$4:$V$2003,'[1]采购入库'!$I$4:$I$2003,$A191))</f>
        <v>0</v>
      </c>
      <c r="G191" s="21">
        <f>IF(A191="",0,SUMIFS('[1]销售出库'!$R$4:$R$2003,'[1]销售出库'!$H$4:$H$2003,$A191))</f>
        <v>0</v>
      </c>
      <c r="H191" s="11">
        <f t="shared" si="3"/>
        <v>0</v>
      </c>
      <c r="I191" s="11">
        <f t="shared" si="0"/>
        <v>0</v>
      </c>
      <c r="J191" s="21">
        <f t="shared" si="1"/>
        <v>0</v>
      </c>
      <c r="K191" s="11">
        <f t="shared" si="2"/>
        <v>0</v>
      </c>
      <c r="L191" s="6">
        <f t="shared" si="4"/>
      </c>
      <c r="M191" s="21">
        <f>IF($A191="",0,SUMIFS('[1]销售出库'!$R$4:$R$2003,'[1]销售出库'!$H$4:$H$2003,$A191,'[1]销售出库'!$Q$4:$Q$2003,'首页'!$B$4*100+M$4))</f>
        <v>0</v>
      </c>
      <c r="N191" s="21">
        <f>IF($A191="",0,SUMIFS('[1]销售出库'!$R$4:$R$2003,'[1]销售出库'!$H$4:$H$2003,$A191,'[1]销售出库'!$Q$4:$Q$2003,'首页'!$B$4*100+N$4))</f>
        <v>0</v>
      </c>
      <c r="O191" s="21">
        <f>IF($A191="",0,SUMIFS('[1]销售出库'!$R$4:$R$2003,'[1]销售出库'!$H$4:$H$2003,$A191,'[1]销售出库'!$Q$4:$Q$2003,'首页'!$B$4*100+O$4))</f>
        <v>0</v>
      </c>
      <c r="P191" s="21">
        <f>IF($A191="",0,SUMIFS('[1]销售出库'!$R$4:$R$2003,'[1]销售出库'!$H$4:$H$2003,$A191,'[1]销售出库'!$Q$4:$Q$2003,'首页'!$B$4*100+P$4))</f>
        <v>0</v>
      </c>
      <c r="Q191" s="21">
        <f>IF($A191="",0,SUMIFS('[1]销售出库'!$R$4:$R$2003,'[1]销售出库'!$H$4:$H$2003,$A191,'[1]销售出库'!$Q$4:$Q$2003,'首页'!$B$4*100+Q$4))</f>
        <v>0</v>
      </c>
      <c r="R191" s="21">
        <f>IF($A191="",0,SUMIFS('[1]销售出库'!$R$4:$R$2003,'[1]销售出库'!$H$4:$H$2003,$A191,'[1]销售出库'!$Q$4:$Q$2003,'首页'!$B$4*100+R$4))</f>
        <v>0</v>
      </c>
      <c r="S191" s="21">
        <f>IF($A191="",0,SUMIFS('[1]销售出库'!$R$4:$R$2003,'[1]销售出库'!$H$4:$H$2003,$A191,'[1]销售出库'!$Q$4:$Q$2003,'首页'!$B$4*100+S$4))</f>
        <v>0</v>
      </c>
      <c r="T191" s="21">
        <f>IF($A191="",0,SUMIFS('[1]销售出库'!$R$4:$R$2003,'[1]销售出库'!$H$4:$H$2003,$A191,'[1]销售出库'!$Q$4:$Q$2003,'首页'!$B$4*100+T$4))</f>
        <v>0</v>
      </c>
      <c r="U191" s="21">
        <f>IF($A191="",0,SUMIFS('[1]销售出库'!$R$4:$R$2003,'[1]销售出库'!$H$4:$H$2003,$A191,'[1]销售出库'!$Q$4:$Q$2003,'首页'!$B$4*100+U$4))</f>
        <v>0</v>
      </c>
      <c r="V191" s="21">
        <f>IF($A191="",0,SUMIFS('[1]销售出库'!$R$4:$R$2003,'[1]销售出库'!$H$4:$H$2003,$A191,'[1]销售出库'!$Q$4:$Q$2003,'首页'!$B$4*100+V$4))</f>
        <v>0</v>
      </c>
      <c r="W191" s="21">
        <f>IF($A191="",0,SUMIFS('[1]销售出库'!$R$4:$R$2003,'[1]销售出库'!$H$4:$H$2003,$A191,'[1]销售出库'!$Q$4:$Q$2003,'首页'!$B$4*100+W$4))</f>
        <v>0</v>
      </c>
      <c r="X191" s="21">
        <f>IF($A191="",0,SUMIFS('[1]销售出库'!$R$4:$R$2003,'[1]销售出库'!$H$4:$H$2003,$A191,'[1]销售出库'!$Q$4:$Q$2003,'首页'!$B$4*100+X$4))</f>
        <v>0</v>
      </c>
    </row>
    <row r="192">
      <c r="A192" s="6">
        <f>IF('[1]基础资料'!$P$191="","",'[1]基础资料'!$P$191)</f>
      </c>
      <c r="B192" s="6">
        <f>IF(A192="","",'[1]基础资料'!$Q$191&amp;"")</f>
      </c>
      <c r="C192" s="21">
        <f>IF(A192="",0,N('[1]基础资料'!$S$191))</f>
        <v>0</v>
      </c>
      <c r="D192" s="11">
        <f>IF(A192="",0,N('[1]基础资料'!$U$191))</f>
        <v>0</v>
      </c>
      <c r="E192" s="21">
        <f>IF(A192="",0,SUMIFS('[1]采购入库'!$U$4:$U$2003,'[1]采购入库'!$I$4:$I$2003,$A192))</f>
        <v>0</v>
      </c>
      <c r="F192" s="11">
        <f>IF(A192="",0,SUMIFS('[1]采购入库'!$V$4:$V$2003,'[1]采购入库'!$I$4:$I$2003,$A192))</f>
        <v>0</v>
      </c>
      <c r="G192" s="21">
        <f>IF(A192="",0,SUMIFS('[1]销售出库'!$R$4:$R$2003,'[1]销售出库'!$H$4:$H$2003,$A192))</f>
        <v>0</v>
      </c>
      <c r="H192" s="11">
        <f t="shared" si="3"/>
        <v>0</v>
      </c>
      <c r="I192" s="11">
        <f t="shared" si="0"/>
        <v>0</v>
      </c>
      <c r="J192" s="21">
        <f t="shared" si="1"/>
        <v>0</v>
      </c>
      <c r="K192" s="11">
        <f t="shared" si="2"/>
        <v>0</v>
      </c>
      <c r="L192" s="6">
        <f t="shared" si="4"/>
      </c>
      <c r="M192" s="21">
        <f>IF($A192="",0,SUMIFS('[1]销售出库'!$R$4:$R$2003,'[1]销售出库'!$H$4:$H$2003,$A192,'[1]销售出库'!$Q$4:$Q$2003,'首页'!$B$4*100+M$4))</f>
        <v>0</v>
      </c>
      <c r="N192" s="21">
        <f>IF($A192="",0,SUMIFS('[1]销售出库'!$R$4:$R$2003,'[1]销售出库'!$H$4:$H$2003,$A192,'[1]销售出库'!$Q$4:$Q$2003,'首页'!$B$4*100+N$4))</f>
        <v>0</v>
      </c>
      <c r="O192" s="21">
        <f>IF($A192="",0,SUMIFS('[1]销售出库'!$R$4:$R$2003,'[1]销售出库'!$H$4:$H$2003,$A192,'[1]销售出库'!$Q$4:$Q$2003,'首页'!$B$4*100+O$4))</f>
        <v>0</v>
      </c>
      <c r="P192" s="21">
        <f>IF($A192="",0,SUMIFS('[1]销售出库'!$R$4:$R$2003,'[1]销售出库'!$H$4:$H$2003,$A192,'[1]销售出库'!$Q$4:$Q$2003,'首页'!$B$4*100+P$4))</f>
        <v>0</v>
      </c>
      <c r="Q192" s="21">
        <f>IF($A192="",0,SUMIFS('[1]销售出库'!$R$4:$R$2003,'[1]销售出库'!$H$4:$H$2003,$A192,'[1]销售出库'!$Q$4:$Q$2003,'首页'!$B$4*100+Q$4))</f>
        <v>0</v>
      </c>
      <c r="R192" s="21">
        <f>IF($A192="",0,SUMIFS('[1]销售出库'!$R$4:$R$2003,'[1]销售出库'!$H$4:$H$2003,$A192,'[1]销售出库'!$Q$4:$Q$2003,'首页'!$B$4*100+R$4))</f>
        <v>0</v>
      </c>
      <c r="S192" s="21">
        <f>IF($A192="",0,SUMIFS('[1]销售出库'!$R$4:$R$2003,'[1]销售出库'!$H$4:$H$2003,$A192,'[1]销售出库'!$Q$4:$Q$2003,'首页'!$B$4*100+S$4))</f>
        <v>0</v>
      </c>
      <c r="T192" s="21">
        <f>IF($A192="",0,SUMIFS('[1]销售出库'!$R$4:$R$2003,'[1]销售出库'!$H$4:$H$2003,$A192,'[1]销售出库'!$Q$4:$Q$2003,'首页'!$B$4*100+T$4))</f>
        <v>0</v>
      </c>
      <c r="U192" s="21">
        <f>IF($A192="",0,SUMIFS('[1]销售出库'!$R$4:$R$2003,'[1]销售出库'!$H$4:$H$2003,$A192,'[1]销售出库'!$Q$4:$Q$2003,'首页'!$B$4*100+U$4))</f>
        <v>0</v>
      </c>
      <c r="V192" s="21">
        <f>IF($A192="",0,SUMIFS('[1]销售出库'!$R$4:$R$2003,'[1]销售出库'!$H$4:$H$2003,$A192,'[1]销售出库'!$Q$4:$Q$2003,'首页'!$B$4*100+V$4))</f>
        <v>0</v>
      </c>
      <c r="W192" s="21">
        <f>IF($A192="",0,SUMIFS('[1]销售出库'!$R$4:$R$2003,'[1]销售出库'!$H$4:$H$2003,$A192,'[1]销售出库'!$Q$4:$Q$2003,'首页'!$B$4*100+W$4))</f>
        <v>0</v>
      </c>
      <c r="X192" s="21">
        <f>IF($A192="",0,SUMIFS('[1]销售出库'!$R$4:$R$2003,'[1]销售出库'!$H$4:$H$2003,$A192,'[1]销售出库'!$Q$4:$Q$2003,'首页'!$B$4*100+X$4))</f>
        <v>0</v>
      </c>
    </row>
    <row r="193">
      <c r="A193" s="6">
        <f>IF('[1]基础资料'!$P$192="","",'[1]基础资料'!$P$192)</f>
      </c>
      <c r="B193" s="6">
        <f>IF(A193="","",'[1]基础资料'!$Q$192&amp;"")</f>
      </c>
      <c r="C193" s="21">
        <f>IF(A193="",0,N('[1]基础资料'!$S$192))</f>
        <v>0</v>
      </c>
      <c r="D193" s="11">
        <f>IF(A193="",0,N('[1]基础资料'!$U$192))</f>
        <v>0</v>
      </c>
      <c r="E193" s="21">
        <f>IF(A193="",0,SUMIFS('[1]采购入库'!$U$4:$U$2003,'[1]采购入库'!$I$4:$I$2003,$A193))</f>
        <v>0</v>
      </c>
      <c r="F193" s="11">
        <f>IF(A193="",0,SUMIFS('[1]采购入库'!$V$4:$V$2003,'[1]采购入库'!$I$4:$I$2003,$A193))</f>
        <v>0</v>
      </c>
      <c r="G193" s="21">
        <f>IF(A193="",0,SUMIFS('[1]销售出库'!$R$4:$R$2003,'[1]销售出库'!$H$4:$H$2003,$A193))</f>
        <v>0</v>
      </c>
      <c r="H193" s="11">
        <f t="shared" si="3"/>
        <v>0</v>
      </c>
      <c r="I193" s="11">
        <f t="shared" si="0"/>
        <v>0</v>
      </c>
      <c r="J193" s="21">
        <f t="shared" si="1"/>
        <v>0</v>
      </c>
      <c r="K193" s="11">
        <f t="shared" si="2"/>
        <v>0</v>
      </c>
      <c r="L193" s="6">
        <f t="shared" si="4"/>
      </c>
      <c r="M193" s="21">
        <f>IF($A193="",0,SUMIFS('[1]销售出库'!$R$4:$R$2003,'[1]销售出库'!$H$4:$H$2003,$A193,'[1]销售出库'!$Q$4:$Q$2003,'首页'!$B$4*100+M$4))</f>
        <v>0</v>
      </c>
      <c r="N193" s="21">
        <f>IF($A193="",0,SUMIFS('[1]销售出库'!$R$4:$R$2003,'[1]销售出库'!$H$4:$H$2003,$A193,'[1]销售出库'!$Q$4:$Q$2003,'首页'!$B$4*100+N$4))</f>
        <v>0</v>
      </c>
      <c r="O193" s="21">
        <f>IF($A193="",0,SUMIFS('[1]销售出库'!$R$4:$R$2003,'[1]销售出库'!$H$4:$H$2003,$A193,'[1]销售出库'!$Q$4:$Q$2003,'首页'!$B$4*100+O$4))</f>
        <v>0</v>
      </c>
      <c r="P193" s="21">
        <f>IF($A193="",0,SUMIFS('[1]销售出库'!$R$4:$R$2003,'[1]销售出库'!$H$4:$H$2003,$A193,'[1]销售出库'!$Q$4:$Q$2003,'首页'!$B$4*100+P$4))</f>
        <v>0</v>
      </c>
      <c r="Q193" s="21">
        <f>IF($A193="",0,SUMIFS('[1]销售出库'!$R$4:$R$2003,'[1]销售出库'!$H$4:$H$2003,$A193,'[1]销售出库'!$Q$4:$Q$2003,'首页'!$B$4*100+Q$4))</f>
        <v>0</v>
      </c>
      <c r="R193" s="21">
        <f>IF($A193="",0,SUMIFS('[1]销售出库'!$R$4:$R$2003,'[1]销售出库'!$H$4:$H$2003,$A193,'[1]销售出库'!$Q$4:$Q$2003,'首页'!$B$4*100+R$4))</f>
        <v>0</v>
      </c>
      <c r="S193" s="21">
        <f>IF($A193="",0,SUMIFS('[1]销售出库'!$R$4:$R$2003,'[1]销售出库'!$H$4:$H$2003,$A193,'[1]销售出库'!$Q$4:$Q$2003,'首页'!$B$4*100+S$4))</f>
        <v>0</v>
      </c>
      <c r="T193" s="21">
        <f>IF($A193="",0,SUMIFS('[1]销售出库'!$R$4:$R$2003,'[1]销售出库'!$H$4:$H$2003,$A193,'[1]销售出库'!$Q$4:$Q$2003,'首页'!$B$4*100+T$4))</f>
        <v>0</v>
      </c>
      <c r="U193" s="21">
        <f>IF($A193="",0,SUMIFS('[1]销售出库'!$R$4:$R$2003,'[1]销售出库'!$H$4:$H$2003,$A193,'[1]销售出库'!$Q$4:$Q$2003,'首页'!$B$4*100+U$4))</f>
        <v>0</v>
      </c>
      <c r="V193" s="21">
        <f>IF($A193="",0,SUMIFS('[1]销售出库'!$R$4:$R$2003,'[1]销售出库'!$H$4:$H$2003,$A193,'[1]销售出库'!$Q$4:$Q$2003,'首页'!$B$4*100+V$4))</f>
        <v>0</v>
      </c>
      <c r="W193" s="21">
        <f>IF($A193="",0,SUMIFS('[1]销售出库'!$R$4:$R$2003,'[1]销售出库'!$H$4:$H$2003,$A193,'[1]销售出库'!$Q$4:$Q$2003,'首页'!$B$4*100+W$4))</f>
        <v>0</v>
      </c>
      <c r="X193" s="21">
        <f>IF($A193="",0,SUMIFS('[1]销售出库'!$R$4:$R$2003,'[1]销售出库'!$H$4:$H$2003,$A193,'[1]销售出库'!$Q$4:$Q$2003,'首页'!$B$4*100+X$4))</f>
        <v>0</v>
      </c>
    </row>
    <row r="194">
      <c r="A194" s="6">
        <f>IF('[1]基础资料'!$P$193="","",'[1]基础资料'!$P$193)</f>
      </c>
      <c r="B194" s="6">
        <f>IF(A194="","",'[1]基础资料'!$Q$193&amp;"")</f>
      </c>
      <c r="C194" s="21">
        <f>IF(A194="",0,N('[1]基础资料'!$S$193))</f>
        <v>0</v>
      </c>
      <c r="D194" s="11">
        <f>IF(A194="",0,N('[1]基础资料'!$U$193))</f>
        <v>0</v>
      </c>
      <c r="E194" s="21">
        <f>IF(A194="",0,SUMIFS('[1]采购入库'!$U$4:$U$2003,'[1]采购入库'!$I$4:$I$2003,$A194))</f>
        <v>0</v>
      </c>
      <c r="F194" s="11">
        <f>IF(A194="",0,SUMIFS('[1]采购入库'!$V$4:$V$2003,'[1]采购入库'!$I$4:$I$2003,$A194))</f>
        <v>0</v>
      </c>
      <c r="G194" s="21">
        <f>IF(A194="",0,SUMIFS('[1]销售出库'!$R$4:$R$2003,'[1]销售出库'!$H$4:$H$2003,$A194))</f>
        <v>0</v>
      </c>
      <c r="H194" s="11">
        <f t="shared" si="3"/>
        <v>0</v>
      </c>
      <c r="I194" s="11">
        <f t="shared" si="0"/>
        <v>0</v>
      </c>
      <c r="J194" s="21">
        <f t="shared" si="1"/>
        <v>0</v>
      </c>
      <c r="K194" s="11">
        <f t="shared" si="2"/>
        <v>0</v>
      </c>
      <c r="L194" s="6">
        <f t="shared" si="4"/>
      </c>
      <c r="M194" s="21">
        <f>IF($A194="",0,SUMIFS('[1]销售出库'!$R$4:$R$2003,'[1]销售出库'!$H$4:$H$2003,$A194,'[1]销售出库'!$Q$4:$Q$2003,'首页'!$B$4*100+M$4))</f>
        <v>0</v>
      </c>
      <c r="N194" s="21">
        <f>IF($A194="",0,SUMIFS('[1]销售出库'!$R$4:$R$2003,'[1]销售出库'!$H$4:$H$2003,$A194,'[1]销售出库'!$Q$4:$Q$2003,'首页'!$B$4*100+N$4))</f>
        <v>0</v>
      </c>
      <c r="O194" s="21">
        <f>IF($A194="",0,SUMIFS('[1]销售出库'!$R$4:$R$2003,'[1]销售出库'!$H$4:$H$2003,$A194,'[1]销售出库'!$Q$4:$Q$2003,'首页'!$B$4*100+O$4))</f>
        <v>0</v>
      </c>
      <c r="P194" s="21">
        <f>IF($A194="",0,SUMIFS('[1]销售出库'!$R$4:$R$2003,'[1]销售出库'!$H$4:$H$2003,$A194,'[1]销售出库'!$Q$4:$Q$2003,'首页'!$B$4*100+P$4))</f>
        <v>0</v>
      </c>
      <c r="Q194" s="21">
        <f>IF($A194="",0,SUMIFS('[1]销售出库'!$R$4:$R$2003,'[1]销售出库'!$H$4:$H$2003,$A194,'[1]销售出库'!$Q$4:$Q$2003,'首页'!$B$4*100+Q$4))</f>
        <v>0</v>
      </c>
      <c r="R194" s="21">
        <f>IF($A194="",0,SUMIFS('[1]销售出库'!$R$4:$R$2003,'[1]销售出库'!$H$4:$H$2003,$A194,'[1]销售出库'!$Q$4:$Q$2003,'首页'!$B$4*100+R$4))</f>
        <v>0</v>
      </c>
      <c r="S194" s="21">
        <f>IF($A194="",0,SUMIFS('[1]销售出库'!$R$4:$R$2003,'[1]销售出库'!$H$4:$H$2003,$A194,'[1]销售出库'!$Q$4:$Q$2003,'首页'!$B$4*100+S$4))</f>
        <v>0</v>
      </c>
      <c r="T194" s="21">
        <f>IF($A194="",0,SUMIFS('[1]销售出库'!$R$4:$R$2003,'[1]销售出库'!$H$4:$H$2003,$A194,'[1]销售出库'!$Q$4:$Q$2003,'首页'!$B$4*100+T$4))</f>
        <v>0</v>
      </c>
      <c r="U194" s="21">
        <f>IF($A194="",0,SUMIFS('[1]销售出库'!$R$4:$R$2003,'[1]销售出库'!$H$4:$H$2003,$A194,'[1]销售出库'!$Q$4:$Q$2003,'首页'!$B$4*100+U$4))</f>
        <v>0</v>
      </c>
      <c r="V194" s="21">
        <f>IF($A194="",0,SUMIFS('[1]销售出库'!$R$4:$R$2003,'[1]销售出库'!$H$4:$H$2003,$A194,'[1]销售出库'!$Q$4:$Q$2003,'首页'!$B$4*100+V$4))</f>
        <v>0</v>
      </c>
      <c r="W194" s="21">
        <f>IF($A194="",0,SUMIFS('[1]销售出库'!$R$4:$R$2003,'[1]销售出库'!$H$4:$H$2003,$A194,'[1]销售出库'!$Q$4:$Q$2003,'首页'!$B$4*100+W$4))</f>
        <v>0</v>
      </c>
      <c r="X194" s="21">
        <f>IF($A194="",0,SUMIFS('[1]销售出库'!$R$4:$R$2003,'[1]销售出库'!$H$4:$H$2003,$A194,'[1]销售出库'!$Q$4:$Q$2003,'首页'!$B$4*100+X$4))</f>
        <v>0</v>
      </c>
    </row>
    <row r="195">
      <c r="A195" s="6">
        <f>IF('[1]基础资料'!$P$194="","",'[1]基础资料'!$P$194)</f>
      </c>
      <c r="B195" s="6">
        <f>IF(A195="","",'[1]基础资料'!$Q$194&amp;"")</f>
      </c>
      <c r="C195" s="21">
        <f>IF(A195="",0,N('[1]基础资料'!$S$194))</f>
        <v>0</v>
      </c>
      <c r="D195" s="11">
        <f>IF(A195="",0,N('[1]基础资料'!$U$194))</f>
        <v>0</v>
      </c>
      <c r="E195" s="21">
        <f>IF(A195="",0,SUMIFS('[1]采购入库'!$U$4:$U$2003,'[1]采购入库'!$I$4:$I$2003,$A195))</f>
        <v>0</v>
      </c>
      <c r="F195" s="11">
        <f>IF(A195="",0,SUMIFS('[1]采购入库'!$V$4:$V$2003,'[1]采购入库'!$I$4:$I$2003,$A195))</f>
        <v>0</v>
      </c>
      <c r="G195" s="21">
        <f>IF(A195="",0,SUMIFS('[1]销售出库'!$R$4:$R$2003,'[1]销售出库'!$H$4:$H$2003,$A195))</f>
        <v>0</v>
      </c>
      <c r="H195" s="11">
        <f t="shared" si="3"/>
        <v>0</v>
      </c>
      <c r="I195" s="11">
        <f t="shared" si="0"/>
        <v>0</v>
      </c>
      <c r="J195" s="21">
        <f t="shared" si="1"/>
        <v>0</v>
      </c>
      <c r="K195" s="11">
        <f t="shared" si="2"/>
        <v>0</v>
      </c>
      <c r="L195" s="6">
        <f t="shared" si="4"/>
      </c>
      <c r="M195" s="21">
        <f>IF($A195="",0,SUMIFS('[1]销售出库'!$R$4:$R$2003,'[1]销售出库'!$H$4:$H$2003,$A195,'[1]销售出库'!$Q$4:$Q$2003,'首页'!$B$4*100+M$4))</f>
        <v>0</v>
      </c>
      <c r="N195" s="21">
        <f>IF($A195="",0,SUMIFS('[1]销售出库'!$R$4:$R$2003,'[1]销售出库'!$H$4:$H$2003,$A195,'[1]销售出库'!$Q$4:$Q$2003,'首页'!$B$4*100+N$4))</f>
        <v>0</v>
      </c>
      <c r="O195" s="21">
        <f>IF($A195="",0,SUMIFS('[1]销售出库'!$R$4:$R$2003,'[1]销售出库'!$H$4:$H$2003,$A195,'[1]销售出库'!$Q$4:$Q$2003,'首页'!$B$4*100+O$4))</f>
        <v>0</v>
      </c>
      <c r="P195" s="21">
        <f>IF($A195="",0,SUMIFS('[1]销售出库'!$R$4:$R$2003,'[1]销售出库'!$H$4:$H$2003,$A195,'[1]销售出库'!$Q$4:$Q$2003,'首页'!$B$4*100+P$4))</f>
        <v>0</v>
      </c>
      <c r="Q195" s="21">
        <f>IF($A195="",0,SUMIFS('[1]销售出库'!$R$4:$R$2003,'[1]销售出库'!$H$4:$H$2003,$A195,'[1]销售出库'!$Q$4:$Q$2003,'首页'!$B$4*100+Q$4))</f>
        <v>0</v>
      </c>
      <c r="R195" s="21">
        <f>IF($A195="",0,SUMIFS('[1]销售出库'!$R$4:$R$2003,'[1]销售出库'!$H$4:$H$2003,$A195,'[1]销售出库'!$Q$4:$Q$2003,'首页'!$B$4*100+R$4))</f>
        <v>0</v>
      </c>
      <c r="S195" s="21">
        <f>IF($A195="",0,SUMIFS('[1]销售出库'!$R$4:$R$2003,'[1]销售出库'!$H$4:$H$2003,$A195,'[1]销售出库'!$Q$4:$Q$2003,'首页'!$B$4*100+S$4))</f>
        <v>0</v>
      </c>
      <c r="T195" s="21">
        <f>IF($A195="",0,SUMIFS('[1]销售出库'!$R$4:$R$2003,'[1]销售出库'!$H$4:$H$2003,$A195,'[1]销售出库'!$Q$4:$Q$2003,'首页'!$B$4*100+T$4))</f>
        <v>0</v>
      </c>
      <c r="U195" s="21">
        <f>IF($A195="",0,SUMIFS('[1]销售出库'!$R$4:$R$2003,'[1]销售出库'!$H$4:$H$2003,$A195,'[1]销售出库'!$Q$4:$Q$2003,'首页'!$B$4*100+U$4))</f>
        <v>0</v>
      </c>
      <c r="V195" s="21">
        <f>IF($A195="",0,SUMIFS('[1]销售出库'!$R$4:$R$2003,'[1]销售出库'!$H$4:$H$2003,$A195,'[1]销售出库'!$Q$4:$Q$2003,'首页'!$B$4*100+V$4))</f>
        <v>0</v>
      </c>
      <c r="W195" s="21">
        <f>IF($A195="",0,SUMIFS('[1]销售出库'!$R$4:$R$2003,'[1]销售出库'!$H$4:$H$2003,$A195,'[1]销售出库'!$Q$4:$Q$2003,'首页'!$B$4*100+W$4))</f>
        <v>0</v>
      </c>
      <c r="X195" s="21">
        <f>IF($A195="",0,SUMIFS('[1]销售出库'!$R$4:$R$2003,'[1]销售出库'!$H$4:$H$2003,$A195,'[1]销售出库'!$Q$4:$Q$2003,'首页'!$B$4*100+X$4))</f>
        <v>0</v>
      </c>
    </row>
    <row r="196">
      <c r="A196" s="6">
        <f>IF('[1]基础资料'!$P$195="","",'[1]基础资料'!$P$195)</f>
      </c>
      <c r="B196" s="6">
        <f>IF(A196="","",'[1]基础资料'!$Q$195&amp;"")</f>
      </c>
      <c r="C196" s="21">
        <f>IF(A196="",0,N('[1]基础资料'!$S$195))</f>
        <v>0</v>
      </c>
      <c r="D196" s="11">
        <f>IF(A196="",0,N('[1]基础资料'!$U$195))</f>
        <v>0</v>
      </c>
      <c r="E196" s="21">
        <f>IF(A196="",0,SUMIFS('[1]采购入库'!$U$4:$U$2003,'[1]采购入库'!$I$4:$I$2003,$A196))</f>
        <v>0</v>
      </c>
      <c r="F196" s="11">
        <f>IF(A196="",0,SUMIFS('[1]采购入库'!$V$4:$V$2003,'[1]采购入库'!$I$4:$I$2003,$A196))</f>
        <v>0</v>
      </c>
      <c r="G196" s="21">
        <f>IF(A196="",0,SUMIFS('[1]销售出库'!$R$4:$R$2003,'[1]销售出库'!$H$4:$H$2003,$A196))</f>
        <v>0</v>
      </c>
      <c r="H196" s="11">
        <f t="shared" si="3"/>
        <v>0</v>
      </c>
      <c r="I196" s="11">
        <f t="shared" si="0"/>
        <v>0</v>
      </c>
      <c r="J196" s="21">
        <f t="shared" si="1"/>
        <v>0</v>
      </c>
      <c r="K196" s="11">
        <f t="shared" si="2"/>
        <v>0</v>
      </c>
      <c r="L196" s="6">
        <f t="shared" si="4"/>
      </c>
      <c r="M196" s="21">
        <f>IF($A196="",0,SUMIFS('[1]销售出库'!$R$4:$R$2003,'[1]销售出库'!$H$4:$H$2003,$A196,'[1]销售出库'!$Q$4:$Q$2003,'首页'!$B$4*100+M$4))</f>
        <v>0</v>
      </c>
      <c r="N196" s="21">
        <f>IF($A196="",0,SUMIFS('[1]销售出库'!$R$4:$R$2003,'[1]销售出库'!$H$4:$H$2003,$A196,'[1]销售出库'!$Q$4:$Q$2003,'首页'!$B$4*100+N$4))</f>
        <v>0</v>
      </c>
      <c r="O196" s="21">
        <f>IF($A196="",0,SUMIFS('[1]销售出库'!$R$4:$R$2003,'[1]销售出库'!$H$4:$H$2003,$A196,'[1]销售出库'!$Q$4:$Q$2003,'首页'!$B$4*100+O$4))</f>
        <v>0</v>
      </c>
      <c r="P196" s="21">
        <f>IF($A196="",0,SUMIFS('[1]销售出库'!$R$4:$R$2003,'[1]销售出库'!$H$4:$H$2003,$A196,'[1]销售出库'!$Q$4:$Q$2003,'首页'!$B$4*100+P$4))</f>
        <v>0</v>
      </c>
      <c r="Q196" s="21">
        <f>IF($A196="",0,SUMIFS('[1]销售出库'!$R$4:$R$2003,'[1]销售出库'!$H$4:$H$2003,$A196,'[1]销售出库'!$Q$4:$Q$2003,'首页'!$B$4*100+Q$4))</f>
        <v>0</v>
      </c>
      <c r="R196" s="21">
        <f>IF($A196="",0,SUMIFS('[1]销售出库'!$R$4:$R$2003,'[1]销售出库'!$H$4:$H$2003,$A196,'[1]销售出库'!$Q$4:$Q$2003,'首页'!$B$4*100+R$4))</f>
        <v>0</v>
      </c>
      <c r="S196" s="21">
        <f>IF($A196="",0,SUMIFS('[1]销售出库'!$R$4:$R$2003,'[1]销售出库'!$H$4:$H$2003,$A196,'[1]销售出库'!$Q$4:$Q$2003,'首页'!$B$4*100+S$4))</f>
        <v>0</v>
      </c>
      <c r="T196" s="21">
        <f>IF($A196="",0,SUMIFS('[1]销售出库'!$R$4:$R$2003,'[1]销售出库'!$H$4:$H$2003,$A196,'[1]销售出库'!$Q$4:$Q$2003,'首页'!$B$4*100+T$4))</f>
        <v>0</v>
      </c>
      <c r="U196" s="21">
        <f>IF($A196="",0,SUMIFS('[1]销售出库'!$R$4:$R$2003,'[1]销售出库'!$H$4:$H$2003,$A196,'[1]销售出库'!$Q$4:$Q$2003,'首页'!$B$4*100+U$4))</f>
        <v>0</v>
      </c>
      <c r="V196" s="21">
        <f>IF($A196="",0,SUMIFS('[1]销售出库'!$R$4:$R$2003,'[1]销售出库'!$H$4:$H$2003,$A196,'[1]销售出库'!$Q$4:$Q$2003,'首页'!$B$4*100+V$4))</f>
        <v>0</v>
      </c>
      <c r="W196" s="21">
        <f>IF($A196="",0,SUMIFS('[1]销售出库'!$R$4:$R$2003,'[1]销售出库'!$H$4:$H$2003,$A196,'[1]销售出库'!$Q$4:$Q$2003,'首页'!$B$4*100+W$4))</f>
        <v>0</v>
      </c>
      <c r="X196" s="21">
        <f>IF($A196="",0,SUMIFS('[1]销售出库'!$R$4:$R$2003,'[1]销售出库'!$H$4:$H$2003,$A196,'[1]销售出库'!$Q$4:$Q$2003,'首页'!$B$4*100+X$4))</f>
        <v>0</v>
      </c>
    </row>
    <row r="197">
      <c r="A197" s="6">
        <f>IF('[1]基础资料'!$P$196="","",'[1]基础资料'!$P$196)</f>
      </c>
      <c r="B197" s="6">
        <f>IF(A197="","",'[1]基础资料'!$Q$196&amp;"")</f>
      </c>
      <c r="C197" s="21">
        <f>IF(A197="",0,N('[1]基础资料'!$S$196))</f>
        <v>0</v>
      </c>
      <c r="D197" s="11">
        <f>IF(A197="",0,N('[1]基础资料'!$U$196))</f>
        <v>0</v>
      </c>
      <c r="E197" s="21">
        <f>IF(A197="",0,SUMIFS('[1]采购入库'!$U$4:$U$2003,'[1]采购入库'!$I$4:$I$2003,$A197))</f>
        <v>0</v>
      </c>
      <c r="F197" s="11">
        <f>IF(A197="",0,SUMIFS('[1]采购入库'!$V$4:$V$2003,'[1]采购入库'!$I$4:$I$2003,$A197))</f>
        <v>0</v>
      </c>
      <c r="G197" s="21">
        <f>IF(A197="",0,SUMIFS('[1]销售出库'!$R$4:$R$2003,'[1]销售出库'!$H$4:$H$2003,$A197))</f>
        <v>0</v>
      </c>
      <c r="H197" s="11">
        <f t="shared" si="3"/>
        <v>0</v>
      </c>
      <c r="I197" s="11">
        <f t="shared" si="0"/>
        <v>0</v>
      </c>
      <c r="J197" s="21">
        <f t="shared" si="1"/>
        <v>0</v>
      </c>
      <c r="K197" s="11">
        <f t="shared" si="2"/>
        <v>0</v>
      </c>
      <c r="L197" s="6">
        <f t="shared" si="4"/>
      </c>
      <c r="M197" s="21">
        <f>IF($A197="",0,SUMIFS('[1]销售出库'!$R$4:$R$2003,'[1]销售出库'!$H$4:$H$2003,$A197,'[1]销售出库'!$Q$4:$Q$2003,'首页'!$B$4*100+M$4))</f>
        <v>0</v>
      </c>
      <c r="N197" s="21">
        <f>IF($A197="",0,SUMIFS('[1]销售出库'!$R$4:$R$2003,'[1]销售出库'!$H$4:$H$2003,$A197,'[1]销售出库'!$Q$4:$Q$2003,'首页'!$B$4*100+N$4))</f>
        <v>0</v>
      </c>
      <c r="O197" s="21">
        <f>IF($A197="",0,SUMIFS('[1]销售出库'!$R$4:$R$2003,'[1]销售出库'!$H$4:$H$2003,$A197,'[1]销售出库'!$Q$4:$Q$2003,'首页'!$B$4*100+O$4))</f>
        <v>0</v>
      </c>
      <c r="P197" s="21">
        <f>IF($A197="",0,SUMIFS('[1]销售出库'!$R$4:$R$2003,'[1]销售出库'!$H$4:$H$2003,$A197,'[1]销售出库'!$Q$4:$Q$2003,'首页'!$B$4*100+P$4))</f>
        <v>0</v>
      </c>
      <c r="Q197" s="21">
        <f>IF($A197="",0,SUMIFS('[1]销售出库'!$R$4:$R$2003,'[1]销售出库'!$H$4:$H$2003,$A197,'[1]销售出库'!$Q$4:$Q$2003,'首页'!$B$4*100+Q$4))</f>
        <v>0</v>
      </c>
      <c r="R197" s="21">
        <f>IF($A197="",0,SUMIFS('[1]销售出库'!$R$4:$R$2003,'[1]销售出库'!$H$4:$H$2003,$A197,'[1]销售出库'!$Q$4:$Q$2003,'首页'!$B$4*100+R$4))</f>
        <v>0</v>
      </c>
      <c r="S197" s="21">
        <f>IF($A197="",0,SUMIFS('[1]销售出库'!$R$4:$R$2003,'[1]销售出库'!$H$4:$H$2003,$A197,'[1]销售出库'!$Q$4:$Q$2003,'首页'!$B$4*100+S$4))</f>
        <v>0</v>
      </c>
      <c r="T197" s="21">
        <f>IF($A197="",0,SUMIFS('[1]销售出库'!$R$4:$R$2003,'[1]销售出库'!$H$4:$H$2003,$A197,'[1]销售出库'!$Q$4:$Q$2003,'首页'!$B$4*100+T$4))</f>
        <v>0</v>
      </c>
      <c r="U197" s="21">
        <f>IF($A197="",0,SUMIFS('[1]销售出库'!$R$4:$R$2003,'[1]销售出库'!$H$4:$H$2003,$A197,'[1]销售出库'!$Q$4:$Q$2003,'首页'!$B$4*100+U$4))</f>
        <v>0</v>
      </c>
      <c r="V197" s="21">
        <f>IF($A197="",0,SUMIFS('[1]销售出库'!$R$4:$R$2003,'[1]销售出库'!$H$4:$H$2003,$A197,'[1]销售出库'!$Q$4:$Q$2003,'首页'!$B$4*100+V$4))</f>
        <v>0</v>
      </c>
      <c r="W197" s="21">
        <f>IF($A197="",0,SUMIFS('[1]销售出库'!$R$4:$R$2003,'[1]销售出库'!$H$4:$H$2003,$A197,'[1]销售出库'!$Q$4:$Q$2003,'首页'!$B$4*100+W$4))</f>
        <v>0</v>
      </c>
      <c r="X197" s="21">
        <f>IF($A197="",0,SUMIFS('[1]销售出库'!$R$4:$R$2003,'[1]销售出库'!$H$4:$H$2003,$A197,'[1]销售出库'!$Q$4:$Q$2003,'首页'!$B$4*100+X$4))</f>
        <v>0</v>
      </c>
    </row>
    <row r="198">
      <c r="A198" s="6">
        <f>IF('[1]基础资料'!$P$197="","",'[1]基础资料'!$P$197)</f>
      </c>
      <c r="B198" s="6">
        <f>IF(A198="","",'[1]基础资料'!$Q$197&amp;"")</f>
      </c>
      <c r="C198" s="21">
        <f>IF(A198="",0,N('[1]基础资料'!$S$197))</f>
        <v>0</v>
      </c>
      <c r="D198" s="11">
        <f>IF(A198="",0,N('[1]基础资料'!$U$197))</f>
        <v>0</v>
      </c>
      <c r="E198" s="21">
        <f>IF(A198="",0,SUMIFS('[1]采购入库'!$U$4:$U$2003,'[1]采购入库'!$I$4:$I$2003,$A198))</f>
        <v>0</v>
      </c>
      <c r="F198" s="11">
        <f>IF(A198="",0,SUMIFS('[1]采购入库'!$V$4:$V$2003,'[1]采购入库'!$I$4:$I$2003,$A198))</f>
        <v>0</v>
      </c>
      <c r="G198" s="21">
        <f>IF(A198="",0,SUMIFS('[1]销售出库'!$R$4:$R$2003,'[1]销售出库'!$H$4:$H$2003,$A198))</f>
        <v>0</v>
      </c>
      <c r="H198" s="11">
        <f t="shared" si="3"/>
        <v>0</v>
      </c>
      <c r="I198" s="11">
        <f t="shared" si="0"/>
        <v>0</v>
      </c>
      <c r="J198" s="21">
        <f t="shared" si="1"/>
        <v>0</v>
      </c>
      <c r="K198" s="11">
        <f t="shared" si="2"/>
        <v>0</v>
      </c>
      <c r="L198" s="6">
        <f t="shared" si="4"/>
      </c>
      <c r="M198" s="21">
        <f>IF($A198="",0,SUMIFS('[1]销售出库'!$R$4:$R$2003,'[1]销售出库'!$H$4:$H$2003,$A198,'[1]销售出库'!$Q$4:$Q$2003,'首页'!$B$4*100+M$4))</f>
        <v>0</v>
      </c>
      <c r="N198" s="21">
        <f>IF($A198="",0,SUMIFS('[1]销售出库'!$R$4:$R$2003,'[1]销售出库'!$H$4:$H$2003,$A198,'[1]销售出库'!$Q$4:$Q$2003,'首页'!$B$4*100+N$4))</f>
        <v>0</v>
      </c>
      <c r="O198" s="21">
        <f>IF($A198="",0,SUMIFS('[1]销售出库'!$R$4:$R$2003,'[1]销售出库'!$H$4:$H$2003,$A198,'[1]销售出库'!$Q$4:$Q$2003,'首页'!$B$4*100+O$4))</f>
        <v>0</v>
      </c>
      <c r="P198" s="21">
        <f>IF($A198="",0,SUMIFS('[1]销售出库'!$R$4:$R$2003,'[1]销售出库'!$H$4:$H$2003,$A198,'[1]销售出库'!$Q$4:$Q$2003,'首页'!$B$4*100+P$4))</f>
        <v>0</v>
      </c>
      <c r="Q198" s="21">
        <f>IF($A198="",0,SUMIFS('[1]销售出库'!$R$4:$R$2003,'[1]销售出库'!$H$4:$H$2003,$A198,'[1]销售出库'!$Q$4:$Q$2003,'首页'!$B$4*100+Q$4))</f>
        <v>0</v>
      </c>
      <c r="R198" s="21">
        <f>IF($A198="",0,SUMIFS('[1]销售出库'!$R$4:$R$2003,'[1]销售出库'!$H$4:$H$2003,$A198,'[1]销售出库'!$Q$4:$Q$2003,'首页'!$B$4*100+R$4))</f>
        <v>0</v>
      </c>
      <c r="S198" s="21">
        <f>IF($A198="",0,SUMIFS('[1]销售出库'!$R$4:$R$2003,'[1]销售出库'!$H$4:$H$2003,$A198,'[1]销售出库'!$Q$4:$Q$2003,'首页'!$B$4*100+S$4))</f>
        <v>0</v>
      </c>
      <c r="T198" s="21">
        <f>IF($A198="",0,SUMIFS('[1]销售出库'!$R$4:$R$2003,'[1]销售出库'!$H$4:$H$2003,$A198,'[1]销售出库'!$Q$4:$Q$2003,'首页'!$B$4*100+T$4))</f>
        <v>0</v>
      </c>
      <c r="U198" s="21">
        <f>IF($A198="",0,SUMIFS('[1]销售出库'!$R$4:$R$2003,'[1]销售出库'!$H$4:$H$2003,$A198,'[1]销售出库'!$Q$4:$Q$2003,'首页'!$B$4*100+U$4))</f>
        <v>0</v>
      </c>
      <c r="V198" s="21">
        <f>IF($A198="",0,SUMIFS('[1]销售出库'!$R$4:$R$2003,'[1]销售出库'!$H$4:$H$2003,$A198,'[1]销售出库'!$Q$4:$Q$2003,'首页'!$B$4*100+V$4))</f>
        <v>0</v>
      </c>
      <c r="W198" s="21">
        <f>IF($A198="",0,SUMIFS('[1]销售出库'!$R$4:$R$2003,'[1]销售出库'!$H$4:$H$2003,$A198,'[1]销售出库'!$Q$4:$Q$2003,'首页'!$B$4*100+W$4))</f>
        <v>0</v>
      </c>
      <c r="X198" s="21">
        <f>IF($A198="",0,SUMIFS('[1]销售出库'!$R$4:$R$2003,'[1]销售出库'!$H$4:$H$2003,$A198,'[1]销售出库'!$Q$4:$Q$2003,'首页'!$B$4*100+X$4))</f>
        <v>0</v>
      </c>
    </row>
    <row r="199">
      <c r="A199" s="6">
        <f>IF('[1]基础资料'!$P$198="","",'[1]基础资料'!$P$198)</f>
      </c>
      <c r="B199" s="6">
        <f>IF(A199="","",'[1]基础资料'!$Q$198&amp;"")</f>
      </c>
      <c r="C199" s="21">
        <f>IF(A199="",0,N('[1]基础资料'!$S$198))</f>
        <v>0</v>
      </c>
      <c r="D199" s="11">
        <f>IF(A199="",0,N('[1]基础资料'!$U$198))</f>
        <v>0</v>
      </c>
      <c r="E199" s="21">
        <f>IF(A199="",0,SUMIFS('[1]采购入库'!$U$4:$U$2003,'[1]采购入库'!$I$4:$I$2003,$A199))</f>
        <v>0</v>
      </c>
      <c r="F199" s="11">
        <f>IF(A199="",0,SUMIFS('[1]采购入库'!$V$4:$V$2003,'[1]采购入库'!$I$4:$I$2003,$A199))</f>
        <v>0</v>
      </c>
      <c r="G199" s="21">
        <f>IF(A199="",0,SUMIFS('[1]销售出库'!$R$4:$R$2003,'[1]销售出库'!$H$4:$H$2003,$A199))</f>
        <v>0</v>
      </c>
      <c r="H199" s="11">
        <f t="shared" si="3"/>
        <v>0</v>
      </c>
      <c r="I199" s="11">
        <f t="shared" si="0"/>
        <v>0</v>
      </c>
      <c r="J199" s="21">
        <f t="shared" si="1"/>
        <v>0</v>
      </c>
      <c r="K199" s="11">
        <f t="shared" si="2"/>
        <v>0</v>
      </c>
      <c r="L199" s="6">
        <f t="shared" si="4"/>
      </c>
      <c r="M199" s="21">
        <f>IF($A199="",0,SUMIFS('[1]销售出库'!$R$4:$R$2003,'[1]销售出库'!$H$4:$H$2003,$A199,'[1]销售出库'!$Q$4:$Q$2003,'首页'!$B$4*100+M$4))</f>
        <v>0</v>
      </c>
      <c r="N199" s="21">
        <f>IF($A199="",0,SUMIFS('[1]销售出库'!$R$4:$R$2003,'[1]销售出库'!$H$4:$H$2003,$A199,'[1]销售出库'!$Q$4:$Q$2003,'首页'!$B$4*100+N$4))</f>
        <v>0</v>
      </c>
      <c r="O199" s="21">
        <f>IF($A199="",0,SUMIFS('[1]销售出库'!$R$4:$R$2003,'[1]销售出库'!$H$4:$H$2003,$A199,'[1]销售出库'!$Q$4:$Q$2003,'首页'!$B$4*100+O$4))</f>
        <v>0</v>
      </c>
      <c r="P199" s="21">
        <f>IF($A199="",0,SUMIFS('[1]销售出库'!$R$4:$R$2003,'[1]销售出库'!$H$4:$H$2003,$A199,'[1]销售出库'!$Q$4:$Q$2003,'首页'!$B$4*100+P$4))</f>
        <v>0</v>
      </c>
      <c r="Q199" s="21">
        <f>IF($A199="",0,SUMIFS('[1]销售出库'!$R$4:$R$2003,'[1]销售出库'!$H$4:$H$2003,$A199,'[1]销售出库'!$Q$4:$Q$2003,'首页'!$B$4*100+Q$4))</f>
        <v>0</v>
      </c>
      <c r="R199" s="21">
        <f>IF($A199="",0,SUMIFS('[1]销售出库'!$R$4:$R$2003,'[1]销售出库'!$H$4:$H$2003,$A199,'[1]销售出库'!$Q$4:$Q$2003,'首页'!$B$4*100+R$4))</f>
        <v>0</v>
      </c>
      <c r="S199" s="21">
        <f>IF($A199="",0,SUMIFS('[1]销售出库'!$R$4:$R$2003,'[1]销售出库'!$H$4:$H$2003,$A199,'[1]销售出库'!$Q$4:$Q$2003,'首页'!$B$4*100+S$4))</f>
        <v>0</v>
      </c>
      <c r="T199" s="21">
        <f>IF($A199="",0,SUMIFS('[1]销售出库'!$R$4:$R$2003,'[1]销售出库'!$H$4:$H$2003,$A199,'[1]销售出库'!$Q$4:$Q$2003,'首页'!$B$4*100+T$4))</f>
        <v>0</v>
      </c>
      <c r="U199" s="21">
        <f>IF($A199="",0,SUMIFS('[1]销售出库'!$R$4:$R$2003,'[1]销售出库'!$H$4:$H$2003,$A199,'[1]销售出库'!$Q$4:$Q$2003,'首页'!$B$4*100+U$4))</f>
        <v>0</v>
      </c>
      <c r="V199" s="21">
        <f>IF($A199="",0,SUMIFS('[1]销售出库'!$R$4:$R$2003,'[1]销售出库'!$H$4:$H$2003,$A199,'[1]销售出库'!$Q$4:$Q$2003,'首页'!$B$4*100+V$4))</f>
        <v>0</v>
      </c>
      <c r="W199" s="21">
        <f>IF($A199="",0,SUMIFS('[1]销售出库'!$R$4:$R$2003,'[1]销售出库'!$H$4:$H$2003,$A199,'[1]销售出库'!$Q$4:$Q$2003,'首页'!$B$4*100+W$4))</f>
        <v>0</v>
      </c>
      <c r="X199" s="21">
        <f>IF($A199="",0,SUMIFS('[1]销售出库'!$R$4:$R$2003,'[1]销售出库'!$H$4:$H$2003,$A199,'[1]销售出库'!$Q$4:$Q$2003,'首页'!$B$4*100+X$4))</f>
        <v>0</v>
      </c>
    </row>
    <row r="200">
      <c r="A200" s="6">
        <f>IF('[1]基础资料'!$P$199="","",'[1]基础资料'!$P$199)</f>
      </c>
      <c r="B200" s="6">
        <f>IF(A200="","",'[1]基础资料'!$Q$199&amp;"")</f>
      </c>
      <c r="C200" s="21">
        <f>IF(A200="",0,N('[1]基础资料'!$S$199))</f>
        <v>0</v>
      </c>
      <c r="D200" s="11">
        <f>IF(A200="",0,N('[1]基础资料'!$U$199))</f>
        <v>0</v>
      </c>
      <c r="E200" s="21">
        <f>IF(A200="",0,SUMIFS('[1]采购入库'!$U$4:$U$2003,'[1]采购入库'!$I$4:$I$2003,$A200))</f>
        <v>0</v>
      </c>
      <c r="F200" s="11">
        <f>IF(A200="",0,SUMIFS('[1]采购入库'!$V$4:$V$2003,'[1]采购入库'!$I$4:$I$2003,$A200))</f>
        <v>0</v>
      </c>
      <c r="G200" s="21">
        <f>IF(A200="",0,SUMIFS('[1]销售出库'!$R$4:$R$2003,'[1]销售出库'!$H$4:$H$2003,$A200))</f>
        <v>0</v>
      </c>
      <c r="H200" s="11">
        <f t="shared" si="3"/>
        <v>0</v>
      </c>
      <c r="I200" s="11">
        <f t="shared" si="0"/>
        <v>0</v>
      </c>
      <c r="J200" s="21">
        <f t="shared" si="1"/>
        <v>0</v>
      </c>
      <c r="K200" s="11">
        <f t="shared" si="2"/>
        <v>0</v>
      </c>
      <c r="L200" s="6">
        <f t="shared" si="4"/>
      </c>
      <c r="M200" s="21">
        <f>IF($A200="",0,SUMIFS('[1]销售出库'!$R$4:$R$2003,'[1]销售出库'!$H$4:$H$2003,$A200,'[1]销售出库'!$Q$4:$Q$2003,'首页'!$B$4*100+M$4))</f>
        <v>0</v>
      </c>
      <c r="N200" s="21">
        <f>IF($A200="",0,SUMIFS('[1]销售出库'!$R$4:$R$2003,'[1]销售出库'!$H$4:$H$2003,$A200,'[1]销售出库'!$Q$4:$Q$2003,'首页'!$B$4*100+N$4))</f>
        <v>0</v>
      </c>
      <c r="O200" s="21">
        <f>IF($A200="",0,SUMIFS('[1]销售出库'!$R$4:$R$2003,'[1]销售出库'!$H$4:$H$2003,$A200,'[1]销售出库'!$Q$4:$Q$2003,'首页'!$B$4*100+O$4))</f>
        <v>0</v>
      </c>
      <c r="P200" s="21">
        <f>IF($A200="",0,SUMIFS('[1]销售出库'!$R$4:$R$2003,'[1]销售出库'!$H$4:$H$2003,$A200,'[1]销售出库'!$Q$4:$Q$2003,'首页'!$B$4*100+P$4))</f>
        <v>0</v>
      </c>
      <c r="Q200" s="21">
        <f>IF($A200="",0,SUMIFS('[1]销售出库'!$R$4:$R$2003,'[1]销售出库'!$H$4:$H$2003,$A200,'[1]销售出库'!$Q$4:$Q$2003,'首页'!$B$4*100+Q$4))</f>
        <v>0</v>
      </c>
      <c r="R200" s="21">
        <f>IF($A200="",0,SUMIFS('[1]销售出库'!$R$4:$R$2003,'[1]销售出库'!$H$4:$H$2003,$A200,'[1]销售出库'!$Q$4:$Q$2003,'首页'!$B$4*100+R$4))</f>
        <v>0</v>
      </c>
      <c r="S200" s="21">
        <f>IF($A200="",0,SUMIFS('[1]销售出库'!$R$4:$R$2003,'[1]销售出库'!$H$4:$H$2003,$A200,'[1]销售出库'!$Q$4:$Q$2003,'首页'!$B$4*100+S$4))</f>
        <v>0</v>
      </c>
      <c r="T200" s="21">
        <f>IF($A200="",0,SUMIFS('[1]销售出库'!$R$4:$R$2003,'[1]销售出库'!$H$4:$H$2003,$A200,'[1]销售出库'!$Q$4:$Q$2003,'首页'!$B$4*100+T$4))</f>
        <v>0</v>
      </c>
      <c r="U200" s="21">
        <f>IF($A200="",0,SUMIFS('[1]销售出库'!$R$4:$R$2003,'[1]销售出库'!$H$4:$H$2003,$A200,'[1]销售出库'!$Q$4:$Q$2003,'首页'!$B$4*100+U$4))</f>
        <v>0</v>
      </c>
      <c r="V200" s="21">
        <f>IF($A200="",0,SUMIFS('[1]销售出库'!$R$4:$R$2003,'[1]销售出库'!$H$4:$H$2003,$A200,'[1]销售出库'!$Q$4:$Q$2003,'首页'!$B$4*100+V$4))</f>
        <v>0</v>
      </c>
      <c r="W200" s="21">
        <f>IF($A200="",0,SUMIFS('[1]销售出库'!$R$4:$R$2003,'[1]销售出库'!$H$4:$H$2003,$A200,'[1]销售出库'!$Q$4:$Q$2003,'首页'!$B$4*100+W$4))</f>
        <v>0</v>
      </c>
      <c r="X200" s="21">
        <f>IF($A200="",0,SUMIFS('[1]销售出库'!$R$4:$R$2003,'[1]销售出库'!$H$4:$H$2003,$A200,'[1]销售出库'!$Q$4:$Q$2003,'首页'!$B$4*100+X$4))</f>
        <v>0</v>
      </c>
    </row>
    <row r="201">
      <c r="A201" s="6">
        <f>IF('[1]基础资料'!$P$200="","",'[1]基础资料'!$P$200)</f>
      </c>
      <c r="B201" s="6">
        <f>IF(A201="","",'[1]基础资料'!$Q$200&amp;"")</f>
      </c>
      <c r="C201" s="21">
        <f>IF(A201="",0,N('[1]基础资料'!$S$200))</f>
        <v>0</v>
      </c>
      <c r="D201" s="11">
        <f>IF(A201="",0,N('[1]基础资料'!$U$200))</f>
        <v>0</v>
      </c>
      <c r="E201" s="21">
        <f>IF(A201="",0,SUMIFS('[1]采购入库'!$U$4:$U$2003,'[1]采购入库'!$I$4:$I$2003,$A201))</f>
        <v>0</v>
      </c>
      <c r="F201" s="11">
        <f>IF(A201="",0,SUMIFS('[1]采购入库'!$V$4:$V$2003,'[1]采购入库'!$I$4:$I$2003,$A201))</f>
        <v>0</v>
      </c>
      <c r="G201" s="21">
        <f>IF(A201="",0,SUMIFS('[1]销售出库'!$R$4:$R$2003,'[1]销售出库'!$H$4:$H$2003,$A201))</f>
        <v>0</v>
      </c>
      <c r="H201" s="11">
        <f t="shared" si="3"/>
        <v>0</v>
      </c>
      <c r="I201" s="11">
        <f t="shared" si="0"/>
        <v>0</v>
      </c>
      <c r="J201" s="21">
        <f t="shared" si="1"/>
        <v>0</v>
      </c>
      <c r="K201" s="11">
        <f t="shared" si="2"/>
        <v>0</v>
      </c>
      <c r="L201" s="6">
        <f t="shared" si="4"/>
      </c>
      <c r="M201" s="21">
        <f>IF($A201="",0,SUMIFS('[1]销售出库'!$R$4:$R$2003,'[1]销售出库'!$H$4:$H$2003,$A201,'[1]销售出库'!$Q$4:$Q$2003,'首页'!$B$4*100+M$4))</f>
        <v>0</v>
      </c>
      <c r="N201" s="21">
        <f>IF($A201="",0,SUMIFS('[1]销售出库'!$R$4:$R$2003,'[1]销售出库'!$H$4:$H$2003,$A201,'[1]销售出库'!$Q$4:$Q$2003,'首页'!$B$4*100+N$4))</f>
        <v>0</v>
      </c>
      <c r="O201" s="21">
        <f>IF($A201="",0,SUMIFS('[1]销售出库'!$R$4:$R$2003,'[1]销售出库'!$H$4:$H$2003,$A201,'[1]销售出库'!$Q$4:$Q$2003,'首页'!$B$4*100+O$4))</f>
        <v>0</v>
      </c>
      <c r="P201" s="21">
        <f>IF($A201="",0,SUMIFS('[1]销售出库'!$R$4:$R$2003,'[1]销售出库'!$H$4:$H$2003,$A201,'[1]销售出库'!$Q$4:$Q$2003,'首页'!$B$4*100+P$4))</f>
        <v>0</v>
      </c>
      <c r="Q201" s="21">
        <f>IF($A201="",0,SUMIFS('[1]销售出库'!$R$4:$R$2003,'[1]销售出库'!$H$4:$H$2003,$A201,'[1]销售出库'!$Q$4:$Q$2003,'首页'!$B$4*100+Q$4))</f>
        <v>0</v>
      </c>
      <c r="R201" s="21">
        <f>IF($A201="",0,SUMIFS('[1]销售出库'!$R$4:$R$2003,'[1]销售出库'!$H$4:$H$2003,$A201,'[1]销售出库'!$Q$4:$Q$2003,'首页'!$B$4*100+R$4))</f>
        <v>0</v>
      </c>
      <c r="S201" s="21">
        <f>IF($A201="",0,SUMIFS('[1]销售出库'!$R$4:$R$2003,'[1]销售出库'!$H$4:$H$2003,$A201,'[1]销售出库'!$Q$4:$Q$2003,'首页'!$B$4*100+S$4))</f>
        <v>0</v>
      </c>
      <c r="T201" s="21">
        <f>IF($A201="",0,SUMIFS('[1]销售出库'!$R$4:$R$2003,'[1]销售出库'!$H$4:$H$2003,$A201,'[1]销售出库'!$Q$4:$Q$2003,'首页'!$B$4*100+T$4))</f>
        <v>0</v>
      </c>
      <c r="U201" s="21">
        <f>IF($A201="",0,SUMIFS('[1]销售出库'!$R$4:$R$2003,'[1]销售出库'!$H$4:$H$2003,$A201,'[1]销售出库'!$Q$4:$Q$2003,'首页'!$B$4*100+U$4))</f>
        <v>0</v>
      </c>
      <c r="V201" s="21">
        <f>IF($A201="",0,SUMIFS('[1]销售出库'!$R$4:$R$2003,'[1]销售出库'!$H$4:$H$2003,$A201,'[1]销售出库'!$Q$4:$Q$2003,'首页'!$B$4*100+V$4))</f>
        <v>0</v>
      </c>
      <c r="W201" s="21">
        <f>IF($A201="",0,SUMIFS('[1]销售出库'!$R$4:$R$2003,'[1]销售出库'!$H$4:$H$2003,$A201,'[1]销售出库'!$Q$4:$Q$2003,'首页'!$B$4*100+W$4))</f>
        <v>0</v>
      </c>
      <c r="X201" s="21">
        <f>IF($A201="",0,SUMIFS('[1]销售出库'!$R$4:$R$2003,'[1]销售出库'!$H$4:$H$2003,$A201,'[1]销售出库'!$Q$4:$Q$2003,'首页'!$B$4*100+X$4))</f>
        <v>0</v>
      </c>
    </row>
    <row r="202">
      <c r="A202" s="6">
        <f>IF('[1]基础资料'!$P$201="","",'[1]基础资料'!$P$201)</f>
      </c>
      <c r="B202" s="6">
        <f>IF(A202="","",'[1]基础资料'!$Q$201&amp;"")</f>
      </c>
      <c r="C202" s="21">
        <f>IF(A202="",0,N('[1]基础资料'!$S$201))</f>
        <v>0</v>
      </c>
      <c r="D202" s="11">
        <f>IF(A202="",0,N('[1]基础资料'!$U$201))</f>
        <v>0</v>
      </c>
      <c r="E202" s="21">
        <f>IF(A202="",0,SUMIFS('[1]采购入库'!$U$4:$U$2003,'[1]采购入库'!$I$4:$I$2003,$A202))</f>
        <v>0</v>
      </c>
      <c r="F202" s="11">
        <f>IF(A202="",0,SUMIFS('[1]采购入库'!$V$4:$V$2003,'[1]采购入库'!$I$4:$I$2003,$A202))</f>
        <v>0</v>
      </c>
      <c r="G202" s="21">
        <f>IF(A202="",0,SUMIFS('[1]销售出库'!$R$4:$R$2003,'[1]销售出库'!$H$4:$H$2003,$A202))</f>
        <v>0</v>
      </c>
      <c r="H202" s="11">
        <f t="shared" si="3"/>
        <v>0</v>
      </c>
      <c r="I202" s="11">
        <f t="shared" si="0"/>
        <v>0</v>
      </c>
      <c r="J202" s="21">
        <f t="shared" si="1"/>
        <v>0</v>
      </c>
      <c r="K202" s="11">
        <f t="shared" si="2"/>
        <v>0</v>
      </c>
      <c r="L202" s="6">
        <f t="shared" si="4"/>
      </c>
      <c r="M202" s="21">
        <f>IF($A202="",0,SUMIFS('[1]销售出库'!$R$4:$R$2003,'[1]销售出库'!$H$4:$H$2003,$A202,'[1]销售出库'!$Q$4:$Q$2003,'首页'!$B$4*100+M$4))</f>
        <v>0</v>
      </c>
      <c r="N202" s="21">
        <f>IF($A202="",0,SUMIFS('[1]销售出库'!$R$4:$R$2003,'[1]销售出库'!$H$4:$H$2003,$A202,'[1]销售出库'!$Q$4:$Q$2003,'首页'!$B$4*100+N$4))</f>
        <v>0</v>
      </c>
      <c r="O202" s="21">
        <f>IF($A202="",0,SUMIFS('[1]销售出库'!$R$4:$R$2003,'[1]销售出库'!$H$4:$H$2003,$A202,'[1]销售出库'!$Q$4:$Q$2003,'首页'!$B$4*100+O$4))</f>
        <v>0</v>
      </c>
      <c r="P202" s="21">
        <f>IF($A202="",0,SUMIFS('[1]销售出库'!$R$4:$R$2003,'[1]销售出库'!$H$4:$H$2003,$A202,'[1]销售出库'!$Q$4:$Q$2003,'首页'!$B$4*100+P$4))</f>
        <v>0</v>
      </c>
      <c r="Q202" s="21">
        <f>IF($A202="",0,SUMIFS('[1]销售出库'!$R$4:$R$2003,'[1]销售出库'!$H$4:$H$2003,$A202,'[1]销售出库'!$Q$4:$Q$2003,'首页'!$B$4*100+Q$4))</f>
        <v>0</v>
      </c>
      <c r="R202" s="21">
        <f>IF($A202="",0,SUMIFS('[1]销售出库'!$R$4:$R$2003,'[1]销售出库'!$H$4:$H$2003,$A202,'[1]销售出库'!$Q$4:$Q$2003,'首页'!$B$4*100+R$4))</f>
        <v>0</v>
      </c>
      <c r="S202" s="21">
        <f>IF($A202="",0,SUMIFS('[1]销售出库'!$R$4:$R$2003,'[1]销售出库'!$H$4:$H$2003,$A202,'[1]销售出库'!$Q$4:$Q$2003,'首页'!$B$4*100+S$4))</f>
        <v>0</v>
      </c>
      <c r="T202" s="21">
        <f>IF($A202="",0,SUMIFS('[1]销售出库'!$R$4:$R$2003,'[1]销售出库'!$H$4:$H$2003,$A202,'[1]销售出库'!$Q$4:$Q$2003,'首页'!$B$4*100+T$4))</f>
        <v>0</v>
      </c>
      <c r="U202" s="21">
        <f>IF($A202="",0,SUMIFS('[1]销售出库'!$R$4:$R$2003,'[1]销售出库'!$H$4:$H$2003,$A202,'[1]销售出库'!$Q$4:$Q$2003,'首页'!$B$4*100+U$4))</f>
        <v>0</v>
      </c>
      <c r="V202" s="21">
        <f>IF($A202="",0,SUMIFS('[1]销售出库'!$R$4:$R$2003,'[1]销售出库'!$H$4:$H$2003,$A202,'[1]销售出库'!$Q$4:$Q$2003,'首页'!$B$4*100+V$4))</f>
        <v>0</v>
      </c>
      <c r="W202" s="21">
        <f>IF($A202="",0,SUMIFS('[1]销售出库'!$R$4:$R$2003,'[1]销售出库'!$H$4:$H$2003,$A202,'[1]销售出库'!$Q$4:$Q$2003,'首页'!$B$4*100+W$4))</f>
        <v>0</v>
      </c>
      <c r="X202" s="21">
        <f>IF($A202="",0,SUMIFS('[1]销售出库'!$R$4:$R$2003,'[1]销售出库'!$H$4:$H$2003,$A202,'[1]销售出库'!$Q$4:$Q$2003,'首页'!$B$4*100+X$4))</f>
        <v>0</v>
      </c>
    </row>
    <row r="203">
      <c r="A203" s="6">
        <f>IF('[1]基础资料'!$P$202="","",'[1]基础资料'!$P$202)</f>
      </c>
      <c r="B203" s="6">
        <f>IF(A203="","",'[1]基础资料'!$Q$202&amp;"")</f>
      </c>
      <c r="C203" s="21">
        <f>IF(A203="",0,N('[1]基础资料'!$S$202))</f>
        <v>0</v>
      </c>
      <c r="D203" s="11">
        <f>IF(A203="",0,N('[1]基础资料'!$U$202))</f>
        <v>0</v>
      </c>
      <c r="E203" s="21">
        <f>IF(A203="",0,SUMIFS('[1]采购入库'!$U$4:$U$2003,'[1]采购入库'!$I$4:$I$2003,$A203))</f>
        <v>0</v>
      </c>
      <c r="F203" s="11">
        <f>IF(A203="",0,SUMIFS('[1]采购入库'!$V$4:$V$2003,'[1]采购入库'!$I$4:$I$2003,$A203))</f>
        <v>0</v>
      </c>
      <c r="G203" s="21">
        <f>IF(A203="",0,SUMIFS('[1]销售出库'!$R$4:$R$2003,'[1]销售出库'!$H$4:$H$2003,$A203))</f>
        <v>0</v>
      </c>
      <c r="H203" s="11">
        <f t="shared" si="3"/>
        <v>0</v>
      </c>
      <c r="I203" s="11">
        <f t="shared" si="0"/>
        <v>0</v>
      </c>
      <c r="J203" s="21">
        <f t="shared" si="1"/>
        <v>0</v>
      </c>
      <c r="K203" s="11">
        <f t="shared" si="2"/>
        <v>0</v>
      </c>
      <c r="L203" s="6">
        <f t="shared" si="4"/>
      </c>
      <c r="M203" s="21">
        <f>IF($A203="",0,SUMIFS('[1]销售出库'!$R$4:$R$2003,'[1]销售出库'!$H$4:$H$2003,$A203,'[1]销售出库'!$Q$4:$Q$2003,'首页'!$B$4*100+M$4))</f>
        <v>0</v>
      </c>
      <c r="N203" s="21">
        <f>IF($A203="",0,SUMIFS('[1]销售出库'!$R$4:$R$2003,'[1]销售出库'!$H$4:$H$2003,$A203,'[1]销售出库'!$Q$4:$Q$2003,'首页'!$B$4*100+N$4))</f>
        <v>0</v>
      </c>
      <c r="O203" s="21">
        <f>IF($A203="",0,SUMIFS('[1]销售出库'!$R$4:$R$2003,'[1]销售出库'!$H$4:$H$2003,$A203,'[1]销售出库'!$Q$4:$Q$2003,'首页'!$B$4*100+O$4))</f>
        <v>0</v>
      </c>
      <c r="P203" s="21">
        <f>IF($A203="",0,SUMIFS('[1]销售出库'!$R$4:$R$2003,'[1]销售出库'!$H$4:$H$2003,$A203,'[1]销售出库'!$Q$4:$Q$2003,'首页'!$B$4*100+P$4))</f>
        <v>0</v>
      </c>
      <c r="Q203" s="21">
        <f>IF($A203="",0,SUMIFS('[1]销售出库'!$R$4:$R$2003,'[1]销售出库'!$H$4:$H$2003,$A203,'[1]销售出库'!$Q$4:$Q$2003,'首页'!$B$4*100+Q$4))</f>
        <v>0</v>
      </c>
      <c r="R203" s="21">
        <f>IF($A203="",0,SUMIFS('[1]销售出库'!$R$4:$R$2003,'[1]销售出库'!$H$4:$H$2003,$A203,'[1]销售出库'!$Q$4:$Q$2003,'首页'!$B$4*100+R$4))</f>
        <v>0</v>
      </c>
      <c r="S203" s="21">
        <f>IF($A203="",0,SUMIFS('[1]销售出库'!$R$4:$R$2003,'[1]销售出库'!$H$4:$H$2003,$A203,'[1]销售出库'!$Q$4:$Q$2003,'首页'!$B$4*100+S$4))</f>
        <v>0</v>
      </c>
      <c r="T203" s="21">
        <f>IF($A203="",0,SUMIFS('[1]销售出库'!$R$4:$R$2003,'[1]销售出库'!$H$4:$H$2003,$A203,'[1]销售出库'!$Q$4:$Q$2003,'首页'!$B$4*100+T$4))</f>
        <v>0</v>
      </c>
      <c r="U203" s="21">
        <f>IF($A203="",0,SUMIFS('[1]销售出库'!$R$4:$R$2003,'[1]销售出库'!$H$4:$H$2003,$A203,'[1]销售出库'!$Q$4:$Q$2003,'首页'!$B$4*100+U$4))</f>
        <v>0</v>
      </c>
      <c r="V203" s="21">
        <f>IF($A203="",0,SUMIFS('[1]销售出库'!$R$4:$R$2003,'[1]销售出库'!$H$4:$H$2003,$A203,'[1]销售出库'!$Q$4:$Q$2003,'首页'!$B$4*100+V$4))</f>
        <v>0</v>
      </c>
      <c r="W203" s="21">
        <f>IF($A203="",0,SUMIFS('[1]销售出库'!$R$4:$R$2003,'[1]销售出库'!$H$4:$H$2003,$A203,'[1]销售出库'!$Q$4:$Q$2003,'首页'!$B$4*100+W$4))</f>
        <v>0</v>
      </c>
      <c r="X203" s="21">
        <f>IF($A203="",0,SUMIFS('[1]销售出库'!$R$4:$R$2003,'[1]销售出库'!$H$4:$H$2003,$A203,'[1]销售出库'!$Q$4:$Q$2003,'首页'!$B$4*100+X$4))</f>
        <v>0</v>
      </c>
    </row>
    <row r="204">
      <c r="A204" s="6">
        <f>IF('[1]基础资料'!$P$203="","",'[1]基础资料'!$P$203)</f>
      </c>
      <c r="B204" s="6">
        <f>IF(A204="","",'[1]基础资料'!$Q$203&amp;"")</f>
      </c>
      <c r="C204" s="21">
        <f>IF(A204="",0,N('[1]基础资料'!$S$203))</f>
        <v>0</v>
      </c>
      <c r="D204" s="11">
        <f>IF(A204="",0,N('[1]基础资料'!$U$203))</f>
        <v>0</v>
      </c>
      <c r="E204" s="21">
        <f>IF(A204="",0,SUMIFS('[1]采购入库'!$U$4:$U$2003,'[1]采购入库'!$I$4:$I$2003,$A204))</f>
        <v>0</v>
      </c>
      <c r="F204" s="11">
        <f>IF(A204="",0,SUMIFS('[1]采购入库'!$V$4:$V$2003,'[1]采购入库'!$I$4:$I$2003,$A204))</f>
        <v>0</v>
      </c>
      <c r="G204" s="21">
        <f>IF(A204="",0,SUMIFS('[1]销售出库'!$R$4:$R$2003,'[1]销售出库'!$H$4:$H$2003,$A204))</f>
        <v>0</v>
      </c>
      <c r="H204" s="11">
        <f t="shared" si="3"/>
        <v>0</v>
      </c>
      <c r="I204" s="11">
        <f t="shared" si="0"/>
        <v>0</v>
      </c>
      <c r="J204" s="21">
        <f t="shared" si="1"/>
        <v>0</v>
      </c>
      <c r="K204" s="11">
        <f t="shared" si="2"/>
        <v>0</v>
      </c>
      <c r="L204" s="6">
        <f t="shared" si="4"/>
      </c>
      <c r="M204" s="21">
        <f>IF($A204="",0,SUMIFS('[1]销售出库'!$R$4:$R$2003,'[1]销售出库'!$H$4:$H$2003,$A204,'[1]销售出库'!$Q$4:$Q$2003,'首页'!$B$4*100+M$4))</f>
        <v>0</v>
      </c>
      <c r="N204" s="21">
        <f>IF($A204="",0,SUMIFS('[1]销售出库'!$R$4:$R$2003,'[1]销售出库'!$H$4:$H$2003,$A204,'[1]销售出库'!$Q$4:$Q$2003,'首页'!$B$4*100+N$4))</f>
        <v>0</v>
      </c>
      <c r="O204" s="21">
        <f>IF($A204="",0,SUMIFS('[1]销售出库'!$R$4:$R$2003,'[1]销售出库'!$H$4:$H$2003,$A204,'[1]销售出库'!$Q$4:$Q$2003,'首页'!$B$4*100+O$4))</f>
        <v>0</v>
      </c>
      <c r="P204" s="21">
        <f>IF($A204="",0,SUMIFS('[1]销售出库'!$R$4:$R$2003,'[1]销售出库'!$H$4:$H$2003,$A204,'[1]销售出库'!$Q$4:$Q$2003,'首页'!$B$4*100+P$4))</f>
        <v>0</v>
      </c>
      <c r="Q204" s="21">
        <f>IF($A204="",0,SUMIFS('[1]销售出库'!$R$4:$R$2003,'[1]销售出库'!$H$4:$H$2003,$A204,'[1]销售出库'!$Q$4:$Q$2003,'首页'!$B$4*100+Q$4))</f>
        <v>0</v>
      </c>
      <c r="R204" s="21">
        <f>IF($A204="",0,SUMIFS('[1]销售出库'!$R$4:$R$2003,'[1]销售出库'!$H$4:$H$2003,$A204,'[1]销售出库'!$Q$4:$Q$2003,'首页'!$B$4*100+R$4))</f>
        <v>0</v>
      </c>
      <c r="S204" s="21">
        <f>IF($A204="",0,SUMIFS('[1]销售出库'!$R$4:$R$2003,'[1]销售出库'!$H$4:$H$2003,$A204,'[1]销售出库'!$Q$4:$Q$2003,'首页'!$B$4*100+S$4))</f>
        <v>0</v>
      </c>
      <c r="T204" s="21">
        <f>IF($A204="",0,SUMIFS('[1]销售出库'!$R$4:$R$2003,'[1]销售出库'!$H$4:$H$2003,$A204,'[1]销售出库'!$Q$4:$Q$2003,'首页'!$B$4*100+T$4))</f>
        <v>0</v>
      </c>
      <c r="U204" s="21">
        <f>IF($A204="",0,SUMIFS('[1]销售出库'!$R$4:$R$2003,'[1]销售出库'!$H$4:$H$2003,$A204,'[1]销售出库'!$Q$4:$Q$2003,'首页'!$B$4*100+U$4))</f>
        <v>0</v>
      </c>
      <c r="V204" s="21">
        <f>IF($A204="",0,SUMIFS('[1]销售出库'!$R$4:$R$2003,'[1]销售出库'!$H$4:$H$2003,$A204,'[1]销售出库'!$Q$4:$Q$2003,'首页'!$B$4*100+V$4))</f>
        <v>0</v>
      </c>
      <c r="W204" s="21">
        <f>IF($A204="",0,SUMIFS('[1]销售出库'!$R$4:$R$2003,'[1]销售出库'!$H$4:$H$2003,$A204,'[1]销售出库'!$Q$4:$Q$2003,'首页'!$B$4*100+W$4))</f>
        <v>0</v>
      </c>
      <c r="X204" s="21">
        <f>IF($A204="",0,SUMIFS('[1]销售出库'!$R$4:$R$2003,'[1]销售出库'!$H$4:$H$2003,$A204,'[1]销售出库'!$Q$4:$Q$2003,'首页'!$B$4*100+X$4))</f>
        <v>0</v>
      </c>
    </row>
    <row r="205">
      <c r="A205" s="6">
        <f>IF('[1]基础资料'!$P$204="","",'[1]基础资料'!$P$204)</f>
      </c>
      <c r="B205" s="6">
        <f>IF(A205="","",'[1]基础资料'!$Q$204&amp;"")</f>
      </c>
      <c r="C205" s="21">
        <f>IF(A205="",0,N('[1]基础资料'!$S$204))</f>
        <v>0</v>
      </c>
      <c r="D205" s="11">
        <f>IF(A205="",0,N('[1]基础资料'!$U$204))</f>
        <v>0</v>
      </c>
      <c r="E205" s="21">
        <f>IF(A205="",0,SUMIFS('[1]采购入库'!$U$4:$U$2003,'[1]采购入库'!$I$4:$I$2003,$A205))</f>
        <v>0</v>
      </c>
      <c r="F205" s="11">
        <f>IF(A205="",0,SUMIFS('[1]采购入库'!$V$4:$V$2003,'[1]采购入库'!$I$4:$I$2003,$A205))</f>
        <v>0</v>
      </c>
      <c r="G205" s="21">
        <f>IF(A205="",0,SUMIFS('[1]销售出库'!$R$4:$R$2003,'[1]销售出库'!$H$4:$H$2003,$A205))</f>
        <v>0</v>
      </c>
      <c r="H205" s="11">
        <f t="shared" si="3"/>
        <v>0</v>
      </c>
      <c r="I205" s="11">
        <f t="shared" si="0"/>
        <v>0</v>
      </c>
      <c r="J205" s="21">
        <f t="shared" si="1"/>
        <v>0</v>
      </c>
      <c r="K205" s="11">
        <f t="shared" si="2"/>
        <v>0</v>
      </c>
      <c r="L205" s="6">
        <f t="shared" si="4"/>
      </c>
      <c r="M205" s="21">
        <f>IF($A205="",0,SUMIFS('[1]销售出库'!$R$4:$R$2003,'[1]销售出库'!$H$4:$H$2003,$A205,'[1]销售出库'!$Q$4:$Q$2003,'首页'!$B$4*100+M$4))</f>
        <v>0</v>
      </c>
      <c r="N205" s="21">
        <f>IF($A205="",0,SUMIFS('[1]销售出库'!$R$4:$R$2003,'[1]销售出库'!$H$4:$H$2003,$A205,'[1]销售出库'!$Q$4:$Q$2003,'首页'!$B$4*100+N$4))</f>
        <v>0</v>
      </c>
      <c r="O205" s="21">
        <f>IF($A205="",0,SUMIFS('[1]销售出库'!$R$4:$R$2003,'[1]销售出库'!$H$4:$H$2003,$A205,'[1]销售出库'!$Q$4:$Q$2003,'首页'!$B$4*100+O$4))</f>
        <v>0</v>
      </c>
      <c r="P205" s="21">
        <f>IF($A205="",0,SUMIFS('[1]销售出库'!$R$4:$R$2003,'[1]销售出库'!$H$4:$H$2003,$A205,'[1]销售出库'!$Q$4:$Q$2003,'首页'!$B$4*100+P$4))</f>
        <v>0</v>
      </c>
      <c r="Q205" s="21">
        <f>IF($A205="",0,SUMIFS('[1]销售出库'!$R$4:$R$2003,'[1]销售出库'!$H$4:$H$2003,$A205,'[1]销售出库'!$Q$4:$Q$2003,'首页'!$B$4*100+Q$4))</f>
        <v>0</v>
      </c>
      <c r="R205" s="21">
        <f>IF($A205="",0,SUMIFS('[1]销售出库'!$R$4:$R$2003,'[1]销售出库'!$H$4:$H$2003,$A205,'[1]销售出库'!$Q$4:$Q$2003,'首页'!$B$4*100+R$4))</f>
        <v>0</v>
      </c>
      <c r="S205" s="21">
        <f>IF($A205="",0,SUMIFS('[1]销售出库'!$R$4:$R$2003,'[1]销售出库'!$H$4:$H$2003,$A205,'[1]销售出库'!$Q$4:$Q$2003,'首页'!$B$4*100+S$4))</f>
        <v>0</v>
      </c>
      <c r="T205" s="21">
        <f>IF($A205="",0,SUMIFS('[1]销售出库'!$R$4:$R$2003,'[1]销售出库'!$H$4:$H$2003,$A205,'[1]销售出库'!$Q$4:$Q$2003,'首页'!$B$4*100+T$4))</f>
        <v>0</v>
      </c>
      <c r="U205" s="21">
        <f>IF($A205="",0,SUMIFS('[1]销售出库'!$R$4:$R$2003,'[1]销售出库'!$H$4:$H$2003,$A205,'[1]销售出库'!$Q$4:$Q$2003,'首页'!$B$4*100+U$4))</f>
        <v>0</v>
      </c>
      <c r="V205" s="21">
        <f>IF($A205="",0,SUMIFS('[1]销售出库'!$R$4:$R$2003,'[1]销售出库'!$H$4:$H$2003,$A205,'[1]销售出库'!$Q$4:$Q$2003,'首页'!$B$4*100+V$4))</f>
        <v>0</v>
      </c>
      <c r="W205" s="21">
        <f>IF($A205="",0,SUMIFS('[1]销售出库'!$R$4:$R$2003,'[1]销售出库'!$H$4:$H$2003,$A205,'[1]销售出库'!$Q$4:$Q$2003,'首页'!$B$4*100+W$4))</f>
        <v>0</v>
      </c>
      <c r="X205" s="21">
        <f>IF($A205="",0,SUMIFS('[1]销售出库'!$R$4:$R$2003,'[1]销售出库'!$H$4:$H$2003,$A205,'[1]销售出库'!$Q$4:$Q$2003,'首页'!$B$4*100+X$4))</f>
        <v>0</v>
      </c>
    </row>
    <row r="206">
      <c r="A206" s="6">
        <f>IF('[1]基础资料'!$P$205="","",'[1]基础资料'!$P$205)</f>
      </c>
      <c r="B206" s="6">
        <f>IF(A206="","",'[1]基础资料'!$Q$205&amp;"")</f>
      </c>
      <c r="C206" s="21">
        <f>IF(A206="",0,N('[1]基础资料'!$S$205))</f>
        <v>0</v>
      </c>
      <c r="D206" s="11">
        <f>IF(A206="",0,N('[1]基础资料'!$U$205))</f>
        <v>0</v>
      </c>
      <c r="E206" s="21">
        <f>IF(A206="",0,SUMIFS('[1]采购入库'!$U$4:$U$2003,'[1]采购入库'!$I$4:$I$2003,$A206))</f>
        <v>0</v>
      </c>
      <c r="F206" s="11">
        <f>IF(A206="",0,SUMIFS('[1]采购入库'!$V$4:$V$2003,'[1]采购入库'!$I$4:$I$2003,$A206))</f>
        <v>0</v>
      </c>
      <c r="G206" s="21">
        <f>IF(A206="",0,SUMIFS('[1]销售出库'!$R$4:$R$2003,'[1]销售出库'!$H$4:$H$2003,$A206))</f>
        <v>0</v>
      </c>
      <c r="H206" s="11">
        <f t="shared" si="3"/>
        <v>0</v>
      </c>
      <c r="I206" s="11">
        <f t="shared" si="0"/>
        <v>0</v>
      </c>
      <c r="J206" s="21">
        <f t="shared" si="1"/>
        <v>0</v>
      </c>
      <c r="K206" s="11">
        <f t="shared" si="2"/>
        <v>0</v>
      </c>
      <c r="L206" s="6">
        <f t="shared" si="4"/>
      </c>
      <c r="M206" s="21">
        <f>IF($A206="",0,SUMIFS('[1]销售出库'!$R$4:$R$2003,'[1]销售出库'!$H$4:$H$2003,$A206,'[1]销售出库'!$Q$4:$Q$2003,'首页'!$B$4*100+M$4))</f>
        <v>0</v>
      </c>
      <c r="N206" s="21">
        <f>IF($A206="",0,SUMIFS('[1]销售出库'!$R$4:$R$2003,'[1]销售出库'!$H$4:$H$2003,$A206,'[1]销售出库'!$Q$4:$Q$2003,'首页'!$B$4*100+N$4))</f>
        <v>0</v>
      </c>
      <c r="O206" s="21">
        <f>IF($A206="",0,SUMIFS('[1]销售出库'!$R$4:$R$2003,'[1]销售出库'!$H$4:$H$2003,$A206,'[1]销售出库'!$Q$4:$Q$2003,'首页'!$B$4*100+O$4))</f>
        <v>0</v>
      </c>
      <c r="P206" s="21">
        <f>IF($A206="",0,SUMIFS('[1]销售出库'!$R$4:$R$2003,'[1]销售出库'!$H$4:$H$2003,$A206,'[1]销售出库'!$Q$4:$Q$2003,'首页'!$B$4*100+P$4))</f>
        <v>0</v>
      </c>
      <c r="Q206" s="21">
        <f>IF($A206="",0,SUMIFS('[1]销售出库'!$R$4:$R$2003,'[1]销售出库'!$H$4:$H$2003,$A206,'[1]销售出库'!$Q$4:$Q$2003,'首页'!$B$4*100+Q$4))</f>
        <v>0</v>
      </c>
      <c r="R206" s="21">
        <f>IF($A206="",0,SUMIFS('[1]销售出库'!$R$4:$R$2003,'[1]销售出库'!$H$4:$H$2003,$A206,'[1]销售出库'!$Q$4:$Q$2003,'首页'!$B$4*100+R$4))</f>
        <v>0</v>
      </c>
      <c r="S206" s="21">
        <f>IF($A206="",0,SUMIFS('[1]销售出库'!$R$4:$R$2003,'[1]销售出库'!$H$4:$H$2003,$A206,'[1]销售出库'!$Q$4:$Q$2003,'首页'!$B$4*100+S$4))</f>
        <v>0</v>
      </c>
      <c r="T206" s="21">
        <f>IF($A206="",0,SUMIFS('[1]销售出库'!$R$4:$R$2003,'[1]销售出库'!$H$4:$H$2003,$A206,'[1]销售出库'!$Q$4:$Q$2003,'首页'!$B$4*100+T$4))</f>
        <v>0</v>
      </c>
      <c r="U206" s="21">
        <f>IF($A206="",0,SUMIFS('[1]销售出库'!$R$4:$R$2003,'[1]销售出库'!$H$4:$H$2003,$A206,'[1]销售出库'!$Q$4:$Q$2003,'首页'!$B$4*100+U$4))</f>
        <v>0</v>
      </c>
      <c r="V206" s="21">
        <f>IF($A206="",0,SUMIFS('[1]销售出库'!$R$4:$R$2003,'[1]销售出库'!$H$4:$H$2003,$A206,'[1]销售出库'!$Q$4:$Q$2003,'首页'!$B$4*100+V$4))</f>
        <v>0</v>
      </c>
      <c r="W206" s="21">
        <f>IF($A206="",0,SUMIFS('[1]销售出库'!$R$4:$R$2003,'[1]销售出库'!$H$4:$H$2003,$A206,'[1]销售出库'!$Q$4:$Q$2003,'首页'!$B$4*100+W$4))</f>
        <v>0</v>
      </c>
      <c r="X206" s="21">
        <f>IF($A206="",0,SUMIFS('[1]销售出库'!$R$4:$R$2003,'[1]销售出库'!$H$4:$H$2003,$A206,'[1]销售出库'!$Q$4:$Q$2003,'首页'!$B$4*100+X$4))</f>
        <v>0</v>
      </c>
    </row>
    <row r="207">
      <c r="A207" s="6">
        <f>IF('[1]基础资料'!$P$206="","",'[1]基础资料'!$P$206)</f>
      </c>
      <c r="B207" s="6">
        <f>IF(A207="","",'[1]基础资料'!$Q$206&amp;"")</f>
      </c>
      <c r="C207" s="21">
        <f>IF(A207="",0,N('[1]基础资料'!$S$206))</f>
        <v>0</v>
      </c>
      <c r="D207" s="11">
        <f>IF(A207="",0,N('[1]基础资料'!$U$206))</f>
        <v>0</v>
      </c>
      <c r="E207" s="21">
        <f>IF(A207="",0,SUMIFS('[1]采购入库'!$U$4:$U$2003,'[1]采购入库'!$I$4:$I$2003,$A207))</f>
        <v>0</v>
      </c>
      <c r="F207" s="11">
        <f>IF(A207="",0,SUMIFS('[1]采购入库'!$V$4:$V$2003,'[1]采购入库'!$I$4:$I$2003,$A207))</f>
        <v>0</v>
      </c>
      <c r="G207" s="21">
        <f>IF(A207="",0,SUMIFS('[1]销售出库'!$R$4:$R$2003,'[1]销售出库'!$H$4:$H$2003,$A207))</f>
        <v>0</v>
      </c>
      <c r="H207" s="11">
        <f t="shared" si="3"/>
        <v>0</v>
      </c>
      <c r="I207" s="11">
        <f t="shared" si="0"/>
        <v>0</v>
      </c>
      <c r="J207" s="21">
        <f t="shared" si="1"/>
        <v>0</v>
      </c>
      <c r="K207" s="11">
        <f t="shared" si="2"/>
        <v>0</v>
      </c>
      <c r="L207" s="6">
        <f t="shared" si="4"/>
      </c>
      <c r="M207" s="21">
        <f>IF($A207="",0,SUMIFS('[1]销售出库'!$R$4:$R$2003,'[1]销售出库'!$H$4:$H$2003,$A207,'[1]销售出库'!$Q$4:$Q$2003,'首页'!$B$4*100+M$4))</f>
        <v>0</v>
      </c>
      <c r="N207" s="21">
        <f>IF($A207="",0,SUMIFS('[1]销售出库'!$R$4:$R$2003,'[1]销售出库'!$H$4:$H$2003,$A207,'[1]销售出库'!$Q$4:$Q$2003,'首页'!$B$4*100+N$4))</f>
        <v>0</v>
      </c>
      <c r="O207" s="21">
        <f>IF($A207="",0,SUMIFS('[1]销售出库'!$R$4:$R$2003,'[1]销售出库'!$H$4:$H$2003,$A207,'[1]销售出库'!$Q$4:$Q$2003,'首页'!$B$4*100+O$4))</f>
        <v>0</v>
      </c>
      <c r="P207" s="21">
        <f>IF($A207="",0,SUMIFS('[1]销售出库'!$R$4:$R$2003,'[1]销售出库'!$H$4:$H$2003,$A207,'[1]销售出库'!$Q$4:$Q$2003,'首页'!$B$4*100+P$4))</f>
        <v>0</v>
      </c>
      <c r="Q207" s="21">
        <f>IF($A207="",0,SUMIFS('[1]销售出库'!$R$4:$R$2003,'[1]销售出库'!$H$4:$H$2003,$A207,'[1]销售出库'!$Q$4:$Q$2003,'首页'!$B$4*100+Q$4))</f>
        <v>0</v>
      </c>
      <c r="R207" s="21">
        <f>IF($A207="",0,SUMIFS('[1]销售出库'!$R$4:$R$2003,'[1]销售出库'!$H$4:$H$2003,$A207,'[1]销售出库'!$Q$4:$Q$2003,'首页'!$B$4*100+R$4))</f>
        <v>0</v>
      </c>
      <c r="S207" s="21">
        <f>IF($A207="",0,SUMIFS('[1]销售出库'!$R$4:$R$2003,'[1]销售出库'!$H$4:$H$2003,$A207,'[1]销售出库'!$Q$4:$Q$2003,'首页'!$B$4*100+S$4))</f>
        <v>0</v>
      </c>
      <c r="T207" s="21">
        <f>IF($A207="",0,SUMIFS('[1]销售出库'!$R$4:$R$2003,'[1]销售出库'!$H$4:$H$2003,$A207,'[1]销售出库'!$Q$4:$Q$2003,'首页'!$B$4*100+T$4))</f>
        <v>0</v>
      </c>
      <c r="U207" s="21">
        <f>IF($A207="",0,SUMIFS('[1]销售出库'!$R$4:$R$2003,'[1]销售出库'!$H$4:$H$2003,$A207,'[1]销售出库'!$Q$4:$Q$2003,'首页'!$B$4*100+U$4))</f>
        <v>0</v>
      </c>
      <c r="V207" s="21">
        <f>IF($A207="",0,SUMIFS('[1]销售出库'!$R$4:$R$2003,'[1]销售出库'!$H$4:$H$2003,$A207,'[1]销售出库'!$Q$4:$Q$2003,'首页'!$B$4*100+V$4))</f>
        <v>0</v>
      </c>
      <c r="W207" s="21">
        <f>IF($A207="",0,SUMIFS('[1]销售出库'!$R$4:$R$2003,'[1]销售出库'!$H$4:$H$2003,$A207,'[1]销售出库'!$Q$4:$Q$2003,'首页'!$B$4*100+W$4))</f>
        <v>0</v>
      </c>
      <c r="X207" s="21">
        <f>IF($A207="",0,SUMIFS('[1]销售出库'!$R$4:$R$2003,'[1]销售出库'!$H$4:$H$2003,$A207,'[1]销售出库'!$Q$4:$Q$2003,'首页'!$B$4*100+X$4))</f>
        <v>0</v>
      </c>
    </row>
    <row r="208">
      <c r="A208" s="6">
        <f>IF('[1]基础资料'!$P$207="","",'[1]基础资料'!$P$207)</f>
      </c>
      <c r="B208" s="6">
        <f>IF(A208="","",'[1]基础资料'!$Q$207&amp;"")</f>
      </c>
      <c r="C208" s="21">
        <f>IF(A208="",0,N('[1]基础资料'!$S$207))</f>
        <v>0</v>
      </c>
      <c r="D208" s="11">
        <f>IF(A208="",0,N('[1]基础资料'!$U$207))</f>
        <v>0</v>
      </c>
      <c r="E208" s="21">
        <f>IF(A208="",0,SUMIFS('[1]采购入库'!$U$4:$U$2003,'[1]采购入库'!$I$4:$I$2003,$A208))</f>
        <v>0</v>
      </c>
      <c r="F208" s="11">
        <f>IF(A208="",0,SUMIFS('[1]采购入库'!$V$4:$V$2003,'[1]采购入库'!$I$4:$I$2003,$A208))</f>
        <v>0</v>
      </c>
      <c r="G208" s="21">
        <f>IF(A208="",0,SUMIFS('[1]销售出库'!$R$4:$R$2003,'[1]销售出库'!$H$4:$H$2003,$A208))</f>
        <v>0</v>
      </c>
      <c r="H208" s="11">
        <f t="shared" si="3"/>
        <v>0</v>
      </c>
      <c r="I208" s="11">
        <f t="shared" si="0"/>
        <v>0</v>
      </c>
      <c r="J208" s="21">
        <f t="shared" si="1"/>
        <v>0</v>
      </c>
      <c r="K208" s="11">
        <f t="shared" si="2"/>
        <v>0</v>
      </c>
      <c r="L208" s="6">
        <f t="shared" si="4"/>
      </c>
      <c r="M208" s="21">
        <f>IF($A208="",0,SUMIFS('[1]销售出库'!$R$4:$R$2003,'[1]销售出库'!$H$4:$H$2003,$A208,'[1]销售出库'!$Q$4:$Q$2003,'首页'!$B$4*100+M$4))</f>
        <v>0</v>
      </c>
      <c r="N208" s="21">
        <f>IF($A208="",0,SUMIFS('[1]销售出库'!$R$4:$R$2003,'[1]销售出库'!$H$4:$H$2003,$A208,'[1]销售出库'!$Q$4:$Q$2003,'首页'!$B$4*100+N$4))</f>
        <v>0</v>
      </c>
      <c r="O208" s="21">
        <f>IF($A208="",0,SUMIFS('[1]销售出库'!$R$4:$R$2003,'[1]销售出库'!$H$4:$H$2003,$A208,'[1]销售出库'!$Q$4:$Q$2003,'首页'!$B$4*100+O$4))</f>
        <v>0</v>
      </c>
      <c r="P208" s="21">
        <f>IF($A208="",0,SUMIFS('[1]销售出库'!$R$4:$R$2003,'[1]销售出库'!$H$4:$H$2003,$A208,'[1]销售出库'!$Q$4:$Q$2003,'首页'!$B$4*100+P$4))</f>
        <v>0</v>
      </c>
      <c r="Q208" s="21">
        <f>IF($A208="",0,SUMIFS('[1]销售出库'!$R$4:$R$2003,'[1]销售出库'!$H$4:$H$2003,$A208,'[1]销售出库'!$Q$4:$Q$2003,'首页'!$B$4*100+Q$4))</f>
        <v>0</v>
      </c>
      <c r="R208" s="21">
        <f>IF($A208="",0,SUMIFS('[1]销售出库'!$R$4:$R$2003,'[1]销售出库'!$H$4:$H$2003,$A208,'[1]销售出库'!$Q$4:$Q$2003,'首页'!$B$4*100+R$4))</f>
        <v>0</v>
      </c>
      <c r="S208" s="21">
        <f>IF($A208="",0,SUMIFS('[1]销售出库'!$R$4:$R$2003,'[1]销售出库'!$H$4:$H$2003,$A208,'[1]销售出库'!$Q$4:$Q$2003,'首页'!$B$4*100+S$4))</f>
        <v>0</v>
      </c>
      <c r="T208" s="21">
        <f>IF($A208="",0,SUMIFS('[1]销售出库'!$R$4:$R$2003,'[1]销售出库'!$H$4:$H$2003,$A208,'[1]销售出库'!$Q$4:$Q$2003,'首页'!$B$4*100+T$4))</f>
        <v>0</v>
      </c>
      <c r="U208" s="21">
        <f>IF($A208="",0,SUMIFS('[1]销售出库'!$R$4:$R$2003,'[1]销售出库'!$H$4:$H$2003,$A208,'[1]销售出库'!$Q$4:$Q$2003,'首页'!$B$4*100+U$4))</f>
        <v>0</v>
      </c>
      <c r="V208" s="21">
        <f>IF($A208="",0,SUMIFS('[1]销售出库'!$R$4:$R$2003,'[1]销售出库'!$H$4:$H$2003,$A208,'[1]销售出库'!$Q$4:$Q$2003,'首页'!$B$4*100+V$4))</f>
        <v>0</v>
      </c>
      <c r="W208" s="21">
        <f>IF($A208="",0,SUMIFS('[1]销售出库'!$R$4:$R$2003,'[1]销售出库'!$H$4:$H$2003,$A208,'[1]销售出库'!$Q$4:$Q$2003,'首页'!$B$4*100+W$4))</f>
        <v>0</v>
      </c>
      <c r="X208" s="21">
        <f>IF($A208="",0,SUMIFS('[1]销售出库'!$R$4:$R$2003,'[1]销售出库'!$H$4:$H$2003,$A208,'[1]销售出库'!$Q$4:$Q$2003,'首页'!$B$4*100+X$4))</f>
        <v>0</v>
      </c>
    </row>
    <row r="209">
      <c r="A209" s="6">
        <f>IF('[1]基础资料'!$P$208="","",'[1]基础资料'!$P$208)</f>
      </c>
      <c r="B209" s="6">
        <f>IF(A209="","",'[1]基础资料'!$Q$208&amp;"")</f>
      </c>
      <c r="C209" s="21">
        <f>IF(A209="",0,N('[1]基础资料'!$S$208))</f>
        <v>0</v>
      </c>
      <c r="D209" s="11">
        <f>IF(A209="",0,N('[1]基础资料'!$U$208))</f>
        <v>0</v>
      </c>
      <c r="E209" s="21">
        <f>IF(A209="",0,SUMIFS('[1]采购入库'!$U$4:$U$2003,'[1]采购入库'!$I$4:$I$2003,$A209))</f>
        <v>0</v>
      </c>
      <c r="F209" s="11">
        <f>IF(A209="",0,SUMIFS('[1]采购入库'!$V$4:$V$2003,'[1]采购入库'!$I$4:$I$2003,$A209))</f>
        <v>0</v>
      </c>
      <c r="G209" s="21">
        <f>IF(A209="",0,SUMIFS('[1]销售出库'!$R$4:$R$2003,'[1]销售出库'!$H$4:$H$2003,$A209))</f>
        <v>0</v>
      </c>
      <c r="H209" s="11">
        <f t="shared" si="3"/>
        <v>0</v>
      </c>
      <c r="I209" s="11">
        <f t="shared" si="0"/>
        <v>0</v>
      </c>
      <c r="J209" s="21">
        <f t="shared" si="1"/>
        <v>0</v>
      </c>
      <c r="K209" s="11">
        <f t="shared" si="2"/>
        <v>0</v>
      </c>
      <c r="L209" s="6">
        <f t="shared" si="4"/>
      </c>
      <c r="M209" s="21">
        <f>IF($A209="",0,SUMIFS('[1]销售出库'!$R$4:$R$2003,'[1]销售出库'!$H$4:$H$2003,$A209,'[1]销售出库'!$Q$4:$Q$2003,'首页'!$B$4*100+M$4))</f>
        <v>0</v>
      </c>
      <c r="N209" s="21">
        <f>IF($A209="",0,SUMIFS('[1]销售出库'!$R$4:$R$2003,'[1]销售出库'!$H$4:$H$2003,$A209,'[1]销售出库'!$Q$4:$Q$2003,'首页'!$B$4*100+N$4))</f>
        <v>0</v>
      </c>
      <c r="O209" s="21">
        <f>IF($A209="",0,SUMIFS('[1]销售出库'!$R$4:$R$2003,'[1]销售出库'!$H$4:$H$2003,$A209,'[1]销售出库'!$Q$4:$Q$2003,'首页'!$B$4*100+O$4))</f>
        <v>0</v>
      </c>
      <c r="P209" s="21">
        <f>IF($A209="",0,SUMIFS('[1]销售出库'!$R$4:$R$2003,'[1]销售出库'!$H$4:$H$2003,$A209,'[1]销售出库'!$Q$4:$Q$2003,'首页'!$B$4*100+P$4))</f>
        <v>0</v>
      </c>
      <c r="Q209" s="21">
        <f>IF($A209="",0,SUMIFS('[1]销售出库'!$R$4:$R$2003,'[1]销售出库'!$H$4:$H$2003,$A209,'[1]销售出库'!$Q$4:$Q$2003,'首页'!$B$4*100+Q$4))</f>
        <v>0</v>
      </c>
      <c r="R209" s="21">
        <f>IF($A209="",0,SUMIFS('[1]销售出库'!$R$4:$R$2003,'[1]销售出库'!$H$4:$H$2003,$A209,'[1]销售出库'!$Q$4:$Q$2003,'首页'!$B$4*100+R$4))</f>
        <v>0</v>
      </c>
      <c r="S209" s="21">
        <f>IF($A209="",0,SUMIFS('[1]销售出库'!$R$4:$R$2003,'[1]销售出库'!$H$4:$H$2003,$A209,'[1]销售出库'!$Q$4:$Q$2003,'首页'!$B$4*100+S$4))</f>
        <v>0</v>
      </c>
      <c r="T209" s="21">
        <f>IF($A209="",0,SUMIFS('[1]销售出库'!$R$4:$R$2003,'[1]销售出库'!$H$4:$H$2003,$A209,'[1]销售出库'!$Q$4:$Q$2003,'首页'!$B$4*100+T$4))</f>
        <v>0</v>
      </c>
      <c r="U209" s="21">
        <f>IF($A209="",0,SUMIFS('[1]销售出库'!$R$4:$R$2003,'[1]销售出库'!$H$4:$H$2003,$A209,'[1]销售出库'!$Q$4:$Q$2003,'首页'!$B$4*100+U$4))</f>
        <v>0</v>
      </c>
      <c r="V209" s="21">
        <f>IF($A209="",0,SUMIFS('[1]销售出库'!$R$4:$R$2003,'[1]销售出库'!$H$4:$H$2003,$A209,'[1]销售出库'!$Q$4:$Q$2003,'首页'!$B$4*100+V$4))</f>
        <v>0</v>
      </c>
      <c r="W209" s="21">
        <f>IF($A209="",0,SUMIFS('[1]销售出库'!$R$4:$R$2003,'[1]销售出库'!$H$4:$H$2003,$A209,'[1]销售出库'!$Q$4:$Q$2003,'首页'!$B$4*100+W$4))</f>
        <v>0</v>
      </c>
      <c r="X209" s="21">
        <f>IF($A209="",0,SUMIFS('[1]销售出库'!$R$4:$R$2003,'[1]销售出库'!$H$4:$H$2003,$A209,'[1]销售出库'!$Q$4:$Q$2003,'首页'!$B$4*100+X$4))</f>
        <v>0</v>
      </c>
    </row>
    <row r="210">
      <c r="A210" s="6">
        <f>IF('[1]基础资料'!$P$209="","",'[1]基础资料'!$P$209)</f>
      </c>
      <c r="B210" s="6">
        <f>IF(A210="","",'[1]基础资料'!$Q$209&amp;"")</f>
      </c>
      <c r="C210" s="21">
        <f>IF(A210="",0,N('[1]基础资料'!$S$209))</f>
        <v>0</v>
      </c>
      <c r="D210" s="11">
        <f>IF(A210="",0,N('[1]基础资料'!$U$209))</f>
        <v>0</v>
      </c>
      <c r="E210" s="21">
        <f>IF(A210="",0,SUMIFS('[1]采购入库'!$U$4:$U$2003,'[1]采购入库'!$I$4:$I$2003,$A210))</f>
        <v>0</v>
      </c>
      <c r="F210" s="11">
        <f>IF(A210="",0,SUMIFS('[1]采购入库'!$V$4:$V$2003,'[1]采购入库'!$I$4:$I$2003,$A210))</f>
        <v>0</v>
      </c>
      <c r="G210" s="21">
        <f>IF(A210="",0,SUMIFS('[1]销售出库'!$R$4:$R$2003,'[1]销售出库'!$H$4:$H$2003,$A210))</f>
        <v>0</v>
      </c>
      <c r="H210" s="11">
        <f t="shared" si="3"/>
        <v>0</v>
      </c>
      <c r="I210" s="11">
        <f t="shared" si="0"/>
        <v>0</v>
      </c>
      <c r="J210" s="21">
        <f t="shared" si="1"/>
        <v>0</v>
      </c>
      <c r="K210" s="11">
        <f t="shared" si="2"/>
        <v>0</v>
      </c>
      <c r="L210" s="6">
        <f t="shared" si="4"/>
      </c>
      <c r="M210" s="21">
        <f>IF($A210="",0,SUMIFS('[1]销售出库'!$R$4:$R$2003,'[1]销售出库'!$H$4:$H$2003,$A210,'[1]销售出库'!$Q$4:$Q$2003,'首页'!$B$4*100+M$4))</f>
        <v>0</v>
      </c>
      <c r="N210" s="21">
        <f>IF($A210="",0,SUMIFS('[1]销售出库'!$R$4:$R$2003,'[1]销售出库'!$H$4:$H$2003,$A210,'[1]销售出库'!$Q$4:$Q$2003,'首页'!$B$4*100+N$4))</f>
        <v>0</v>
      </c>
      <c r="O210" s="21">
        <f>IF($A210="",0,SUMIFS('[1]销售出库'!$R$4:$R$2003,'[1]销售出库'!$H$4:$H$2003,$A210,'[1]销售出库'!$Q$4:$Q$2003,'首页'!$B$4*100+O$4))</f>
        <v>0</v>
      </c>
      <c r="P210" s="21">
        <f>IF($A210="",0,SUMIFS('[1]销售出库'!$R$4:$R$2003,'[1]销售出库'!$H$4:$H$2003,$A210,'[1]销售出库'!$Q$4:$Q$2003,'首页'!$B$4*100+P$4))</f>
        <v>0</v>
      </c>
      <c r="Q210" s="21">
        <f>IF($A210="",0,SUMIFS('[1]销售出库'!$R$4:$R$2003,'[1]销售出库'!$H$4:$H$2003,$A210,'[1]销售出库'!$Q$4:$Q$2003,'首页'!$B$4*100+Q$4))</f>
        <v>0</v>
      </c>
      <c r="R210" s="21">
        <f>IF($A210="",0,SUMIFS('[1]销售出库'!$R$4:$R$2003,'[1]销售出库'!$H$4:$H$2003,$A210,'[1]销售出库'!$Q$4:$Q$2003,'首页'!$B$4*100+R$4))</f>
        <v>0</v>
      </c>
      <c r="S210" s="21">
        <f>IF($A210="",0,SUMIFS('[1]销售出库'!$R$4:$R$2003,'[1]销售出库'!$H$4:$H$2003,$A210,'[1]销售出库'!$Q$4:$Q$2003,'首页'!$B$4*100+S$4))</f>
        <v>0</v>
      </c>
      <c r="T210" s="21">
        <f>IF($A210="",0,SUMIFS('[1]销售出库'!$R$4:$R$2003,'[1]销售出库'!$H$4:$H$2003,$A210,'[1]销售出库'!$Q$4:$Q$2003,'首页'!$B$4*100+T$4))</f>
        <v>0</v>
      </c>
      <c r="U210" s="21">
        <f>IF($A210="",0,SUMIFS('[1]销售出库'!$R$4:$R$2003,'[1]销售出库'!$H$4:$H$2003,$A210,'[1]销售出库'!$Q$4:$Q$2003,'首页'!$B$4*100+U$4))</f>
        <v>0</v>
      </c>
      <c r="V210" s="21">
        <f>IF($A210="",0,SUMIFS('[1]销售出库'!$R$4:$R$2003,'[1]销售出库'!$H$4:$H$2003,$A210,'[1]销售出库'!$Q$4:$Q$2003,'首页'!$B$4*100+V$4))</f>
        <v>0</v>
      </c>
      <c r="W210" s="21">
        <f>IF($A210="",0,SUMIFS('[1]销售出库'!$R$4:$R$2003,'[1]销售出库'!$H$4:$H$2003,$A210,'[1]销售出库'!$Q$4:$Q$2003,'首页'!$B$4*100+W$4))</f>
        <v>0</v>
      </c>
      <c r="X210" s="21">
        <f>IF($A210="",0,SUMIFS('[1]销售出库'!$R$4:$R$2003,'[1]销售出库'!$H$4:$H$2003,$A210,'[1]销售出库'!$Q$4:$Q$2003,'首页'!$B$4*100+X$4))</f>
        <v>0</v>
      </c>
    </row>
    <row r="211">
      <c r="A211" s="6">
        <f>IF('[1]基础资料'!$P$210="","",'[1]基础资料'!$P$210)</f>
      </c>
      <c r="B211" s="6">
        <f>IF(A211="","",'[1]基础资料'!$Q$210&amp;"")</f>
      </c>
      <c r="C211" s="21">
        <f>IF(A211="",0,N('[1]基础资料'!$S$210))</f>
        <v>0</v>
      </c>
      <c r="D211" s="11">
        <f>IF(A211="",0,N('[1]基础资料'!$U$210))</f>
        <v>0</v>
      </c>
      <c r="E211" s="21">
        <f>IF(A211="",0,SUMIFS('[1]采购入库'!$U$4:$U$2003,'[1]采购入库'!$I$4:$I$2003,$A211))</f>
        <v>0</v>
      </c>
      <c r="F211" s="11">
        <f>IF(A211="",0,SUMIFS('[1]采购入库'!$V$4:$V$2003,'[1]采购入库'!$I$4:$I$2003,$A211))</f>
        <v>0</v>
      </c>
      <c r="G211" s="21">
        <f>IF(A211="",0,SUMIFS('[1]销售出库'!$R$4:$R$2003,'[1]销售出库'!$H$4:$H$2003,$A211))</f>
        <v>0</v>
      </c>
      <c r="H211" s="11">
        <f t="shared" si="3"/>
        <v>0</v>
      </c>
      <c r="I211" s="11">
        <f t="shared" si="0"/>
        <v>0</v>
      </c>
      <c r="J211" s="21">
        <f t="shared" si="1"/>
        <v>0</v>
      </c>
      <c r="K211" s="11">
        <f t="shared" si="2"/>
        <v>0</v>
      </c>
      <c r="L211" s="6">
        <f t="shared" si="4"/>
      </c>
      <c r="M211" s="21">
        <f>IF($A211="",0,SUMIFS('[1]销售出库'!$R$4:$R$2003,'[1]销售出库'!$H$4:$H$2003,$A211,'[1]销售出库'!$Q$4:$Q$2003,'首页'!$B$4*100+M$4))</f>
        <v>0</v>
      </c>
      <c r="N211" s="21">
        <f>IF($A211="",0,SUMIFS('[1]销售出库'!$R$4:$R$2003,'[1]销售出库'!$H$4:$H$2003,$A211,'[1]销售出库'!$Q$4:$Q$2003,'首页'!$B$4*100+N$4))</f>
        <v>0</v>
      </c>
      <c r="O211" s="21">
        <f>IF($A211="",0,SUMIFS('[1]销售出库'!$R$4:$R$2003,'[1]销售出库'!$H$4:$H$2003,$A211,'[1]销售出库'!$Q$4:$Q$2003,'首页'!$B$4*100+O$4))</f>
        <v>0</v>
      </c>
      <c r="P211" s="21">
        <f>IF($A211="",0,SUMIFS('[1]销售出库'!$R$4:$R$2003,'[1]销售出库'!$H$4:$H$2003,$A211,'[1]销售出库'!$Q$4:$Q$2003,'首页'!$B$4*100+P$4))</f>
        <v>0</v>
      </c>
      <c r="Q211" s="21">
        <f>IF($A211="",0,SUMIFS('[1]销售出库'!$R$4:$R$2003,'[1]销售出库'!$H$4:$H$2003,$A211,'[1]销售出库'!$Q$4:$Q$2003,'首页'!$B$4*100+Q$4))</f>
        <v>0</v>
      </c>
      <c r="R211" s="21">
        <f>IF($A211="",0,SUMIFS('[1]销售出库'!$R$4:$R$2003,'[1]销售出库'!$H$4:$H$2003,$A211,'[1]销售出库'!$Q$4:$Q$2003,'首页'!$B$4*100+R$4))</f>
        <v>0</v>
      </c>
      <c r="S211" s="21">
        <f>IF($A211="",0,SUMIFS('[1]销售出库'!$R$4:$R$2003,'[1]销售出库'!$H$4:$H$2003,$A211,'[1]销售出库'!$Q$4:$Q$2003,'首页'!$B$4*100+S$4))</f>
        <v>0</v>
      </c>
      <c r="T211" s="21">
        <f>IF($A211="",0,SUMIFS('[1]销售出库'!$R$4:$R$2003,'[1]销售出库'!$H$4:$H$2003,$A211,'[1]销售出库'!$Q$4:$Q$2003,'首页'!$B$4*100+T$4))</f>
        <v>0</v>
      </c>
      <c r="U211" s="21">
        <f>IF($A211="",0,SUMIFS('[1]销售出库'!$R$4:$R$2003,'[1]销售出库'!$H$4:$H$2003,$A211,'[1]销售出库'!$Q$4:$Q$2003,'首页'!$B$4*100+U$4))</f>
        <v>0</v>
      </c>
      <c r="V211" s="21">
        <f>IF($A211="",0,SUMIFS('[1]销售出库'!$R$4:$R$2003,'[1]销售出库'!$H$4:$H$2003,$A211,'[1]销售出库'!$Q$4:$Q$2003,'首页'!$B$4*100+V$4))</f>
        <v>0</v>
      </c>
      <c r="W211" s="21">
        <f>IF($A211="",0,SUMIFS('[1]销售出库'!$R$4:$R$2003,'[1]销售出库'!$H$4:$H$2003,$A211,'[1]销售出库'!$Q$4:$Q$2003,'首页'!$B$4*100+W$4))</f>
        <v>0</v>
      </c>
      <c r="X211" s="21">
        <f>IF($A211="",0,SUMIFS('[1]销售出库'!$R$4:$R$2003,'[1]销售出库'!$H$4:$H$2003,$A211,'[1]销售出库'!$Q$4:$Q$2003,'首页'!$B$4*100+X$4))</f>
        <v>0</v>
      </c>
    </row>
    <row r="212">
      <c r="A212" s="6">
        <f>IF('[1]基础资料'!$P$211="","",'[1]基础资料'!$P$211)</f>
      </c>
      <c r="B212" s="6">
        <f>IF(A212="","",'[1]基础资料'!$Q$211&amp;"")</f>
      </c>
      <c r="C212" s="21">
        <f>IF(A212="",0,N('[1]基础资料'!$S$211))</f>
        <v>0</v>
      </c>
      <c r="D212" s="11">
        <f>IF(A212="",0,N('[1]基础资料'!$U$211))</f>
        <v>0</v>
      </c>
      <c r="E212" s="21">
        <f>IF(A212="",0,SUMIFS('[1]采购入库'!$U$4:$U$2003,'[1]采购入库'!$I$4:$I$2003,$A212))</f>
        <v>0</v>
      </c>
      <c r="F212" s="11">
        <f>IF(A212="",0,SUMIFS('[1]采购入库'!$V$4:$V$2003,'[1]采购入库'!$I$4:$I$2003,$A212))</f>
        <v>0</v>
      </c>
      <c r="G212" s="21">
        <f>IF(A212="",0,SUMIFS('[1]销售出库'!$R$4:$R$2003,'[1]销售出库'!$H$4:$H$2003,$A212))</f>
        <v>0</v>
      </c>
      <c r="H212" s="11">
        <f t="shared" si="3"/>
        <v>0</v>
      </c>
      <c r="I212" s="11">
        <f t="shared" si="0"/>
        <v>0</v>
      </c>
      <c r="J212" s="21">
        <f t="shared" si="1"/>
        <v>0</v>
      </c>
      <c r="K212" s="11">
        <f t="shared" si="2"/>
        <v>0</v>
      </c>
      <c r="L212" s="6">
        <f t="shared" si="4"/>
      </c>
      <c r="M212" s="21">
        <f>IF($A212="",0,SUMIFS('[1]销售出库'!$R$4:$R$2003,'[1]销售出库'!$H$4:$H$2003,$A212,'[1]销售出库'!$Q$4:$Q$2003,'首页'!$B$4*100+M$4))</f>
        <v>0</v>
      </c>
      <c r="N212" s="21">
        <f>IF($A212="",0,SUMIFS('[1]销售出库'!$R$4:$R$2003,'[1]销售出库'!$H$4:$H$2003,$A212,'[1]销售出库'!$Q$4:$Q$2003,'首页'!$B$4*100+N$4))</f>
        <v>0</v>
      </c>
      <c r="O212" s="21">
        <f>IF($A212="",0,SUMIFS('[1]销售出库'!$R$4:$R$2003,'[1]销售出库'!$H$4:$H$2003,$A212,'[1]销售出库'!$Q$4:$Q$2003,'首页'!$B$4*100+O$4))</f>
        <v>0</v>
      </c>
      <c r="P212" s="21">
        <f>IF($A212="",0,SUMIFS('[1]销售出库'!$R$4:$R$2003,'[1]销售出库'!$H$4:$H$2003,$A212,'[1]销售出库'!$Q$4:$Q$2003,'首页'!$B$4*100+P$4))</f>
        <v>0</v>
      </c>
      <c r="Q212" s="21">
        <f>IF($A212="",0,SUMIFS('[1]销售出库'!$R$4:$R$2003,'[1]销售出库'!$H$4:$H$2003,$A212,'[1]销售出库'!$Q$4:$Q$2003,'首页'!$B$4*100+Q$4))</f>
        <v>0</v>
      </c>
      <c r="R212" s="21">
        <f>IF($A212="",0,SUMIFS('[1]销售出库'!$R$4:$R$2003,'[1]销售出库'!$H$4:$H$2003,$A212,'[1]销售出库'!$Q$4:$Q$2003,'首页'!$B$4*100+R$4))</f>
        <v>0</v>
      </c>
      <c r="S212" s="21">
        <f>IF($A212="",0,SUMIFS('[1]销售出库'!$R$4:$R$2003,'[1]销售出库'!$H$4:$H$2003,$A212,'[1]销售出库'!$Q$4:$Q$2003,'首页'!$B$4*100+S$4))</f>
        <v>0</v>
      </c>
      <c r="T212" s="21">
        <f>IF($A212="",0,SUMIFS('[1]销售出库'!$R$4:$R$2003,'[1]销售出库'!$H$4:$H$2003,$A212,'[1]销售出库'!$Q$4:$Q$2003,'首页'!$B$4*100+T$4))</f>
        <v>0</v>
      </c>
      <c r="U212" s="21">
        <f>IF($A212="",0,SUMIFS('[1]销售出库'!$R$4:$R$2003,'[1]销售出库'!$H$4:$H$2003,$A212,'[1]销售出库'!$Q$4:$Q$2003,'首页'!$B$4*100+U$4))</f>
        <v>0</v>
      </c>
      <c r="V212" s="21">
        <f>IF($A212="",0,SUMIFS('[1]销售出库'!$R$4:$R$2003,'[1]销售出库'!$H$4:$H$2003,$A212,'[1]销售出库'!$Q$4:$Q$2003,'首页'!$B$4*100+V$4))</f>
        <v>0</v>
      </c>
      <c r="W212" s="21">
        <f>IF($A212="",0,SUMIFS('[1]销售出库'!$R$4:$R$2003,'[1]销售出库'!$H$4:$H$2003,$A212,'[1]销售出库'!$Q$4:$Q$2003,'首页'!$B$4*100+W$4))</f>
        <v>0</v>
      </c>
      <c r="X212" s="21">
        <f>IF($A212="",0,SUMIFS('[1]销售出库'!$R$4:$R$2003,'[1]销售出库'!$H$4:$H$2003,$A212,'[1]销售出库'!$Q$4:$Q$2003,'首页'!$B$4*100+X$4))</f>
        <v>0</v>
      </c>
    </row>
    <row r="213">
      <c r="A213" s="6">
        <f>IF('[1]基础资料'!$P$212="","",'[1]基础资料'!$P$212)</f>
      </c>
      <c r="B213" s="6">
        <f>IF(A213="","",'[1]基础资料'!$Q$212&amp;"")</f>
      </c>
      <c r="C213" s="21">
        <f>IF(A213="",0,N('[1]基础资料'!$S$212))</f>
        <v>0</v>
      </c>
      <c r="D213" s="11">
        <f>IF(A213="",0,N('[1]基础资料'!$U$212))</f>
        <v>0</v>
      </c>
      <c r="E213" s="21">
        <f>IF(A213="",0,SUMIFS('[1]采购入库'!$U$4:$U$2003,'[1]采购入库'!$I$4:$I$2003,$A213))</f>
        <v>0</v>
      </c>
      <c r="F213" s="11">
        <f>IF(A213="",0,SUMIFS('[1]采购入库'!$V$4:$V$2003,'[1]采购入库'!$I$4:$I$2003,$A213))</f>
        <v>0</v>
      </c>
      <c r="G213" s="21">
        <f>IF(A213="",0,SUMIFS('[1]销售出库'!$R$4:$R$2003,'[1]销售出库'!$H$4:$H$2003,$A213))</f>
        <v>0</v>
      </c>
      <c r="H213" s="11">
        <f t="shared" si="3"/>
        <v>0</v>
      </c>
      <c r="I213" s="11">
        <f t="shared" si="0"/>
        <v>0</v>
      </c>
      <c r="J213" s="21">
        <f t="shared" si="1"/>
        <v>0</v>
      </c>
      <c r="K213" s="11">
        <f t="shared" si="2"/>
        <v>0</v>
      </c>
      <c r="L213" s="6">
        <f t="shared" si="4"/>
      </c>
      <c r="M213" s="21">
        <f>IF($A213="",0,SUMIFS('[1]销售出库'!$R$4:$R$2003,'[1]销售出库'!$H$4:$H$2003,$A213,'[1]销售出库'!$Q$4:$Q$2003,'首页'!$B$4*100+M$4))</f>
        <v>0</v>
      </c>
      <c r="N213" s="21">
        <f>IF($A213="",0,SUMIFS('[1]销售出库'!$R$4:$R$2003,'[1]销售出库'!$H$4:$H$2003,$A213,'[1]销售出库'!$Q$4:$Q$2003,'首页'!$B$4*100+N$4))</f>
        <v>0</v>
      </c>
      <c r="O213" s="21">
        <f>IF($A213="",0,SUMIFS('[1]销售出库'!$R$4:$R$2003,'[1]销售出库'!$H$4:$H$2003,$A213,'[1]销售出库'!$Q$4:$Q$2003,'首页'!$B$4*100+O$4))</f>
        <v>0</v>
      </c>
      <c r="P213" s="21">
        <f>IF($A213="",0,SUMIFS('[1]销售出库'!$R$4:$R$2003,'[1]销售出库'!$H$4:$H$2003,$A213,'[1]销售出库'!$Q$4:$Q$2003,'首页'!$B$4*100+P$4))</f>
        <v>0</v>
      </c>
      <c r="Q213" s="21">
        <f>IF($A213="",0,SUMIFS('[1]销售出库'!$R$4:$R$2003,'[1]销售出库'!$H$4:$H$2003,$A213,'[1]销售出库'!$Q$4:$Q$2003,'首页'!$B$4*100+Q$4))</f>
        <v>0</v>
      </c>
      <c r="R213" s="21">
        <f>IF($A213="",0,SUMIFS('[1]销售出库'!$R$4:$R$2003,'[1]销售出库'!$H$4:$H$2003,$A213,'[1]销售出库'!$Q$4:$Q$2003,'首页'!$B$4*100+R$4))</f>
        <v>0</v>
      </c>
      <c r="S213" s="21">
        <f>IF($A213="",0,SUMIFS('[1]销售出库'!$R$4:$R$2003,'[1]销售出库'!$H$4:$H$2003,$A213,'[1]销售出库'!$Q$4:$Q$2003,'首页'!$B$4*100+S$4))</f>
        <v>0</v>
      </c>
      <c r="T213" s="21">
        <f>IF($A213="",0,SUMIFS('[1]销售出库'!$R$4:$R$2003,'[1]销售出库'!$H$4:$H$2003,$A213,'[1]销售出库'!$Q$4:$Q$2003,'首页'!$B$4*100+T$4))</f>
        <v>0</v>
      </c>
      <c r="U213" s="21">
        <f>IF($A213="",0,SUMIFS('[1]销售出库'!$R$4:$R$2003,'[1]销售出库'!$H$4:$H$2003,$A213,'[1]销售出库'!$Q$4:$Q$2003,'首页'!$B$4*100+U$4))</f>
        <v>0</v>
      </c>
      <c r="V213" s="21">
        <f>IF($A213="",0,SUMIFS('[1]销售出库'!$R$4:$R$2003,'[1]销售出库'!$H$4:$H$2003,$A213,'[1]销售出库'!$Q$4:$Q$2003,'首页'!$B$4*100+V$4))</f>
        <v>0</v>
      </c>
      <c r="W213" s="21">
        <f>IF($A213="",0,SUMIFS('[1]销售出库'!$R$4:$R$2003,'[1]销售出库'!$H$4:$H$2003,$A213,'[1]销售出库'!$Q$4:$Q$2003,'首页'!$B$4*100+W$4))</f>
        <v>0</v>
      </c>
      <c r="X213" s="21">
        <f>IF($A213="",0,SUMIFS('[1]销售出库'!$R$4:$R$2003,'[1]销售出库'!$H$4:$H$2003,$A213,'[1]销售出库'!$Q$4:$Q$2003,'首页'!$B$4*100+X$4))</f>
        <v>0</v>
      </c>
    </row>
    <row r="214">
      <c r="A214" s="6">
        <f>IF('[1]基础资料'!$P$213="","",'[1]基础资料'!$P$213)</f>
      </c>
      <c r="B214" s="6">
        <f>IF(A214="","",'[1]基础资料'!$Q$213&amp;"")</f>
      </c>
      <c r="C214" s="21">
        <f>IF(A214="",0,N('[1]基础资料'!$S$213))</f>
        <v>0</v>
      </c>
      <c r="D214" s="11">
        <f>IF(A214="",0,N('[1]基础资料'!$U$213))</f>
        <v>0</v>
      </c>
      <c r="E214" s="21">
        <f>IF(A214="",0,SUMIFS('[1]采购入库'!$U$4:$U$2003,'[1]采购入库'!$I$4:$I$2003,$A214))</f>
        <v>0</v>
      </c>
      <c r="F214" s="11">
        <f>IF(A214="",0,SUMIFS('[1]采购入库'!$V$4:$V$2003,'[1]采购入库'!$I$4:$I$2003,$A214))</f>
        <v>0</v>
      </c>
      <c r="G214" s="21">
        <f>IF(A214="",0,SUMIFS('[1]销售出库'!$R$4:$R$2003,'[1]销售出库'!$H$4:$H$2003,$A214))</f>
        <v>0</v>
      </c>
      <c r="H214" s="11">
        <f t="shared" si="3"/>
        <v>0</v>
      </c>
      <c r="I214" s="11">
        <f t="shared" si="0"/>
        <v>0</v>
      </c>
      <c r="J214" s="21">
        <f t="shared" si="1"/>
        <v>0</v>
      </c>
      <c r="K214" s="11">
        <f t="shared" si="2"/>
        <v>0</v>
      </c>
      <c r="L214" s="6">
        <f t="shared" si="4"/>
      </c>
      <c r="M214" s="21">
        <f>IF($A214="",0,SUMIFS('[1]销售出库'!$R$4:$R$2003,'[1]销售出库'!$H$4:$H$2003,$A214,'[1]销售出库'!$Q$4:$Q$2003,'首页'!$B$4*100+M$4))</f>
        <v>0</v>
      </c>
      <c r="N214" s="21">
        <f>IF($A214="",0,SUMIFS('[1]销售出库'!$R$4:$R$2003,'[1]销售出库'!$H$4:$H$2003,$A214,'[1]销售出库'!$Q$4:$Q$2003,'首页'!$B$4*100+N$4))</f>
        <v>0</v>
      </c>
      <c r="O214" s="21">
        <f>IF($A214="",0,SUMIFS('[1]销售出库'!$R$4:$R$2003,'[1]销售出库'!$H$4:$H$2003,$A214,'[1]销售出库'!$Q$4:$Q$2003,'首页'!$B$4*100+O$4))</f>
        <v>0</v>
      </c>
      <c r="P214" s="21">
        <f>IF($A214="",0,SUMIFS('[1]销售出库'!$R$4:$R$2003,'[1]销售出库'!$H$4:$H$2003,$A214,'[1]销售出库'!$Q$4:$Q$2003,'首页'!$B$4*100+P$4))</f>
        <v>0</v>
      </c>
      <c r="Q214" s="21">
        <f>IF($A214="",0,SUMIFS('[1]销售出库'!$R$4:$R$2003,'[1]销售出库'!$H$4:$H$2003,$A214,'[1]销售出库'!$Q$4:$Q$2003,'首页'!$B$4*100+Q$4))</f>
        <v>0</v>
      </c>
      <c r="R214" s="21">
        <f>IF($A214="",0,SUMIFS('[1]销售出库'!$R$4:$R$2003,'[1]销售出库'!$H$4:$H$2003,$A214,'[1]销售出库'!$Q$4:$Q$2003,'首页'!$B$4*100+R$4))</f>
        <v>0</v>
      </c>
      <c r="S214" s="21">
        <f>IF($A214="",0,SUMIFS('[1]销售出库'!$R$4:$R$2003,'[1]销售出库'!$H$4:$H$2003,$A214,'[1]销售出库'!$Q$4:$Q$2003,'首页'!$B$4*100+S$4))</f>
        <v>0</v>
      </c>
      <c r="T214" s="21">
        <f>IF($A214="",0,SUMIFS('[1]销售出库'!$R$4:$R$2003,'[1]销售出库'!$H$4:$H$2003,$A214,'[1]销售出库'!$Q$4:$Q$2003,'首页'!$B$4*100+T$4))</f>
        <v>0</v>
      </c>
      <c r="U214" s="21">
        <f>IF($A214="",0,SUMIFS('[1]销售出库'!$R$4:$R$2003,'[1]销售出库'!$H$4:$H$2003,$A214,'[1]销售出库'!$Q$4:$Q$2003,'首页'!$B$4*100+U$4))</f>
        <v>0</v>
      </c>
      <c r="V214" s="21">
        <f>IF($A214="",0,SUMIFS('[1]销售出库'!$R$4:$R$2003,'[1]销售出库'!$H$4:$H$2003,$A214,'[1]销售出库'!$Q$4:$Q$2003,'首页'!$B$4*100+V$4))</f>
        <v>0</v>
      </c>
      <c r="W214" s="21">
        <f>IF($A214="",0,SUMIFS('[1]销售出库'!$R$4:$R$2003,'[1]销售出库'!$H$4:$H$2003,$A214,'[1]销售出库'!$Q$4:$Q$2003,'首页'!$B$4*100+W$4))</f>
        <v>0</v>
      </c>
      <c r="X214" s="21">
        <f>IF($A214="",0,SUMIFS('[1]销售出库'!$R$4:$R$2003,'[1]销售出库'!$H$4:$H$2003,$A214,'[1]销售出库'!$Q$4:$Q$2003,'首页'!$B$4*100+X$4))</f>
        <v>0</v>
      </c>
    </row>
    <row r="215">
      <c r="A215" s="6">
        <f>IF('[1]基础资料'!$P$214="","",'[1]基础资料'!$P$214)</f>
      </c>
      <c r="B215" s="6">
        <f>IF(A215="","",'[1]基础资料'!$Q$214&amp;"")</f>
      </c>
      <c r="C215" s="21">
        <f>IF(A215="",0,N('[1]基础资料'!$S$214))</f>
        <v>0</v>
      </c>
      <c r="D215" s="11">
        <f>IF(A215="",0,N('[1]基础资料'!$U$214))</f>
        <v>0</v>
      </c>
      <c r="E215" s="21">
        <f>IF(A215="",0,SUMIFS('[1]采购入库'!$U$4:$U$2003,'[1]采购入库'!$I$4:$I$2003,$A215))</f>
        <v>0</v>
      </c>
      <c r="F215" s="11">
        <f>IF(A215="",0,SUMIFS('[1]采购入库'!$V$4:$V$2003,'[1]采购入库'!$I$4:$I$2003,$A215))</f>
        <v>0</v>
      </c>
      <c r="G215" s="21">
        <f>IF(A215="",0,SUMIFS('[1]销售出库'!$R$4:$R$2003,'[1]销售出库'!$H$4:$H$2003,$A215))</f>
        <v>0</v>
      </c>
      <c r="H215" s="11">
        <f t="shared" si="3"/>
        <v>0</v>
      </c>
      <c r="I215" s="11">
        <f t="shared" si="0"/>
        <v>0</v>
      </c>
      <c r="J215" s="21">
        <f t="shared" si="1"/>
        <v>0</v>
      </c>
      <c r="K215" s="11">
        <f t="shared" si="2"/>
        <v>0</v>
      </c>
      <c r="L215" s="6">
        <f t="shared" si="4"/>
      </c>
      <c r="M215" s="21">
        <f>IF($A215="",0,SUMIFS('[1]销售出库'!$R$4:$R$2003,'[1]销售出库'!$H$4:$H$2003,$A215,'[1]销售出库'!$Q$4:$Q$2003,'首页'!$B$4*100+M$4))</f>
        <v>0</v>
      </c>
      <c r="N215" s="21">
        <f>IF($A215="",0,SUMIFS('[1]销售出库'!$R$4:$R$2003,'[1]销售出库'!$H$4:$H$2003,$A215,'[1]销售出库'!$Q$4:$Q$2003,'首页'!$B$4*100+N$4))</f>
        <v>0</v>
      </c>
      <c r="O215" s="21">
        <f>IF($A215="",0,SUMIFS('[1]销售出库'!$R$4:$R$2003,'[1]销售出库'!$H$4:$H$2003,$A215,'[1]销售出库'!$Q$4:$Q$2003,'首页'!$B$4*100+O$4))</f>
        <v>0</v>
      </c>
      <c r="P215" s="21">
        <f>IF($A215="",0,SUMIFS('[1]销售出库'!$R$4:$R$2003,'[1]销售出库'!$H$4:$H$2003,$A215,'[1]销售出库'!$Q$4:$Q$2003,'首页'!$B$4*100+P$4))</f>
        <v>0</v>
      </c>
      <c r="Q215" s="21">
        <f>IF($A215="",0,SUMIFS('[1]销售出库'!$R$4:$R$2003,'[1]销售出库'!$H$4:$H$2003,$A215,'[1]销售出库'!$Q$4:$Q$2003,'首页'!$B$4*100+Q$4))</f>
        <v>0</v>
      </c>
      <c r="R215" s="21">
        <f>IF($A215="",0,SUMIFS('[1]销售出库'!$R$4:$R$2003,'[1]销售出库'!$H$4:$H$2003,$A215,'[1]销售出库'!$Q$4:$Q$2003,'首页'!$B$4*100+R$4))</f>
        <v>0</v>
      </c>
      <c r="S215" s="21">
        <f>IF($A215="",0,SUMIFS('[1]销售出库'!$R$4:$R$2003,'[1]销售出库'!$H$4:$H$2003,$A215,'[1]销售出库'!$Q$4:$Q$2003,'首页'!$B$4*100+S$4))</f>
        <v>0</v>
      </c>
      <c r="T215" s="21">
        <f>IF($A215="",0,SUMIFS('[1]销售出库'!$R$4:$R$2003,'[1]销售出库'!$H$4:$H$2003,$A215,'[1]销售出库'!$Q$4:$Q$2003,'首页'!$B$4*100+T$4))</f>
        <v>0</v>
      </c>
      <c r="U215" s="21">
        <f>IF($A215="",0,SUMIFS('[1]销售出库'!$R$4:$R$2003,'[1]销售出库'!$H$4:$H$2003,$A215,'[1]销售出库'!$Q$4:$Q$2003,'首页'!$B$4*100+U$4))</f>
        <v>0</v>
      </c>
      <c r="V215" s="21">
        <f>IF($A215="",0,SUMIFS('[1]销售出库'!$R$4:$R$2003,'[1]销售出库'!$H$4:$H$2003,$A215,'[1]销售出库'!$Q$4:$Q$2003,'首页'!$B$4*100+V$4))</f>
        <v>0</v>
      </c>
      <c r="W215" s="21">
        <f>IF($A215="",0,SUMIFS('[1]销售出库'!$R$4:$R$2003,'[1]销售出库'!$H$4:$H$2003,$A215,'[1]销售出库'!$Q$4:$Q$2003,'首页'!$B$4*100+W$4))</f>
        <v>0</v>
      </c>
      <c r="X215" s="21">
        <f>IF($A215="",0,SUMIFS('[1]销售出库'!$R$4:$R$2003,'[1]销售出库'!$H$4:$H$2003,$A215,'[1]销售出库'!$Q$4:$Q$2003,'首页'!$B$4*100+X$4))</f>
        <v>0</v>
      </c>
    </row>
    <row r="216">
      <c r="A216" s="6">
        <f>IF('[1]基础资料'!$P$215="","",'[1]基础资料'!$P$215)</f>
      </c>
      <c r="B216" s="6">
        <f>IF(A216="","",'[1]基础资料'!$Q$215&amp;"")</f>
      </c>
      <c r="C216" s="21">
        <f>IF(A216="",0,N('[1]基础资料'!$S$215))</f>
        <v>0</v>
      </c>
      <c r="D216" s="11">
        <f>IF(A216="",0,N('[1]基础资料'!$U$215))</f>
        <v>0</v>
      </c>
      <c r="E216" s="21">
        <f>IF(A216="",0,SUMIFS('[1]采购入库'!$U$4:$U$2003,'[1]采购入库'!$I$4:$I$2003,$A216))</f>
        <v>0</v>
      </c>
      <c r="F216" s="11">
        <f>IF(A216="",0,SUMIFS('[1]采购入库'!$V$4:$V$2003,'[1]采购入库'!$I$4:$I$2003,$A216))</f>
        <v>0</v>
      </c>
      <c r="G216" s="21">
        <f>IF(A216="",0,SUMIFS('[1]销售出库'!$R$4:$R$2003,'[1]销售出库'!$H$4:$H$2003,$A216))</f>
        <v>0</v>
      </c>
      <c r="H216" s="11">
        <f t="shared" si="3"/>
        <v>0</v>
      </c>
      <c r="I216" s="11">
        <f t="shared" si="0"/>
        <v>0</v>
      </c>
      <c r="J216" s="21">
        <f t="shared" si="1"/>
        <v>0</v>
      </c>
      <c r="K216" s="11">
        <f t="shared" si="2"/>
        <v>0</v>
      </c>
      <c r="L216" s="6">
        <f t="shared" si="4"/>
      </c>
      <c r="M216" s="21">
        <f>IF($A216="",0,SUMIFS('[1]销售出库'!$R$4:$R$2003,'[1]销售出库'!$H$4:$H$2003,$A216,'[1]销售出库'!$Q$4:$Q$2003,'首页'!$B$4*100+M$4))</f>
        <v>0</v>
      </c>
      <c r="N216" s="21">
        <f>IF($A216="",0,SUMIFS('[1]销售出库'!$R$4:$R$2003,'[1]销售出库'!$H$4:$H$2003,$A216,'[1]销售出库'!$Q$4:$Q$2003,'首页'!$B$4*100+N$4))</f>
        <v>0</v>
      </c>
      <c r="O216" s="21">
        <f>IF($A216="",0,SUMIFS('[1]销售出库'!$R$4:$R$2003,'[1]销售出库'!$H$4:$H$2003,$A216,'[1]销售出库'!$Q$4:$Q$2003,'首页'!$B$4*100+O$4))</f>
        <v>0</v>
      </c>
      <c r="P216" s="21">
        <f>IF($A216="",0,SUMIFS('[1]销售出库'!$R$4:$R$2003,'[1]销售出库'!$H$4:$H$2003,$A216,'[1]销售出库'!$Q$4:$Q$2003,'首页'!$B$4*100+P$4))</f>
        <v>0</v>
      </c>
      <c r="Q216" s="21">
        <f>IF($A216="",0,SUMIFS('[1]销售出库'!$R$4:$R$2003,'[1]销售出库'!$H$4:$H$2003,$A216,'[1]销售出库'!$Q$4:$Q$2003,'首页'!$B$4*100+Q$4))</f>
        <v>0</v>
      </c>
      <c r="R216" s="21">
        <f>IF($A216="",0,SUMIFS('[1]销售出库'!$R$4:$R$2003,'[1]销售出库'!$H$4:$H$2003,$A216,'[1]销售出库'!$Q$4:$Q$2003,'首页'!$B$4*100+R$4))</f>
        <v>0</v>
      </c>
      <c r="S216" s="21">
        <f>IF($A216="",0,SUMIFS('[1]销售出库'!$R$4:$R$2003,'[1]销售出库'!$H$4:$H$2003,$A216,'[1]销售出库'!$Q$4:$Q$2003,'首页'!$B$4*100+S$4))</f>
        <v>0</v>
      </c>
      <c r="T216" s="21">
        <f>IF($A216="",0,SUMIFS('[1]销售出库'!$R$4:$R$2003,'[1]销售出库'!$H$4:$H$2003,$A216,'[1]销售出库'!$Q$4:$Q$2003,'首页'!$B$4*100+T$4))</f>
        <v>0</v>
      </c>
      <c r="U216" s="21">
        <f>IF($A216="",0,SUMIFS('[1]销售出库'!$R$4:$R$2003,'[1]销售出库'!$H$4:$H$2003,$A216,'[1]销售出库'!$Q$4:$Q$2003,'首页'!$B$4*100+U$4))</f>
        <v>0</v>
      </c>
      <c r="V216" s="21">
        <f>IF($A216="",0,SUMIFS('[1]销售出库'!$R$4:$R$2003,'[1]销售出库'!$H$4:$H$2003,$A216,'[1]销售出库'!$Q$4:$Q$2003,'首页'!$B$4*100+V$4))</f>
        <v>0</v>
      </c>
      <c r="W216" s="21">
        <f>IF($A216="",0,SUMIFS('[1]销售出库'!$R$4:$R$2003,'[1]销售出库'!$H$4:$H$2003,$A216,'[1]销售出库'!$Q$4:$Q$2003,'首页'!$B$4*100+W$4))</f>
        <v>0</v>
      </c>
      <c r="X216" s="21">
        <f>IF($A216="",0,SUMIFS('[1]销售出库'!$R$4:$R$2003,'[1]销售出库'!$H$4:$H$2003,$A216,'[1]销售出库'!$Q$4:$Q$2003,'首页'!$B$4*100+X$4))</f>
        <v>0</v>
      </c>
    </row>
    <row r="217">
      <c r="A217" s="6">
        <f>IF('[1]基础资料'!$P$216="","",'[1]基础资料'!$P$216)</f>
      </c>
      <c r="B217" s="6">
        <f>IF(A217="","",'[1]基础资料'!$Q$216&amp;"")</f>
      </c>
      <c r="C217" s="21">
        <f>IF(A217="",0,N('[1]基础资料'!$S$216))</f>
        <v>0</v>
      </c>
      <c r="D217" s="11">
        <f>IF(A217="",0,N('[1]基础资料'!$U$216))</f>
        <v>0</v>
      </c>
      <c r="E217" s="21">
        <f>IF(A217="",0,SUMIFS('[1]采购入库'!$U$4:$U$2003,'[1]采购入库'!$I$4:$I$2003,$A217))</f>
        <v>0</v>
      </c>
      <c r="F217" s="11">
        <f>IF(A217="",0,SUMIFS('[1]采购入库'!$V$4:$V$2003,'[1]采购入库'!$I$4:$I$2003,$A217))</f>
        <v>0</v>
      </c>
      <c r="G217" s="21">
        <f>IF(A217="",0,SUMIFS('[1]销售出库'!$R$4:$R$2003,'[1]销售出库'!$H$4:$H$2003,$A217))</f>
        <v>0</v>
      </c>
      <c r="H217" s="11">
        <f t="shared" si="3"/>
        <v>0</v>
      </c>
      <c r="I217" s="11">
        <f t="shared" si="0"/>
        <v>0</v>
      </c>
      <c r="J217" s="21">
        <f t="shared" si="1"/>
        <v>0</v>
      </c>
      <c r="K217" s="11">
        <f t="shared" si="2"/>
        <v>0</v>
      </c>
      <c r="L217" s="6">
        <f t="shared" si="4"/>
      </c>
      <c r="M217" s="21">
        <f>IF($A217="",0,SUMIFS('[1]销售出库'!$R$4:$R$2003,'[1]销售出库'!$H$4:$H$2003,$A217,'[1]销售出库'!$Q$4:$Q$2003,'首页'!$B$4*100+M$4))</f>
        <v>0</v>
      </c>
      <c r="N217" s="21">
        <f>IF($A217="",0,SUMIFS('[1]销售出库'!$R$4:$R$2003,'[1]销售出库'!$H$4:$H$2003,$A217,'[1]销售出库'!$Q$4:$Q$2003,'首页'!$B$4*100+N$4))</f>
        <v>0</v>
      </c>
      <c r="O217" s="21">
        <f>IF($A217="",0,SUMIFS('[1]销售出库'!$R$4:$R$2003,'[1]销售出库'!$H$4:$H$2003,$A217,'[1]销售出库'!$Q$4:$Q$2003,'首页'!$B$4*100+O$4))</f>
        <v>0</v>
      </c>
      <c r="P217" s="21">
        <f>IF($A217="",0,SUMIFS('[1]销售出库'!$R$4:$R$2003,'[1]销售出库'!$H$4:$H$2003,$A217,'[1]销售出库'!$Q$4:$Q$2003,'首页'!$B$4*100+P$4))</f>
        <v>0</v>
      </c>
      <c r="Q217" s="21">
        <f>IF($A217="",0,SUMIFS('[1]销售出库'!$R$4:$R$2003,'[1]销售出库'!$H$4:$H$2003,$A217,'[1]销售出库'!$Q$4:$Q$2003,'首页'!$B$4*100+Q$4))</f>
        <v>0</v>
      </c>
      <c r="R217" s="21">
        <f>IF($A217="",0,SUMIFS('[1]销售出库'!$R$4:$R$2003,'[1]销售出库'!$H$4:$H$2003,$A217,'[1]销售出库'!$Q$4:$Q$2003,'首页'!$B$4*100+R$4))</f>
        <v>0</v>
      </c>
      <c r="S217" s="21">
        <f>IF($A217="",0,SUMIFS('[1]销售出库'!$R$4:$R$2003,'[1]销售出库'!$H$4:$H$2003,$A217,'[1]销售出库'!$Q$4:$Q$2003,'首页'!$B$4*100+S$4))</f>
        <v>0</v>
      </c>
      <c r="T217" s="21">
        <f>IF($A217="",0,SUMIFS('[1]销售出库'!$R$4:$R$2003,'[1]销售出库'!$H$4:$H$2003,$A217,'[1]销售出库'!$Q$4:$Q$2003,'首页'!$B$4*100+T$4))</f>
        <v>0</v>
      </c>
      <c r="U217" s="21">
        <f>IF($A217="",0,SUMIFS('[1]销售出库'!$R$4:$R$2003,'[1]销售出库'!$H$4:$H$2003,$A217,'[1]销售出库'!$Q$4:$Q$2003,'首页'!$B$4*100+U$4))</f>
        <v>0</v>
      </c>
      <c r="V217" s="21">
        <f>IF($A217="",0,SUMIFS('[1]销售出库'!$R$4:$R$2003,'[1]销售出库'!$H$4:$H$2003,$A217,'[1]销售出库'!$Q$4:$Q$2003,'首页'!$B$4*100+V$4))</f>
        <v>0</v>
      </c>
      <c r="W217" s="21">
        <f>IF($A217="",0,SUMIFS('[1]销售出库'!$R$4:$R$2003,'[1]销售出库'!$H$4:$H$2003,$A217,'[1]销售出库'!$Q$4:$Q$2003,'首页'!$B$4*100+W$4))</f>
        <v>0</v>
      </c>
      <c r="X217" s="21">
        <f>IF($A217="",0,SUMIFS('[1]销售出库'!$R$4:$R$2003,'[1]销售出库'!$H$4:$H$2003,$A217,'[1]销售出库'!$Q$4:$Q$2003,'首页'!$B$4*100+X$4))</f>
        <v>0</v>
      </c>
    </row>
    <row r="218">
      <c r="A218" s="6">
        <f>IF('[1]基础资料'!$P$217="","",'[1]基础资料'!$P$217)</f>
      </c>
      <c r="B218" s="6">
        <f>IF(A218="","",'[1]基础资料'!$Q$217&amp;"")</f>
      </c>
      <c r="C218" s="21">
        <f>IF(A218="",0,N('[1]基础资料'!$S$217))</f>
        <v>0</v>
      </c>
      <c r="D218" s="11">
        <f>IF(A218="",0,N('[1]基础资料'!$U$217))</f>
        <v>0</v>
      </c>
      <c r="E218" s="21">
        <f>IF(A218="",0,SUMIFS('[1]采购入库'!$U$4:$U$2003,'[1]采购入库'!$I$4:$I$2003,$A218))</f>
        <v>0</v>
      </c>
      <c r="F218" s="11">
        <f>IF(A218="",0,SUMIFS('[1]采购入库'!$V$4:$V$2003,'[1]采购入库'!$I$4:$I$2003,$A218))</f>
        <v>0</v>
      </c>
      <c r="G218" s="21">
        <f>IF(A218="",0,SUMIFS('[1]销售出库'!$R$4:$R$2003,'[1]销售出库'!$H$4:$H$2003,$A218))</f>
        <v>0</v>
      </c>
      <c r="H218" s="11">
        <f t="shared" si="3"/>
        <v>0</v>
      </c>
      <c r="I218" s="11">
        <f t="shared" si="0"/>
        <v>0</v>
      </c>
      <c r="J218" s="21">
        <f t="shared" si="1"/>
        <v>0</v>
      </c>
      <c r="K218" s="11">
        <f t="shared" si="2"/>
        <v>0</v>
      </c>
      <c r="L218" s="6">
        <f t="shared" si="4"/>
      </c>
      <c r="M218" s="21">
        <f>IF($A218="",0,SUMIFS('[1]销售出库'!$R$4:$R$2003,'[1]销售出库'!$H$4:$H$2003,$A218,'[1]销售出库'!$Q$4:$Q$2003,'首页'!$B$4*100+M$4))</f>
        <v>0</v>
      </c>
      <c r="N218" s="21">
        <f>IF($A218="",0,SUMIFS('[1]销售出库'!$R$4:$R$2003,'[1]销售出库'!$H$4:$H$2003,$A218,'[1]销售出库'!$Q$4:$Q$2003,'首页'!$B$4*100+N$4))</f>
        <v>0</v>
      </c>
      <c r="O218" s="21">
        <f>IF($A218="",0,SUMIFS('[1]销售出库'!$R$4:$R$2003,'[1]销售出库'!$H$4:$H$2003,$A218,'[1]销售出库'!$Q$4:$Q$2003,'首页'!$B$4*100+O$4))</f>
        <v>0</v>
      </c>
      <c r="P218" s="21">
        <f>IF($A218="",0,SUMIFS('[1]销售出库'!$R$4:$R$2003,'[1]销售出库'!$H$4:$H$2003,$A218,'[1]销售出库'!$Q$4:$Q$2003,'首页'!$B$4*100+P$4))</f>
        <v>0</v>
      </c>
      <c r="Q218" s="21">
        <f>IF($A218="",0,SUMIFS('[1]销售出库'!$R$4:$R$2003,'[1]销售出库'!$H$4:$H$2003,$A218,'[1]销售出库'!$Q$4:$Q$2003,'首页'!$B$4*100+Q$4))</f>
        <v>0</v>
      </c>
      <c r="R218" s="21">
        <f>IF($A218="",0,SUMIFS('[1]销售出库'!$R$4:$R$2003,'[1]销售出库'!$H$4:$H$2003,$A218,'[1]销售出库'!$Q$4:$Q$2003,'首页'!$B$4*100+R$4))</f>
        <v>0</v>
      </c>
      <c r="S218" s="21">
        <f>IF($A218="",0,SUMIFS('[1]销售出库'!$R$4:$R$2003,'[1]销售出库'!$H$4:$H$2003,$A218,'[1]销售出库'!$Q$4:$Q$2003,'首页'!$B$4*100+S$4))</f>
        <v>0</v>
      </c>
      <c r="T218" s="21">
        <f>IF($A218="",0,SUMIFS('[1]销售出库'!$R$4:$R$2003,'[1]销售出库'!$H$4:$H$2003,$A218,'[1]销售出库'!$Q$4:$Q$2003,'首页'!$B$4*100+T$4))</f>
        <v>0</v>
      </c>
      <c r="U218" s="21">
        <f>IF($A218="",0,SUMIFS('[1]销售出库'!$R$4:$R$2003,'[1]销售出库'!$H$4:$H$2003,$A218,'[1]销售出库'!$Q$4:$Q$2003,'首页'!$B$4*100+U$4))</f>
        <v>0</v>
      </c>
      <c r="V218" s="21">
        <f>IF($A218="",0,SUMIFS('[1]销售出库'!$R$4:$R$2003,'[1]销售出库'!$H$4:$H$2003,$A218,'[1]销售出库'!$Q$4:$Q$2003,'首页'!$B$4*100+V$4))</f>
        <v>0</v>
      </c>
      <c r="W218" s="21">
        <f>IF($A218="",0,SUMIFS('[1]销售出库'!$R$4:$R$2003,'[1]销售出库'!$H$4:$H$2003,$A218,'[1]销售出库'!$Q$4:$Q$2003,'首页'!$B$4*100+W$4))</f>
        <v>0</v>
      </c>
      <c r="X218" s="21">
        <f>IF($A218="",0,SUMIFS('[1]销售出库'!$R$4:$R$2003,'[1]销售出库'!$H$4:$H$2003,$A218,'[1]销售出库'!$Q$4:$Q$2003,'首页'!$B$4*100+X$4))</f>
        <v>0</v>
      </c>
    </row>
    <row r="219">
      <c r="A219" s="6">
        <f>IF('[1]基础资料'!$P$218="","",'[1]基础资料'!$P$218)</f>
      </c>
      <c r="B219" s="6">
        <f>IF(A219="","",'[1]基础资料'!$Q$218&amp;"")</f>
      </c>
      <c r="C219" s="21">
        <f>IF(A219="",0,N('[1]基础资料'!$S$218))</f>
        <v>0</v>
      </c>
      <c r="D219" s="11">
        <f>IF(A219="",0,N('[1]基础资料'!$U$218))</f>
        <v>0</v>
      </c>
      <c r="E219" s="21">
        <f>IF(A219="",0,SUMIFS('[1]采购入库'!$U$4:$U$2003,'[1]采购入库'!$I$4:$I$2003,$A219))</f>
        <v>0</v>
      </c>
      <c r="F219" s="11">
        <f>IF(A219="",0,SUMIFS('[1]采购入库'!$V$4:$V$2003,'[1]采购入库'!$I$4:$I$2003,$A219))</f>
        <v>0</v>
      </c>
      <c r="G219" s="21">
        <f>IF(A219="",0,SUMIFS('[1]销售出库'!$R$4:$R$2003,'[1]销售出库'!$H$4:$H$2003,$A219))</f>
        <v>0</v>
      </c>
      <c r="H219" s="11">
        <f t="shared" si="3"/>
        <v>0</v>
      </c>
      <c r="I219" s="11">
        <f t="shared" si="0"/>
        <v>0</v>
      </c>
      <c r="J219" s="21">
        <f t="shared" si="1"/>
        <v>0</v>
      </c>
      <c r="K219" s="11">
        <f t="shared" si="2"/>
        <v>0</v>
      </c>
      <c r="L219" s="6">
        <f t="shared" si="4"/>
      </c>
      <c r="M219" s="21">
        <f>IF($A219="",0,SUMIFS('[1]销售出库'!$R$4:$R$2003,'[1]销售出库'!$H$4:$H$2003,$A219,'[1]销售出库'!$Q$4:$Q$2003,'首页'!$B$4*100+M$4))</f>
        <v>0</v>
      </c>
      <c r="N219" s="21">
        <f>IF($A219="",0,SUMIFS('[1]销售出库'!$R$4:$R$2003,'[1]销售出库'!$H$4:$H$2003,$A219,'[1]销售出库'!$Q$4:$Q$2003,'首页'!$B$4*100+N$4))</f>
        <v>0</v>
      </c>
      <c r="O219" s="21">
        <f>IF($A219="",0,SUMIFS('[1]销售出库'!$R$4:$R$2003,'[1]销售出库'!$H$4:$H$2003,$A219,'[1]销售出库'!$Q$4:$Q$2003,'首页'!$B$4*100+O$4))</f>
        <v>0</v>
      </c>
      <c r="P219" s="21">
        <f>IF($A219="",0,SUMIFS('[1]销售出库'!$R$4:$R$2003,'[1]销售出库'!$H$4:$H$2003,$A219,'[1]销售出库'!$Q$4:$Q$2003,'首页'!$B$4*100+P$4))</f>
        <v>0</v>
      </c>
      <c r="Q219" s="21">
        <f>IF($A219="",0,SUMIFS('[1]销售出库'!$R$4:$R$2003,'[1]销售出库'!$H$4:$H$2003,$A219,'[1]销售出库'!$Q$4:$Q$2003,'首页'!$B$4*100+Q$4))</f>
        <v>0</v>
      </c>
      <c r="R219" s="21">
        <f>IF($A219="",0,SUMIFS('[1]销售出库'!$R$4:$R$2003,'[1]销售出库'!$H$4:$H$2003,$A219,'[1]销售出库'!$Q$4:$Q$2003,'首页'!$B$4*100+R$4))</f>
        <v>0</v>
      </c>
      <c r="S219" s="21">
        <f>IF($A219="",0,SUMIFS('[1]销售出库'!$R$4:$R$2003,'[1]销售出库'!$H$4:$H$2003,$A219,'[1]销售出库'!$Q$4:$Q$2003,'首页'!$B$4*100+S$4))</f>
        <v>0</v>
      </c>
      <c r="T219" s="21">
        <f>IF($A219="",0,SUMIFS('[1]销售出库'!$R$4:$R$2003,'[1]销售出库'!$H$4:$H$2003,$A219,'[1]销售出库'!$Q$4:$Q$2003,'首页'!$B$4*100+T$4))</f>
        <v>0</v>
      </c>
      <c r="U219" s="21">
        <f>IF($A219="",0,SUMIFS('[1]销售出库'!$R$4:$R$2003,'[1]销售出库'!$H$4:$H$2003,$A219,'[1]销售出库'!$Q$4:$Q$2003,'首页'!$B$4*100+U$4))</f>
        <v>0</v>
      </c>
      <c r="V219" s="21">
        <f>IF($A219="",0,SUMIFS('[1]销售出库'!$R$4:$R$2003,'[1]销售出库'!$H$4:$H$2003,$A219,'[1]销售出库'!$Q$4:$Q$2003,'首页'!$B$4*100+V$4))</f>
        <v>0</v>
      </c>
      <c r="W219" s="21">
        <f>IF($A219="",0,SUMIFS('[1]销售出库'!$R$4:$R$2003,'[1]销售出库'!$H$4:$H$2003,$A219,'[1]销售出库'!$Q$4:$Q$2003,'首页'!$B$4*100+W$4))</f>
        <v>0</v>
      </c>
      <c r="X219" s="21">
        <f>IF($A219="",0,SUMIFS('[1]销售出库'!$R$4:$R$2003,'[1]销售出库'!$H$4:$H$2003,$A219,'[1]销售出库'!$Q$4:$Q$2003,'首页'!$B$4*100+X$4))</f>
        <v>0</v>
      </c>
    </row>
    <row r="220">
      <c r="A220" s="6">
        <f>IF('[1]基础资料'!$P$219="","",'[1]基础资料'!$P$219)</f>
      </c>
      <c r="B220" s="6">
        <f>IF(A220="","",'[1]基础资料'!$Q$219&amp;"")</f>
      </c>
      <c r="C220" s="21">
        <f>IF(A220="",0,N('[1]基础资料'!$S$219))</f>
        <v>0</v>
      </c>
      <c r="D220" s="11">
        <f>IF(A220="",0,N('[1]基础资料'!$U$219))</f>
        <v>0</v>
      </c>
      <c r="E220" s="21">
        <f>IF(A220="",0,SUMIFS('[1]采购入库'!$U$4:$U$2003,'[1]采购入库'!$I$4:$I$2003,$A220))</f>
        <v>0</v>
      </c>
      <c r="F220" s="11">
        <f>IF(A220="",0,SUMIFS('[1]采购入库'!$V$4:$V$2003,'[1]采购入库'!$I$4:$I$2003,$A220))</f>
        <v>0</v>
      </c>
      <c r="G220" s="21">
        <f>IF(A220="",0,SUMIFS('[1]销售出库'!$R$4:$R$2003,'[1]销售出库'!$H$4:$H$2003,$A220))</f>
        <v>0</v>
      </c>
      <c r="H220" s="11">
        <f t="shared" si="3"/>
        <v>0</v>
      </c>
      <c r="I220" s="11">
        <f t="shared" si="0"/>
        <v>0</v>
      </c>
      <c r="J220" s="21">
        <f t="shared" si="1"/>
        <v>0</v>
      </c>
      <c r="K220" s="11">
        <f t="shared" si="2"/>
        <v>0</v>
      </c>
      <c r="L220" s="6">
        <f t="shared" si="4"/>
      </c>
      <c r="M220" s="21">
        <f>IF($A220="",0,SUMIFS('[1]销售出库'!$R$4:$R$2003,'[1]销售出库'!$H$4:$H$2003,$A220,'[1]销售出库'!$Q$4:$Q$2003,'首页'!$B$4*100+M$4))</f>
        <v>0</v>
      </c>
      <c r="N220" s="21">
        <f>IF($A220="",0,SUMIFS('[1]销售出库'!$R$4:$R$2003,'[1]销售出库'!$H$4:$H$2003,$A220,'[1]销售出库'!$Q$4:$Q$2003,'首页'!$B$4*100+N$4))</f>
        <v>0</v>
      </c>
      <c r="O220" s="21">
        <f>IF($A220="",0,SUMIFS('[1]销售出库'!$R$4:$R$2003,'[1]销售出库'!$H$4:$H$2003,$A220,'[1]销售出库'!$Q$4:$Q$2003,'首页'!$B$4*100+O$4))</f>
        <v>0</v>
      </c>
      <c r="P220" s="21">
        <f>IF($A220="",0,SUMIFS('[1]销售出库'!$R$4:$R$2003,'[1]销售出库'!$H$4:$H$2003,$A220,'[1]销售出库'!$Q$4:$Q$2003,'首页'!$B$4*100+P$4))</f>
        <v>0</v>
      </c>
      <c r="Q220" s="21">
        <f>IF($A220="",0,SUMIFS('[1]销售出库'!$R$4:$R$2003,'[1]销售出库'!$H$4:$H$2003,$A220,'[1]销售出库'!$Q$4:$Q$2003,'首页'!$B$4*100+Q$4))</f>
        <v>0</v>
      </c>
      <c r="R220" s="21">
        <f>IF($A220="",0,SUMIFS('[1]销售出库'!$R$4:$R$2003,'[1]销售出库'!$H$4:$H$2003,$A220,'[1]销售出库'!$Q$4:$Q$2003,'首页'!$B$4*100+R$4))</f>
        <v>0</v>
      </c>
      <c r="S220" s="21">
        <f>IF($A220="",0,SUMIFS('[1]销售出库'!$R$4:$R$2003,'[1]销售出库'!$H$4:$H$2003,$A220,'[1]销售出库'!$Q$4:$Q$2003,'首页'!$B$4*100+S$4))</f>
        <v>0</v>
      </c>
      <c r="T220" s="21">
        <f>IF($A220="",0,SUMIFS('[1]销售出库'!$R$4:$R$2003,'[1]销售出库'!$H$4:$H$2003,$A220,'[1]销售出库'!$Q$4:$Q$2003,'首页'!$B$4*100+T$4))</f>
        <v>0</v>
      </c>
      <c r="U220" s="21">
        <f>IF($A220="",0,SUMIFS('[1]销售出库'!$R$4:$R$2003,'[1]销售出库'!$H$4:$H$2003,$A220,'[1]销售出库'!$Q$4:$Q$2003,'首页'!$B$4*100+U$4))</f>
        <v>0</v>
      </c>
      <c r="V220" s="21">
        <f>IF($A220="",0,SUMIFS('[1]销售出库'!$R$4:$R$2003,'[1]销售出库'!$H$4:$H$2003,$A220,'[1]销售出库'!$Q$4:$Q$2003,'首页'!$B$4*100+V$4))</f>
        <v>0</v>
      </c>
      <c r="W220" s="21">
        <f>IF($A220="",0,SUMIFS('[1]销售出库'!$R$4:$R$2003,'[1]销售出库'!$H$4:$H$2003,$A220,'[1]销售出库'!$Q$4:$Q$2003,'首页'!$B$4*100+W$4))</f>
        <v>0</v>
      </c>
      <c r="X220" s="21">
        <f>IF($A220="",0,SUMIFS('[1]销售出库'!$R$4:$R$2003,'[1]销售出库'!$H$4:$H$2003,$A220,'[1]销售出库'!$Q$4:$Q$2003,'首页'!$B$4*100+X$4))</f>
        <v>0</v>
      </c>
    </row>
    <row r="221">
      <c r="A221" s="6">
        <f>IF('[1]基础资料'!$P$220="","",'[1]基础资料'!$P$220)</f>
      </c>
      <c r="B221" s="6">
        <f>IF(A221="","",'[1]基础资料'!$Q$220&amp;"")</f>
      </c>
      <c r="C221" s="21">
        <f>IF(A221="",0,N('[1]基础资料'!$S$220))</f>
        <v>0</v>
      </c>
      <c r="D221" s="11">
        <f>IF(A221="",0,N('[1]基础资料'!$U$220))</f>
        <v>0</v>
      </c>
      <c r="E221" s="21">
        <f>IF(A221="",0,SUMIFS('[1]采购入库'!$U$4:$U$2003,'[1]采购入库'!$I$4:$I$2003,$A221))</f>
        <v>0</v>
      </c>
      <c r="F221" s="11">
        <f>IF(A221="",0,SUMIFS('[1]采购入库'!$V$4:$V$2003,'[1]采购入库'!$I$4:$I$2003,$A221))</f>
        <v>0</v>
      </c>
      <c r="G221" s="21">
        <f>IF(A221="",0,SUMIFS('[1]销售出库'!$R$4:$R$2003,'[1]销售出库'!$H$4:$H$2003,$A221))</f>
        <v>0</v>
      </c>
      <c r="H221" s="11">
        <f t="shared" si="3"/>
        <v>0</v>
      </c>
      <c r="I221" s="11">
        <f t="shared" si="0"/>
        <v>0</v>
      </c>
      <c r="J221" s="21">
        <f t="shared" si="1"/>
        <v>0</v>
      </c>
      <c r="K221" s="11">
        <f t="shared" si="2"/>
        <v>0</v>
      </c>
      <c r="L221" s="6">
        <f t="shared" si="4"/>
      </c>
      <c r="M221" s="21">
        <f>IF($A221="",0,SUMIFS('[1]销售出库'!$R$4:$R$2003,'[1]销售出库'!$H$4:$H$2003,$A221,'[1]销售出库'!$Q$4:$Q$2003,'首页'!$B$4*100+M$4))</f>
        <v>0</v>
      </c>
      <c r="N221" s="21">
        <f>IF($A221="",0,SUMIFS('[1]销售出库'!$R$4:$R$2003,'[1]销售出库'!$H$4:$H$2003,$A221,'[1]销售出库'!$Q$4:$Q$2003,'首页'!$B$4*100+N$4))</f>
        <v>0</v>
      </c>
      <c r="O221" s="21">
        <f>IF($A221="",0,SUMIFS('[1]销售出库'!$R$4:$R$2003,'[1]销售出库'!$H$4:$H$2003,$A221,'[1]销售出库'!$Q$4:$Q$2003,'首页'!$B$4*100+O$4))</f>
        <v>0</v>
      </c>
      <c r="P221" s="21">
        <f>IF($A221="",0,SUMIFS('[1]销售出库'!$R$4:$R$2003,'[1]销售出库'!$H$4:$H$2003,$A221,'[1]销售出库'!$Q$4:$Q$2003,'首页'!$B$4*100+P$4))</f>
        <v>0</v>
      </c>
      <c r="Q221" s="21">
        <f>IF($A221="",0,SUMIFS('[1]销售出库'!$R$4:$R$2003,'[1]销售出库'!$H$4:$H$2003,$A221,'[1]销售出库'!$Q$4:$Q$2003,'首页'!$B$4*100+Q$4))</f>
        <v>0</v>
      </c>
      <c r="R221" s="21">
        <f>IF($A221="",0,SUMIFS('[1]销售出库'!$R$4:$R$2003,'[1]销售出库'!$H$4:$H$2003,$A221,'[1]销售出库'!$Q$4:$Q$2003,'首页'!$B$4*100+R$4))</f>
        <v>0</v>
      </c>
      <c r="S221" s="21">
        <f>IF($A221="",0,SUMIFS('[1]销售出库'!$R$4:$R$2003,'[1]销售出库'!$H$4:$H$2003,$A221,'[1]销售出库'!$Q$4:$Q$2003,'首页'!$B$4*100+S$4))</f>
        <v>0</v>
      </c>
      <c r="T221" s="21">
        <f>IF($A221="",0,SUMIFS('[1]销售出库'!$R$4:$R$2003,'[1]销售出库'!$H$4:$H$2003,$A221,'[1]销售出库'!$Q$4:$Q$2003,'首页'!$B$4*100+T$4))</f>
        <v>0</v>
      </c>
      <c r="U221" s="21">
        <f>IF($A221="",0,SUMIFS('[1]销售出库'!$R$4:$R$2003,'[1]销售出库'!$H$4:$H$2003,$A221,'[1]销售出库'!$Q$4:$Q$2003,'首页'!$B$4*100+U$4))</f>
        <v>0</v>
      </c>
      <c r="V221" s="21">
        <f>IF($A221="",0,SUMIFS('[1]销售出库'!$R$4:$R$2003,'[1]销售出库'!$H$4:$H$2003,$A221,'[1]销售出库'!$Q$4:$Q$2003,'首页'!$B$4*100+V$4))</f>
        <v>0</v>
      </c>
      <c r="W221" s="21">
        <f>IF($A221="",0,SUMIFS('[1]销售出库'!$R$4:$R$2003,'[1]销售出库'!$H$4:$H$2003,$A221,'[1]销售出库'!$Q$4:$Q$2003,'首页'!$B$4*100+W$4))</f>
        <v>0</v>
      </c>
      <c r="X221" s="21">
        <f>IF($A221="",0,SUMIFS('[1]销售出库'!$R$4:$R$2003,'[1]销售出库'!$H$4:$H$2003,$A221,'[1]销售出库'!$Q$4:$Q$2003,'首页'!$B$4*100+X$4))</f>
        <v>0</v>
      </c>
    </row>
    <row r="222">
      <c r="A222" s="6">
        <f>IF('[1]基础资料'!$P$221="","",'[1]基础资料'!$P$221)</f>
      </c>
      <c r="B222" s="6">
        <f>IF(A222="","",'[1]基础资料'!$Q$221&amp;"")</f>
      </c>
      <c r="C222" s="21">
        <f>IF(A222="",0,N('[1]基础资料'!$S$221))</f>
        <v>0</v>
      </c>
      <c r="D222" s="11">
        <f>IF(A222="",0,N('[1]基础资料'!$U$221))</f>
        <v>0</v>
      </c>
      <c r="E222" s="21">
        <f>IF(A222="",0,SUMIFS('[1]采购入库'!$U$4:$U$2003,'[1]采购入库'!$I$4:$I$2003,$A222))</f>
        <v>0</v>
      </c>
      <c r="F222" s="11">
        <f>IF(A222="",0,SUMIFS('[1]采购入库'!$V$4:$V$2003,'[1]采购入库'!$I$4:$I$2003,$A222))</f>
        <v>0</v>
      </c>
      <c r="G222" s="21">
        <f>IF(A222="",0,SUMIFS('[1]销售出库'!$R$4:$R$2003,'[1]销售出库'!$H$4:$H$2003,$A222))</f>
        <v>0</v>
      </c>
      <c r="H222" s="11">
        <f t="shared" si="3"/>
        <v>0</v>
      </c>
      <c r="I222" s="11">
        <f t="shared" si="0"/>
        <v>0</v>
      </c>
      <c r="J222" s="21">
        <f t="shared" si="1"/>
        <v>0</v>
      </c>
      <c r="K222" s="11">
        <f t="shared" si="2"/>
        <v>0</v>
      </c>
      <c r="L222" s="6">
        <f t="shared" si="4"/>
      </c>
      <c r="M222" s="21">
        <f>IF($A222="",0,SUMIFS('[1]销售出库'!$R$4:$R$2003,'[1]销售出库'!$H$4:$H$2003,$A222,'[1]销售出库'!$Q$4:$Q$2003,'首页'!$B$4*100+M$4))</f>
        <v>0</v>
      </c>
      <c r="N222" s="21">
        <f>IF($A222="",0,SUMIFS('[1]销售出库'!$R$4:$R$2003,'[1]销售出库'!$H$4:$H$2003,$A222,'[1]销售出库'!$Q$4:$Q$2003,'首页'!$B$4*100+N$4))</f>
        <v>0</v>
      </c>
      <c r="O222" s="21">
        <f>IF($A222="",0,SUMIFS('[1]销售出库'!$R$4:$R$2003,'[1]销售出库'!$H$4:$H$2003,$A222,'[1]销售出库'!$Q$4:$Q$2003,'首页'!$B$4*100+O$4))</f>
        <v>0</v>
      </c>
      <c r="P222" s="21">
        <f>IF($A222="",0,SUMIFS('[1]销售出库'!$R$4:$R$2003,'[1]销售出库'!$H$4:$H$2003,$A222,'[1]销售出库'!$Q$4:$Q$2003,'首页'!$B$4*100+P$4))</f>
        <v>0</v>
      </c>
      <c r="Q222" s="21">
        <f>IF($A222="",0,SUMIFS('[1]销售出库'!$R$4:$R$2003,'[1]销售出库'!$H$4:$H$2003,$A222,'[1]销售出库'!$Q$4:$Q$2003,'首页'!$B$4*100+Q$4))</f>
        <v>0</v>
      </c>
      <c r="R222" s="21">
        <f>IF($A222="",0,SUMIFS('[1]销售出库'!$R$4:$R$2003,'[1]销售出库'!$H$4:$H$2003,$A222,'[1]销售出库'!$Q$4:$Q$2003,'首页'!$B$4*100+R$4))</f>
        <v>0</v>
      </c>
      <c r="S222" s="21">
        <f>IF($A222="",0,SUMIFS('[1]销售出库'!$R$4:$R$2003,'[1]销售出库'!$H$4:$H$2003,$A222,'[1]销售出库'!$Q$4:$Q$2003,'首页'!$B$4*100+S$4))</f>
        <v>0</v>
      </c>
      <c r="T222" s="21">
        <f>IF($A222="",0,SUMIFS('[1]销售出库'!$R$4:$R$2003,'[1]销售出库'!$H$4:$H$2003,$A222,'[1]销售出库'!$Q$4:$Q$2003,'首页'!$B$4*100+T$4))</f>
        <v>0</v>
      </c>
      <c r="U222" s="21">
        <f>IF($A222="",0,SUMIFS('[1]销售出库'!$R$4:$R$2003,'[1]销售出库'!$H$4:$H$2003,$A222,'[1]销售出库'!$Q$4:$Q$2003,'首页'!$B$4*100+U$4))</f>
        <v>0</v>
      </c>
      <c r="V222" s="21">
        <f>IF($A222="",0,SUMIFS('[1]销售出库'!$R$4:$R$2003,'[1]销售出库'!$H$4:$H$2003,$A222,'[1]销售出库'!$Q$4:$Q$2003,'首页'!$B$4*100+V$4))</f>
        <v>0</v>
      </c>
      <c r="W222" s="21">
        <f>IF($A222="",0,SUMIFS('[1]销售出库'!$R$4:$R$2003,'[1]销售出库'!$H$4:$H$2003,$A222,'[1]销售出库'!$Q$4:$Q$2003,'首页'!$B$4*100+W$4))</f>
        <v>0</v>
      </c>
      <c r="X222" s="21">
        <f>IF($A222="",0,SUMIFS('[1]销售出库'!$R$4:$R$2003,'[1]销售出库'!$H$4:$H$2003,$A222,'[1]销售出库'!$Q$4:$Q$2003,'首页'!$B$4*100+X$4))</f>
        <v>0</v>
      </c>
    </row>
    <row r="223">
      <c r="A223" s="6">
        <f>IF('[1]基础资料'!$P$222="","",'[1]基础资料'!$P$222)</f>
      </c>
      <c r="B223" s="6">
        <f>IF(A223="","",'[1]基础资料'!$Q$222&amp;"")</f>
      </c>
      <c r="C223" s="21">
        <f>IF(A223="",0,N('[1]基础资料'!$S$222))</f>
        <v>0</v>
      </c>
      <c r="D223" s="11">
        <f>IF(A223="",0,N('[1]基础资料'!$U$222))</f>
        <v>0</v>
      </c>
      <c r="E223" s="21">
        <f>IF(A223="",0,SUMIFS('[1]采购入库'!$U$4:$U$2003,'[1]采购入库'!$I$4:$I$2003,$A223))</f>
        <v>0</v>
      </c>
      <c r="F223" s="11">
        <f>IF(A223="",0,SUMIFS('[1]采购入库'!$V$4:$V$2003,'[1]采购入库'!$I$4:$I$2003,$A223))</f>
        <v>0</v>
      </c>
      <c r="G223" s="21">
        <f>IF(A223="",0,SUMIFS('[1]销售出库'!$R$4:$R$2003,'[1]销售出库'!$H$4:$H$2003,$A223))</f>
        <v>0</v>
      </c>
      <c r="H223" s="11">
        <f t="shared" si="3"/>
        <v>0</v>
      </c>
      <c r="I223" s="11">
        <f t="shared" si="0"/>
        <v>0</v>
      </c>
      <c r="J223" s="21">
        <f t="shared" si="1"/>
        <v>0</v>
      </c>
      <c r="K223" s="11">
        <f t="shared" si="2"/>
        <v>0</v>
      </c>
      <c r="L223" s="6">
        <f t="shared" si="4"/>
      </c>
      <c r="M223" s="21">
        <f>IF($A223="",0,SUMIFS('[1]销售出库'!$R$4:$R$2003,'[1]销售出库'!$H$4:$H$2003,$A223,'[1]销售出库'!$Q$4:$Q$2003,'首页'!$B$4*100+M$4))</f>
        <v>0</v>
      </c>
      <c r="N223" s="21">
        <f>IF($A223="",0,SUMIFS('[1]销售出库'!$R$4:$R$2003,'[1]销售出库'!$H$4:$H$2003,$A223,'[1]销售出库'!$Q$4:$Q$2003,'首页'!$B$4*100+N$4))</f>
        <v>0</v>
      </c>
      <c r="O223" s="21">
        <f>IF($A223="",0,SUMIFS('[1]销售出库'!$R$4:$R$2003,'[1]销售出库'!$H$4:$H$2003,$A223,'[1]销售出库'!$Q$4:$Q$2003,'首页'!$B$4*100+O$4))</f>
        <v>0</v>
      </c>
      <c r="P223" s="21">
        <f>IF($A223="",0,SUMIFS('[1]销售出库'!$R$4:$R$2003,'[1]销售出库'!$H$4:$H$2003,$A223,'[1]销售出库'!$Q$4:$Q$2003,'首页'!$B$4*100+P$4))</f>
        <v>0</v>
      </c>
      <c r="Q223" s="21">
        <f>IF($A223="",0,SUMIFS('[1]销售出库'!$R$4:$R$2003,'[1]销售出库'!$H$4:$H$2003,$A223,'[1]销售出库'!$Q$4:$Q$2003,'首页'!$B$4*100+Q$4))</f>
        <v>0</v>
      </c>
      <c r="R223" s="21">
        <f>IF($A223="",0,SUMIFS('[1]销售出库'!$R$4:$R$2003,'[1]销售出库'!$H$4:$H$2003,$A223,'[1]销售出库'!$Q$4:$Q$2003,'首页'!$B$4*100+R$4))</f>
        <v>0</v>
      </c>
      <c r="S223" s="21">
        <f>IF($A223="",0,SUMIFS('[1]销售出库'!$R$4:$R$2003,'[1]销售出库'!$H$4:$H$2003,$A223,'[1]销售出库'!$Q$4:$Q$2003,'首页'!$B$4*100+S$4))</f>
        <v>0</v>
      </c>
      <c r="T223" s="21">
        <f>IF($A223="",0,SUMIFS('[1]销售出库'!$R$4:$R$2003,'[1]销售出库'!$H$4:$H$2003,$A223,'[1]销售出库'!$Q$4:$Q$2003,'首页'!$B$4*100+T$4))</f>
        <v>0</v>
      </c>
      <c r="U223" s="21">
        <f>IF($A223="",0,SUMIFS('[1]销售出库'!$R$4:$R$2003,'[1]销售出库'!$H$4:$H$2003,$A223,'[1]销售出库'!$Q$4:$Q$2003,'首页'!$B$4*100+U$4))</f>
        <v>0</v>
      </c>
      <c r="V223" s="21">
        <f>IF($A223="",0,SUMIFS('[1]销售出库'!$R$4:$R$2003,'[1]销售出库'!$H$4:$H$2003,$A223,'[1]销售出库'!$Q$4:$Q$2003,'首页'!$B$4*100+V$4))</f>
        <v>0</v>
      </c>
      <c r="W223" s="21">
        <f>IF($A223="",0,SUMIFS('[1]销售出库'!$R$4:$R$2003,'[1]销售出库'!$H$4:$H$2003,$A223,'[1]销售出库'!$Q$4:$Q$2003,'首页'!$B$4*100+W$4))</f>
        <v>0</v>
      </c>
      <c r="X223" s="21">
        <f>IF($A223="",0,SUMIFS('[1]销售出库'!$R$4:$R$2003,'[1]销售出库'!$H$4:$H$2003,$A223,'[1]销售出库'!$Q$4:$Q$2003,'首页'!$B$4*100+X$4))</f>
        <v>0</v>
      </c>
    </row>
    <row r="224">
      <c r="A224" s="6">
        <f>IF('[1]基础资料'!$P$223="","",'[1]基础资料'!$P$223)</f>
      </c>
      <c r="B224" s="6">
        <f>IF(A224="","",'[1]基础资料'!$Q$223&amp;"")</f>
      </c>
      <c r="C224" s="21">
        <f>IF(A224="",0,N('[1]基础资料'!$S$223))</f>
        <v>0</v>
      </c>
      <c r="D224" s="11">
        <f>IF(A224="",0,N('[1]基础资料'!$U$223))</f>
        <v>0</v>
      </c>
      <c r="E224" s="21">
        <f>IF(A224="",0,SUMIFS('[1]采购入库'!$U$4:$U$2003,'[1]采购入库'!$I$4:$I$2003,$A224))</f>
        <v>0</v>
      </c>
      <c r="F224" s="11">
        <f>IF(A224="",0,SUMIFS('[1]采购入库'!$V$4:$V$2003,'[1]采购入库'!$I$4:$I$2003,$A224))</f>
        <v>0</v>
      </c>
      <c r="G224" s="21">
        <f>IF(A224="",0,SUMIFS('[1]销售出库'!$R$4:$R$2003,'[1]销售出库'!$H$4:$H$2003,$A224))</f>
        <v>0</v>
      </c>
      <c r="H224" s="11">
        <f t="shared" si="3"/>
        <v>0</v>
      </c>
      <c r="I224" s="11">
        <f t="shared" si="0"/>
        <v>0</v>
      </c>
      <c r="J224" s="21">
        <f t="shared" si="1"/>
        <v>0</v>
      </c>
      <c r="K224" s="11">
        <f t="shared" si="2"/>
        <v>0</v>
      </c>
      <c r="L224" s="6">
        <f t="shared" si="4"/>
      </c>
      <c r="M224" s="21">
        <f>IF($A224="",0,SUMIFS('[1]销售出库'!$R$4:$R$2003,'[1]销售出库'!$H$4:$H$2003,$A224,'[1]销售出库'!$Q$4:$Q$2003,'首页'!$B$4*100+M$4))</f>
        <v>0</v>
      </c>
      <c r="N224" s="21">
        <f>IF($A224="",0,SUMIFS('[1]销售出库'!$R$4:$R$2003,'[1]销售出库'!$H$4:$H$2003,$A224,'[1]销售出库'!$Q$4:$Q$2003,'首页'!$B$4*100+N$4))</f>
        <v>0</v>
      </c>
      <c r="O224" s="21">
        <f>IF($A224="",0,SUMIFS('[1]销售出库'!$R$4:$R$2003,'[1]销售出库'!$H$4:$H$2003,$A224,'[1]销售出库'!$Q$4:$Q$2003,'首页'!$B$4*100+O$4))</f>
        <v>0</v>
      </c>
      <c r="P224" s="21">
        <f>IF($A224="",0,SUMIFS('[1]销售出库'!$R$4:$R$2003,'[1]销售出库'!$H$4:$H$2003,$A224,'[1]销售出库'!$Q$4:$Q$2003,'首页'!$B$4*100+P$4))</f>
        <v>0</v>
      </c>
      <c r="Q224" s="21">
        <f>IF($A224="",0,SUMIFS('[1]销售出库'!$R$4:$R$2003,'[1]销售出库'!$H$4:$H$2003,$A224,'[1]销售出库'!$Q$4:$Q$2003,'首页'!$B$4*100+Q$4))</f>
        <v>0</v>
      </c>
      <c r="R224" s="21">
        <f>IF($A224="",0,SUMIFS('[1]销售出库'!$R$4:$R$2003,'[1]销售出库'!$H$4:$H$2003,$A224,'[1]销售出库'!$Q$4:$Q$2003,'首页'!$B$4*100+R$4))</f>
        <v>0</v>
      </c>
      <c r="S224" s="21">
        <f>IF($A224="",0,SUMIFS('[1]销售出库'!$R$4:$R$2003,'[1]销售出库'!$H$4:$H$2003,$A224,'[1]销售出库'!$Q$4:$Q$2003,'首页'!$B$4*100+S$4))</f>
        <v>0</v>
      </c>
      <c r="T224" s="21">
        <f>IF($A224="",0,SUMIFS('[1]销售出库'!$R$4:$R$2003,'[1]销售出库'!$H$4:$H$2003,$A224,'[1]销售出库'!$Q$4:$Q$2003,'首页'!$B$4*100+T$4))</f>
        <v>0</v>
      </c>
      <c r="U224" s="21">
        <f>IF($A224="",0,SUMIFS('[1]销售出库'!$R$4:$R$2003,'[1]销售出库'!$H$4:$H$2003,$A224,'[1]销售出库'!$Q$4:$Q$2003,'首页'!$B$4*100+U$4))</f>
        <v>0</v>
      </c>
      <c r="V224" s="21">
        <f>IF($A224="",0,SUMIFS('[1]销售出库'!$R$4:$R$2003,'[1]销售出库'!$H$4:$H$2003,$A224,'[1]销售出库'!$Q$4:$Q$2003,'首页'!$B$4*100+V$4))</f>
        <v>0</v>
      </c>
      <c r="W224" s="21">
        <f>IF($A224="",0,SUMIFS('[1]销售出库'!$R$4:$R$2003,'[1]销售出库'!$H$4:$H$2003,$A224,'[1]销售出库'!$Q$4:$Q$2003,'首页'!$B$4*100+W$4))</f>
        <v>0</v>
      </c>
      <c r="X224" s="21">
        <f>IF($A224="",0,SUMIFS('[1]销售出库'!$R$4:$R$2003,'[1]销售出库'!$H$4:$H$2003,$A224,'[1]销售出库'!$Q$4:$Q$2003,'首页'!$B$4*100+X$4))</f>
        <v>0</v>
      </c>
    </row>
    <row r="225">
      <c r="A225" s="6">
        <f>IF('[1]基础资料'!$P$224="","",'[1]基础资料'!$P$224)</f>
      </c>
      <c r="B225" s="6">
        <f>IF(A225="","",'[1]基础资料'!$Q$224&amp;"")</f>
      </c>
      <c r="C225" s="21">
        <f>IF(A225="",0,N('[1]基础资料'!$S$224))</f>
        <v>0</v>
      </c>
      <c r="D225" s="11">
        <f>IF(A225="",0,N('[1]基础资料'!$U$224))</f>
        <v>0</v>
      </c>
      <c r="E225" s="21">
        <f>IF(A225="",0,SUMIFS('[1]采购入库'!$U$4:$U$2003,'[1]采购入库'!$I$4:$I$2003,$A225))</f>
        <v>0</v>
      </c>
      <c r="F225" s="11">
        <f>IF(A225="",0,SUMIFS('[1]采购入库'!$V$4:$V$2003,'[1]采购入库'!$I$4:$I$2003,$A225))</f>
        <v>0</v>
      </c>
      <c r="G225" s="21">
        <f>IF(A225="",0,SUMIFS('[1]销售出库'!$R$4:$R$2003,'[1]销售出库'!$H$4:$H$2003,$A225))</f>
        <v>0</v>
      </c>
      <c r="H225" s="11">
        <f t="shared" si="3"/>
        <v>0</v>
      </c>
      <c r="I225" s="11">
        <f t="shared" si="0"/>
        <v>0</v>
      </c>
      <c r="J225" s="21">
        <f t="shared" si="1"/>
        <v>0</v>
      </c>
      <c r="K225" s="11">
        <f t="shared" si="2"/>
        <v>0</v>
      </c>
      <c r="L225" s="6">
        <f t="shared" si="4"/>
      </c>
      <c r="M225" s="21">
        <f>IF($A225="",0,SUMIFS('[1]销售出库'!$R$4:$R$2003,'[1]销售出库'!$H$4:$H$2003,$A225,'[1]销售出库'!$Q$4:$Q$2003,'首页'!$B$4*100+M$4))</f>
        <v>0</v>
      </c>
      <c r="N225" s="21">
        <f>IF($A225="",0,SUMIFS('[1]销售出库'!$R$4:$R$2003,'[1]销售出库'!$H$4:$H$2003,$A225,'[1]销售出库'!$Q$4:$Q$2003,'首页'!$B$4*100+N$4))</f>
        <v>0</v>
      </c>
      <c r="O225" s="21">
        <f>IF($A225="",0,SUMIFS('[1]销售出库'!$R$4:$R$2003,'[1]销售出库'!$H$4:$H$2003,$A225,'[1]销售出库'!$Q$4:$Q$2003,'首页'!$B$4*100+O$4))</f>
        <v>0</v>
      </c>
      <c r="P225" s="21">
        <f>IF($A225="",0,SUMIFS('[1]销售出库'!$R$4:$R$2003,'[1]销售出库'!$H$4:$H$2003,$A225,'[1]销售出库'!$Q$4:$Q$2003,'首页'!$B$4*100+P$4))</f>
        <v>0</v>
      </c>
      <c r="Q225" s="21">
        <f>IF($A225="",0,SUMIFS('[1]销售出库'!$R$4:$R$2003,'[1]销售出库'!$H$4:$H$2003,$A225,'[1]销售出库'!$Q$4:$Q$2003,'首页'!$B$4*100+Q$4))</f>
        <v>0</v>
      </c>
      <c r="R225" s="21">
        <f>IF($A225="",0,SUMIFS('[1]销售出库'!$R$4:$R$2003,'[1]销售出库'!$H$4:$H$2003,$A225,'[1]销售出库'!$Q$4:$Q$2003,'首页'!$B$4*100+R$4))</f>
        <v>0</v>
      </c>
      <c r="S225" s="21">
        <f>IF($A225="",0,SUMIFS('[1]销售出库'!$R$4:$R$2003,'[1]销售出库'!$H$4:$H$2003,$A225,'[1]销售出库'!$Q$4:$Q$2003,'首页'!$B$4*100+S$4))</f>
        <v>0</v>
      </c>
      <c r="T225" s="21">
        <f>IF($A225="",0,SUMIFS('[1]销售出库'!$R$4:$R$2003,'[1]销售出库'!$H$4:$H$2003,$A225,'[1]销售出库'!$Q$4:$Q$2003,'首页'!$B$4*100+T$4))</f>
        <v>0</v>
      </c>
      <c r="U225" s="21">
        <f>IF($A225="",0,SUMIFS('[1]销售出库'!$R$4:$R$2003,'[1]销售出库'!$H$4:$H$2003,$A225,'[1]销售出库'!$Q$4:$Q$2003,'首页'!$B$4*100+U$4))</f>
        <v>0</v>
      </c>
      <c r="V225" s="21">
        <f>IF($A225="",0,SUMIFS('[1]销售出库'!$R$4:$R$2003,'[1]销售出库'!$H$4:$H$2003,$A225,'[1]销售出库'!$Q$4:$Q$2003,'首页'!$B$4*100+V$4))</f>
        <v>0</v>
      </c>
      <c r="W225" s="21">
        <f>IF($A225="",0,SUMIFS('[1]销售出库'!$R$4:$R$2003,'[1]销售出库'!$H$4:$H$2003,$A225,'[1]销售出库'!$Q$4:$Q$2003,'首页'!$B$4*100+W$4))</f>
        <v>0</v>
      </c>
      <c r="X225" s="21">
        <f>IF($A225="",0,SUMIFS('[1]销售出库'!$R$4:$R$2003,'[1]销售出库'!$H$4:$H$2003,$A225,'[1]销售出库'!$Q$4:$Q$2003,'首页'!$B$4*100+X$4))</f>
        <v>0</v>
      </c>
    </row>
    <row r="226">
      <c r="A226" s="6">
        <f>IF('[1]基础资料'!$P$225="","",'[1]基础资料'!$P$225)</f>
      </c>
      <c r="B226" s="6">
        <f>IF(A226="","",'[1]基础资料'!$Q$225&amp;"")</f>
      </c>
      <c r="C226" s="21">
        <f>IF(A226="",0,N('[1]基础资料'!$S$225))</f>
        <v>0</v>
      </c>
      <c r="D226" s="11">
        <f>IF(A226="",0,N('[1]基础资料'!$U$225))</f>
        <v>0</v>
      </c>
      <c r="E226" s="21">
        <f>IF(A226="",0,SUMIFS('[1]采购入库'!$U$4:$U$2003,'[1]采购入库'!$I$4:$I$2003,$A226))</f>
        <v>0</v>
      </c>
      <c r="F226" s="11">
        <f>IF(A226="",0,SUMIFS('[1]采购入库'!$V$4:$V$2003,'[1]采购入库'!$I$4:$I$2003,$A226))</f>
        <v>0</v>
      </c>
      <c r="G226" s="21">
        <f>IF(A226="",0,SUMIFS('[1]销售出库'!$R$4:$R$2003,'[1]销售出库'!$H$4:$H$2003,$A226))</f>
        <v>0</v>
      </c>
      <c r="H226" s="11">
        <f t="shared" si="3"/>
        <v>0</v>
      </c>
      <c r="I226" s="11">
        <f t="shared" si="0"/>
        <v>0</v>
      </c>
      <c r="J226" s="21">
        <f t="shared" si="1"/>
        <v>0</v>
      </c>
      <c r="K226" s="11">
        <f t="shared" si="2"/>
        <v>0</v>
      </c>
      <c r="L226" s="6">
        <f t="shared" si="4"/>
      </c>
      <c r="M226" s="21">
        <f>IF($A226="",0,SUMIFS('[1]销售出库'!$R$4:$R$2003,'[1]销售出库'!$H$4:$H$2003,$A226,'[1]销售出库'!$Q$4:$Q$2003,'首页'!$B$4*100+M$4))</f>
        <v>0</v>
      </c>
      <c r="N226" s="21">
        <f>IF($A226="",0,SUMIFS('[1]销售出库'!$R$4:$R$2003,'[1]销售出库'!$H$4:$H$2003,$A226,'[1]销售出库'!$Q$4:$Q$2003,'首页'!$B$4*100+N$4))</f>
        <v>0</v>
      </c>
      <c r="O226" s="21">
        <f>IF($A226="",0,SUMIFS('[1]销售出库'!$R$4:$R$2003,'[1]销售出库'!$H$4:$H$2003,$A226,'[1]销售出库'!$Q$4:$Q$2003,'首页'!$B$4*100+O$4))</f>
        <v>0</v>
      </c>
      <c r="P226" s="21">
        <f>IF($A226="",0,SUMIFS('[1]销售出库'!$R$4:$R$2003,'[1]销售出库'!$H$4:$H$2003,$A226,'[1]销售出库'!$Q$4:$Q$2003,'首页'!$B$4*100+P$4))</f>
        <v>0</v>
      </c>
      <c r="Q226" s="21">
        <f>IF($A226="",0,SUMIFS('[1]销售出库'!$R$4:$R$2003,'[1]销售出库'!$H$4:$H$2003,$A226,'[1]销售出库'!$Q$4:$Q$2003,'首页'!$B$4*100+Q$4))</f>
        <v>0</v>
      </c>
      <c r="R226" s="21">
        <f>IF($A226="",0,SUMIFS('[1]销售出库'!$R$4:$R$2003,'[1]销售出库'!$H$4:$H$2003,$A226,'[1]销售出库'!$Q$4:$Q$2003,'首页'!$B$4*100+R$4))</f>
        <v>0</v>
      </c>
      <c r="S226" s="21">
        <f>IF($A226="",0,SUMIFS('[1]销售出库'!$R$4:$R$2003,'[1]销售出库'!$H$4:$H$2003,$A226,'[1]销售出库'!$Q$4:$Q$2003,'首页'!$B$4*100+S$4))</f>
        <v>0</v>
      </c>
      <c r="T226" s="21">
        <f>IF($A226="",0,SUMIFS('[1]销售出库'!$R$4:$R$2003,'[1]销售出库'!$H$4:$H$2003,$A226,'[1]销售出库'!$Q$4:$Q$2003,'首页'!$B$4*100+T$4))</f>
        <v>0</v>
      </c>
      <c r="U226" s="21">
        <f>IF($A226="",0,SUMIFS('[1]销售出库'!$R$4:$R$2003,'[1]销售出库'!$H$4:$H$2003,$A226,'[1]销售出库'!$Q$4:$Q$2003,'首页'!$B$4*100+U$4))</f>
        <v>0</v>
      </c>
      <c r="V226" s="21">
        <f>IF($A226="",0,SUMIFS('[1]销售出库'!$R$4:$R$2003,'[1]销售出库'!$H$4:$H$2003,$A226,'[1]销售出库'!$Q$4:$Q$2003,'首页'!$B$4*100+V$4))</f>
        <v>0</v>
      </c>
      <c r="W226" s="21">
        <f>IF($A226="",0,SUMIFS('[1]销售出库'!$R$4:$R$2003,'[1]销售出库'!$H$4:$H$2003,$A226,'[1]销售出库'!$Q$4:$Q$2003,'首页'!$B$4*100+W$4))</f>
        <v>0</v>
      </c>
      <c r="X226" s="21">
        <f>IF($A226="",0,SUMIFS('[1]销售出库'!$R$4:$R$2003,'[1]销售出库'!$H$4:$H$2003,$A226,'[1]销售出库'!$Q$4:$Q$2003,'首页'!$B$4*100+X$4))</f>
        <v>0</v>
      </c>
    </row>
    <row r="227">
      <c r="A227" s="6">
        <f>IF('[1]基础资料'!$P$226="","",'[1]基础资料'!$P$226)</f>
      </c>
      <c r="B227" s="6">
        <f>IF(A227="","",'[1]基础资料'!$Q$226&amp;"")</f>
      </c>
      <c r="C227" s="21">
        <f>IF(A227="",0,N('[1]基础资料'!$S$226))</f>
        <v>0</v>
      </c>
      <c r="D227" s="11">
        <f>IF(A227="",0,N('[1]基础资料'!$U$226))</f>
        <v>0</v>
      </c>
      <c r="E227" s="21">
        <f>IF(A227="",0,SUMIFS('[1]采购入库'!$U$4:$U$2003,'[1]采购入库'!$I$4:$I$2003,$A227))</f>
        <v>0</v>
      </c>
      <c r="F227" s="11">
        <f>IF(A227="",0,SUMIFS('[1]采购入库'!$V$4:$V$2003,'[1]采购入库'!$I$4:$I$2003,$A227))</f>
        <v>0</v>
      </c>
      <c r="G227" s="21">
        <f>IF(A227="",0,SUMIFS('[1]销售出库'!$R$4:$R$2003,'[1]销售出库'!$H$4:$H$2003,$A227))</f>
        <v>0</v>
      </c>
      <c r="H227" s="11">
        <f t="shared" si="3"/>
        <v>0</v>
      </c>
      <c r="I227" s="11">
        <f t="shared" si="0"/>
        <v>0</v>
      </c>
      <c r="J227" s="21">
        <f t="shared" si="1"/>
        <v>0</v>
      </c>
      <c r="K227" s="11">
        <f t="shared" si="2"/>
        <v>0</v>
      </c>
      <c r="L227" s="6">
        <f t="shared" si="4"/>
      </c>
      <c r="M227" s="21">
        <f>IF($A227="",0,SUMIFS('[1]销售出库'!$R$4:$R$2003,'[1]销售出库'!$H$4:$H$2003,$A227,'[1]销售出库'!$Q$4:$Q$2003,'首页'!$B$4*100+M$4))</f>
        <v>0</v>
      </c>
      <c r="N227" s="21">
        <f>IF($A227="",0,SUMIFS('[1]销售出库'!$R$4:$R$2003,'[1]销售出库'!$H$4:$H$2003,$A227,'[1]销售出库'!$Q$4:$Q$2003,'首页'!$B$4*100+N$4))</f>
        <v>0</v>
      </c>
      <c r="O227" s="21">
        <f>IF($A227="",0,SUMIFS('[1]销售出库'!$R$4:$R$2003,'[1]销售出库'!$H$4:$H$2003,$A227,'[1]销售出库'!$Q$4:$Q$2003,'首页'!$B$4*100+O$4))</f>
        <v>0</v>
      </c>
      <c r="P227" s="21">
        <f>IF($A227="",0,SUMIFS('[1]销售出库'!$R$4:$R$2003,'[1]销售出库'!$H$4:$H$2003,$A227,'[1]销售出库'!$Q$4:$Q$2003,'首页'!$B$4*100+P$4))</f>
        <v>0</v>
      </c>
      <c r="Q227" s="21">
        <f>IF($A227="",0,SUMIFS('[1]销售出库'!$R$4:$R$2003,'[1]销售出库'!$H$4:$H$2003,$A227,'[1]销售出库'!$Q$4:$Q$2003,'首页'!$B$4*100+Q$4))</f>
        <v>0</v>
      </c>
      <c r="R227" s="21">
        <f>IF($A227="",0,SUMIFS('[1]销售出库'!$R$4:$R$2003,'[1]销售出库'!$H$4:$H$2003,$A227,'[1]销售出库'!$Q$4:$Q$2003,'首页'!$B$4*100+R$4))</f>
        <v>0</v>
      </c>
      <c r="S227" s="21">
        <f>IF($A227="",0,SUMIFS('[1]销售出库'!$R$4:$R$2003,'[1]销售出库'!$H$4:$H$2003,$A227,'[1]销售出库'!$Q$4:$Q$2003,'首页'!$B$4*100+S$4))</f>
        <v>0</v>
      </c>
      <c r="T227" s="21">
        <f>IF($A227="",0,SUMIFS('[1]销售出库'!$R$4:$R$2003,'[1]销售出库'!$H$4:$H$2003,$A227,'[1]销售出库'!$Q$4:$Q$2003,'首页'!$B$4*100+T$4))</f>
        <v>0</v>
      </c>
      <c r="U227" s="21">
        <f>IF($A227="",0,SUMIFS('[1]销售出库'!$R$4:$R$2003,'[1]销售出库'!$H$4:$H$2003,$A227,'[1]销售出库'!$Q$4:$Q$2003,'首页'!$B$4*100+U$4))</f>
        <v>0</v>
      </c>
      <c r="V227" s="21">
        <f>IF($A227="",0,SUMIFS('[1]销售出库'!$R$4:$R$2003,'[1]销售出库'!$H$4:$H$2003,$A227,'[1]销售出库'!$Q$4:$Q$2003,'首页'!$B$4*100+V$4))</f>
        <v>0</v>
      </c>
      <c r="W227" s="21">
        <f>IF($A227="",0,SUMIFS('[1]销售出库'!$R$4:$R$2003,'[1]销售出库'!$H$4:$H$2003,$A227,'[1]销售出库'!$Q$4:$Q$2003,'首页'!$B$4*100+W$4))</f>
        <v>0</v>
      </c>
      <c r="X227" s="21">
        <f>IF($A227="",0,SUMIFS('[1]销售出库'!$R$4:$R$2003,'[1]销售出库'!$H$4:$H$2003,$A227,'[1]销售出库'!$Q$4:$Q$2003,'首页'!$B$4*100+X$4))</f>
        <v>0</v>
      </c>
    </row>
    <row r="228">
      <c r="A228" s="6">
        <f>IF('[1]基础资料'!$P$227="","",'[1]基础资料'!$P$227)</f>
      </c>
      <c r="B228" s="6">
        <f>IF(A228="","",'[1]基础资料'!$Q$227&amp;"")</f>
      </c>
      <c r="C228" s="21">
        <f>IF(A228="",0,N('[1]基础资料'!$S$227))</f>
        <v>0</v>
      </c>
      <c r="D228" s="11">
        <f>IF(A228="",0,N('[1]基础资料'!$U$227))</f>
        <v>0</v>
      </c>
      <c r="E228" s="21">
        <f>IF(A228="",0,SUMIFS('[1]采购入库'!$U$4:$U$2003,'[1]采购入库'!$I$4:$I$2003,$A228))</f>
        <v>0</v>
      </c>
      <c r="F228" s="11">
        <f>IF(A228="",0,SUMIFS('[1]采购入库'!$V$4:$V$2003,'[1]采购入库'!$I$4:$I$2003,$A228))</f>
        <v>0</v>
      </c>
      <c r="G228" s="21">
        <f>IF(A228="",0,SUMIFS('[1]销售出库'!$R$4:$R$2003,'[1]销售出库'!$H$4:$H$2003,$A228))</f>
        <v>0</v>
      </c>
      <c r="H228" s="11">
        <f t="shared" si="3"/>
        <v>0</v>
      </c>
      <c r="I228" s="11">
        <f t="shared" si="0"/>
        <v>0</v>
      </c>
      <c r="J228" s="21">
        <f t="shared" si="1"/>
        <v>0</v>
      </c>
      <c r="K228" s="11">
        <f t="shared" si="2"/>
        <v>0</v>
      </c>
      <c r="L228" s="6">
        <f t="shared" si="4"/>
      </c>
      <c r="M228" s="21">
        <f>IF($A228="",0,SUMIFS('[1]销售出库'!$R$4:$R$2003,'[1]销售出库'!$H$4:$H$2003,$A228,'[1]销售出库'!$Q$4:$Q$2003,'首页'!$B$4*100+M$4))</f>
        <v>0</v>
      </c>
      <c r="N228" s="21">
        <f>IF($A228="",0,SUMIFS('[1]销售出库'!$R$4:$R$2003,'[1]销售出库'!$H$4:$H$2003,$A228,'[1]销售出库'!$Q$4:$Q$2003,'首页'!$B$4*100+N$4))</f>
        <v>0</v>
      </c>
      <c r="O228" s="21">
        <f>IF($A228="",0,SUMIFS('[1]销售出库'!$R$4:$R$2003,'[1]销售出库'!$H$4:$H$2003,$A228,'[1]销售出库'!$Q$4:$Q$2003,'首页'!$B$4*100+O$4))</f>
        <v>0</v>
      </c>
      <c r="P228" s="21">
        <f>IF($A228="",0,SUMIFS('[1]销售出库'!$R$4:$R$2003,'[1]销售出库'!$H$4:$H$2003,$A228,'[1]销售出库'!$Q$4:$Q$2003,'首页'!$B$4*100+P$4))</f>
        <v>0</v>
      </c>
      <c r="Q228" s="21">
        <f>IF($A228="",0,SUMIFS('[1]销售出库'!$R$4:$R$2003,'[1]销售出库'!$H$4:$H$2003,$A228,'[1]销售出库'!$Q$4:$Q$2003,'首页'!$B$4*100+Q$4))</f>
        <v>0</v>
      </c>
      <c r="R228" s="21">
        <f>IF($A228="",0,SUMIFS('[1]销售出库'!$R$4:$R$2003,'[1]销售出库'!$H$4:$H$2003,$A228,'[1]销售出库'!$Q$4:$Q$2003,'首页'!$B$4*100+R$4))</f>
        <v>0</v>
      </c>
      <c r="S228" s="21">
        <f>IF($A228="",0,SUMIFS('[1]销售出库'!$R$4:$R$2003,'[1]销售出库'!$H$4:$H$2003,$A228,'[1]销售出库'!$Q$4:$Q$2003,'首页'!$B$4*100+S$4))</f>
        <v>0</v>
      </c>
      <c r="T228" s="21">
        <f>IF($A228="",0,SUMIFS('[1]销售出库'!$R$4:$R$2003,'[1]销售出库'!$H$4:$H$2003,$A228,'[1]销售出库'!$Q$4:$Q$2003,'首页'!$B$4*100+T$4))</f>
        <v>0</v>
      </c>
      <c r="U228" s="21">
        <f>IF($A228="",0,SUMIFS('[1]销售出库'!$R$4:$R$2003,'[1]销售出库'!$H$4:$H$2003,$A228,'[1]销售出库'!$Q$4:$Q$2003,'首页'!$B$4*100+U$4))</f>
        <v>0</v>
      </c>
      <c r="V228" s="21">
        <f>IF($A228="",0,SUMIFS('[1]销售出库'!$R$4:$R$2003,'[1]销售出库'!$H$4:$H$2003,$A228,'[1]销售出库'!$Q$4:$Q$2003,'首页'!$B$4*100+V$4))</f>
        <v>0</v>
      </c>
      <c r="W228" s="21">
        <f>IF($A228="",0,SUMIFS('[1]销售出库'!$R$4:$R$2003,'[1]销售出库'!$H$4:$H$2003,$A228,'[1]销售出库'!$Q$4:$Q$2003,'首页'!$B$4*100+W$4))</f>
        <v>0</v>
      </c>
      <c r="X228" s="21">
        <f>IF($A228="",0,SUMIFS('[1]销售出库'!$R$4:$R$2003,'[1]销售出库'!$H$4:$H$2003,$A228,'[1]销售出库'!$Q$4:$Q$2003,'首页'!$B$4*100+X$4))</f>
        <v>0</v>
      </c>
    </row>
    <row r="229">
      <c r="A229" s="6">
        <f>IF('[1]基础资料'!$P$228="","",'[1]基础资料'!$P$228)</f>
      </c>
      <c r="B229" s="6">
        <f>IF(A229="","",'[1]基础资料'!$Q$228&amp;"")</f>
      </c>
      <c r="C229" s="21">
        <f>IF(A229="",0,N('[1]基础资料'!$S$228))</f>
        <v>0</v>
      </c>
      <c r="D229" s="11">
        <f>IF(A229="",0,N('[1]基础资料'!$U$228))</f>
        <v>0</v>
      </c>
      <c r="E229" s="21">
        <f>IF(A229="",0,SUMIFS('[1]采购入库'!$U$4:$U$2003,'[1]采购入库'!$I$4:$I$2003,$A229))</f>
        <v>0</v>
      </c>
      <c r="F229" s="11">
        <f>IF(A229="",0,SUMIFS('[1]采购入库'!$V$4:$V$2003,'[1]采购入库'!$I$4:$I$2003,$A229))</f>
        <v>0</v>
      </c>
      <c r="G229" s="21">
        <f>IF(A229="",0,SUMIFS('[1]销售出库'!$R$4:$R$2003,'[1]销售出库'!$H$4:$H$2003,$A229))</f>
        <v>0</v>
      </c>
      <c r="H229" s="11">
        <f t="shared" si="3"/>
        <v>0</v>
      </c>
      <c r="I229" s="11">
        <f t="shared" si="0"/>
        <v>0</v>
      </c>
      <c r="J229" s="21">
        <f t="shared" si="1"/>
        <v>0</v>
      </c>
      <c r="K229" s="11">
        <f t="shared" si="2"/>
        <v>0</v>
      </c>
      <c r="L229" s="6">
        <f t="shared" si="4"/>
      </c>
      <c r="M229" s="21">
        <f>IF($A229="",0,SUMIFS('[1]销售出库'!$R$4:$R$2003,'[1]销售出库'!$H$4:$H$2003,$A229,'[1]销售出库'!$Q$4:$Q$2003,'首页'!$B$4*100+M$4))</f>
        <v>0</v>
      </c>
      <c r="N229" s="21">
        <f>IF($A229="",0,SUMIFS('[1]销售出库'!$R$4:$R$2003,'[1]销售出库'!$H$4:$H$2003,$A229,'[1]销售出库'!$Q$4:$Q$2003,'首页'!$B$4*100+N$4))</f>
        <v>0</v>
      </c>
      <c r="O229" s="21">
        <f>IF($A229="",0,SUMIFS('[1]销售出库'!$R$4:$R$2003,'[1]销售出库'!$H$4:$H$2003,$A229,'[1]销售出库'!$Q$4:$Q$2003,'首页'!$B$4*100+O$4))</f>
        <v>0</v>
      </c>
      <c r="P229" s="21">
        <f>IF($A229="",0,SUMIFS('[1]销售出库'!$R$4:$R$2003,'[1]销售出库'!$H$4:$H$2003,$A229,'[1]销售出库'!$Q$4:$Q$2003,'首页'!$B$4*100+P$4))</f>
        <v>0</v>
      </c>
      <c r="Q229" s="21">
        <f>IF($A229="",0,SUMIFS('[1]销售出库'!$R$4:$R$2003,'[1]销售出库'!$H$4:$H$2003,$A229,'[1]销售出库'!$Q$4:$Q$2003,'首页'!$B$4*100+Q$4))</f>
        <v>0</v>
      </c>
      <c r="R229" s="21">
        <f>IF($A229="",0,SUMIFS('[1]销售出库'!$R$4:$R$2003,'[1]销售出库'!$H$4:$H$2003,$A229,'[1]销售出库'!$Q$4:$Q$2003,'首页'!$B$4*100+R$4))</f>
        <v>0</v>
      </c>
      <c r="S229" s="21">
        <f>IF($A229="",0,SUMIFS('[1]销售出库'!$R$4:$R$2003,'[1]销售出库'!$H$4:$H$2003,$A229,'[1]销售出库'!$Q$4:$Q$2003,'首页'!$B$4*100+S$4))</f>
        <v>0</v>
      </c>
      <c r="T229" s="21">
        <f>IF($A229="",0,SUMIFS('[1]销售出库'!$R$4:$R$2003,'[1]销售出库'!$H$4:$H$2003,$A229,'[1]销售出库'!$Q$4:$Q$2003,'首页'!$B$4*100+T$4))</f>
        <v>0</v>
      </c>
      <c r="U229" s="21">
        <f>IF($A229="",0,SUMIFS('[1]销售出库'!$R$4:$R$2003,'[1]销售出库'!$H$4:$H$2003,$A229,'[1]销售出库'!$Q$4:$Q$2003,'首页'!$B$4*100+U$4))</f>
        <v>0</v>
      </c>
      <c r="V229" s="21">
        <f>IF($A229="",0,SUMIFS('[1]销售出库'!$R$4:$R$2003,'[1]销售出库'!$H$4:$H$2003,$A229,'[1]销售出库'!$Q$4:$Q$2003,'首页'!$B$4*100+V$4))</f>
        <v>0</v>
      </c>
      <c r="W229" s="21">
        <f>IF($A229="",0,SUMIFS('[1]销售出库'!$R$4:$R$2003,'[1]销售出库'!$H$4:$H$2003,$A229,'[1]销售出库'!$Q$4:$Q$2003,'首页'!$B$4*100+W$4))</f>
        <v>0</v>
      </c>
      <c r="X229" s="21">
        <f>IF($A229="",0,SUMIFS('[1]销售出库'!$R$4:$R$2003,'[1]销售出库'!$H$4:$H$2003,$A229,'[1]销售出库'!$Q$4:$Q$2003,'首页'!$B$4*100+X$4))</f>
        <v>0</v>
      </c>
    </row>
    <row r="230">
      <c r="A230" s="6">
        <f>IF('[1]基础资料'!$P$229="","",'[1]基础资料'!$P$229)</f>
      </c>
      <c r="B230" s="6">
        <f>IF(A230="","",'[1]基础资料'!$Q$229&amp;"")</f>
      </c>
      <c r="C230" s="21">
        <f>IF(A230="",0,N('[1]基础资料'!$S$229))</f>
        <v>0</v>
      </c>
      <c r="D230" s="11">
        <f>IF(A230="",0,N('[1]基础资料'!$U$229))</f>
        <v>0</v>
      </c>
      <c r="E230" s="21">
        <f>IF(A230="",0,SUMIFS('[1]采购入库'!$U$4:$U$2003,'[1]采购入库'!$I$4:$I$2003,$A230))</f>
        <v>0</v>
      </c>
      <c r="F230" s="11">
        <f>IF(A230="",0,SUMIFS('[1]采购入库'!$V$4:$V$2003,'[1]采购入库'!$I$4:$I$2003,$A230))</f>
        <v>0</v>
      </c>
      <c r="G230" s="21">
        <f>IF(A230="",0,SUMIFS('[1]销售出库'!$R$4:$R$2003,'[1]销售出库'!$H$4:$H$2003,$A230))</f>
        <v>0</v>
      </c>
      <c r="H230" s="11">
        <f t="shared" si="3"/>
        <v>0</v>
      </c>
      <c r="I230" s="11">
        <f t="shared" si="0"/>
        <v>0</v>
      </c>
      <c r="J230" s="21">
        <f t="shared" si="1"/>
        <v>0</v>
      </c>
      <c r="K230" s="11">
        <f t="shared" si="2"/>
        <v>0</v>
      </c>
      <c r="L230" s="6">
        <f t="shared" si="4"/>
      </c>
      <c r="M230" s="21">
        <f>IF($A230="",0,SUMIFS('[1]销售出库'!$R$4:$R$2003,'[1]销售出库'!$H$4:$H$2003,$A230,'[1]销售出库'!$Q$4:$Q$2003,'首页'!$B$4*100+M$4))</f>
        <v>0</v>
      </c>
      <c r="N230" s="21">
        <f>IF($A230="",0,SUMIFS('[1]销售出库'!$R$4:$R$2003,'[1]销售出库'!$H$4:$H$2003,$A230,'[1]销售出库'!$Q$4:$Q$2003,'首页'!$B$4*100+N$4))</f>
        <v>0</v>
      </c>
      <c r="O230" s="21">
        <f>IF($A230="",0,SUMIFS('[1]销售出库'!$R$4:$R$2003,'[1]销售出库'!$H$4:$H$2003,$A230,'[1]销售出库'!$Q$4:$Q$2003,'首页'!$B$4*100+O$4))</f>
        <v>0</v>
      </c>
      <c r="P230" s="21">
        <f>IF($A230="",0,SUMIFS('[1]销售出库'!$R$4:$R$2003,'[1]销售出库'!$H$4:$H$2003,$A230,'[1]销售出库'!$Q$4:$Q$2003,'首页'!$B$4*100+P$4))</f>
        <v>0</v>
      </c>
      <c r="Q230" s="21">
        <f>IF($A230="",0,SUMIFS('[1]销售出库'!$R$4:$R$2003,'[1]销售出库'!$H$4:$H$2003,$A230,'[1]销售出库'!$Q$4:$Q$2003,'首页'!$B$4*100+Q$4))</f>
        <v>0</v>
      </c>
      <c r="R230" s="21">
        <f>IF($A230="",0,SUMIFS('[1]销售出库'!$R$4:$R$2003,'[1]销售出库'!$H$4:$H$2003,$A230,'[1]销售出库'!$Q$4:$Q$2003,'首页'!$B$4*100+R$4))</f>
        <v>0</v>
      </c>
      <c r="S230" s="21">
        <f>IF($A230="",0,SUMIFS('[1]销售出库'!$R$4:$R$2003,'[1]销售出库'!$H$4:$H$2003,$A230,'[1]销售出库'!$Q$4:$Q$2003,'首页'!$B$4*100+S$4))</f>
        <v>0</v>
      </c>
      <c r="T230" s="21">
        <f>IF($A230="",0,SUMIFS('[1]销售出库'!$R$4:$R$2003,'[1]销售出库'!$H$4:$H$2003,$A230,'[1]销售出库'!$Q$4:$Q$2003,'首页'!$B$4*100+T$4))</f>
        <v>0</v>
      </c>
      <c r="U230" s="21">
        <f>IF($A230="",0,SUMIFS('[1]销售出库'!$R$4:$R$2003,'[1]销售出库'!$H$4:$H$2003,$A230,'[1]销售出库'!$Q$4:$Q$2003,'首页'!$B$4*100+U$4))</f>
        <v>0</v>
      </c>
      <c r="V230" s="21">
        <f>IF($A230="",0,SUMIFS('[1]销售出库'!$R$4:$R$2003,'[1]销售出库'!$H$4:$H$2003,$A230,'[1]销售出库'!$Q$4:$Q$2003,'首页'!$B$4*100+V$4))</f>
        <v>0</v>
      </c>
      <c r="W230" s="21">
        <f>IF($A230="",0,SUMIFS('[1]销售出库'!$R$4:$R$2003,'[1]销售出库'!$H$4:$H$2003,$A230,'[1]销售出库'!$Q$4:$Q$2003,'首页'!$B$4*100+W$4))</f>
        <v>0</v>
      </c>
      <c r="X230" s="21">
        <f>IF($A230="",0,SUMIFS('[1]销售出库'!$R$4:$R$2003,'[1]销售出库'!$H$4:$H$2003,$A230,'[1]销售出库'!$Q$4:$Q$2003,'首页'!$B$4*100+X$4))</f>
        <v>0</v>
      </c>
    </row>
    <row r="231">
      <c r="A231" s="6">
        <f>IF('[1]基础资料'!$P$230="","",'[1]基础资料'!$P$230)</f>
      </c>
      <c r="B231" s="6">
        <f>IF(A231="","",'[1]基础资料'!$Q$230&amp;"")</f>
      </c>
      <c r="C231" s="21">
        <f>IF(A231="",0,N('[1]基础资料'!$S$230))</f>
        <v>0</v>
      </c>
      <c r="D231" s="11">
        <f>IF(A231="",0,N('[1]基础资料'!$U$230))</f>
        <v>0</v>
      </c>
      <c r="E231" s="21">
        <f>IF(A231="",0,SUMIFS('[1]采购入库'!$U$4:$U$2003,'[1]采购入库'!$I$4:$I$2003,$A231))</f>
        <v>0</v>
      </c>
      <c r="F231" s="11">
        <f>IF(A231="",0,SUMIFS('[1]采购入库'!$V$4:$V$2003,'[1]采购入库'!$I$4:$I$2003,$A231))</f>
        <v>0</v>
      </c>
      <c r="G231" s="21">
        <f>IF(A231="",0,SUMIFS('[1]销售出库'!$R$4:$R$2003,'[1]销售出库'!$H$4:$H$2003,$A231))</f>
        <v>0</v>
      </c>
      <c r="H231" s="11">
        <f t="shared" si="3"/>
        <v>0</v>
      </c>
      <c r="I231" s="11">
        <f t="shared" si="0"/>
        <v>0</v>
      </c>
      <c r="J231" s="21">
        <f t="shared" si="1"/>
        <v>0</v>
      </c>
      <c r="K231" s="11">
        <f t="shared" si="2"/>
        <v>0</v>
      </c>
      <c r="L231" s="6">
        <f t="shared" si="4"/>
      </c>
      <c r="M231" s="21">
        <f>IF($A231="",0,SUMIFS('[1]销售出库'!$R$4:$R$2003,'[1]销售出库'!$H$4:$H$2003,$A231,'[1]销售出库'!$Q$4:$Q$2003,'首页'!$B$4*100+M$4))</f>
        <v>0</v>
      </c>
      <c r="N231" s="21">
        <f>IF($A231="",0,SUMIFS('[1]销售出库'!$R$4:$R$2003,'[1]销售出库'!$H$4:$H$2003,$A231,'[1]销售出库'!$Q$4:$Q$2003,'首页'!$B$4*100+N$4))</f>
        <v>0</v>
      </c>
      <c r="O231" s="21">
        <f>IF($A231="",0,SUMIFS('[1]销售出库'!$R$4:$R$2003,'[1]销售出库'!$H$4:$H$2003,$A231,'[1]销售出库'!$Q$4:$Q$2003,'首页'!$B$4*100+O$4))</f>
        <v>0</v>
      </c>
      <c r="P231" s="21">
        <f>IF($A231="",0,SUMIFS('[1]销售出库'!$R$4:$R$2003,'[1]销售出库'!$H$4:$H$2003,$A231,'[1]销售出库'!$Q$4:$Q$2003,'首页'!$B$4*100+P$4))</f>
        <v>0</v>
      </c>
      <c r="Q231" s="21">
        <f>IF($A231="",0,SUMIFS('[1]销售出库'!$R$4:$R$2003,'[1]销售出库'!$H$4:$H$2003,$A231,'[1]销售出库'!$Q$4:$Q$2003,'首页'!$B$4*100+Q$4))</f>
        <v>0</v>
      </c>
      <c r="R231" s="21">
        <f>IF($A231="",0,SUMIFS('[1]销售出库'!$R$4:$R$2003,'[1]销售出库'!$H$4:$H$2003,$A231,'[1]销售出库'!$Q$4:$Q$2003,'首页'!$B$4*100+R$4))</f>
        <v>0</v>
      </c>
      <c r="S231" s="21">
        <f>IF($A231="",0,SUMIFS('[1]销售出库'!$R$4:$R$2003,'[1]销售出库'!$H$4:$H$2003,$A231,'[1]销售出库'!$Q$4:$Q$2003,'首页'!$B$4*100+S$4))</f>
        <v>0</v>
      </c>
      <c r="T231" s="21">
        <f>IF($A231="",0,SUMIFS('[1]销售出库'!$R$4:$R$2003,'[1]销售出库'!$H$4:$H$2003,$A231,'[1]销售出库'!$Q$4:$Q$2003,'首页'!$B$4*100+T$4))</f>
        <v>0</v>
      </c>
      <c r="U231" s="21">
        <f>IF($A231="",0,SUMIFS('[1]销售出库'!$R$4:$R$2003,'[1]销售出库'!$H$4:$H$2003,$A231,'[1]销售出库'!$Q$4:$Q$2003,'首页'!$B$4*100+U$4))</f>
        <v>0</v>
      </c>
      <c r="V231" s="21">
        <f>IF($A231="",0,SUMIFS('[1]销售出库'!$R$4:$R$2003,'[1]销售出库'!$H$4:$H$2003,$A231,'[1]销售出库'!$Q$4:$Q$2003,'首页'!$B$4*100+V$4))</f>
        <v>0</v>
      </c>
      <c r="W231" s="21">
        <f>IF($A231="",0,SUMIFS('[1]销售出库'!$R$4:$R$2003,'[1]销售出库'!$H$4:$H$2003,$A231,'[1]销售出库'!$Q$4:$Q$2003,'首页'!$B$4*100+W$4))</f>
        <v>0</v>
      </c>
      <c r="X231" s="21">
        <f>IF($A231="",0,SUMIFS('[1]销售出库'!$R$4:$R$2003,'[1]销售出库'!$H$4:$H$2003,$A231,'[1]销售出库'!$Q$4:$Q$2003,'首页'!$B$4*100+X$4))</f>
        <v>0</v>
      </c>
    </row>
    <row r="232">
      <c r="A232" s="6">
        <f>IF('[1]基础资料'!$P$231="","",'[1]基础资料'!$P$231)</f>
      </c>
      <c r="B232" s="6">
        <f>IF(A232="","",'[1]基础资料'!$Q$231&amp;"")</f>
      </c>
      <c r="C232" s="21">
        <f>IF(A232="",0,N('[1]基础资料'!$S$231))</f>
        <v>0</v>
      </c>
      <c r="D232" s="11">
        <f>IF(A232="",0,N('[1]基础资料'!$U$231))</f>
        <v>0</v>
      </c>
      <c r="E232" s="21">
        <f>IF(A232="",0,SUMIFS('[1]采购入库'!$U$4:$U$2003,'[1]采购入库'!$I$4:$I$2003,$A232))</f>
        <v>0</v>
      </c>
      <c r="F232" s="11">
        <f>IF(A232="",0,SUMIFS('[1]采购入库'!$V$4:$V$2003,'[1]采购入库'!$I$4:$I$2003,$A232))</f>
        <v>0</v>
      </c>
      <c r="G232" s="21">
        <f>IF(A232="",0,SUMIFS('[1]销售出库'!$R$4:$R$2003,'[1]销售出库'!$H$4:$H$2003,$A232))</f>
        <v>0</v>
      </c>
      <c r="H232" s="11">
        <f t="shared" si="3"/>
        <v>0</v>
      </c>
      <c r="I232" s="11">
        <f t="shared" si="0"/>
        <v>0</v>
      </c>
      <c r="J232" s="21">
        <f t="shared" si="1"/>
        <v>0</v>
      </c>
      <c r="K232" s="11">
        <f t="shared" si="2"/>
        <v>0</v>
      </c>
      <c r="L232" s="6">
        <f t="shared" si="4"/>
      </c>
      <c r="M232" s="21">
        <f>IF($A232="",0,SUMIFS('[1]销售出库'!$R$4:$R$2003,'[1]销售出库'!$H$4:$H$2003,$A232,'[1]销售出库'!$Q$4:$Q$2003,'首页'!$B$4*100+M$4))</f>
        <v>0</v>
      </c>
      <c r="N232" s="21">
        <f>IF($A232="",0,SUMIFS('[1]销售出库'!$R$4:$R$2003,'[1]销售出库'!$H$4:$H$2003,$A232,'[1]销售出库'!$Q$4:$Q$2003,'首页'!$B$4*100+N$4))</f>
        <v>0</v>
      </c>
      <c r="O232" s="21">
        <f>IF($A232="",0,SUMIFS('[1]销售出库'!$R$4:$R$2003,'[1]销售出库'!$H$4:$H$2003,$A232,'[1]销售出库'!$Q$4:$Q$2003,'首页'!$B$4*100+O$4))</f>
        <v>0</v>
      </c>
      <c r="P232" s="21">
        <f>IF($A232="",0,SUMIFS('[1]销售出库'!$R$4:$R$2003,'[1]销售出库'!$H$4:$H$2003,$A232,'[1]销售出库'!$Q$4:$Q$2003,'首页'!$B$4*100+P$4))</f>
        <v>0</v>
      </c>
      <c r="Q232" s="21">
        <f>IF($A232="",0,SUMIFS('[1]销售出库'!$R$4:$R$2003,'[1]销售出库'!$H$4:$H$2003,$A232,'[1]销售出库'!$Q$4:$Q$2003,'首页'!$B$4*100+Q$4))</f>
        <v>0</v>
      </c>
      <c r="R232" s="21">
        <f>IF($A232="",0,SUMIFS('[1]销售出库'!$R$4:$R$2003,'[1]销售出库'!$H$4:$H$2003,$A232,'[1]销售出库'!$Q$4:$Q$2003,'首页'!$B$4*100+R$4))</f>
        <v>0</v>
      </c>
      <c r="S232" s="21">
        <f>IF($A232="",0,SUMIFS('[1]销售出库'!$R$4:$R$2003,'[1]销售出库'!$H$4:$H$2003,$A232,'[1]销售出库'!$Q$4:$Q$2003,'首页'!$B$4*100+S$4))</f>
        <v>0</v>
      </c>
      <c r="T232" s="21">
        <f>IF($A232="",0,SUMIFS('[1]销售出库'!$R$4:$R$2003,'[1]销售出库'!$H$4:$H$2003,$A232,'[1]销售出库'!$Q$4:$Q$2003,'首页'!$B$4*100+T$4))</f>
        <v>0</v>
      </c>
      <c r="U232" s="21">
        <f>IF($A232="",0,SUMIFS('[1]销售出库'!$R$4:$R$2003,'[1]销售出库'!$H$4:$H$2003,$A232,'[1]销售出库'!$Q$4:$Q$2003,'首页'!$B$4*100+U$4))</f>
        <v>0</v>
      </c>
      <c r="V232" s="21">
        <f>IF($A232="",0,SUMIFS('[1]销售出库'!$R$4:$R$2003,'[1]销售出库'!$H$4:$H$2003,$A232,'[1]销售出库'!$Q$4:$Q$2003,'首页'!$B$4*100+V$4))</f>
        <v>0</v>
      </c>
      <c r="W232" s="21">
        <f>IF($A232="",0,SUMIFS('[1]销售出库'!$R$4:$R$2003,'[1]销售出库'!$H$4:$H$2003,$A232,'[1]销售出库'!$Q$4:$Q$2003,'首页'!$B$4*100+W$4))</f>
        <v>0</v>
      </c>
      <c r="X232" s="21">
        <f>IF($A232="",0,SUMIFS('[1]销售出库'!$R$4:$R$2003,'[1]销售出库'!$H$4:$H$2003,$A232,'[1]销售出库'!$Q$4:$Q$2003,'首页'!$B$4*100+X$4))</f>
        <v>0</v>
      </c>
    </row>
    <row r="233">
      <c r="A233" s="6">
        <f>IF('[1]基础资料'!$P$232="","",'[1]基础资料'!$P$232)</f>
      </c>
      <c r="B233" s="6">
        <f>IF(A233="","",'[1]基础资料'!$Q$232&amp;"")</f>
      </c>
      <c r="C233" s="21">
        <f>IF(A233="",0,N('[1]基础资料'!$S$232))</f>
        <v>0</v>
      </c>
      <c r="D233" s="11">
        <f>IF(A233="",0,N('[1]基础资料'!$U$232))</f>
        <v>0</v>
      </c>
      <c r="E233" s="21">
        <f>IF(A233="",0,SUMIFS('[1]采购入库'!$U$4:$U$2003,'[1]采购入库'!$I$4:$I$2003,$A233))</f>
        <v>0</v>
      </c>
      <c r="F233" s="11">
        <f>IF(A233="",0,SUMIFS('[1]采购入库'!$V$4:$V$2003,'[1]采购入库'!$I$4:$I$2003,$A233))</f>
        <v>0</v>
      </c>
      <c r="G233" s="21">
        <f>IF(A233="",0,SUMIFS('[1]销售出库'!$R$4:$R$2003,'[1]销售出库'!$H$4:$H$2003,$A233))</f>
        <v>0</v>
      </c>
      <c r="H233" s="11">
        <f t="shared" si="3"/>
        <v>0</v>
      </c>
      <c r="I233" s="11">
        <f t="shared" si="0"/>
        <v>0</v>
      </c>
      <c r="J233" s="21">
        <f t="shared" si="1"/>
        <v>0</v>
      </c>
      <c r="K233" s="11">
        <f t="shared" si="2"/>
        <v>0</v>
      </c>
      <c r="L233" s="6">
        <f t="shared" si="4"/>
      </c>
      <c r="M233" s="21">
        <f>IF($A233="",0,SUMIFS('[1]销售出库'!$R$4:$R$2003,'[1]销售出库'!$H$4:$H$2003,$A233,'[1]销售出库'!$Q$4:$Q$2003,'首页'!$B$4*100+M$4))</f>
        <v>0</v>
      </c>
      <c r="N233" s="21">
        <f>IF($A233="",0,SUMIFS('[1]销售出库'!$R$4:$R$2003,'[1]销售出库'!$H$4:$H$2003,$A233,'[1]销售出库'!$Q$4:$Q$2003,'首页'!$B$4*100+N$4))</f>
        <v>0</v>
      </c>
      <c r="O233" s="21">
        <f>IF($A233="",0,SUMIFS('[1]销售出库'!$R$4:$R$2003,'[1]销售出库'!$H$4:$H$2003,$A233,'[1]销售出库'!$Q$4:$Q$2003,'首页'!$B$4*100+O$4))</f>
        <v>0</v>
      </c>
      <c r="P233" s="21">
        <f>IF($A233="",0,SUMIFS('[1]销售出库'!$R$4:$R$2003,'[1]销售出库'!$H$4:$H$2003,$A233,'[1]销售出库'!$Q$4:$Q$2003,'首页'!$B$4*100+P$4))</f>
        <v>0</v>
      </c>
      <c r="Q233" s="21">
        <f>IF($A233="",0,SUMIFS('[1]销售出库'!$R$4:$R$2003,'[1]销售出库'!$H$4:$H$2003,$A233,'[1]销售出库'!$Q$4:$Q$2003,'首页'!$B$4*100+Q$4))</f>
        <v>0</v>
      </c>
      <c r="R233" s="21">
        <f>IF($A233="",0,SUMIFS('[1]销售出库'!$R$4:$R$2003,'[1]销售出库'!$H$4:$H$2003,$A233,'[1]销售出库'!$Q$4:$Q$2003,'首页'!$B$4*100+R$4))</f>
        <v>0</v>
      </c>
      <c r="S233" s="21">
        <f>IF($A233="",0,SUMIFS('[1]销售出库'!$R$4:$R$2003,'[1]销售出库'!$H$4:$H$2003,$A233,'[1]销售出库'!$Q$4:$Q$2003,'首页'!$B$4*100+S$4))</f>
        <v>0</v>
      </c>
      <c r="T233" s="21">
        <f>IF($A233="",0,SUMIFS('[1]销售出库'!$R$4:$R$2003,'[1]销售出库'!$H$4:$H$2003,$A233,'[1]销售出库'!$Q$4:$Q$2003,'首页'!$B$4*100+T$4))</f>
        <v>0</v>
      </c>
      <c r="U233" s="21">
        <f>IF($A233="",0,SUMIFS('[1]销售出库'!$R$4:$R$2003,'[1]销售出库'!$H$4:$H$2003,$A233,'[1]销售出库'!$Q$4:$Q$2003,'首页'!$B$4*100+U$4))</f>
        <v>0</v>
      </c>
      <c r="V233" s="21">
        <f>IF($A233="",0,SUMIFS('[1]销售出库'!$R$4:$R$2003,'[1]销售出库'!$H$4:$H$2003,$A233,'[1]销售出库'!$Q$4:$Q$2003,'首页'!$B$4*100+V$4))</f>
        <v>0</v>
      </c>
      <c r="W233" s="21">
        <f>IF($A233="",0,SUMIFS('[1]销售出库'!$R$4:$R$2003,'[1]销售出库'!$H$4:$H$2003,$A233,'[1]销售出库'!$Q$4:$Q$2003,'首页'!$B$4*100+W$4))</f>
        <v>0</v>
      </c>
      <c r="X233" s="21">
        <f>IF($A233="",0,SUMIFS('[1]销售出库'!$R$4:$R$2003,'[1]销售出库'!$H$4:$H$2003,$A233,'[1]销售出库'!$Q$4:$Q$2003,'首页'!$B$4*100+X$4))</f>
        <v>0</v>
      </c>
    </row>
    <row r="234">
      <c r="A234" s="6">
        <f>IF('[1]基础资料'!$P$233="","",'[1]基础资料'!$P$233)</f>
      </c>
      <c r="B234" s="6">
        <f>IF(A234="","",'[1]基础资料'!$Q$233&amp;"")</f>
      </c>
      <c r="C234" s="21">
        <f>IF(A234="",0,N('[1]基础资料'!$S$233))</f>
        <v>0</v>
      </c>
      <c r="D234" s="11">
        <f>IF(A234="",0,N('[1]基础资料'!$U$233))</f>
        <v>0</v>
      </c>
      <c r="E234" s="21">
        <f>IF(A234="",0,SUMIFS('[1]采购入库'!$U$4:$U$2003,'[1]采购入库'!$I$4:$I$2003,$A234))</f>
        <v>0</v>
      </c>
      <c r="F234" s="11">
        <f>IF(A234="",0,SUMIFS('[1]采购入库'!$V$4:$V$2003,'[1]采购入库'!$I$4:$I$2003,$A234))</f>
        <v>0</v>
      </c>
      <c r="G234" s="21">
        <f>IF(A234="",0,SUMIFS('[1]销售出库'!$R$4:$R$2003,'[1]销售出库'!$H$4:$H$2003,$A234))</f>
        <v>0</v>
      </c>
      <c r="H234" s="11">
        <f t="shared" si="3"/>
        <v>0</v>
      </c>
      <c r="I234" s="11">
        <f t="shared" si="0"/>
        <v>0</v>
      </c>
      <c r="J234" s="21">
        <f t="shared" si="1"/>
        <v>0</v>
      </c>
      <c r="K234" s="11">
        <f t="shared" si="2"/>
        <v>0</v>
      </c>
      <c r="L234" s="6">
        <f t="shared" si="4"/>
      </c>
      <c r="M234" s="21">
        <f>IF($A234="",0,SUMIFS('[1]销售出库'!$R$4:$R$2003,'[1]销售出库'!$H$4:$H$2003,$A234,'[1]销售出库'!$Q$4:$Q$2003,'首页'!$B$4*100+M$4))</f>
        <v>0</v>
      </c>
      <c r="N234" s="21">
        <f>IF($A234="",0,SUMIFS('[1]销售出库'!$R$4:$R$2003,'[1]销售出库'!$H$4:$H$2003,$A234,'[1]销售出库'!$Q$4:$Q$2003,'首页'!$B$4*100+N$4))</f>
        <v>0</v>
      </c>
      <c r="O234" s="21">
        <f>IF($A234="",0,SUMIFS('[1]销售出库'!$R$4:$R$2003,'[1]销售出库'!$H$4:$H$2003,$A234,'[1]销售出库'!$Q$4:$Q$2003,'首页'!$B$4*100+O$4))</f>
        <v>0</v>
      </c>
      <c r="P234" s="21">
        <f>IF($A234="",0,SUMIFS('[1]销售出库'!$R$4:$R$2003,'[1]销售出库'!$H$4:$H$2003,$A234,'[1]销售出库'!$Q$4:$Q$2003,'首页'!$B$4*100+P$4))</f>
        <v>0</v>
      </c>
      <c r="Q234" s="21">
        <f>IF($A234="",0,SUMIFS('[1]销售出库'!$R$4:$R$2003,'[1]销售出库'!$H$4:$H$2003,$A234,'[1]销售出库'!$Q$4:$Q$2003,'首页'!$B$4*100+Q$4))</f>
        <v>0</v>
      </c>
      <c r="R234" s="21">
        <f>IF($A234="",0,SUMIFS('[1]销售出库'!$R$4:$R$2003,'[1]销售出库'!$H$4:$H$2003,$A234,'[1]销售出库'!$Q$4:$Q$2003,'首页'!$B$4*100+R$4))</f>
        <v>0</v>
      </c>
      <c r="S234" s="21">
        <f>IF($A234="",0,SUMIFS('[1]销售出库'!$R$4:$R$2003,'[1]销售出库'!$H$4:$H$2003,$A234,'[1]销售出库'!$Q$4:$Q$2003,'首页'!$B$4*100+S$4))</f>
        <v>0</v>
      </c>
      <c r="T234" s="21">
        <f>IF($A234="",0,SUMIFS('[1]销售出库'!$R$4:$R$2003,'[1]销售出库'!$H$4:$H$2003,$A234,'[1]销售出库'!$Q$4:$Q$2003,'首页'!$B$4*100+T$4))</f>
        <v>0</v>
      </c>
      <c r="U234" s="21">
        <f>IF($A234="",0,SUMIFS('[1]销售出库'!$R$4:$R$2003,'[1]销售出库'!$H$4:$H$2003,$A234,'[1]销售出库'!$Q$4:$Q$2003,'首页'!$B$4*100+U$4))</f>
        <v>0</v>
      </c>
      <c r="V234" s="21">
        <f>IF($A234="",0,SUMIFS('[1]销售出库'!$R$4:$R$2003,'[1]销售出库'!$H$4:$H$2003,$A234,'[1]销售出库'!$Q$4:$Q$2003,'首页'!$B$4*100+V$4))</f>
        <v>0</v>
      </c>
      <c r="W234" s="21">
        <f>IF($A234="",0,SUMIFS('[1]销售出库'!$R$4:$R$2003,'[1]销售出库'!$H$4:$H$2003,$A234,'[1]销售出库'!$Q$4:$Q$2003,'首页'!$B$4*100+W$4))</f>
        <v>0</v>
      </c>
      <c r="X234" s="21">
        <f>IF($A234="",0,SUMIFS('[1]销售出库'!$R$4:$R$2003,'[1]销售出库'!$H$4:$H$2003,$A234,'[1]销售出库'!$Q$4:$Q$2003,'首页'!$B$4*100+X$4))</f>
        <v>0</v>
      </c>
    </row>
    <row r="235">
      <c r="A235" s="6">
        <f>IF('[1]基础资料'!$P$234="","",'[1]基础资料'!$P$234)</f>
      </c>
      <c r="B235" s="6">
        <f>IF(A235="","",'[1]基础资料'!$Q$234&amp;"")</f>
      </c>
      <c r="C235" s="21">
        <f>IF(A235="",0,N('[1]基础资料'!$S$234))</f>
        <v>0</v>
      </c>
      <c r="D235" s="11">
        <f>IF(A235="",0,N('[1]基础资料'!$U$234))</f>
        <v>0</v>
      </c>
      <c r="E235" s="21">
        <f>IF(A235="",0,SUMIFS('[1]采购入库'!$U$4:$U$2003,'[1]采购入库'!$I$4:$I$2003,$A235))</f>
        <v>0</v>
      </c>
      <c r="F235" s="11">
        <f>IF(A235="",0,SUMIFS('[1]采购入库'!$V$4:$V$2003,'[1]采购入库'!$I$4:$I$2003,$A235))</f>
        <v>0</v>
      </c>
      <c r="G235" s="21">
        <f>IF(A235="",0,SUMIFS('[1]销售出库'!$R$4:$R$2003,'[1]销售出库'!$H$4:$H$2003,$A235))</f>
        <v>0</v>
      </c>
      <c r="H235" s="11">
        <f t="shared" si="3"/>
        <v>0</v>
      </c>
      <c r="I235" s="11">
        <f t="shared" si="0"/>
        <v>0</v>
      </c>
      <c r="J235" s="21">
        <f t="shared" si="1"/>
        <v>0</v>
      </c>
      <c r="K235" s="11">
        <f t="shared" si="2"/>
        <v>0</v>
      </c>
      <c r="L235" s="6">
        <f t="shared" si="4"/>
      </c>
      <c r="M235" s="21">
        <f>IF($A235="",0,SUMIFS('[1]销售出库'!$R$4:$R$2003,'[1]销售出库'!$H$4:$H$2003,$A235,'[1]销售出库'!$Q$4:$Q$2003,'首页'!$B$4*100+M$4))</f>
        <v>0</v>
      </c>
      <c r="N235" s="21">
        <f>IF($A235="",0,SUMIFS('[1]销售出库'!$R$4:$R$2003,'[1]销售出库'!$H$4:$H$2003,$A235,'[1]销售出库'!$Q$4:$Q$2003,'首页'!$B$4*100+N$4))</f>
        <v>0</v>
      </c>
      <c r="O235" s="21">
        <f>IF($A235="",0,SUMIFS('[1]销售出库'!$R$4:$R$2003,'[1]销售出库'!$H$4:$H$2003,$A235,'[1]销售出库'!$Q$4:$Q$2003,'首页'!$B$4*100+O$4))</f>
        <v>0</v>
      </c>
      <c r="P235" s="21">
        <f>IF($A235="",0,SUMIFS('[1]销售出库'!$R$4:$R$2003,'[1]销售出库'!$H$4:$H$2003,$A235,'[1]销售出库'!$Q$4:$Q$2003,'首页'!$B$4*100+P$4))</f>
        <v>0</v>
      </c>
      <c r="Q235" s="21">
        <f>IF($A235="",0,SUMIFS('[1]销售出库'!$R$4:$R$2003,'[1]销售出库'!$H$4:$H$2003,$A235,'[1]销售出库'!$Q$4:$Q$2003,'首页'!$B$4*100+Q$4))</f>
        <v>0</v>
      </c>
      <c r="R235" s="21">
        <f>IF($A235="",0,SUMIFS('[1]销售出库'!$R$4:$R$2003,'[1]销售出库'!$H$4:$H$2003,$A235,'[1]销售出库'!$Q$4:$Q$2003,'首页'!$B$4*100+R$4))</f>
        <v>0</v>
      </c>
      <c r="S235" s="21">
        <f>IF($A235="",0,SUMIFS('[1]销售出库'!$R$4:$R$2003,'[1]销售出库'!$H$4:$H$2003,$A235,'[1]销售出库'!$Q$4:$Q$2003,'首页'!$B$4*100+S$4))</f>
        <v>0</v>
      </c>
      <c r="T235" s="21">
        <f>IF($A235="",0,SUMIFS('[1]销售出库'!$R$4:$R$2003,'[1]销售出库'!$H$4:$H$2003,$A235,'[1]销售出库'!$Q$4:$Q$2003,'首页'!$B$4*100+T$4))</f>
        <v>0</v>
      </c>
      <c r="U235" s="21">
        <f>IF($A235="",0,SUMIFS('[1]销售出库'!$R$4:$R$2003,'[1]销售出库'!$H$4:$H$2003,$A235,'[1]销售出库'!$Q$4:$Q$2003,'首页'!$B$4*100+U$4))</f>
        <v>0</v>
      </c>
      <c r="V235" s="21">
        <f>IF($A235="",0,SUMIFS('[1]销售出库'!$R$4:$R$2003,'[1]销售出库'!$H$4:$H$2003,$A235,'[1]销售出库'!$Q$4:$Q$2003,'首页'!$B$4*100+V$4))</f>
        <v>0</v>
      </c>
      <c r="W235" s="21">
        <f>IF($A235="",0,SUMIFS('[1]销售出库'!$R$4:$R$2003,'[1]销售出库'!$H$4:$H$2003,$A235,'[1]销售出库'!$Q$4:$Q$2003,'首页'!$B$4*100+W$4))</f>
        <v>0</v>
      </c>
      <c r="X235" s="21">
        <f>IF($A235="",0,SUMIFS('[1]销售出库'!$R$4:$R$2003,'[1]销售出库'!$H$4:$H$2003,$A235,'[1]销售出库'!$Q$4:$Q$2003,'首页'!$B$4*100+X$4))</f>
        <v>0</v>
      </c>
    </row>
    <row r="236">
      <c r="A236" s="6">
        <f>IF('[1]基础资料'!$P$235="","",'[1]基础资料'!$P$235)</f>
      </c>
      <c r="B236" s="6">
        <f>IF(A236="","",'[1]基础资料'!$Q$235&amp;"")</f>
      </c>
      <c r="C236" s="21">
        <f>IF(A236="",0,N('[1]基础资料'!$S$235))</f>
        <v>0</v>
      </c>
      <c r="D236" s="11">
        <f>IF(A236="",0,N('[1]基础资料'!$U$235))</f>
        <v>0</v>
      </c>
      <c r="E236" s="21">
        <f>IF(A236="",0,SUMIFS('[1]采购入库'!$U$4:$U$2003,'[1]采购入库'!$I$4:$I$2003,$A236))</f>
        <v>0</v>
      </c>
      <c r="F236" s="11">
        <f>IF(A236="",0,SUMIFS('[1]采购入库'!$V$4:$V$2003,'[1]采购入库'!$I$4:$I$2003,$A236))</f>
        <v>0</v>
      </c>
      <c r="G236" s="21">
        <f>IF(A236="",0,SUMIFS('[1]销售出库'!$R$4:$R$2003,'[1]销售出库'!$H$4:$H$2003,$A236))</f>
        <v>0</v>
      </c>
      <c r="H236" s="11">
        <f t="shared" si="3"/>
        <v>0</v>
      </c>
      <c r="I236" s="11">
        <f t="shared" si="0"/>
        <v>0</v>
      </c>
      <c r="J236" s="21">
        <f t="shared" si="1"/>
        <v>0</v>
      </c>
      <c r="K236" s="11">
        <f t="shared" si="2"/>
        <v>0</v>
      </c>
      <c r="L236" s="6">
        <f t="shared" si="4"/>
      </c>
      <c r="M236" s="21">
        <f>IF($A236="",0,SUMIFS('[1]销售出库'!$R$4:$R$2003,'[1]销售出库'!$H$4:$H$2003,$A236,'[1]销售出库'!$Q$4:$Q$2003,'首页'!$B$4*100+M$4))</f>
        <v>0</v>
      </c>
      <c r="N236" s="21">
        <f>IF($A236="",0,SUMIFS('[1]销售出库'!$R$4:$R$2003,'[1]销售出库'!$H$4:$H$2003,$A236,'[1]销售出库'!$Q$4:$Q$2003,'首页'!$B$4*100+N$4))</f>
        <v>0</v>
      </c>
      <c r="O236" s="21">
        <f>IF($A236="",0,SUMIFS('[1]销售出库'!$R$4:$R$2003,'[1]销售出库'!$H$4:$H$2003,$A236,'[1]销售出库'!$Q$4:$Q$2003,'首页'!$B$4*100+O$4))</f>
        <v>0</v>
      </c>
      <c r="P236" s="21">
        <f>IF($A236="",0,SUMIFS('[1]销售出库'!$R$4:$R$2003,'[1]销售出库'!$H$4:$H$2003,$A236,'[1]销售出库'!$Q$4:$Q$2003,'首页'!$B$4*100+P$4))</f>
        <v>0</v>
      </c>
      <c r="Q236" s="21">
        <f>IF($A236="",0,SUMIFS('[1]销售出库'!$R$4:$R$2003,'[1]销售出库'!$H$4:$H$2003,$A236,'[1]销售出库'!$Q$4:$Q$2003,'首页'!$B$4*100+Q$4))</f>
        <v>0</v>
      </c>
      <c r="R236" s="21">
        <f>IF($A236="",0,SUMIFS('[1]销售出库'!$R$4:$R$2003,'[1]销售出库'!$H$4:$H$2003,$A236,'[1]销售出库'!$Q$4:$Q$2003,'首页'!$B$4*100+R$4))</f>
        <v>0</v>
      </c>
      <c r="S236" s="21">
        <f>IF($A236="",0,SUMIFS('[1]销售出库'!$R$4:$R$2003,'[1]销售出库'!$H$4:$H$2003,$A236,'[1]销售出库'!$Q$4:$Q$2003,'首页'!$B$4*100+S$4))</f>
        <v>0</v>
      </c>
      <c r="T236" s="21">
        <f>IF($A236="",0,SUMIFS('[1]销售出库'!$R$4:$R$2003,'[1]销售出库'!$H$4:$H$2003,$A236,'[1]销售出库'!$Q$4:$Q$2003,'首页'!$B$4*100+T$4))</f>
        <v>0</v>
      </c>
      <c r="U236" s="21">
        <f>IF($A236="",0,SUMIFS('[1]销售出库'!$R$4:$R$2003,'[1]销售出库'!$H$4:$H$2003,$A236,'[1]销售出库'!$Q$4:$Q$2003,'首页'!$B$4*100+U$4))</f>
        <v>0</v>
      </c>
      <c r="V236" s="21">
        <f>IF($A236="",0,SUMIFS('[1]销售出库'!$R$4:$R$2003,'[1]销售出库'!$H$4:$H$2003,$A236,'[1]销售出库'!$Q$4:$Q$2003,'首页'!$B$4*100+V$4))</f>
        <v>0</v>
      </c>
      <c r="W236" s="21">
        <f>IF($A236="",0,SUMIFS('[1]销售出库'!$R$4:$R$2003,'[1]销售出库'!$H$4:$H$2003,$A236,'[1]销售出库'!$Q$4:$Q$2003,'首页'!$B$4*100+W$4))</f>
        <v>0</v>
      </c>
      <c r="X236" s="21">
        <f>IF($A236="",0,SUMIFS('[1]销售出库'!$R$4:$R$2003,'[1]销售出库'!$H$4:$H$2003,$A236,'[1]销售出库'!$Q$4:$Q$2003,'首页'!$B$4*100+X$4))</f>
        <v>0</v>
      </c>
    </row>
    <row r="237">
      <c r="A237" s="6">
        <f>IF('[1]基础资料'!$P$236="","",'[1]基础资料'!$P$236)</f>
      </c>
      <c r="B237" s="6">
        <f>IF(A237="","",'[1]基础资料'!$Q$236&amp;"")</f>
      </c>
      <c r="C237" s="21">
        <f>IF(A237="",0,N('[1]基础资料'!$S$236))</f>
        <v>0</v>
      </c>
      <c r="D237" s="11">
        <f>IF(A237="",0,N('[1]基础资料'!$U$236))</f>
        <v>0</v>
      </c>
      <c r="E237" s="21">
        <f>IF(A237="",0,SUMIFS('[1]采购入库'!$U$4:$U$2003,'[1]采购入库'!$I$4:$I$2003,$A237))</f>
        <v>0</v>
      </c>
      <c r="F237" s="11">
        <f>IF(A237="",0,SUMIFS('[1]采购入库'!$V$4:$V$2003,'[1]采购入库'!$I$4:$I$2003,$A237))</f>
        <v>0</v>
      </c>
      <c r="G237" s="21">
        <f>IF(A237="",0,SUMIFS('[1]销售出库'!$R$4:$R$2003,'[1]销售出库'!$H$4:$H$2003,$A237))</f>
        <v>0</v>
      </c>
      <c r="H237" s="11">
        <f t="shared" si="3"/>
        <v>0</v>
      </c>
      <c r="I237" s="11">
        <f t="shared" si="0"/>
        <v>0</v>
      </c>
      <c r="J237" s="21">
        <f t="shared" si="1"/>
        <v>0</v>
      </c>
      <c r="K237" s="11">
        <f t="shared" si="2"/>
        <v>0</v>
      </c>
      <c r="L237" s="6">
        <f t="shared" si="4"/>
      </c>
      <c r="M237" s="21">
        <f>IF($A237="",0,SUMIFS('[1]销售出库'!$R$4:$R$2003,'[1]销售出库'!$H$4:$H$2003,$A237,'[1]销售出库'!$Q$4:$Q$2003,'首页'!$B$4*100+M$4))</f>
        <v>0</v>
      </c>
      <c r="N237" s="21">
        <f>IF($A237="",0,SUMIFS('[1]销售出库'!$R$4:$R$2003,'[1]销售出库'!$H$4:$H$2003,$A237,'[1]销售出库'!$Q$4:$Q$2003,'首页'!$B$4*100+N$4))</f>
        <v>0</v>
      </c>
      <c r="O237" s="21">
        <f>IF($A237="",0,SUMIFS('[1]销售出库'!$R$4:$R$2003,'[1]销售出库'!$H$4:$H$2003,$A237,'[1]销售出库'!$Q$4:$Q$2003,'首页'!$B$4*100+O$4))</f>
        <v>0</v>
      </c>
      <c r="P237" s="21">
        <f>IF($A237="",0,SUMIFS('[1]销售出库'!$R$4:$R$2003,'[1]销售出库'!$H$4:$H$2003,$A237,'[1]销售出库'!$Q$4:$Q$2003,'首页'!$B$4*100+P$4))</f>
        <v>0</v>
      </c>
      <c r="Q237" s="21">
        <f>IF($A237="",0,SUMIFS('[1]销售出库'!$R$4:$R$2003,'[1]销售出库'!$H$4:$H$2003,$A237,'[1]销售出库'!$Q$4:$Q$2003,'首页'!$B$4*100+Q$4))</f>
        <v>0</v>
      </c>
      <c r="R237" s="21">
        <f>IF($A237="",0,SUMIFS('[1]销售出库'!$R$4:$R$2003,'[1]销售出库'!$H$4:$H$2003,$A237,'[1]销售出库'!$Q$4:$Q$2003,'首页'!$B$4*100+R$4))</f>
        <v>0</v>
      </c>
      <c r="S237" s="21">
        <f>IF($A237="",0,SUMIFS('[1]销售出库'!$R$4:$R$2003,'[1]销售出库'!$H$4:$H$2003,$A237,'[1]销售出库'!$Q$4:$Q$2003,'首页'!$B$4*100+S$4))</f>
        <v>0</v>
      </c>
      <c r="T237" s="21">
        <f>IF($A237="",0,SUMIFS('[1]销售出库'!$R$4:$R$2003,'[1]销售出库'!$H$4:$H$2003,$A237,'[1]销售出库'!$Q$4:$Q$2003,'首页'!$B$4*100+T$4))</f>
        <v>0</v>
      </c>
      <c r="U237" s="21">
        <f>IF($A237="",0,SUMIFS('[1]销售出库'!$R$4:$R$2003,'[1]销售出库'!$H$4:$H$2003,$A237,'[1]销售出库'!$Q$4:$Q$2003,'首页'!$B$4*100+U$4))</f>
        <v>0</v>
      </c>
      <c r="V237" s="21">
        <f>IF($A237="",0,SUMIFS('[1]销售出库'!$R$4:$R$2003,'[1]销售出库'!$H$4:$H$2003,$A237,'[1]销售出库'!$Q$4:$Q$2003,'首页'!$B$4*100+V$4))</f>
        <v>0</v>
      </c>
      <c r="W237" s="21">
        <f>IF($A237="",0,SUMIFS('[1]销售出库'!$R$4:$R$2003,'[1]销售出库'!$H$4:$H$2003,$A237,'[1]销售出库'!$Q$4:$Q$2003,'首页'!$B$4*100+W$4))</f>
        <v>0</v>
      </c>
      <c r="X237" s="21">
        <f>IF($A237="",0,SUMIFS('[1]销售出库'!$R$4:$R$2003,'[1]销售出库'!$H$4:$H$2003,$A237,'[1]销售出库'!$Q$4:$Q$2003,'首页'!$B$4*100+X$4))</f>
        <v>0</v>
      </c>
    </row>
    <row r="238">
      <c r="A238" s="6">
        <f>IF('[1]基础资料'!$P$237="","",'[1]基础资料'!$P$237)</f>
      </c>
      <c r="B238" s="6">
        <f>IF(A238="","",'[1]基础资料'!$Q$237&amp;"")</f>
      </c>
      <c r="C238" s="21">
        <f>IF(A238="",0,N('[1]基础资料'!$S$237))</f>
        <v>0</v>
      </c>
      <c r="D238" s="11">
        <f>IF(A238="",0,N('[1]基础资料'!$U$237))</f>
        <v>0</v>
      </c>
      <c r="E238" s="21">
        <f>IF(A238="",0,SUMIFS('[1]采购入库'!$U$4:$U$2003,'[1]采购入库'!$I$4:$I$2003,$A238))</f>
        <v>0</v>
      </c>
      <c r="F238" s="11">
        <f>IF(A238="",0,SUMIFS('[1]采购入库'!$V$4:$V$2003,'[1]采购入库'!$I$4:$I$2003,$A238))</f>
        <v>0</v>
      </c>
      <c r="G238" s="21">
        <f>IF(A238="",0,SUMIFS('[1]销售出库'!$R$4:$R$2003,'[1]销售出库'!$H$4:$H$2003,$A238))</f>
        <v>0</v>
      </c>
      <c r="H238" s="11">
        <f t="shared" si="3"/>
        <v>0</v>
      </c>
      <c r="I238" s="11">
        <f t="shared" si="0"/>
        <v>0</v>
      </c>
      <c r="J238" s="21">
        <f t="shared" si="1"/>
        <v>0</v>
      </c>
      <c r="K238" s="11">
        <f t="shared" si="2"/>
        <v>0</v>
      </c>
      <c r="L238" s="6">
        <f t="shared" si="4"/>
      </c>
      <c r="M238" s="21">
        <f>IF($A238="",0,SUMIFS('[1]销售出库'!$R$4:$R$2003,'[1]销售出库'!$H$4:$H$2003,$A238,'[1]销售出库'!$Q$4:$Q$2003,'首页'!$B$4*100+M$4))</f>
        <v>0</v>
      </c>
      <c r="N238" s="21">
        <f>IF($A238="",0,SUMIFS('[1]销售出库'!$R$4:$R$2003,'[1]销售出库'!$H$4:$H$2003,$A238,'[1]销售出库'!$Q$4:$Q$2003,'首页'!$B$4*100+N$4))</f>
        <v>0</v>
      </c>
      <c r="O238" s="21">
        <f>IF($A238="",0,SUMIFS('[1]销售出库'!$R$4:$R$2003,'[1]销售出库'!$H$4:$H$2003,$A238,'[1]销售出库'!$Q$4:$Q$2003,'首页'!$B$4*100+O$4))</f>
        <v>0</v>
      </c>
      <c r="P238" s="21">
        <f>IF($A238="",0,SUMIFS('[1]销售出库'!$R$4:$R$2003,'[1]销售出库'!$H$4:$H$2003,$A238,'[1]销售出库'!$Q$4:$Q$2003,'首页'!$B$4*100+P$4))</f>
        <v>0</v>
      </c>
      <c r="Q238" s="21">
        <f>IF($A238="",0,SUMIFS('[1]销售出库'!$R$4:$R$2003,'[1]销售出库'!$H$4:$H$2003,$A238,'[1]销售出库'!$Q$4:$Q$2003,'首页'!$B$4*100+Q$4))</f>
        <v>0</v>
      </c>
      <c r="R238" s="21">
        <f>IF($A238="",0,SUMIFS('[1]销售出库'!$R$4:$R$2003,'[1]销售出库'!$H$4:$H$2003,$A238,'[1]销售出库'!$Q$4:$Q$2003,'首页'!$B$4*100+R$4))</f>
        <v>0</v>
      </c>
      <c r="S238" s="21">
        <f>IF($A238="",0,SUMIFS('[1]销售出库'!$R$4:$R$2003,'[1]销售出库'!$H$4:$H$2003,$A238,'[1]销售出库'!$Q$4:$Q$2003,'首页'!$B$4*100+S$4))</f>
        <v>0</v>
      </c>
      <c r="T238" s="21">
        <f>IF($A238="",0,SUMIFS('[1]销售出库'!$R$4:$R$2003,'[1]销售出库'!$H$4:$H$2003,$A238,'[1]销售出库'!$Q$4:$Q$2003,'首页'!$B$4*100+T$4))</f>
        <v>0</v>
      </c>
      <c r="U238" s="21">
        <f>IF($A238="",0,SUMIFS('[1]销售出库'!$R$4:$R$2003,'[1]销售出库'!$H$4:$H$2003,$A238,'[1]销售出库'!$Q$4:$Q$2003,'首页'!$B$4*100+U$4))</f>
        <v>0</v>
      </c>
      <c r="V238" s="21">
        <f>IF($A238="",0,SUMIFS('[1]销售出库'!$R$4:$R$2003,'[1]销售出库'!$H$4:$H$2003,$A238,'[1]销售出库'!$Q$4:$Q$2003,'首页'!$B$4*100+V$4))</f>
        <v>0</v>
      </c>
      <c r="W238" s="21">
        <f>IF($A238="",0,SUMIFS('[1]销售出库'!$R$4:$R$2003,'[1]销售出库'!$H$4:$H$2003,$A238,'[1]销售出库'!$Q$4:$Q$2003,'首页'!$B$4*100+W$4))</f>
        <v>0</v>
      </c>
      <c r="X238" s="21">
        <f>IF($A238="",0,SUMIFS('[1]销售出库'!$R$4:$R$2003,'[1]销售出库'!$H$4:$H$2003,$A238,'[1]销售出库'!$Q$4:$Q$2003,'首页'!$B$4*100+X$4))</f>
        <v>0</v>
      </c>
    </row>
    <row r="239">
      <c r="A239" s="6">
        <f>IF('[1]基础资料'!$P$238="","",'[1]基础资料'!$P$238)</f>
      </c>
      <c r="B239" s="6">
        <f>IF(A239="","",'[1]基础资料'!$Q$238&amp;"")</f>
      </c>
      <c r="C239" s="21">
        <f>IF(A239="",0,N('[1]基础资料'!$S$238))</f>
        <v>0</v>
      </c>
      <c r="D239" s="11">
        <f>IF(A239="",0,N('[1]基础资料'!$U$238))</f>
        <v>0</v>
      </c>
      <c r="E239" s="21">
        <f>IF(A239="",0,SUMIFS('[1]采购入库'!$U$4:$U$2003,'[1]采购入库'!$I$4:$I$2003,$A239))</f>
        <v>0</v>
      </c>
      <c r="F239" s="11">
        <f>IF(A239="",0,SUMIFS('[1]采购入库'!$V$4:$V$2003,'[1]采购入库'!$I$4:$I$2003,$A239))</f>
        <v>0</v>
      </c>
      <c r="G239" s="21">
        <f>IF(A239="",0,SUMIFS('[1]销售出库'!$R$4:$R$2003,'[1]销售出库'!$H$4:$H$2003,$A239))</f>
        <v>0</v>
      </c>
      <c r="H239" s="11">
        <f t="shared" si="3"/>
        <v>0</v>
      </c>
      <c r="I239" s="11">
        <f t="shared" si="0"/>
        <v>0</v>
      </c>
      <c r="J239" s="21">
        <f t="shared" si="1"/>
        <v>0</v>
      </c>
      <c r="K239" s="11">
        <f t="shared" si="2"/>
        <v>0</v>
      </c>
      <c r="L239" s="6">
        <f t="shared" si="4"/>
      </c>
      <c r="M239" s="21">
        <f>IF($A239="",0,SUMIFS('[1]销售出库'!$R$4:$R$2003,'[1]销售出库'!$H$4:$H$2003,$A239,'[1]销售出库'!$Q$4:$Q$2003,'首页'!$B$4*100+M$4))</f>
        <v>0</v>
      </c>
      <c r="N239" s="21">
        <f>IF($A239="",0,SUMIFS('[1]销售出库'!$R$4:$R$2003,'[1]销售出库'!$H$4:$H$2003,$A239,'[1]销售出库'!$Q$4:$Q$2003,'首页'!$B$4*100+N$4))</f>
        <v>0</v>
      </c>
      <c r="O239" s="21">
        <f>IF($A239="",0,SUMIFS('[1]销售出库'!$R$4:$R$2003,'[1]销售出库'!$H$4:$H$2003,$A239,'[1]销售出库'!$Q$4:$Q$2003,'首页'!$B$4*100+O$4))</f>
        <v>0</v>
      </c>
      <c r="P239" s="21">
        <f>IF($A239="",0,SUMIFS('[1]销售出库'!$R$4:$R$2003,'[1]销售出库'!$H$4:$H$2003,$A239,'[1]销售出库'!$Q$4:$Q$2003,'首页'!$B$4*100+P$4))</f>
        <v>0</v>
      </c>
      <c r="Q239" s="21">
        <f>IF($A239="",0,SUMIFS('[1]销售出库'!$R$4:$R$2003,'[1]销售出库'!$H$4:$H$2003,$A239,'[1]销售出库'!$Q$4:$Q$2003,'首页'!$B$4*100+Q$4))</f>
        <v>0</v>
      </c>
      <c r="R239" s="21">
        <f>IF($A239="",0,SUMIFS('[1]销售出库'!$R$4:$R$2003,'[1]销售出库'!$H$4:$H$2003,$A239,'[1]销售出库'!$Q$4:$Q$2003,'首页'!$B$4*100+R$4))</f>
        <v>0</v>
      </c>
      <c r="S239" s="21">
        <f>IF($A239="",0,SUMIFS('[1]销售出库'!$R$4:$R$2003,'[1]销售出库'!$H$4:$H$2003,$A239,'[1]销售出库'!$Q$4:$Q$2003,'首页'!$B$4*100+S$4))</f>
        <v>0</v>
      </c>
      <c r="T239" s="21">
        <f>IF($A239="",0,SUMIFS('[1]销售出库'!$R$4:$R$2003,'[1]销售出库'!$H$4:$H$2003,$A239,'[1]销售出库'!$Q$4:$Q$2003,'首页'!$B$4*100+T$4))</f>
        <v>0</v>
      </c>
      <c r="U239" s="21">
        <f>IF($A239="",0,SUMIFS('[1]销售出库'!$R$4:$R$2003,'[1]销售出库'!$H$4:$H$2003,$A239,'[1]销售出库'!$Q$4:$Q$2003,'首页'!$B$4*100+U$4))</f>
        <v>0</v>
      </c>
      <c r="V239" s="21">
        <f>IF($A239="",0,SUMIFS('[1]销售出库'!$R$4:$R$2003,'[1]销售出库'!$H$4:$H$2003,$A239,'[1]销售出库'!$Q$4:$Q$2003,'首页'!$B$4*100+V$4))</f>
        <v>0</v>
      </c>
      <c r="W239" s="21">
        <f>IF($A239="",0,SUMIFS('[1]销售出库'!$R$4:$R$2003,'[1]销售出库'!$H$4:$H$2003,$A239,'[1]销售出库'!$Q$4:$Q$2003,'首页'!$B$4*100+W$4))</f>
        <v>0</v>
      </c>
      <c r="X239" s="21">
        <f>IF($A239="",0,SUMIFS('[1]销售出库'!$R$4:$R$2003,'[1]销售出库'!$H$4:$H$2003,$A239,'[1]销售出库'!$Q$4:$Q$2003,'首页'!$B$4*100+X$4))</f>
        <v>0</v>
      </c>
    </row>
    <row r="240">
      <c r="A240" s="6">
        <f>IF('[1]基础资料'!$P$239="","",'[1]基础资料'!$P$239)</f>
      </c>
      <c r="B240" s="6">
        <f>IF(A240="","",'[1]基础资料'!$Q$239&amp;"")</f>
      </c>
      <c r="C240" s="21">
        <f>IF(A240="",0,N('[1]基础资料'!$S$239))</f>
        <v>0</v>
      </c>
      <c r="D240" s="11">
        <f>IF(A240="",0,N('[1]基础资料'!$U$239))</f>
        <v>0</v>
      </c>
      <c r="E240" s="21">
        <f>IF(A240="",0,SUMIFS('[1]采购入库'!$U$4:$U$2003,'[1]采购入库'!$I$4:$I$2003,$A240))</f>
        <v>0</v>
      </c>
      <c r="F240" s="11">
        <f>IF(A240="",0,SUMIFS('[1]采购入库'!$V$4:$V$2003,'[1]采购入库'!$I$4:$I$2003,$A240))</f>
        <v>0</v>
      </c>
      <c r="G240" s="21">
        <f>IF(A240="",0,SUMIFS('[1]销售出库'!$R$4:$R$2003,'[1]销售出库'!$H$4:$H$2003,$A240))</f>
        <v>0</v>
      </c>
      <c r="H240" s="11">
        <f t="shared" si="3"/>
        <v>0</v>
      </c>
      <c r="I240" s="11">
        <f t="shared" si="0"/>
        <v>0</v>
      </c>
      <c r="J240" s="21">
        <f t="shared" si="1"/>
        <v>0</v>
      </c>
      <c r="K240" s="11">
        <f t="shared" si="2"/>
        <v>0</v>
      </c>
      <c r="L240" s="6">
        <f t="shared" si="4"/>
      </c>
      <c r="M240" s="21">
        <f>IF($A240="",0,SUMIFS('[1]销售出库'!$R$4:$R$2003,'[1]销售出库'!$H$4:$H$2003,$A240,'[1]销售出库'!$Q$4:$Q$2003,'首页'!$B$4*100+M$4))</f>
        <v>0</v>
      </c>
      <c r="N240" s="21">
        <f>IF($A240="",0,SUMIFS('[1]销售出库'!$R$4:$R$2003,'[1]销售出库'!$H$4:$H$2003,$A240,'[1]销售出库'!$Q$4:$Q$2003,'首页'!$B$4*100+N$4))</f>
        <v>0</v>
      </c>
      <c r="O240" s="21">
        <f>IF($A240="",0,SUMIFS('[1]销售出库'!$R$4:$R$2003,'[1]销售出库'!$H$4:$H$2003,$A240,'[1]销售出库'!$Q$4:$Q$2003,'首页'!$B$4*100+O$4))</f>
        <v>0</v>
      </c>
      <c r="P240" s="21">
        <f>IF($A240="",0,SUMIFS('[1]销售出库'!$R$4:$R$2003,'[1]销售出库'!$H$4:$H$2003,$A240,'[1]销售出库'!$Q$4:$Q$2003,'首页'!$B$4*100+P$4))</f>
        <v>0</v>
      </c>
      <c r="Q240" s="21">
        <f>IF($A240="",0,SUMIFS('[1]销售出库'!$R$4:$R$2003,'[1]销售出库'!$H$4:$H$2003,$A240,'[1]销售出库'!$Q$4:$Q$2003,'首页'!$B$4*100+Q$4))</f>
        <v>0</v>
      </c>
      <c r="R240" s="21">
        <f>IF($A240="",0,SUMIFS('[1]销售出库'!$R$4:$R$2003,'[1]销售出库'!$H$4:$H$2003,$A240,'[1]销售出库'!$Q$4:$Q$2003,'首页'!$B$4*100+R$4))</f>
        <v>0</v>
      </c>
      <c r="S240" s="21">
        <f>IF($A240="",0,SUMIFS('[1]销售出库'!$R$4:$R$2003,'[1]销售出库'!$H$4:$H$2003,$A240,'[1]销售出库'!$Q$4:$Q$2003,'首页'!$B$4*100+S$4))</f>
        <v>0</v>
      </c>
      <c r="T240" s="21">
        <f>IF($A240="",0,SUMIFS('[1]销售出库'!$R$4:$R$2003,'[1]销售出库'!$H$4:$H$2003,$A240,'[1]销售出库'!$Q$4:$Q$2003,'首页'!$B$4*100+T$4))</f>
        <v>0</v>
      </c>
      <c r="U240" s="21">
        <f>IF($A240="",0,SUMIFS('[1]销售出库'!$R$4:$R$2003,'[1]销售出库'!$H$4:$H$2003,$A240,'[1]销售出库'!$Q$4:$Q$2003,'首页'!$B$4*100+U$4))</f>
        <v>0</v>
      </c>
      <c r="V240" s="21">
        <f>IF($A240="",0,SUMIFS('[1]销售出库'!$R$4:$R$2003,'[1]销售出库'!$H$4:$H$2003,$A240,'[1]销售出库'!$Q$4:$Q$2003,'首页'!$B$4*100+V$4))</f>
        <v>0</v>
      </c>
      <c r="W240" s="21">
        <f>IF($A240="",0,SUMIFS('[1]销售出库'!$R$4:$R$2003,'[1]销售出库'!$H$4:$H$2003,$A240,'[1]销售出库'!$Q$4:$Q$2003,'首页'!$B$4*100+W$4))</f>
        <v>0</v>
      </c>
      <c r="X240" s="21">
        <f>IF($A240="",0,SUMIFS('[1]销售出库'!$R$4:$R$2003,'[1]销售出库'!$H$4:$H$2003,$A240,'[1]销售出库'!$Q$4:$Q$2003,'首页'!$B$4*100+X$4))</f>
        <v>0</v>
      </c>
    </row>
    <row r="241">
      <c r="A241" s="6">
        <f>IF('[1]基础资料'!$P$240="","",'[1]基础资料'!$P$240)</f>
      </c>
      <c r="B241" s="6">
        <f>IF(A241="","",'[1]基础资料'!$Q$240&amp;"")</f>
      </c>
      <c r="C241" s="21">
        <f>IF(A241="",0,N('[1]基础资料'!$S$240))</f>
        <v>0</v>
      </c>
      <c r="D241" s="11">
        <f>IF(A241="",0,N('[1]基础资料'!$U$240))</f>
        <v>0</v>
      </c>
      <c r="E241" s="21">
        <f>IF(A241="",0,SUMIFS('[1]采购入库'!$U$4:$U$2003,'[1]采购入库'!$I$4:$I$2003,$A241))</f>
        <v>0</v>
      </c>
      <c r="F241" s="11">
        <f>IF(A241="",0,SUMIFS('[1]采购入库'!$V$4:$V$2003,'[1]采购入库'!$I$4:$I$2003,$A241))</f>
        <v>0</v>
      </c>
      <c r="G241" s="21">
        <f>IF(A241="",0,SUMIFS('[1]销售出库'!$R$4:$R$2003,'[1]销售出库'!$H$4:$H$2003,$A241))</f>
        <v>0</v>
      </c>
      <c r="H241" s="11">
        <f t="shared" si="3"/>
        <v>0</v>
      </c>
      <c r="I241" s="11">
        <f t="shared" si="0"/>
        <v>0</v>
      </c>
      <c r="J241" s="21">
        <f t="shared" si="1"/>
        <v>0</v>
      </c>
      <c r="K241" s="11">
        <f t="shared" si="2"/>
        <v>0</v>
      </c>
      <c r="L241" s="6">
        <f t="shared" si="4"/>
      </c>
      <c r="M241" s="21">
        <f>IF($A241="",0,SUMIFS('[1]销售出库'!$R$4:$R$2003,'[1]销售出库'!$H$4:$H$2003,$A241,'[1]销售出库'!$Q$4:$Q$2003,'首页'!$B$4*100+M$4))</f>
        <v>0</v>
      </c>
      <c r="N241" s="21">
        <f>IF($A241="",0,SUMIFS('[1]销售出库'!$R$4:$R$2003,'[1]销售出库'!$H$4:$H$2003,$A241,'[1]销售出库'!$Q$4:$Q$2003,'首页'!$B$4*100+N$4))</f>
        <v>0</v>
      </c>
      <c r="O241" s="21">
        <f>IF($A241="",0,SUMIFS('[1]销售出库'!$R$4:$R$2003,'[1]销售出库'!$H$4:$H$2003,$A241,'[1]销售出库'!$Q$4:$Q$2003,'首页'!$B$4*100+O$4))</f>
        <v>0</v>
      </c>
      <c r="P241" s="21">
        <f>IF($A241="",0,SUMIFS('[1]销售出库'!$R$4:$R$2003,'[1]销售出库'!$H$4:$H$2003,$A241,'[1]销售出库'!$Q$4:$Q$2003,'首页'!$B$4*100+P$4))</f>
        <v>0</v>
      </c>
      <c r="Q241" s="21">
        <f>IF($A241="",0,SUMIFS('[1]销售出库'!$R$4:$R$2003,'[1]销售出库'!$H$4:$H$2003,$A241,'[1]销售出库'!$Q$4:$Q$2003,'首页'!$B$4*100+Q$4))</f>
        <v>0</v>
      </c>
      <c r="R241" s="21">
        <f>IF($A241="",0,SUMIFS('[1]销售出库'!$R$4:$R$2003,'[1]销售出库'!$H$4:$H$2003,$A241,'[1]销售出库'!$Q$4:$Q$2003,'首页'!$B$4*100+R$4))</f>
        <v>0</v>
      </c>
      <c r="S241" s="21">
        <f>IF($A241="",0,SUMIFS('[1]销售出库'!$R$4:$R$2003,'[1]销售出库'!$H$4:$H$2003,$A241,'[1]销售出库'!$Q$4:$Q$2003,'首页'!$B$4*100+S$4))</f>
        <v>0</v>
      </c>
      <c r="T241" s="21">
        <f>IF($A241="",0,SUMIFS('[1]销售出库'!$R$4:$R$2003,'[1]销售出库'!$H$4:$H$2003,$A241,'[1]销售出库'!$Q$4:$Q$2003,'首页'!$B$4*100+T$4))</f>
        <v>0</v>
      </c>
      <c r="U241" s="21">
        <f>IF($A241="",0,SUMIFS('[1]销售出库'!$R$4:$R$2003,'[1]销售出库'!$H$4:$H$2003,$A241,'[1]销售出库'!$Q$4:$Q$2003,'首页'!$B$4*100+U$4))</f>
        <v>0</v>
      </c>
      <c r="V241" s="21">
        <f>IF($A241="",0,SUMIFS('[1]销售出库'!$R$4:$R$2003,'[1]销售出库'!$H$4:$H$2003,$A241,'[1]销售出库'!$Q$4:$Q$2003,'首页'!$B$4*100+V$4))</f>
        <v>0</v>
      </c>
      <c r="W241" s="21">
        <f>IF($A241="",0,SUMIFS('[1]销售出库'!$R$4:$R$2003,'[1]销售出库'!$H$4:$H$2003,$A241,'[1]销售出库'!$Q$4:$Q$2003,'首页'!$B$4*100+W$4))</f>
        <v>0</v>
      </c>
      <c r="X241" s="21">
        <f>IF($A241="",0,SUMIFS('[1]销售出库'!$R$4:$R$2003,'[1]销售出库'!$H$4:$H$2003,$A241,'[1]销售出库'!$Q$4:$Q$2003,'首页'!$B$4*100+X$4))</f>
        <v>0</v>
      </c>
    </row>
    <row r="242">
      <c r="A242" s="6">
        <f>IF('[1]基础资料'!$P$241="","",'[1]基础资料'!$P$241)</f>
      </c>
      <c r="B242" s="6">
        <f>IF(A242="","",'[1]基础资料'!$Q$241&amp;"")</f>
      </c>
      <c r="C242" s="21">
        <f>IF(A242="",0,N('[1]基础资料'!$S$241))</f>
        <v>0</v>
      </c>
      <c r="D242" s="11">
        <f>IF(A242="",0,N('[1]基础资料'!$U$241))</f>
        <v>0</v>
      </c>
      <c r="E242" s="21">
        <f>IF(A242="",0,SUMIFS('[1]采购入库'!$U$4:$U$2003,'[1]采购入库'!$I$4:$I$2003,$A242))</f>
        <v>0</v>
      </c>
      <c r="F242" s="11">
        <f>IF(A242="",0,SUMIFS('[1]采购入库'!$V$4:$V$2003,'[1]采购入库'!$I$4:$I$2003,$A242))</f>
        <v>0</v>
      </c>
      <c r="G242" s="21">
        <f>IF(A242="",0,SUMIFS('[1]销售出库'!$R$4:$R$2003,'[1]销售出库'!$H$4:$H$2003,$A242))</f>
        <v>0</v>
      </c>
      <c r="H242" s="11">
        <f t="shared" si="3"/>
        <v>0</v>
      </c>
      <c r="I242" s="11">
        <f t="shared" si="0"/>
        <v>0</v>
      </c>
      <c r="J242" s="21">
        <f t="shared" si="1"/>
        <v>0</v>
      </c>
      <c r="K242" s="11">
        <f t="shared" si="2"/>
        <v>0</v>
      </c>
      <c r="L242" s="6">
        <f t="shared" si="4"/>
      </c>
      <c r="M242" s="21">
        <f>IF($A242="",0,SUMIFS('[1]销售出库'!$R$4:$R$2003,'[1]销售出库'!$H$4:$H$2003,$A242,'[1]销售出库'!$Q$4:$Q$2003,'首页'!$B$4*100+M$4))</f>
        <v>0</v>
      </c>
      <c r="N242" s="21">
        <f>IF($A242="",0,SUMIFS('[1]销售出库'!$R$4:$R$2003,'[1]销售出库'!$H$4:$H$2003,$A242,'[1]销售出库'!$Q$4:$Q$2003,'首页'!$B$4*100+N$4))</f>
        <v>0</v>
      </c>
      <c r="O242" s="21">
        <f>IF($A242="",0,SUMIFS('[1]销售出库'!$R$4:$R$2003,'[1]销售出库'!$H$4:$H$2003,$A242,'[1]销售出库'!$Q$4:$Q$2003,'首页'!$B$4*100+O$4))</f>
        <v>0</v>
      </c>
      <c r="P242" s="21">
        <f>IF($A242="",0,SUMIFS('[1]销售出库'!$R$4:$R$2003,'[1]销售出库'!$H$4:$H$2003,$A242,'[1]销售出库'!$Q$4:$Q$2003,'首页'!$B$4*100+P$4))</f>
        <v>0</v>
      </c>
      <c r="Q242" s="21">
        <f>IF($A242="",0,SUMIFS('[1]销售出库'!$R$4:$R$2003,'[1]销售出库'!$H$4:$H$2003,$A242,'[1]销售出库'!$Q$4:$Q$2003,'首页'!$B$4*100+Q$4))</f>
        <v>0</v>
      </c>
      <c r="R242" s="21">
        <f>IF($A242="",0,SUMIFS('[1]销售出库'!$R$4:$R$2003,'[1]销售出库'!$H$4:$H$2003,$A242,'[1]销售出库'!$Q$4:$Q$2003,'首页'!$B$4*100+R$4))</f>
        <v>0</v>
      </c>
      <c r="S242" s="21">
        <f>IF($A242="",0,SUMIFS('[1]销售出库'!$R$4:$R$2003,'[1]销售出库'!$H$4:$H$2003,$A242,'[1]销售出库'!$Q$4:$Q$2003,'首页'!$B$4*100+S$4))</f>
        <v>0</v>
      </c>
      <c r="T242" s="21">
        <f>IF($A242="",0,SUMIFS('[1]销售出库'!$R$4:$R$2003,'[1]销售出库'!$H$4:$H$2003,$A242,'[1]销售出库'!$Q$4:$Q$2003,'首页'!$B$4*100+T$4))</f>
        <v>0</v>
      </c>
      <c r="U242" s="21">
        <f>IF($A242="",0,SUMIFS('[1]销售出库'!$R$4:$R$2003,'[1]销售出库'!$H$4:$H$2003,$A242,'[1]销售出库'!$Q$4:$Q$2003,'首页'!$B$4*100+U$4))</f>
        <v>0</v>
      </c>
      <c r="V242" s="21">
        <f>IF($A242="",0,SUMIFS('[1]销售出库'!$R$4:$R$2003,'[1]销售出库'!$H$4:$H$2003,$A242,'[1]销售出库'!$Q$4:$Q$2003,'首页'!$B$4*100+V$4))</f>
        <v>0</v>
      </c>
      <c r="W242" s="21">
        <f>IF($A242="",0,SUMIFS('[1]销售出库'!$R$4:$R$2003,'[1]销售出库'!$H$4:$H$2003,$A242,'[1]销售出库'!$Q$4:$Q$2003,'首页'!$B$4*100+W$4))</f>
        <v>0</v>
      </c>
      <c r="X242" s="21">
        <f>IF($A242="",0,SUMIFS('[1]销售出库'!$R$4:$R$2003,'[1]销售出库'!$H$4:$H$2003,$A242,'[1]销售出库'!$Q$4:$Q$2003,'首页'!$B$4*100+X$4))</f>
        <v>0</v>
      </c>
    </row>
    <row r="243">
      <c r="A243" s="6">
        <f>IF('[1]基础资料'!$P$242="","",'[1]基础资料'!$P$242)</f>
      </c>
      <c r="B243" s="6">
        <f>IF(A243="","",'[1]基础资料'!$Q$242&amp;"")</f>
      </c>
      <c r="C243" s="21">
        <f>IF(A243="",0,N('[1]基础资料'!$S$242))</f>
        <v>0</v>
      </c>
      <c r="D243" s="11">
        <f>IF(A243="",0,N('[1]基础资料'!$U$242))</f>
        <v>0</v>
      </c>
      <c r="E243" s="21">
        <f>IF(A243="",0,SUMIFS('[1]采购入库'!$U$4:$U$2003,'[1]采购入库'!$I$4:$I$2003,$A243))</f>
        <v>0</v>
      </c>
      <c r="F243" s="11">
        <f>IF(A243="",0,SUMIFS('[1]采购入库'!$V$4:$V$2003,'[1]采购入库'!$I$4:$I$2003,$A243))</f>
        <v>0</v>
      </c>
      <c r="G243" s="21">
        <f>IF(A243="",0,SUMIFS('[1]销售出库'!$R$4:$R$2003,'[1]销售出库'!$H$4:$H$2003,$A243))</f>
        <v>0</v>
      </c>
      <c r="H243" s="11">
        <f t="shared" si="3"/>
        <v>0</v>
      </c>
      <c r="I243" s="11">
        <f t="shared" si="0"/>
        <v>0</v>
      </c>
      <c r="J243" s="21">
        <f t="shared" si="1"/>
        <v>0</v>
      </c>
      <c r="K243" s="11">
        <f t="shared" si="2"/>
        <v>0</v>
      </c>
      <c r="L243" s="6">
        <f t="shared" si="4"/>
      </c>
      <c r="M243" s="21">
        <f>IF($A243="",0,SUMIFS('[1]销售出库'!$R$4:$R$2003,'[1]销售出库'!$H$4:$H$2003,$A243,'[1]销售出库'!$Q$4:$Q$2003,'首页'!$B$4*100+M$4))</f>
        <v>0</v>
      </c>
      <c r="N243" s="21">
        <f>IF($A243="",0,SUMIFS('[1]销售出库'!$R$4:$R$2003,'[1]销售出库'!$H$4:$H$2003,$A243,'[1]销售出库'!$Q$4:$Q$2003,'首页'!$B$4*100+N$4))</f>
        <v>0</v>
      </c>
      <c r="O243" s="21">
        <f>IF($A243="",0,SUMIFS('[1]销售出库'!$R$4:$R$2003,'[1]销售出库'!$H$4:$H$2003,$A243,'[1]销售出库'!$Q$4:$Q$2003,'首页'!$B$4*100+O$4))</f>
        <v>0</v>
      </c>
      <c r="P243" s="21">
        <f>IF($A243="",0,SUMIFS('[1]销售出库'!$R$4:$R$2003,'[1]销售出库'!$H$4:$H$2003,$A243,'[1]销售出库'!$Q$4:$Q$2003,'首页'!$B$4*100+P$4))</f>
        <v>0</v>
      </c>
      <c r="Q243" s="21">
        <f>IF($A243="",0,SUMIFS('[1]销售出库'!$R$4:$R$2003,'[1]销售出库'!$H$4:$H$2003,$A243,'[1]销售出库'!$Q$4:$Q$2003,'首页'!$B$4*100+Q$4))</f>
        <v>0</v>
      </c>
      <c r="R243" s="21">
        <f>IF($A243="",0,SUMIFS('[1]销售出库'!$R$4:$R$2003,'[1]销售出库'!$H$4:$H$2003,$A243,'[1]销售出库'!$Q$4:$Q$2003,'首页'!$B$4*100+R$4))</f>
        <v>0</v>
      </c>
      <c r="S243" s="21">
        <f>IF($A243="",0,SUMIFS('[1]销售出库'!$R$4:$R$2003,'[1]销售出库'!$H$4:$H$2003,$A243,'[1]销售出库'!$Q$4:$Q$2003,'首页'!$B$4*100+S$4))</f>
        <v>0</v>
      </c>
      <c r="T243" s="21">
        <f>IF($A243="",0,SUMIFS('[1]销售出库'!$R$4:$R$2003,'[1]销售出库'!$H$4:$H$2003,$A243,'[1]销售出库'!$Q$4:$Q$2003,'首页'!$B$4*100+T$4))</f>
        <v>0</v>
      </c>
      <c r="U243" s="21">
        <f>IF($A243="",0,SUMIFS('[1]销售出库'!$R$4:$R$2003,'[1]销售出库'!$H$4:$H$2003,$A243,'[1]销售出库'!$Q$4:$Q$2003,'首页'!$B$4*100+U$4))</f>
        <v>0</v>
      </c>
      <c r="V243" s="21">
        <f>IF($A243="",0,SUMIFS('[1]销售出库'!$R$4:$R$2003,'[1]销售出库'!$H$4:$H$2003,$A243,'[1]销售出库'!$Q$4:$Q$2003,'首页'!$B$4*100+V$4))</f>
        <v>0</v>
      </c>
      <c r="W243" s="21">
        <f>IF($A243="",0,SUMIFS('[1]销售出库'!$R$4:$R$2003,'[1]销售出库'!$H$4:$H$2003,$A243,'[1]销售出库'!$Q$4:$Q$2003,'首页'!$B$4*100+W$4))</f>
        <v>0</v>
      </c>
      <c r="X243" s="21">
        <f>IF($A243="",0,SUMIFS('[1]销售出库'!$R$4:$R$2003,'[1]销售出库'!$H$4:$H$2003,$A243,'[1]销售出库'!$Q$4:$Q$2003,'首页'!$B$4*100+X$4))</f>
        <v>0</v>
      </c>
    </row>
    <row r="244">
      <c r="A244" s="6">
        <f>IF('[1]基础资料'!$P$243="","",'[1]基础资料'!$P$243)</f>
      </c>
      <c r="B244" s="6">
        <f>IF(A244="","",'[1]基础资料'!$Q$243&amp;"")</f>
      </c>
      <c r="C244" s="21">
        <f>IF(A244="",0,N('[1]基础资料'!$S$243))</f>
        <v>0</v>
      </c>
      <c r="D244" s="11">
        <f>IF(A244="",0,N('[1]基础资料'!$U$243))</f>
        <v>0</v>
      </c>
      <c r="E244" s="21">
        <f>IF(A244="",0,SUMIFS('[1]采购入库'!$U$4:$U$2003,'[1]采购入库'!$I$4:$I$2003,$A244))</f>
        <v>0</v>
      </c>
      <c r="F244" s="11">
        <f>IF(A244="",0,SUMIFS('[1]采购入库'!$V$4:$V$2003,'[1]采购入库'!$I$4:$I$2003,$A244))</f>
        <v>0</v>
      </c>
      <c r="G244" s="21">
        <f>IF(A244="",0,SUMIFS('[1]销售出库'!$R$4:$R$2003,'[1]销售出库'!$H$4:$H$2003,$A244))</f>
        <v>0</v>
      </c>
      <c r="H244" s="11">
        <f t="shared" si="3"/>
        <v>0</v>
      </c>
      <c r="I244" s="11">
        <f t="shared" si="0"/>
        <v>0</v>
      </c>
      <c r="J244" s="21">
        <f t="shared" si="1"/>
        <v>0</v>
      </c>
      <c r="K244" s="11">
        <f t="shared" si="2"/>
        <v>0</v>
      </c>
      <c r="L244" s="6">
        <f t="shared" si="4"/>
      </c>
      <c r="M244" s="21">
        <f>IF($A244="",0,SUMIFS('[1]销售出库'!$R$4:$R$2003,'[1]销售出库'!$H$4:$H$2003,$A244,'[1]销售出库'!$Q$4:$Q$2003,'首页'!$B$4*100+M$4))</f>
        <v>0</v>
      </c>
      <c r="N244" s="21">
        <f>IF($A244="",0,SUMIFS('[1]销售出库'!$R$4:$R$2003,'[1]销售出库'!$H$4:$H$2003,$A244,'[1]销售出库'!$Q$4:$Q$2003,'首页'!$B$4*100+N$4))</f>
        <v>0</v>
      </c>
      <c r="O244" s="21">
        <f>IF($A244="",0,SUMIFS('[1]销售出库'!$R$4:$R$2003,'[1]销售出库'!$H$4:$H$2003,$A244,'[1]销售出库'!$Q$4:$Q$2003,'首页'!$B$4*100+O$4))</f>
        <v>0</v>
      </c>
      <c r="P244" s="21">
        <f>IF($A244="",0,SUMIFS('[1]销售出库'!$R$4:$R$2003,'[1]销售出库'!$H$4:$H$2003,$A244,'[1]销售出库'!$Q$4:$Q$2003,'首页'!$B$4*100+P$4))</f>
        <v>0</v>
      </c>
      <c r="Q244" s="21">
        <f>IF($A244="",0,SUMIFS('[1]销售出库'!$R$4:$R$2003,'[1]销售出库'!$H$4:$H$2003,$A244,'[1]销售出库'!$Q$4:$Q$2003,'首页'!$B$4*100+Q$4))</f>
        <v>0</v>
      </c>
      <c r="R244" s="21">
        <f>IF($A244="",0,SUMIFS('[1]销售出库'!$R$4:$R$2003,'[1]销售出库'!$H$4:$H$2003,$A244,'[1]销售出库'!$Q$4:$Q$2003,'首页'!$B$4*100+R$4))</f>
        <v>0</v>
      </c>
      <c r="S244" s="21">
        <f>IF($A244="",0,SUMIFS('[1]销售出库'!$R$4:$R$2003,'[1]销售出库'!$H$4:$H$2003,$A244,'[1]销售出库'!$Q$4:$Q$2003,'首页'!$B$4*100+S$4))</f>
        <v>0</v>
      </c>
      <c r="T244" s="21">
        <f>IF($A244="",0,SUMIFS('[1]销售出库'!$R$4:$R$2003,'[1]销售出库'!$H$4:$H$2003,$A244,'[1]销售出库'!$Q$4:$Q$2003,'首页'!$B$4*100+T$4))</f>
        <v>0</v>
      </c>
      <c r="U244" s="21">
        <f>IF($A244="",0,SUMIFS('[1]销售出库'!$R$4:$R$2003,'[1]销售出库'!$H$4:$H$2003,$A244,'[1]销售出库'!$Q$4:$Q$2003,'首页'!$B$4*100+U$4))</f>
        <v>0</v>
      </c>
      <c r="V244" s="21">
        <f>IF($A244="",0,SUMIFS('[1]销售出库'!$R$4:$R$2003,'[1]销售出库'!$H$4:$H$2003,$A244,'[1]销售出库'!$Q$4:$Q$2003,'首页'!$B$4*100+V$4))</f>
        <v>0</v>
      </c>
      <c r="W244" s="21">
        <f>IF($A244="",0,SUMIFS('[1]销售出库'!$R$4:$R$2003,'[1]销售出库'!$H$4:$H$2003,$A244,'[1]销售出库'!$Q$4:$Q$2003,'首页'!$B$4*100+W$4))</f>
        <v>0</v>
      </c>
      <c r="X244" s="21">
        <f>IF($A244="",0,SUMIFS('[1]销售出库'!$R$4:$R$2003,'[1]销售出库'!$H$4:$H$2003,$A244,'[1]销售出库'!$Q$4:$Q$2003,'首页'!$B$4*100+X$4))</f>
        <v>0</v>
      </c>
    </row>
    <row r="245">
      <c r="A245" s="6">
        <f>IF('[1]基础资料'!$P$244="","",'[1]基础资料'!$P$244)</f>
      </c>
      <c r="B245" s="6">
        <f>IF(A245="","",'[1]基础资料'!$Q$244&amp;"")</f>
      </c>
      <c r="C245" s="21">
        <f>IF(A245="",0,N('[1]基础资料'!$S$244))</f>
        <v>0</v>
      </c>
      <c r="D245" s="11">
        <f>IF(A245="",0,N('[1]基础资料'!$U$244))</f>
        <v>0</v>
      </c>
      <c r="E245" s="21">
        <f>IF(A245="",0,SUMIFS('[1]采购入库'!$U$4:$U$2003,'[1]采购入库'!$I$4:$I$2003,$A245))</f>
        <v>0</v>
      </c>
      <c r="F245" s="11">
        <f>IF(A245="",0,SUMIFS('[1]采购入库'!$V$4:$V$2003,'[1]采购入库'!$I$4:$I$2003,$A245))</f>
        <v>0</v>
      </c>
      <c r="G245" s="21">
        <f>IF(A245="",0,SUMIFS('[1]销售出库'!$R$4:$R$2003,'[1]销售出库'!$H$4:$H$2003,$A245))</f>
        <v>0</v>
      </c>
      <c r="H245" s="11">
        <f t="shared" si="3"/>
        <v>0</v>
      </c>
      <c r="I245" s="11">
        <f t="shared" si="0"/>
        <v>0</v>
      </c>
      <c r="J245" s="21">
        <f t="shared" si="1"/>
        <v>0</v>
      </c>
      <c r="K245" s="11">
        <f t="shared" si="2"/>
        <v>0</v>
      </c>
      <c r="L245" s="6">
        <f t="shared" si="4"/>
      </c>
      <c r="M245" s="21">
        <f>IF($A245="",0,SUMIFS('[1]销售出库'!$R$4:$R$2003,'[1]销售出库'!$H$4:$H$2003,$A245,'[1]销售出库'!$Q$4:$Q$2003,'首页'!$B$4*100+M$4))</f>
        <v>0</v>
      </c>
      <c r="N245" s="21">
        <f>IF($A245="",0,SUMIFS('[1]销售出库'!$R$4:$R$2003,'[1]销售出库'!$H$4:$H$2003,$A245,'[1]销售出库'!$Q$4:$Q$2003,'首页'!$B$4*100+N$4))</f>
        <v>0</v>
      </c>
      <c r="O245" s="21">
        <f>IF($A245="",0,SUMIFS('[1]销售出库'!$R$4:$R$2003,'[1]销售出库'!$H$4:$H$2003,$A245,'[1]销售出库'!$Q$4:$Q$2003,'首页'!$B$4*100+O$4))</f>
        <v>0</v>
      </c>
      <c r="P245" s="21">
        <f>IF($A245="",0,SUMIFS('[1]销售出库'!$R$4:$R$2003,'[1]销售出库'!$H$4:$H$2003,$A245,'[1]销售出库'!$Q$4:$Q$2003,'首页'!$B$4*100+P$4))</f>
        <v>0</v>
      </c>
      <c r="Q245" s="21">
        <f>IF($A245="",0,SUMIFS('[1]销售出库'!$R$4:$R$2003,'[1]销售出库'!$H$4:$H$2003,$A245,'[1]销售出库'!$Q$4:$Q$2003,'首页'!$B$4*100+Q$4))</f>
        <v>0</v>
      </c>
      <c r="R245" s="21">
        <f>IF($A245="",0,SUMIFS('[1]销售出库'!$R$4:$R$2003,'[1]销售出库'!$H$4:$H$2003,$A245,'[1]销售出库'!$Q$4:$Q$2003,'首页'!$B$4*100+R$4))</f>
        <v>0</v>
      </c>
      <c r="S245" s="21">
        <f>IF($A245="",0,SUMIFS('[1]销售出库'!$R$4:$R$2003,'[1]销售出库'!$H$4:$H$2003,$A245,'[1]销售出库'!$Q$4:$Q$2003,'首页'!$B$4*100+S$4))</f>
        <v>0</v>
      </c>
      <c r="T245" s="21">
        <f>IF($A245="",0,SUMIFS('[1]销售出库'!$R$4:$R$2003,'[1]销售出库'!$H$4:$H$2003,$A245,'[1]销售出库'!$Q$4:$Q$2003,'首页'!$B$4*100+T$4))</f>
        <v>0</v>
      </c>
      <c r="U245" s="21">
        <f>IF($A245="",0,SUMIFS('[1]销售出库'!$R$4:$R$2003,'[1]销售出库'!$H$4:$H$2003,$A245,'[1]销售出库'!$Q$4:$Q$2003,'首页'!$B$4*100+U$4))</f>
        <v>0</v>
      </c>
      <c r="V245" s="21">
        <f>IF($A245="",0,SUMIFS('[1]销售出库'!$R$4:$R$2003,'[1]销售出库'!$H$4:$H$2003,$A245,'[1]销售出库'!$Q$4:$Q$2003,'首页'!$B$4*100+V$4))</f>
        <v>0</v>
      </c>
      <c r="W245" s="21">
        <f>IF($A245="",0,SUMIFS('[1]销售出库'!$R$4:$R$2003,'[1]销售出库'!$H$4:$H$2003,$A245,'[1]销售出库'!$Q$4:$Q$2003,'首页'!$B$4*100+W$4))</f>
        <v>0</v>
      </c>
      <c r="X245" s="21">
        <f>IF($A245="",0,SUMIFS('[1]销售出库'!$R$4:$R$2003,'[1]销售出库'!$H$4:$H$2003,$A245,'[1]销售出库'!$Q$4:$Q$2003,'首页'!$B$4*100+X$4))</f>
        <v>0</v>
      </c>
    </row>
    <row r="246">
      <c r="A246" s="6">
        <f>IF('[1]基础资料'!$P$245="","",'[1]基础资料'!$P$245)</f>
      </c>
      <c r="B246" s="6">
        <f>IF(A246="","",'[1]基础资料'!$Q$245&amp;"")</f>
      </c>
      <c r="C246" s="21">
        <f>IF(A246="",0,N('[1]基础资料'!$S$245))</f>
        <v>0</v>
      </c>
      <c r="D246" s="11">
        <f>IF(A246="",0,N('[1]基础资料'!$U$245))</f>
        <v>0</v>
      </c>
      <c r="E246" s="21">
        <f>IF(A246="",0,SUMIFS('[1]采购入库'!$U$4:$U$2003,'[1]采购入库'!$I$4:$I$2003,$A246))</f>
        <v>0</v>
      </c>
      <c r="F246" s="11">
        <f>IF(A246="",0,SUMIFS('[1]采购入库'!$V$4:$V$2003,'[1]采购入库'!$I$4:$I$2003,$A246))</f>
        <v>0</v>
      </c>
      <c r="G246" s="21">
        <f>IF(A246="",0,SUMIFS('[1]销售出库'!$R$4:$R$2003,'[1]销售出库'!$H$4:$H$2003,$A246))</f>
        <v>0</v>
      </c>
      <c r="H246" s="11">
        <f t="shared" si="3"/>
        <v>0</v>
      </c>
      <c r="I246" s="11">
        <f t="shared" si="0"/>
        <v>0</v>
      </c>
      <c r="J246" s="21">
        <f t="shared" si="1"/>
        <v>0</v>
      </c>
      <c r="K246" s="11">
        <f t="shared" si="2"/>
        <v>0</v>
      </c>
      <c r="L246" s="6">
        <f t="shared" si="4"/>
      </c>
      <c r="M246" s="21">
        <f>IF($A246="",0,SUMIFS('[1]销售出库'!$R$4:$R$2003,'[1]销售出库'!$H$4:$H$2003,$A246,'[1]销售出库'!$Q$4:$Q$2003,'首页'!$B$4*100+M$4))</f>
        <v>0</v>
      </c>
      <c r="N246" s="21">
        <f>IF($A246="",0,SUMIFS('[1]销售出库'!$R$4:$R$2003,'[1]销售出库'!$H$4:$H$2003,$A246,'[1]销售出库'!$Q$4:$Q$2003,'首页'!$B$4*100+N$4))</f>
        <v>0</v>
      </c>
      <c r="O246" s="21">
        <f>IF($A246="",0,SUMIFS('[1]销售出库'!$R$4:$R$2003,'[1]销售出库'!$H$4:$H$2003,$A246,'[1]销售出库'!$Q$4:$Q$2003,'首页'!$B$4*100+O$4))</f>
        <v>0</v>
      </c>
      <c r="P246" s="21">
        <f>IF($A246="",0,SUMIFS('[1]销售出库'!$R$4:$R$2003,'[1]销售出库'!$H$4:$H$2003,$A246,'[1]销售出库'!$Q$4:$Q$2003,'首页'!$B$4*100+P$4))</f>
        <v>0</v>
      </c>
      <c r="Q246" s="21">
        <f>IF($A246="",0,SUMIFS('[1]销售出库'!$R$4:$R$2003,'[1]销售出库'!$H$4:$H$2003,$A246,'[1]销售出库'!$Q$4:$Q$2003,'首页'!$B$4*100+Q$4))</f>
        <v>0</v>
      </c>
      <c r="R246" s="21">
        <f>IF($A246="",0,SUMIFS('[1]销售出库'!$R$4:$R$2003,'[1]销售出库'!$H$4:$H$2003,$A246,'[1]销售出库'!$Q$4:$Q$2003,'首页'!$B$4*100+R$4))</f>
        <v>0</v>
      </c>
      <c r="S246" s="21">
        <f>IF($A246="",0,SUMIFS('[1]销售出库'!$R$4:$R$2003,'[1]销售出库'!$H$4:$H$2003,$A246,'[1]销售出库'!$Q$4:$Q$2003,'首页'!$B$4*100+S$4))</f>
        <v>0</v>
      </c>
      <c r="T246" s="21">
        <f>IF($A246="",0,SUMIFS('[1]销售出库'!$R$4:$R$2003,'[1]销售出库'!$H$4:$H$2003,$A246,'[1]销售出库'!$Q$4:$Q$2003,'首页'!$B$4*100+T$4))</f>
        <v>0</v>
      </c>
      <c r="U246" s="21">
        <f>IF($A246="",0,SUMIFS('[1]销售出库'!$R$4:$R$2003,'[1]销售出库'!$H$4:$H$2003,$A246,'[1]销售出库'!$Q$4:$Q$2003,'首页'!$B$4*100+U$4))</f>
        <v>0</v>
      </c>
      <c r="V246" s="21">
        <f>IF($A246="",0,SUMIFS('[1]销售出库'!$R$4:$R$2003,'[1]销售出库'!$H$4:$H$2003,$A246,'[1]销售出库'!$Q$4:$Q$2003,'首页'!$B$4*100+V$4))</f>
        <v>0</v>
      </c>
      <c r="W246" s="21">
        <f>IF($A246="",0,SUMIFS('[1]销售出库'!$R$4:$R$2003,'[1]销售出库'!$H$4:$H$2003,$A246,'[1]销售出库'!$Q$4:$Q$2003,'首页'!$B$4*100+W$4))</f>
        <v>0</v>
      </c>
      <c r="X246" s="21">
        <f>IF($A246="",0,SUMIFS('[1]销售出库'!$R$4:$R$2003,'[1]销售出库'!$H$4:$H$2003,$A246,'[1]销售出库'!$Q$4:$Q$2003,'首页'!$B$4*100+X$4))</f>
        <v>0</v>
      </c>
    </row>
    <row r="247">
      <c r="A247" s="6">
        <f>IF('[1]基础资料'!$P$246="","",'[1]基础资料'!$P$246)</f>
      </c>
      <c r="B247" s="6">
        <f>IF(A247="","",'[1]基础资料'!$Q$246&amp;"")</f>
      </c>
      <c r="C247" s="21">
        <f>IF(A247="",0,N('[1]基础资料'!$S$246))</f>
        <v>0</v>
      </c>
      <c r="D247" s="11">
        <f>IF(A247="",0,N('[1]基础资料'!$U$246))</f>
        <v>0</v>
      </c>
      <c r="E247" s="21">
        <f>IF(A247="",0,SUMIFS('[1]采购入库'!$U$4:$U$2003,'[1]采购入库'!$I$4:$I$2003,$A247))</f>
        <v>0</v>
      </c>
      <c r="F247" s="11">
        <f>IF(A247="",0,SUMIFS('[1]采购入库'!$V$4:$V$2003,'[1]采购入库'!$I$4:$I$2003,$A247))</f>
        <v>0</v>
      </c>
      <c r="G247" s="21">
        <f>IF(A247="",0,SUMIFS('[1]销售出库'!$R$4:$R$2003,'[1]销售出库'!$H$4:$H$2003,$A247))</f>
        <v>0</v>
      </c>
      <c r="H247" s="11">
        <f t="shared" si="3"/>
        <v>0</v>
      </c>
      <c r="I247" s="11">
        <f t="shared" si="0"/>
        <v>0</v>
      </c>
      <c r="J247" s="21">
        <f t="shared" si="1"/>
        <v>0</v>
      </c>
      <c r="K247" s="11">
        <f t="shared" si="2"/>
        <v>0</v>
      </c>
      <c r="L247" s="6">
        <f t="shared" si="4"/>
      </c>
      <c r="M247" s="21">
        <f>IF($A247="",0,SUMIFS('[1]销售出库'!$R$4:$R$2003,'[1]销售出库'!$H$4:$H$2003,$A247,'[1]销售出库'!$Q$4:$Q$2003,'首页'!$B$4*100+M$4))</f>
        <v>0</v>
      </c>
      <c r="N247" s="21">
        <f>IF($A247="",0,SUMIFS('[1]销售出库'!$R$4:$R$2003,'[1]销售出库'!$H$4:$H$2003,$A247,'[1]销售出库'!$Q$4:$Q$2003,'首页'!$B$4*100+N$4))</f>
        <v>0</v>
      </c>
      <c r="O247" s="21">
        <f>IF($A247="",0,SUMIFS('[1]销售出库'!$R$4:$R$2003,'[1]销售出库'!$H$4:$H$2003,$A247,'[1]销售出库'!$Q$4:$Q$2003,'首页'!$B$4*100+O$4))</f>
        <v>0</v>
      </c>
      <c r="P247" s="21">
        <f>IF($A247="",0,SUMIFS('[1]销售出库'!$R$4:$R$2003,'[1]销售出库'!$H$4:$H$2003,$A247,'[1]销售出库'!$Q$4:$Q$2003,'首页'!$B$4*100+P$4))</f>
        <v>0</v>
      </c>
      <c r="Q247" s="21">
        <f>IF($A247="",0,SUMIFS('[1]销售出库'!$R$4:$R$2003,'[1]销售出库'!$H$4:$H$2003,$A247,'[1]销售出库'!$Q$4:$Q$2003,'首页'!$B$4*100+Q$4))</f>
        <v>0</v>
      </c>
      <c r="R247" s="21">
        <f>IF($A247="",0,SUMIFS('[1]销售出库'!$R$4:$R$2003,'[1]销售出库'!$H$4:$H$2003,$A247,'[1]销售出库'!$Q$4:$Q$2003,'首页'!$B$4*100+R$4))</f>
        <v>0</v>
      </c>
      <c r="S247" s="21">
        <f>IF($A247="",0,SUMIFS('[1]销售出库'!$R$4:$R$2003,'[1]销售出库'!$H$4:$H$2003,$A247,'[1]销售出库'!$Q$4:$Q$2003,'首页'!$B$4*100+S$4))</f>
        <v>0</v>
      </c>
      <c r="T247" s="21">
        <f>IF($A247="",0,SUMIFS('[1]销售出库'!$R$4:$R$2003,'[1]销售出库'!$H$4:$H$2003,$A247,'[1]销售出库'!$Q$4:$Q$2003,'首页'!$B$4*100+T$4))</f>
        <v>0</v>
      </c>
      <c r="U247" s="21">
        <f>IF($A247="",0,SUMIFS('[1]销售出库'!$R$4:$R$2003,'[1]销售出库'!$H$4:$H$2003,$A247,'[1]销售出库'!$Q$4:$Q$2003,'首页'!$B$4*100+U$4))</f>
        <v>0</v>
      </c>
      <c r="V247" s="21">
        <f>IF($A247="",0,SUMIFS('[1]销售出库'!$R$4:$R$2003,'[1]销售出库'!$H$4:$H$2003,$A247,'[1]销售出库'!$Q$4:$Q$2003,'首页'!$B$4*100+V$4))</f>
        <v>0</v>
      </c>
      <c r="W247" s="21">
        <f>IF($A247="",0,SUMIFS('[1]销售出库'!$R$4:$R$2003,'[1]销售出库'!$H$4:$H$2003,$A247,'[1]销售出库'!$Q$4:$Q$2003,'首页'!$B$4*100+W$4))</f>
        <v>0</v>
      </c>
      <c r="X247" s="21">
        <f>IF($A247="",0,SUMIFS('[1]销售出库'!$R$4:$R$2003,'[1]销售出库'!$H$4:$H$2003,$A247,'[1]销售出库'!$Q$4:$Q$2003,'首页'!$B$4*100+X$4))</f>
        <v>0</v>
      </c>
    </row>
    <row r="248">
      <c r="A248" s="6">
        <f>IF('[1]基础资料'!$P$247="","",'[1]基础资料'!$P$247)</f>
      </c>
      <c r="B248" s="6">
        <f>IF(A248="","",'[1]基础资料'!$Q$247&amp;"")</f>
      </c>
      <c r="C248" s="21">
        <f>IF(A248="",0,N('[1]基础资料'!$S$247))</f>
        <v>0</v>
      </c>
      <c r="D248" s="11">
        <f>IF(A248="",0,N('[1]基础资料'!$U$247))</f>
        <v>0</v>
      </c>
      <c r="E248" s="21">
        <f>IF(A248="",0,SUMIFS('[1]采购入库'!$U$4:$U$2003,'[1]采购入库'!$I$4:$I$2003,$A248))</f>
        <v>0</v>
      </c>
      <c r="F248" s="11">
        <f>IF(A248="",0,SUMIFS('[1]采购入库'!$V$4:$V$2003,'[1]采购入库'!$I$4:$I$2003,$A248))</f>
        <v>0</v>
      </c>
      <c r="G248" s="21">
        <f>IF(A248="",0,SUMIFS('[1]销售出库'!$R$4:$R$2003,'[1]销售出库'!$H$4:$H$2003,$A248))</f>
        <v>0</v>
      </c>
      <c r="H248" s="11">
        <f t="shared" si="3"/>
        <v>0</v>
      </c>
      <c r="I248" s="11">
        <f t="shared" si="0"/>
        <v>0</v>
      </c>
      <c r="J248" s="21">
        <f t="shared" si="1"/>
        <v>0</v>
      </c>
      <c r="K248" s="11">
        <f t="shared" si="2"/>
        <v>0</v>
      </c>
      <c r="L248" s="6">
        <f t="shared" si="4"/>
      </c>
      <c r="M248" s="21">
        <f>IF($A248="",0,SUMIFS('[1]销售出库'!$R$4:$R$2003,'[1]销售出库'!$H$4:$H$2003,$A248,'[1]销售出库'!$Q$4:$Q$2003,'首页'!$B$4*100+M$4))</f>
        <v>0</v>
      </c>
      <c r="N248" s="21">
        <f>IF($A248="",0,SUMIFS('[1]销售出库'!$R$4:$R$2003,'[1]销售出库'!$H$4:$H$2003,$A248,'[1]销售出库'!$Q$4:$Q$2003,'首页'!$B$4*100+N$4))</f>
        <v>0</v>
      </c>
      <c r="O248" s="21">
        <f>IF($A248="",0,SUMIFS('[1]销售出库'!$R$4:$R$2003,'[1]销售出库'!$H$4:$H$2003,$A248,'[1]销售出库'!$Q$4:$Q$2003,'首页'!$B$4*100+O$4))</f>
        <v>0</v>
      </c>
      <c r="P248" s="21">
        <f>IF($A248="",0,SUMIFS('[1]销售出库'!$R$4:$R$2003,'[1]销售出库'!$H$4:$H$2003,$A248,'[1]销售出库'!$Q$4:$Q$2003,'首页'!$B$4*100+P$4))</f>
        <v>0</v>
      </c>
      <c r="Q248" s="21">
        <f>IF($A248="",0,SUMIFS('[1]销售出库'!$R$4:$R$2003,'[1]销售出库'!$H$4:$H$2003,$A248,'[1]销售出库'!$Q$4:$Q$2003,'首页'!$B$4*100+Q$4))</f>
        <v>0</v>
      </c>
      <c r="R248" s="21">
        <f>IF($A248="",0,SUMIFS('[1]销售出库'!$R$4:$R$2003,'[1]销售出库'!$H$4:$H$2003,$A248,'[1]销售出库'!$Q$4:$Q$2003,'首页'!$B$4*100+R$4))</f>
        <v>0</v>
      </c>
      <c r="S248" s="21">
        <f>IF($A248="",0,SUMIFS('[1]销售出库'!$R$4:$R$2003,'[1]销售出库'!$H$4:$H$2003,$A248,'[1]销售出库'!$Q$4:$Q$2003,'首页'!$B$4*100+S$4))</f>
        <v>0</v>
      </c>
      <c r="T248" s="21">
        <f>IF($A248="",0,SUMIFS('[1]销售出库'!$R$4:$R$2003,'[1]销售出库'!$H$4:$H$2003,$A248,'[1]销售出库'!$Q$4:$Q$2003,'首页'!$B$4*100+T$4))</f>
        <v>0</v>
      </c>
      <c r="U248" s="21">
        <f>IF($A248="",0,SUMIFS('[1]销售出库'!$R$4:$R$2003,'[1]销售出库'!$H$4:$H$2003,$A248,'[1]销售出库'!$Q$4:$Q$2003,'首页'!$B$4*100+U$4))</f>
        <v>0</v>
      </c>
      <c r="V248" s="21">
        <f>IF($A248="",0,SUMIFS('[1]销售出库'!$R$4:$R$2003,'[1]销售出库'!$H$4:$H$2003,$A248,'[1]销售出库'!$Q$4:$Q$2003,'首页'!$B$4*100+V$4))</f>
        <v>0</v>
      </c>
      <c r="W248" s="21">
        <f>IF($A248="",0,SUMIFS('[1]销售出库'!$R$4:$R$2003,'[1]销售出库'!$H$4:$H$2003,$A248,'[1]销售出库'!$Q$4:$Q$2003,'首页'!$B$4*100+W$4))</f>
        <v>0</v>
      </c>
      <c r="X248" s="21">
        <f>IF($A248="",0,SUMIFS('[1]销售出库'!$R$4:$R$2003,'[1]销售出库'!$H$4:$H$2003,$A248,'[1]销售出库'!$Q$4:$Q$2003,'首页'!$B$4*100+X$4))</f>
        <v>0</v>
      </c>
    </row>
    <row r="249">
      <c r="A249" s="6">
        <f>IF('[1]基础资料'!$P$248="","",'[1]基础资料'!$P$248)</f>
      </c>
      <c r="B249" s="6">
        <f>IF(A249="","",'[1]基础资料'!$Q$248&amp;"")</f>
      </c>
      <c r="C249" s="21">
        <f>IF(A249="",0,N('[1]基础资料'!$S$248))</f>
        <v>0</v>
      </c>
      <c r="D249" s="11">
        <f>IF(A249="",0,N('[1]基础资料'!$U$248))</f>
        <v>0</v>
      </c>
      <c r="E249" s="21">
        <f>IF(A249="",0,SUMIFS('[1]采购入库'!$U$4:$U$2003,'[1]采购入库'!$I$4:$I$2003,$A249))</f>
        <v>0</v>
      </c>
      <c r="F249" s="11">
        <f>IF(A249="",0,SUMIFS('[1]采购入库'!$V$4:$V$2003,'[1]采购入库'!$I$4:$I$2003,$A249))</f>
        <v>0</v>
      </c>
      <c r="G249" s="21">
        <f>IF(A249="",0,SUMIFS('[1]销售出库'!$R$4:$R$2003,'[1]销售出库'!$H$4:$H$2003,$A249))</f>
        <v>0</v>
      </c>
      <c r="H249" s="11">
        <f t="shared" si="3"/>
        <v>0</v>
      </c>
      <c r="I249" s="11">
        <f t="shared" si="0"/>
        <v>0</v>
      </c>
      <c r="J249" s="21">
        <f t="shared" si="1"/>
        <v>0</v>
      </c>
      <c r="K249" s="11">
        <f t="shared" si="2"/>
        <v>0</v>
      </c>
      <c r="L249" s="6">
        <f t="shared" si="4"/>
      </c>
      <c r="M249" s="21">
        <f>IF($A249="",0,SUMIFS('[1]销售出库'!$R$4:$R$2003,'[1]销售出库'!$H$4:$H$2003,$A249,'[1]销售出库'!$Q$4:$Q$2003,'首页'!$B$4*100+M$4))</f>
        <v>0</v>
      </c>
      <c r="N249" s="21">
        <f>IF($A249="",0,SUMIFS('[1]销售出库'!$R$4:$R$2003,'[1]销售出库'!$H$4:$H$2003,$A249,'[1]销售出库'!$Q$4:$Q$2003,'首页'!$B$4*100+N$4))</f>
        <v>0</v>
      </c>
      <c r="O249" s="21">
        <f>IF($A249="",0,SUMIFS('[1]销售出库'!$R$4:$R$2003,'[1]销售出库'!$H$4:$H$2003,$A249,'[1]销售出库'!$Q$4:$Q$2003,'首页'!$B$4*100+O$4))</f>
        <v>0</v>
      </c>
      <c r="P249" s="21">
        <f>IF($A249="",0,SUMIFS('[1]销售出库'!$R$4:$R$2003,'[1]销售出库'!$H$4:$H$2003,$A249,'[1]销售出库'!$Q$4:$Q$2003,'首页'!$B$4*100+P$4))</f>
        <v>0</v>
      </c>
      <c r="Q249" s="21">
        <f>IF($A249="",0,SUMIFS('[1]销售出库'!$R$4:$R$2003,'[1]销售出库'!$H$4:$H$2003,$A249,'[1]销售出库'!$Q$4:$Q$2003,'首页'!$B$4*100+Q$4))</f>
        <v>0</v>
      </c>
      <c r="R249" s="21">
        <f>IF($A249="",0,SUMIFS('[1]销售出库'!$R$4:$R$2003,'[1]销售出库'!$H$4:$H$2003,$A249,'[1]销售出库'!$Q$4:$Q$2003,'首页'!$B$4*100+R$4))</f>
        <v>0</v>
      </c>
      <c r="S249" s="21">
        <f>IF($A249="",0,SUMIFS('[1]销售出库'!$R$4:$R$2003,'[1]销售出库'!$H$4:$H$2003,$A249,'[1]销售出库'!$Q$4:$Q$2003,'首页'!$B$4*100+S$4))</f>
        <v>0</v>
      </c>
      <c r="T249" s="21">
        <f>IF($A249="",0,SUMIFS('[1]销售出库'!$R$4:$R$2003,'[1]销售出库'!$H$4:$H$2003,$A249,'[1]销售出库'!$Q$4:$Q$2003,'首页'!$B$4*100+T$4))</f>
        <v>0</v>
      </c>
      <c r="U249" s="21">
        <f>IF($A249="",0,SUMIFS('[1]销售出库'!$R$4:$R$2003,'[1]销售出库'!$H$4:$H$2003,$A249,'[1]销售出库'!$Q$4:$Q$2003,'首页'!$B$4*100+U$4))</f>
        <v>0</v>
      </c>
      <c r="V249" s="21">
        <f>IF($A249="",0,SUMIFS('[1]销售出库'!$R$4:$R$2003,'[1]销售出库'!$H$4:$H$2003,$A249,'[1]销售出库'!$Q$4:$Q$2003,'首页'!$B$4*100+V$4))</f>
        <v>0</v>
      </c>
      <c r="W249" s="21">
        <f>IF($A249="",0,SUMIFS('[1]销售出库'!$R$4:$R$2003,'[1]销售出库'!$H$4:$H$2003,$A249,'[1]销售出库'!$Q$4:$Q$2003,'首页'!$B$4*100+W$4))</f>
        <v>0</v>
      </c>
      <c r="X249" s="21">
        <f>IF($A249="",0,SUMIFS('[1]销售出库'!$R$4:$R$2003,'[1]销售出库'!$H$4:$H$2003,$A249,'[1]销售出库'!$Q$4:$Q$2003,'首页'!$B$4*100+X$4))</f>
        <v>0</v>
      </c>
    </row>
    <row r="250">
      <c r="A250" s="6">
        <f>IF('[1]基础资料'!$P$249="","",'[1]基础资料'!$P$249)</f>
      </c>
      <c r="B250" s="6">
        <f>IF(A250="","",'[1]基础资料'!$Q$249&amp;"")</f>
      </c>
      <c r="C250" s="21">
        <f>IF(A250="",0,N('[1]基础资料'!$S$249))</f>
        <v>0</v>
      </c>
      <c r="D250" s="11">
        <f>IF(A250="",0,N('[1]基础资料'!$U$249))</f>
        <v>0</v>
      </c>
      <c r="E250" s="21">
        <f>IF(A250="",0,SUMIFS('[1]采购入库'!$U$4:$U$2003,'[1]采购入库'!$I$4:$I$2003,$A250))</f>
        <v>0</v>
      </c>
      <c r="F250" s="11">
        <f>IF(A250="",0,SUMIFS('[1]采购入库'!$V$4:$V$2003,'[1]采购入库'!$I$4:$I$2003,$A250))</f>
        <v>0</v>
      </c>
      <c r="G250" s="21">
        <f>IF(A250="",0,SUMIFS('[1]销售出库'!$R$4:$R$2003,'[1]销售出库'!$H$4:$H$2003,$A250))</f>
        <v>0</v>
      </c>
      <c r="H250" s="11">
        <f t="shared" si="3"/>
        <v>0</v>
      </c>
      <c r="I250" s="11">
        <f t="shared" si="0"/>
        <v>0</v>
      </c>
      <c r="J250" s="21">
        <f t="shared" si="1"/>
        <v>0</v>
      </c>
      <c r="K250" s="11">
        <f t="shared" si="2"/>
        <v>0</v>
      </c>
      <c r="L250" s="6">
        <f t="shared" si="4"/>
      </c>
      <c r="M250" s="21">
        <f>IF($A250="",0,SUMIFS('[1]销售出库'!$R$4:$R$2003,'[1]销售出库'!$H$4:$H$2003,$A250,'[1]销售出库'!$Q$4:$Q$2003,'首页'!$B$4*100+M$4))</f>
        <v>0</v>
      </c>
      <c r="N250" s="21">
        <f>IF($A250="",0,SUMIFS('[1]销售出库'!$R$4:$R$2003,'[1]销售出库'!$H$4:$H$2003,$A250,'[1]销售出库'!$Q$4:$Q$2003,'首页'!$B$4*100+N$4))</f>
        <v>0</v>
      </c>
      <c r="O250" s="21">
        <f>IF($A250="",0,SUMIFS('[1]销售出库'!$R$4:$R$2003,'[1]销售出库'!$H$4:$H$2003,$A250,'[1]销售出库'!$Q$4:$Q$2003,'首页'!$B$4*100+O$4))</f>
        <v>0</v>
      </c>
      <c r="P250" s="21">
        <f>IF($A250="",0,SUMIFS('[1]销售出库'!$R$4:$R$2003,'[1]销售出库'!$H$4:$H$2003,$A250,'[1]销售出库'!$Q$4:$Q$2003,'首页'!$B$4*100+P$4))</f>
        <v>0</v>
      </c>
      <c r="Q250" s="21">
        <f>IF($A250="",0,SUMIFS('[1]销售出库'!$R$4:$R$2003,'[1]销售出库'!$H$4:$H$2003,$A250,'[1]销售出库'!$Q$4:$Q$2003,'首页'!$B$4*100+Q$4))</f>
        <v>0</v>
      </c>
      <c r="R250" s="21">
        <f>IF($A250="",0,SUMIFS('[1]销售出库'!$R$4:$R$2003,'[1]销售出库'!$H$4:$H$2003,$A250,'[1]销售出库'!$Q$4:$Q$2003,'首页'!$B$4*100+R$4))</f>
        <v>0</v>
      </c>
      <c r="S250" s="21">
        <f>IF($A250="",0,SUMIFS('[1]销售出库'!$R$4:$R$2003,'[1]销售出库'!$H$4:$H$2003,$A250,'[1]销售出库'!$Q$4:$Q$2003,'首页'!$B$4*100+S$4))</f>
        <v>0</v>
      </c>
      <c r="T250" s="21">
        <f>IF($A250="",0,SUMIFS('[1]销售出库'!$R$4:$R$2003,'[1]销售出库'!$H$4:$H$2003,$A250,'[1]销售出库'!$Q$4:$Q$2003,'首页'!$B$4*100+T$4))</f>
        <v>0</v>
      </c>
      <c r="U250" s="21">
        <f>IF($A250="",0,SUMIFS('[1]销售出库'!$R$4:$R$2003,'[1]销售出库'!$H$4:$H$2003,$A250,'[1]销售出库'!$Q$4:$Q$2003,'首页'!$B$4*100+U$4))</f>
        <v>0</v>
      </c>
      <c r="V250" s="21">
        <f>IF($A250="",0,SUMIFS('[1]销售出库'!$R$4:$R$2003,'[1]销售出库'!$H$4:$H$2003,$A250,'[1]销售出库'!$Q$4:$Q$2003,'首页'!$B$4*100+V$4))</f>
        <v>0</v>
      </c>
      <c r="W250" s="21">
        <f>IF($A250="",0,SUMIFS('[1]销售出库'!$R$4:$R$2003,'[1]销售出库'!$H$4:$H$2003,$A250,'[1]销售出库'!$Q$4:$Q$2003,'首页'!$B$4*100+W$4))</f>
        <v>0</v>
      </c>
      <c r="X250" s="21">
        <f>IF($A250="",0,SUMIFS('[1]销售出库'!$R$4:$R$2003,'[1]销售出库'!$H$4:$H$2003,$A250,'[1]销售出库'!$Q$4:$Q$2003,'首页'!$B$4*100+X$4))</f>
        <v>0</v>
      </c>
    </row>
    <row r="251">
      <c r="A251" s="6">
        <f>IF('[1]基础资料'!$P$250="","",'[1]基础资料'!$P$250)</f>
      </c>
      <c r="B251" s="6">
        <f>IF(A251="","",'[1]基础资料'!$Q$250&amp;"")</f>
      </c>
      <c r="C251" s="21">
        <f>IF(A251="",0,N('[1]基础资料'!$S$250))</f>
        <v>0</v>
      </c>
      <c r="D251" s="11">
        <f>IF(A251="",0,N('[1]基础资料'!$U$250))</f>
        <v>0</v>
      </c>
      <c r="E251" s="21">
        <f>IF(A251="",0,SUMIFS('[1]采购入库'!$U$4:$U$2003,'[1]采购入库'!$I$4:$I$2003,$A251))</f>
        <v>0</v>
      </c>
      <c r="F251" s="11">
        <f>IF(A251="",0,SUMIFS('[1]采购入库'!$V$4:$V$2003,'[1]采购入库'!$I$4:$I$2003,$A251))</f>
        <v>0</v>
      </c>
      <c r="G251" s="21">
        <f>IF(A251="",0,SUMIFS('[1]销售出库'!$R$4:$R$2003,'[1]销售出库'!$H$4:$H$2003,$A251))</f>
        <v>0</v>
      </c>
      <c r="H251" s="11">
        <f t="shared" si="3"/>
        <v>0</v>
      </c>
      <c r="I251" s="11">
        <f t="shared" si="0"/>
        <v>0</v>
      </c>
      <c r="J251" s="21">
        <f t="shared" si="1"/>
        <v>0</v>
      </c>
      <c r="K251" s="11">
        <f t="shared" si="2"/>
        <v>0</v>
      </c>
      <c r="L251" s="6">
        <f t="shared" si="4"/>
      </c>
      <c r="M251" s="21">
        <f>IF($A251="",0,SUMIFS('[1]销售出库'!$R$4:$R$2003,'[1]销售出库'!$H$4:$H$2003,$A251,'[1]销售出库'!$Q$4:$Q$2003,'首页'!$B$4*100+M$4))</f>
        <v>0</v>
      </c>
      <c r="N251" s="21">
        <f>IF($A251="",0,SUMIFS('[1]销售出库'!$R$4:$R$2003,'[1]销售出库'!$H$4:$H$2003,$A251,'[1]销售出库'!$Q$4:$Q$2003,'首页'!$B$4*100+N$4))</f>
        <v>0</v>
      </c>
      <c r="O251" s="21">
        <f>IF($A251="",0,SUMIFS('[1]销售出库'!$R$4:$R$2003,'[1]销售出库'!$H$4:$H$2003,$A251,'[1]销售出库'!$Q$4:$Q$2003,'首页'!$B$4*100+O$4))</f>
        <v>0</v>
      </c>
      <c r="P251" s="21">
        <f>IF($A251="",0,SUMIFS('[1]销售出库'!$R$4:$R$2003,'[1]销售出库'!$H$4:$H$2003,$A251,'[1]销售出库'!$Q$4:$Q$2003,'首页'!$B$4*100+P$4))</f>
        <v>0</v>
      </c>
      <c r="Q251" s="21">
        <f>IF($A251="",0,SUMIFS('[1]销售出库'!$R$4:$R$2003,'[1]销售出库'!$H$4:$H$2003,$A251,'[1]销售出库'!$Q$4:$Q$2003,'首页'!$B$4*100+Q$4))</f>
        <v>0</v>
      </c>
      <c r="R251" s="21">
        <f>IF($A251="",0,SUMIFS('[1]销售出库'!$R$4:$R$2003,'[1]销售出库'!$H$4:$H$2003,$A251,'[1]销售出库'!$Q$4:$Q$2003,'首页'!$B$4*100+R$4))</f>
        <v>0</v>
      </c>
      <c r="S251" s="21">
        <f>IF($A251="",0,SUMIFS('[1]销售出库'!$R$4:$R$2003,'[1]销售出库'!$H$4:$H$2003,$A251,'[1]销售出库'!$Q$4:$Q$2003,'首页'!$B$4*100+S$4))</f>
        <v>0</v>
      </c>
      <c r="T251" s="21">
        <f>IF($A251="",0,SUMIFS('[1]销售出库'!$R$4:$R$2003,'[1]销售出库'!$H$4:$H$2003,$A251,'[1]销售出库'!$Q$4:$Q$2003,'首页'!$B$4*100+T$4))</f>
        <v>0</v>
      </c>
      <c r="U251" s="21">
        <f>IF($A251="",0,SUMIFS('[1]销售出库'!$R$4:$R$2003,'[1]销售出库'!$H$4:$H$2003,$A251,'[1]销售出库'!$Q$4:$Q$2003,'首页'!$B$4*100+U$4))</f>
        <v>0</v>
      </c>
      <c r="V251" s="21">
        <f>IF($A251="",0,SUMIFS('[1]销售出库'!$R$4:$R$2003,'[1]销售出库'!$H$4:$H$2003,$A251,'[1]销售出库'!$Q$4:$Q$2003,'首页'!$B$4*100+V$4))</f>
        <v>0</v>
      </c>
      <c r="W251" s="21">
        <f>IF($A251="",0,SUMIFS('[1]销售出库'!$R$4:$R$2003,'[1]销售出库'!$H$4:$H$2003,$A251,'[1]销售出库'!$Q$4:$Q$2003,'首页'!$B$4*100+W$4))</f>
        <v>0</v>
      </c>
      <c r="X251" s="21">
        <f>IF($A251="",0,SUMIFS('[1]销售出库'!$R$4:$R$2003,'[1]销售出库'!$H$4:$H$2003,$A251,'[1]销售出库'!$Q$4:$Q$2003,'首页'!$B$4*100+X$4))</f>
        <v>0</v>
      </c>
    </row>
    <row r="252">
      <c r="A252" s="6">
        <f>IF('[1]基础资料'!$P$251="","",'[1]基础资料'!$P$251)</f>
      </c>
      <c r="B252" s="6">
        <f>IF(A252="","",'[1]基础资料'!$Q$251&amp;"")</f>
      </c>
      <c r="C252" s="21">
        <f>IF(A252="",0,N('[1]基础资料'!$S$251))</f>
        <v>0</v>
      </c>
      <c r="D252" s="11">
        <f>IF(A252="",0,N('[1]基础资料'!$U$251))</f>
        <v>0</v>
      </c>
      <c r="E252" s="21">
        <f>IF(A252="",0,SUMIFS('[1]采购入库'!$U$4:$U$2003,'[1]采购入库'!$I$4:$I$2003,$A252))</f>
        <v>0</v>
      </c>
      <c r="F252" s="11">
        <f>IF(A252="",0,SUMIFS('[1]采购入库'!$V$4:$V$2003,'[1]采购入库'!$I$4:$I$2003,$A252))</f>
        <v>0</v>
      </c>
      <c r="G252" s="21">
        <f>IF(A252="",0,SUMIFS('[1]销售出库'!$R$4:$R$2003,'[1]销售出库'!$H$4:$H$2003,$A252))</f>
        <v>0</v>
      </c>
      <c r="H252" s="11">
        <f t="shared" si="3"/>
        <v>0</v>
      </c>
      <c r="I252" s="11">
        <f t="shared" si="0"/>
        <v>0</v>
      </c>
      <c r="J252" s="21">
        <f t="shared" si="1"/>
        <v>0</v>
      </c>
      <c r="K252" s="11">
        <f t="shared" si="2"/>
        <v>0</v>
      </c>
      <c r="L252" s="6">
        <f t="shared" si="4"/>
      </c>
      <c r="M252" s="21">
        <f>IF($A252="",0,SUMIFS('[1]销售出库'!$R$4:$R$2003,'[1]销售出库'!$H$4:$H$2003,$A252,'[1]销售出库'!$Q$4:$Q$2003,'首页'!$B$4*100+M$4))</f>
        <v>0</v>
      </c>
      <c r="N252" s="21">
        <f>IF($A252="",0,SUMIFS('[1]销售出库'!$R$4:$R$2003,'[1]销售出库'!$H$4:$H$2003,$A252,'[1]销售出库'!$Q$4:$Q$2003,'首页'!$B$4*100+N$4))</f>
        <v>0</v>
      </c>
      <c r="O252" s="21">
        <f>IF($A252="",0,SUMIFS('[1]销售出库'!$R$4:$R$2003,'[1]销售出库'!$H$4:$H$2003,$A252,'[1]销售出库'!$Q$4:$Q$2003,'首页'!$B$4*100+O$4))</f>
        <v>0</v>
      </c>
      <c r="P252" s="21">
        <f>IF($A252="",0,SUMIFS('[1]销售出库'!$R$4:$R$2003,'[1]销售出库'!$H$4:$H$2003,$A252,'[1]销售出库'!$Q$4:$Q$2003,'首页'!$B$4*100+P$4))</f>
        <v>0</v>
      </c>
      <c r="Q252" s="21">
        <f>IF($A252="",0,SUMIFS('[1]销售出库'!$R$4:$R$2003,'[1]销售出库'!$H$4:$H$2003,$A252,'[1]销售出库'!$Q$4:$Q$2003,'首页'!$B$4*100+Q$4))</f>
        <v>0</v>
      </c>
      <c r="R252" s="21">
        <f>IF($A252="",0,SUMIFS('[1]销售出库'!$R$4:$R$2003,'[1]销售出库'!$H$4:$H$2003,$A252,'[1]销售出库'!$Q$4:$Q$2003,'首页'!$B$4*100+R$4))</f>
        <v>0</v>
      </c>
      <c r="S252" s="21">
        <f>IF($A252="",0,SUMIFS('[1]销售出库'!$R$4:$R$2003,'[1]销售出库'!$H$4:$H$2003,$A252,'[1]销售出库'!$Q$4:$Q$2003,'首页'!$B$4*100+S$4))</f>
        <v>0</v>
      </c>
      <c r="T252" s="21">
        <f>IF($A252="",0,SUMIFS('[1]销售出库'!$R$4:$R$2003,'[1]销售出库'!$H$4:$H$2003,$A252,'[1]销售出库'!$Q$4:$Q$2003,'首页'!$B$4*100+T$4))</f>
        <v>0</v>
      </c>
      <c r="U252" s="21">
        <f>IF($A252="",0,SUMIFS('[1]销售出库'!$R$4:$R$2003,'[1]销售出库'!$H$4:$H$2003,$A252,'[1]销售出库'!$Q$4:$Q$2003,'首页'!$B$4*100+U$4))</f>
        <v>0</v>
      </c>
      <c r="V252" s="21">
        <f>IF($A252="",0,SUMIFS('[1]销售出库'!$R$4:$R$2003,'[1]销售出库'!$H$4:$H$2003,$A252,'[1]销售出库'!$Q$4:$Q$2003,'首页'!$B$4*100+V$4))</f>
        <v>0</v>
      </c>
      <c r="W252" s="21">
        <f>IF($A252="",0,SUMIFS('[1]销售出库'!$R$4:$R$2003,'[1]销售出库'!$H$4:$H$2003,$A252,'[1]销售出库'!$Q$4:$Q$2003,'首页'!$B$4*100+W$4))</f>
        <v>0</v>
      </c>
      <c r="X252" s="21">
        <f>IF($A252="",0,SUMIFS('[1]销售出库'!$R$4:$R$2003,'[1]销售出库'!$H$4:$H$2003,$A252,'[1]销售出库'!$Q$4:$Q$2003,'首页'!$B$4*100+X$4))</f>
        <v>0</v>
      </c>
    </row>
    <row r="253">
      <c r="A253" s="6">
        <f>IF('[1]基础资料'!$P$252="","",'[1]基础资料'!$P$252)</f>
      </c>
      <c r="B253" s="6">
        <f>IF(A253="","",'[1]基础资料'!$Q$252&amp;"")</f>
      </c>
      <c r="C253" s="21">
        <f>IF(A253="",0,N('[1]基础资料'!$S$252))</f>
        <v>0</v>
      </c>
      <c r="D253" s="11">
        <f>IF(A253="",0,N('[1]基础资料'!$U$252))</f>
        <v>0</v>
      </c>
      <c r="E253" s="21">
        <f>IF(A253="",0,SUMIFS('[1]采购入库'!$U$4:$U$2003,'[1]采购入库'!$I$4:$I$2003,$A253))</f>
        <v>0</v>
      </c>
      <c r="F253" s="11">
        <f>IF(A253="",0,SUMIFS('[1]采购入库'!$V$4:$V$2003,'[1]采购入库'!$I$4:$I$2003,$A253))</f>
        <v>0</v>
      </c>
      <c r="G253" s="21">
        <f>IF(A253="",0,SUMIFS('[1]销售出库'!$R$4:$R$2003,'[1]销售出库'!$H$4:$H$2003,$A253))</f>
        <v>0</v>
      </c>
      <c r="H253" s="11">
        <f t="shared" si="3"/>
        <v>0</v>
      </c>
      <c r="I253" s="11">
        <f t="shared" si="0"/>
        <v>0</v>
      </c>
      <c r="J253" s="21">
        <f t="shared" si="1"/>
        <v>0</v>
      </c>
      <c r="K253" s="11">
        <f t="shared" si="2"/>
        <v>0</v>
      </c>
      <c r="L253" s="6">
        <f t="shared" si="4"/>
      </c>
      <c r="M253" s="21">
        <f>IF($A253="",0,SUMIFS('[1]销售出库'!$R$4:$R$2003,'[1]销售出库'!$H$4:$H$2003,$A253,'[1]销售出库'!$Q$4:$Q$2003,'首页'!$B$4*100+M$4))</f>
        <v>0</v>
      </c>
      <c r="N253" s="21">
        <f>IF($A253="",0,SUMIFS('[1]销售出库'!$R$4:$R$2003,'[1]销售出库'!$H$4:$H$2003,$A253,'[1]销售出库'!$Q$4:$Q$2003,'首页'!$B$4*100+N$4))</f>
        <v>0</v>
      </c>
      <c r="O253" s="21">
        <f>IF($A253="",0,SUMIFS('[1]销售出库'!$R$4:$R$2003,'[1]销售出库'!$H$4:$H$2003,$A253,'[1]销售出库'!$Q$4:$Q$2003,'首页'!$B$4*100+O$4))</f>
        <v>0</v>
      </c>
      <c r="P253" s="21">
        <f>IF($A253="",0,SUMIFS('[1]销售出库'!$R$4:$R$2003,'[1]销售出库'!$H$4:$H$2003,$A253,'[1]销售出库'!$Q$4:$Q$2003,'首页'!$B$4*100+P$4))</f>
        <v>0</v>
      </c>
      <c r="Q253" s="21">
        <f>IF($A253="",0,SUMIFS('[1]销售出库'!$R$4:$R$2003,'[1]销售出库'!$H$4:$H$2003,$A253,'[1]销售出库'!$Q$4:$Q$2003,'首页'!$B$4*100+Q$4))</f>
        <v>0</v>
      </c>
      <c r="R253" s="21">
        <f>IF($A253="",0,SUMIFS('[1]销售出库'!$R$4:$R$2003,'[1]销售出库'!$H$4:$H$2003,$A253,'[1]销售出库'!$Q$4:$Q$2003,'首页'!$B$4*100+R$4))</f>
        <v>0</v>
      </c>
      <c r="S253" s="21">
        <f>IF($A253="",0,SUMIFS('[1]销售出库'!$R$4:$R$2003,'[1]销售出库'!$H$4:$H$2003,$A253,'[1]销售出库'!$Q$4:$Q$2003,'首页'!$B$4*100+S$4))</f>
        <v>0</v>
      </c>
      <c r="T253" s="21">
        <f>IF($A253="",0,SUMIFS('[1]销售出库'!$R$4:$R$2003,'[1]销售出库'!$H$4:$H$2003,$A253,'[1]销售出库'!$Q$4:$Q$2003,'首页'!$B$4*100+T$4))</f>
        <v>0</v>
      </c>
      <c r="U253" s="21">
        <f>IF($A253="",0,SUMIFS('[1]销售出库'!$R$4:$R$2003,'[1]销售出库'!$H$4:$H$2003,$A253,'[1]销售出库'!$Q$4:$Q$2003,'首页'!$B$4*100+U$4))</f>
        <v>0</v>
      </c>
      <c r="V253" s="21">
        <f>IF($A253="",0,SUMIFS('[1]销售出库'!$R$4:$R$2003,'[1]销售出库'!$H$4:$H$2003,$A253,'[1]销售出库'!$Q$4:$Q$2003,'首页'!$B$4*100+V$4))</f>
        <v>0</v>
      </c>
      <c r="W253" s="21">
        <f>IF($A253="",0,SUMIFS('[1]销售出库'!$R$4:$R$2003,'[1]销售出库'!$H$4:$H$2003,$A253,'[1]销售出库'!$Q$4:$Q$2003,'首页'!$B$4*100+W$4))</f>
        <v>0</v>
      </c>
      <c r="X253" s="21">
        <f>IF($A253="",0,SUMIFS('[1]销售出库'!$R$4:$R$2003,'[1]销售出库'!$H$4:$H$2003,$A253,'[1]销售出库'!$Q$4:$Q$2003,'首页'!$B$4*100+X$4))</f>
        <v>0</v>
      </c>
    </row>
    <row r="254">
      <c r="A254" s="6">
        <f>IF('[1]基础资料'!$P$253="","",'[1]基础资料'!$P$253)</f>
      </c>
      <c r="B254" s="6">
        <f>IF(A254="","",'[1]基础资料'!$Q$253&amp;"")</f>
      </c>
      <c r="C254" s="21">
        <f>IF(A254="",0,N('[1]基础资料'!$S$253))</f>
        <v>0</v>
      </c>
      <c r="D254" s="11">
        <f>IF(A254="",0,N('[1]基础资料'!$U$253))</f>
        <v>0</v>
      </c>
      <c r="E254" s="21">
        <f>IF(A254="",0,SUMIFS('[1]采购入库'!$U$4:$U$2003,'[1]采购入库'!$I$4:$I$2003,$A254))</f>
        <v>0</v>
      </c>
      <c r="F254" s="11">
        <f>IF(A254="",0,SUMIFS('[1]采购入库'!$V$4:$V$2003,'[1]采购入库'!$I$4:$I$2003,$A254))</f>
        <v>0</v>
      </c>
      <c r="G254" s="21">
        <f>IF(A254="",0,SUMIFS('[1]销售出库'!$R$4:$R$2003,'[1]销售出库'!$H$4:$H$2003,$A254))</f>
        <v>0</v>
      </c>
      <c r="H254" s="11">
        <f t="shared" si="3"/>
        <v>0</v>
      </c>
      <c r="I254" s="11">
        <f t="shared" si="0"/>
        <v>0</v>
      </c>
      <c r="J254" s="21">
        <f t="shared" si="1"/>
        <v>0</v>
      </c>
      <c r="K254" s="11">
        <f t="shared" si="2"/>
        <v>0</v>
      </c>
      <c r="L254" s="6">
        <f t="shared" si="4"/>
      </c>
      <c r="M254" s="21">
        <f>IF($A254="",0,SUMIFS('[1]销售出库'!$R$4:$R$2003,'[1]销售出库'!$H$4:$H$2003,$A254,'[1]销售出库'!$Q$4:$Q$2003,'首页'!$B$4*100+M$4))</f>
        <v>0</v>
      </c>
      <c r="N254" s="21">
        <f>IF($A254="",0,SUMIFS('[1]销售出库'!$R$4:$R$2003,'[1]销售出库'!$H$4:$H$2003,$A254,'[1]销售出库'!$Q$4:$Q$2003,'首页'!$B$4*100+N$4))</f>
        <v>0</v>
      </c>
      <c r="O254" s="21">
        <f>IF($A254="",0,SUMIFS('[1]销售出库'!$R$4:$R$2003,'[1]销售出库'!$H$4:$H$2003,$A254,'[1]销售出库'!$Q$4:$Q$2003,'首页'!$B$4*100+O$4))</f>
        <v>0</v>
      </c>
      <c r="P254" s="21">
        <f>IF($A254="",0,SUMIFS('[1]销售出库'!$R$4:$R$2003,'[1]销售出库'!$H$4:$H$2003,$A254,'[1]销售出库'!$Q$4:$Q$2003,'首页'!$B$4*100+P$4))</f>
        <v>0</v>
      </c>
      <c r="Q254" s="21">
        <f>IF($A254="",0,SUMIFS('[1]销售出库'!$R$4:$R$2003,'[1]销售出库'!$H$4:$H$2003,$A254,'[1]销售出库'!$Q$4:$Q$2003,'首页'!$B$4*100+Q$4))</f>
        <v>0</v>
      </c>
      <c r="R254" s="21">
        <f>IF($A254="",0,SUMIFS('[1]销售出库'!$R$4:$R$2003,'[1]销售出库'!$H$4:$H$2003,$A254,'[1]销售出库'!$Q$4:$Q$2003,'首页'!$B$4*100+R$4))</f>
        <v>0</v>
      </c>
      <c r="S254" s="21">
        <f>IF($A254="",0,SUMIFS('[1]销售出库'!$R$4:$R$2003,'[1]销售出库'!$H$4:$H$2003,$A254,'[1]销售出库'!$Q$4:$Q$2003,'首页'!$B$4*100+S$4))</f>
        <v>0</v>
      </c>
      <c r="T254" s="21">
        <f>IF($A254="",0,SUMIFS('[1]销售出库'!$R$4:$R$2003,'[1]销售出库'!$H$4:$H$2003,$A254,'[1]销售出库'!$Q$4:$Q$2003,'首页'!$B$4*100+T$4))</f>
        <v>0</v>
      </c>
      <c r="U254" s="21">
        <f>IF($A254="",0,SUMIFS('[1]销售出库'!$R$4:$R$2003,'[1]销售出库'!$H$4:$H$2003,$A254,'[1]销售出库'!$Q$4:$Q$2003,'首页'!$B$4*100+U$4))</f>
        <v>0</v>
      </c>
      <c r="V254" s="21">
        <f>IF($A254="",0,SUMIFS('[1]销售出库'!$R$4:$R$2003,'[1]销售出库'!$H$4:$H$2003,$A254,'[1]销售出库'!$Q$4:$Q$2003,'首页'!$B$4*100+V$4))</f>
        <v>0</v>
      </c>
      <c r="W254" s="21">
        <f>IF($A254="",0,SUMIFS('[1]销售出库'!$R$4:$R$2003,'[1]销售出库'!$H$4:$H$2003,$A254,'[1]销售出库'!$Q$4:$Q$2003,'首页'!$B$4*100+W$4))</f>
        <v>0</v>
      </c>
      <c r="X254" s="21">
        <f>IF($A254="",0,SUMIFS('[1]销售出库'!$R$4:$R$2003,'[1]销售出库'!$H$4:$H$2003,$A254,'[1]销售出库'!$Q$4:$Q$2003,'首页'!$B$4*100+X$4))</f>
        <v>0</v>
      </c>
    </row>
    <row r="255">
      <c r="A255" s="6">
        <f>IF('[1]基础资料'!$P$254="","",'[1]基础资料'!$P$254)</f>
      </c>
      <c r="B255" s="6">
        <f>IF(A255="","",'[1]基础资料'!$Q$254&amp;"")</f>
      </c>
      <c r="C255" s="21">
        <f>IF(A255="",0,N('[1]基础资料'!$S$254))</f>
        <v>0</v>
      </c>
      <c r="D255" s="11">
        <f>IF(A255="",0,N('[1]基础资料'!$U$254))</f>
        <v>0</v>
      </c>
      <c r="E255" s="21">
        <f>IF(A255="",0,SUMIFS('[1]采购入库'!$U$4:$U$2003,'[1]采购入库'!$I$4:$I$2003,$A255))</f>
        <v>0</v>
      </c>
      <c r="F255" s="11">
        <f>IF(A255="",0,SUMIFS('[1]采购入库'!$V$4:$V$2003,'[1]采购入库'!$I$4:$I$2003,$A255))</f>
        <v>0</v>
      </c>
      <c r="G255" s="21">
        <f>IF(A255="",0,SUMIFS('[1]销售出库'!$R$4:$R$2003,'[1]销售出库'!$H$4:$H$2003,$A255))</f>
        <v>0</v>
      </c>
      <c r="H255" s="11">
        <f t="shared" si="3"/>
        <v>0</v>
      </c>
      <c r="I255" s="11">
        <f t="shared" si="0"/>
        <v>0</v>
      </c>
      <c r="J255" s="21">
        <f t="shared" si="1"/>
        <v>0</v>
      </c>
      <c r="K255" s="11">
        <f t="shared" si="2"/>
        <v>0</v>
      </c>
      <c r="L255" s="6">
        <f t="shared" si="4"/>
      </c>
      <c r="M255" s="21">
        <f>IF($A255="",0,SUMIFS('[1]销售出库'!$R$4:$R$2003,'[1]销售出库'!$H$4:$H$2003,$A255,'[1]销售出库'!$Q$4:$Q$2003,'首页'!$B$4*100+M$4))</f>
        <v>0</v>
      </c>
      <c r="N255" s="21">
        <f>IF($A255="",0,SUMIFS('[1]销售出库'!$R$4:$R$2003,'[1]销售出库'!$H$4:$H$2003,$A255,'[1]销售出库'!$Q$4:$Q$2003,'首页'!$B$4*100+N$4))</f>
        <v>0</v>
      </c>
      <c r="O255" s="21">
        <f>IF($A255="",0,SUMIFS('[1]销售出库'!$R$4:$R$2003,'[1]销售出库'!$H$4:$H$2003,$A255,'[1]销售出库'!$Q$4:$Q$2003,'首页'!$B$4*100+O$4))</f>
        <v>0</v>
      </c>
      <c r="P255" s="21">
        <f>IF($A255="",0,SUMIFS('[1]销售出库'!$R$4:$R$2003,'[1]销售出库'!$H$4:$H$2003,$A255,'[1]销售出库'!$Q$4:$Q$2003,'首页'!$B$4*100+P$4))</f>
        <v>0</v>
      </c>
      <c r="Q255" s="21">
        <f>IF($A255="",0,SUMIFS('[1]销售出库'!$R$4:$R$2003,'[1]销售出库'!$H$4:$H$2003,$A255,'[1]销售出库'!$Q$4:$Q$2003,'首页'!$B$4*100+Q$4))</f>
        <v>0</v>
      </c>
      <c r="R255" s="21">
        <f>IF($A255="",0,SUMIFS('[1]销售出库'!$R$4:$R$2003,'[1]销售出库'!$H$4:$H$2003,$A255,'[1]销售出库'!$Q$4:$Q$2003,'首页'!$B$4*100+R$4))</f>
        <v>0</v>
      </c>
      <c r="S255" s="21">
        <f>IF($A255="",0,SUMIFS('[1]销售出库'!$R$4:$R$2003,'[1]销售出库'!$H$4:$H$2003,$A255,'[1]销售出库'!$Q$4:$Q$2003,'首页'!$B$4*100+S$4))</f>
        <v>0</v>
      </c>
      <c r="T255" s="21">
        <f>IF($A255="",0,SUMIFS('[1]销售出库'!$R$4:$R$2003,'[1]销售出库'!$H$4:$H$2003,$A255,'[1]销售出库'!$Q$4:$Q$2003,'首页'!$B$4*100+T$4))</f>
        <v>0</v>
      </c>
      <c r="U255" s="21">
        <f>IF($A255="",0,SUMIFS('[1]销售出库'!$R$4:$R$2003,'[1]销售出库'!$H$4:$H$2003,$A255,'[1]销售出库'!$Q$4:$Q$2003,'首页'!$B$4*100+U$4))</f>
        <v>0</v>
      </c>
      <c r="V255" s="21">
        <f>IF($A255="",0,SUMIFS('[1]销售出库'!$R$4:$R$2003,'[1]销售出库'!$H$4:$H$2003,$A255,'[1]销售出库'!$Q$4:$Q$2003,'首页'!$B$4*100+V$4))</f>
        <v>0</v>
      </c>
      <c r="W255" s="21">
        <f>IF($A255="",0,SUMIFS('[1]销售出库'!$R$4:$R$2003,'[1]销售出库'!$H$4:$H$2003,$A255,'[1]销售出库'!$Q$4:$Q$2003,'首页'!$B$4*100+W$4))</f>
        <v>0</v>
      </c>
      <c r="X255" s="21">
        <f>IF($A255="",0,SUMIFS('[1]销售出库'!$R$4:$R$2003,'[1]销售出库'!$H$4:$H$2003,$A255,'[1]销售出库'!$Q$4:$Q$2003,'首页'!$B$4*100+X$4))</f>
        <v>0</v>
      </c>
    </row>
    <row r="256">
      <c r="A256" s="6">
        <f>IF('[1]基础资料'!$P$255="","",'[1]基础资料'!$P$255)</f>
      </c>
      <c r="B256" s="6">
        <f>IF(A256="","",'[1]基础资料'!$Q$255&amp;"")</f>
      </c>
      <c r="C256" s="21">
        <f>IF(A256="",0,N('[1]基础资料'!$S$255))</f>
        <v>0</v>
      </c>
      <c r="D256" s="11">
        <f>IF(A256="",0,N('[1]基础资料'!$U$255))</f>
        <v>0</v>
      </c>
      <c r="E256" s="21">
        <f>IF(A256="",0,SUMIFS('[1]采购入库'!$U$4:$U$2003,'[1]采购入库'!$I$4:$I$2003,$A256))</f>
        <v>0</v>
      </c>
      <c r="F256" s="11">
        <f>IF(A256="",0,SUMIFS('[1]采购入库'!$V$4:$V$2003,'[1]采购入库'!$I$4:$I$2003,$A256))</f>
        <v>0</v>
      </c>
      <c r="G256" s="21">
        <f>IF(A256="",0,SUMIFS('[1]销售出库'!$R$4:$R$2003,'[1]销售出库'!$H$4:$H$2003,$A256))</f>
        <v>0</v>
      </c>
      <c r="H256" s="11">
        <f t="shared" si="3"/>
        <v>0</v>
      </c>
      <c r="I256" s="11">
        <f t="shared" si="0"/>
        <v>0</v>
      </c>
      <c r="J256" s="21">
        <f t="shared" si="1"/>
        <v>0</v>
      </c>
      <c r="K256" s="11">
        <f t="shared" si="2"/>
        <v>0</v>
      </c>
      <c r="L256" s="6">
        <f t="shared" si="4"/>
      </c>
      <c r="M256" s="21">
        <f>IF($A256="",0,SUMIFS('[1]销售出库'!$R$4:$R$2003,'[1]销售出库'!$H$4:$H$2003,$A256,'[1]销售出库'!$Q$4:$Q$2003,'首页'!$B$4*100+M$4))</f>
        <v>0</v>
      </c>
      <c r="N256" s="21">
        <f>IF($A256="",0,SUMIFS('[1]销售出库'!$R$4:$R$2003,'[1]销售出库'!$H$4:$H$2003,$A256,'[1]销售出库'!$Q$4:$Q$2003,'首页'!$B$4*100+N$4))</f>
        <v>0</v>
      </c>
      <c r="O256" s="21">
        <f>IF($A256="",0,SUMIFS('[1]销售出库'!$R$4:$R$2003,'[1]销售出库'!$H$4:$H$2003,$A256,'[1]销售出库'!$Q$4:$Q$2003,'首页'!$B$4*100+O$4))</f>
        <v>0</v>
      </c>
      <c r="P256" s="21">
        <f>IF($A256="",0,SUMIFS('[1]销售出库'!$R$4:$R$2003,'[1]销售出库'!$H$4:$H$2003,$A256,'[1]销售出库'!$Q$4:$Q$2003,'首页'!$B$4*100+P$4))</f>
        <v>0</v>
      </c>
      <c r="Q256" s="21">
        <f>IF($A256="",0,SUMIFS('[1]销售出库'!$R$4:$R$2003,'[1]销售出库'!$H$4:$H$2003,$A256,'[1]销售出库'!$Q$4:$Q$2003,'首页'!$B$4*100+Q$4))</f>
        <v>0</v>
      </c>
      <c r="R256" s="21">
        <f>IF($A256="",0,SUMIFS('[1]销售出库'!$R$4:$R$2003,'[1]销售出库'!$H$4:$H$2003,$A256,'[1]销售出库'!$Q$4:$Q$2003,'首页'!$B$4*100+R$4))</f>
        <v>0</v>
      </c>
      <c r="S256" s="21">
        <f>IF($A256="",0,SUMIFS('[1]销售出库'!$R$4:$R$2003,'[1]销售出库'!$H$4:$H$2003,$A256,'[1]销售出库'!$Q$4:$Q$2003,'首页'!$B$4*100+S$4))</f>
        <v>0</v>
      </c>
      <c r="T256" s="21">
        <f>IF($A256="",0,SUMIFS('[1]销售出库'!$R$4:$R$2003,'[1]销售出库'!$H$4:$H$2003,$A256,'[1]销售出库'!$Q$4:$Q$2003,'首页'!$B$4*100+T$4))</f>
        <v>0</v>
      </c>
      <c r="U256" s="21">
        <f>IF($A256="",0,SUMIFS('[1]销售出库'!$R$4:$R$2003,'[1]销售出库'!$H$4:$H$2003,$A256,'[1]销售出库'!$Q$4:$Q$2003,'首页'!$B$4*100+U$4))</f>
        <v>0</v>
      </c>
      <c r="V256" s="21">
        <f>IF($A256="",0,SUMIFS('[1]销售出库'!$R$4:$R$2003,'[1]销售出库'!$H$4:$H$2003,$A256,'[1]销售出库'!$Q$4:$Q$2003,'首页'!$B$4*100+V$4))</f>
        <v>0</v>
      </c>
      <c r="W256" s="21">
        <f>IF($A256="",0,SUMIFS('[1]销售出库'!$R$4:$R$2003,'[1]销售出库'!$H$4:$H$2003,$A256,'[1]销售出库'!$Q$4:$Q$2003,'首页'!$B$4*100+W$4))</f>
        <v>0</v>
      </c>
      <c r="X256" s="21">
        <f>IF($A256="",0,SUMIFS('[1]销售出库'!$R$4:$R$2003,'[1]销售出库'!$H$4:$H$2003,$A256,'[1]销售出库'!$Q$4:$Q$2003,'首页'!$B$4*100+X$4))</f>
        <v>0</v>
      </c>
    </row>
    <row r="257">
      <c r="A257" s="6">
        <f>IF('[1]基础资料'!$P$256="","",'[1]基础资料'!$P$256)</f>
      </c>
      <c r="B257" s="6">
        <f>IF(A257="","",'[1]基础资料'!$Q$256&amp;"")</f>
      </c>
      <c r="C257" s="21">
        <f>IF(A257="",0,N('[1]基础资料'!$S$256))</f>
        <v>0</v>
      </c>
      <c r="D257" s="11">
        <f>IF(A257="",0,N('[1]基础资料'!$U$256))</f>
        <v>0</v>
      </c>
      <c r="E257" s="21">
        <f>IF(A257="",0,SUMIFS('[1]采购入库'!$U$4:$U$2003,'[1]采购入库'!$I$4:$I$2003,$A257))</f>
        <v>0</v>
      </c>
      <c r="F257" s="11">
        <f>IF(A257="",0,SUMIFS('[1]采购入库'!$V$4:$V$2003,'[1]采购入库'!$I$4:$I$2003,$A257))</f>
        <v>0</v>
      </c>
      <c r="G257" s="21">
        <f>IF(A257="",0,SUMIFS('[1]销售出库'!$R$4:$R$2003,'[1]销售出库'!$H$4:$H$2003,$A257))</f>
        <v>0</v>
      </c>
      <c r="H257" s="11">
        <f t="shared" si="3"/>
        <v>0</v>
      </c>
      <c r="I257" s="11">
        <f t="shared" si="0"/>
        <v>0</v>
      </c>
      <c r="J257" s="21">
        <f t="shared" si="1"/>
        <v>0</v>
      </c>
      <c r="K257" s="11">
        <f t="shared" si="2"/>
        <v>0</v>
      </c>
      <c r="L257" s="6">
        <f t="shared" si="4"/>
      </c>
      <c r="M257" s="21">
        <f>IF($A257="",0,SUMIFS('[1]销售出库'!$R$4:$R$2003,'[1]销售出库'!$H$4:$H$2003,$A257,'[1]销售出库'!$Q$4:$Q$2003,'首页'!$B$4*100+M$4))</f>
        <v>0</v>
      </c>
      <c r="N257" s="21">
        <f>IF($A257="",0,SUMIFS('[1]销售出库'!$R$4:$R$2003,'[1]销售出库'!$H$4:$H$2003,$A257,'[1]销售出库'!$Q$4:$Q$2003,'首页'!$B$4*100+N$4))</f>
        <v>0</v>
      </c>
      <c r="O257" s="21">
        <f>IF($A257="",0,SUMIFS('[1]销售出库'!$R$4:$R$2003,'[1]销售出库'!$H$4:$H$2003,$A257,'[1]销售出库'!$Q$4:$Q$2003,'首页'!$B$4*100+O$4))</f>
        <v>0</v>
      </c>
      <c r="P257" s="21">
        <f>IF($A257="",0,SUMIFS('[1]销售出库'!$R$4:$R$2003,'[1]销售出库'!$H$4:$H$2003,$A257,'[1]销售出库'!$Q$4:$Q$2003,'首页'!$B$4*100+P$4))</f>
        <v>0</v>
      </c>
      <c r="Q257" s="21">
        <f>IF($A257="",0,SUMIFS('[1]销售出库'!$R$4:$R$2003,'[1]销售出库'!$H$4:$H$2003,$A257,'[1]销售出库'!$Q$4:$Q$2003,'首页'!$B$4*100+Q$4))</f>
        <v>0</v>
      </c>
      <c r="R257" s="21">
        <f>IF($A257="",0,SUMIFS('[1]销售出库'!$R$4:$R$2003,'[1]销售出库'!$H$4:$H$2003,$A257,'[1]销售出库'!$Q$4:$Q$2003,'首页'!$B$4*100+R$4))</f>
        <v>0</v>
      </c>
      <c r="S257" s="21">
        <f>IF($A257="",0,SUMIFS('[1]销售出库'!$R$4:$R$2003,'[1]销售出库'!$H$4:$H$2003,$A257,'[1]销售出库'!$Q$4:$Q$2003,'首页'!$B$4*100+S$4))</f>
        <v>0</v>
      </c>
      <c r="T257" s="21">
        <f>IF($A257="",0,SUMIFS('[1]销售出库'!$R$4:$R$2003,'[1]销售出库'!$H$4:$H$2003,$A257,'[1]销售出库'!$Q$4:$Q$2003,'首页'!$B$4*100+T$4))</f>
        <v>0</v>
      </c>
      <c r="U257" s="21">
        <f>IF($A257="",0,SUMIFS('[1]销售出库'!$R$4:$R$2003,'[1]销售出库'!$H$4:$H$2003,$A257,'[1]销售出库'!$Q$4:$Q$2003,'首页'!$B$4*100+U$4))</f>
        <v>0</v>
      </c>
      <c r="V257" s="21">
        <f>IF($A257="",0,SUMIFS('[1]销售出库'!$R$4:$R$2003,'[1]销售出库'!$H$4:$H$2003,$A257,'[1]销售出库'!$Q$4:$Q$2003,'首页'!$B$4*100+V$4))</f>
        <v>0</v>
      </c>
      <c r="W257" s="21">
        <f>IF($A257="",0,SUMIFS('[1]销售出库'!$R$4:$R$2003,'[1]销售出库'!$H$4:$H$2003,$A257,'[1]销售出库'!$Q$4:$Q$2003,'首页'!$B$4*100+W$4))</f>
        <v>0</v>
      </c>
      <c r="X257" s="21">
        <f>IF($A257="",0,SUMIFS('[1]销售出库'!$R$4:$R$2003,'[1]销售出库'!$H$4:$H$2003,$A257,'[1]销售出库'!$Q$4:$Q$2003,'首页'!$B$4*100+X$4))</f>
        <v>0</v>
      </c>
    </row>
    <row r="258">
      <c r="A258" s="6">
        <f>IF('[1]基础资料'!$P$257="","",'[1]基础资料'!$P$257)</f>
      </c>
      <c r="B258" s="6">
        <f>IF(A258="","",'[1]基础资料'!$Q$257&amp;"")</f>
      </c>
      <c r="C258" s="21">
        <f>IF(A258="",0,N('[1]基础资料'!$S$257))</f>
        <v>0</v>
      </c>
      <c r="D258" s="11">
        <f>IF(A258="",0,N('[1]基础资料'!$U$257))</f>
        <v>0</v>
      </c>
      <c r="E258" s="21">
        <f>IF(A258="",0,SUMIFS('[1]采购入库'!$U$4:$U$2003,'[1]采购入库'!$I$4:$I$2003,$A258))</f>
        <v>0</v>
      </c>
      <c r="F258" s="11">
        <f>IF(A258="",0,SUMIFS('[1]采购入库'!$V$4:$V$2003,'[1]采购入库'!$I$4:$I$2003,$A258))</f>
        <v>0</v>
      </c>
      <c r="G258" s="21">
        <f>IF(A258="",0,SUMIFS('[1]销售出库'!$R$4:$R$2003,'[1]销售出库'!$H$4:$H$2003,$A258))</f>
        <v>0</v>
      </c>
      <c r="H258" s="11">
        <f t="shared" si="3"/>
        <v>0</v>
      </c>
      <c r="I258" s="11">
        <f t="shared" si="0"/>
        <v>0</v>
      </c>
      <c r="J258" s="21">
        <f t="shared" si="1"/>
        <v>0</v>
      </c>
      <c r="K258" s="11">
        <f t="shared" si="2"/>
        <v>0</v>
      </c>
      <c r="L258" s="6">
        <f t="shared" si="4"/>
      </c>
      <c r="M258" s="21">
        <f>IF($A258="",0,SUMIFS('[1]销售出库'!$R$4:$R$2003,'[1]销售出库'!$H$4:$H$2003,$A258,'[1]销售出库'!$Q$4:$Q$2003,'首页'!$B$4*100+M$4))</f>
        <v>0</v>
      </c>
      <c r="N258" s="21">
        <f>IF($A258="",0,SUMIFS('[1]销售出库'!$R$4:$R$2003,'[1]销售出库'!$H$4:$H$2003,$A258,'[1]销售出库'!$Q$4:$Q$2003,'首页'!$B$4*100+N$4))</f>
        <v>0</v>
      </c>
      <c r="O258" s="21">
        <f>IF($A258="",0,SUMIFS('[1]销售出库'!$R$4:$R$2003,'[1]销售出库'!$H$4:$H$2003,$A258,'[1]销售出库'!$Q$4:$Q$2003,'首页'!$B$4*100+O$4))</f>
        <v>0</v>
      </c>
      <c r="P258" s="21">
        <f>IF($A258="",0,SUMIFS('[1]销售出库'!$R$4:$R$2003,'[1]销售出库'!$H$4:$H$2003,$A258,'[1]销售出库'!$Q$4:$Q$2003,'首页'!$B$4*100+P$4))</f>
        <v>0</v>
      </c>
      <c r="Q258" s="21">
        <f>IF($A258="",0,SUMIFS('[1]销售出库'!$R$4:$R$2003,'[1]销售出库'!$H$4:$H$2003,$A258,'[1]销售出库'!$Q$4:$Q$2003,'首页'!$B$4*100+Q$4))</f>
        <v>0</v>
      </c>
      <c r="R258" s="21">
        <f>IF($A258="",0,SUMIFS('[1]销售出库'!$R$4:$R$2003,'[1]销售出库'!$H$4:$H$2003,$A258,'[1]销售出库'!$Q$4:$Q$2003,'首页'!$B$4*100+R$4))</f>
        <v>0</v>
      </c>
      <c r="S258" s="21">
        <f>IF($A258="",0,SUMIFS('[1]销售出库'!$R$4:$R$2003,'[1]销售出库'!$H$4:$H$2003,$A258,'[1]销售出库'!$Q$4:$Q$2003,'首页'!$B$4*100+S$4))</f>
        <v>0</v>
      </c>
      <c r="T258" s="21">
        <f>IF($A258="",0,SUMIFS('[1]销售出库'!$R$4:$R$2003,'[1]销售出库'!$H$4:$H$2003,$A258,'[1]销售出库'!$Q$4:$Q$2003,'首页'!$B$4*100+T$4))</f>
        <v>0</v>
      </c>
      <c r="U258" s="21">
        <f>IF($A258="",0,SUMIFS('[1]销售出库'!$R$4:$R$2003,'[1]销售出库'!$H$4:$H$2003,$A258,'[1]销售出库'!$Q$4:$Q$2003,'首页'!$B$4*100+U$4))</f>
        <v>0</v>
      </c>
      <c r="V258" s="21">
        <f>IF($A258="",0,SUMIFS('[1]销售出库'!$R$4:$R$2003,'[1]销售出库'!$H$4:$H$2003,$A258,'[1]销售出库'!$Q$4:$Q$2003,'首页'!$B$4*100+V$4))</f>
        <v>0</v>
      </c>
      <c r="W258" s="21">
        <f>IF($A258="",0,SUMIFS('[1]销售出库'!$R$4:$R$2003,'[1]销售出库'!$H$4:$H$2003,$A258,'[1]销售出库'!$Q$4:$Q$2003,'首页'!$B$4*100+W$4))</f>
        <v>0</v>
      </c>
      <c r="X258" s="21">
        <f>IF($A258="",0,SUMIFS('[1]销售出库'!$R$4:$R$2003,'[1]销售出库'!$H$4:$H$2003,$A258,'[1]销售出库'!$Q$4:$Q$2003,'首页'!$B$4*100+X$4))</f>
        <v>0</v>
      </c>
    </row>
    <row r="259">
      <c r="A259" s="6">
        <f>IF('[1]基础资料'!$P$258="","",'[1]基础资料'!$P$258)</f>
      </c>
      <c r="B259" s="6">
        <f>IF(A259="","",'[1]基础资料'!$Q$258&amp;"")</f>
      </c>
      <c r="C259" s="21">
        <f>IF(A259="",0,N('[1]基础资料'!$S$258))</f>
        <v>0</v>
      </c>
      <c r="D259" s="11">
        <f>IF(A259="",0,N('[1]基础资料'!$U$258))</f>
        <v>0</v>
      </c>
      <c r="E259" s="21">
        <f>IF(A259="",0,SUMIFS('[1]采购入库'!$U$4:$U$2003,'[1]采购入库'!$I$4:$I$2003,$A259))</f>
        <v>0</v>
      </c>
      <c r="F259" s="11">
        <f>IF(A259="",0,SUMIFS('[1]采购入库'!$V$4:$V$2003,'[1]采购入库'!$I$4:$I$2003,$A259))</f>
        <v>0</v>
      </c>
      <c r="G259" s="21">
        <f>IF(A259="",0,SUMIFS('[1]销售出库'!$R$4:$R$2003,'[1]销售出库'!$H$4:$H$2003,$A259))</f>
        <v>0</v>
      </c>
      <c r="H259" s="11">
        <f t="shared" si="3"/>
        <v>0</v>
      </c>
      <c r="I259" s="11">
        <f t="shared" si="0"/>
        <v>0</v>
      </c>
      <c r="J259" s="21">
        <f t="shared" si="1"/>
        <v>0</v>
      </c>
      <c r="K259" s="11">
        <f t="shared" si="2"/>
        <v>0</v>
      </c>
      <c r="L259" s="6">
        <f t="shared" si="4"/>
      </c>
      <c r="M259" s="21">
        <f>IF($A259="",0,SUMIFS('[1]销售出库'!$R$4:$R$2003,'[1]销售出库'!$H$4:$H$2003,$A259,'[1]销售出库'!$Q$4:$Q$2003,'首页'!$B$4*100+M$4))</f>
        <v>0</v>
      </c>
      <c r="N259" s="21">
        <f>IF($A259="",0,SUMIFS('[1]销售出库'!$R$4:$R$2003,'[1]销售出库'!$H$4:$H$2003,$A259,'[1]销售出库'!$Q$4:$Q$2003,'首页'!$B$4*100+N$4))</f>
        <v>0</v>
      </c>
      <c r="O259" s="21">
        <f>IF($A259="",0,SUMIFS('[1]销售出库'!$R$4:$R$2003,'[1]销售出库'!$H$4:$H$2003,$A259,'[1]销售出库'!$Q$4:$Q$2003,'首页'!$B$4*100+O$4))</f>
        <v>0</v>
      </c>
      <c r="P259" s="21">
        <f>IF($A259="",0,SUMIFS('[1]销售出库'!$R$4:$R$2003,'[1]销售出库'!$H$4:$H$2003,$A259,'[1]销售出库'!$Q$4:$Q$2003,'首页'!$B$4*100+P$4))</f>
        <v>0</v>
      </c>
      <c r="Q259" s="21">
        <f>IF($A259="",0,SUMIFS('[1]销售出库'!$R$4:$R$2003,'[1]销售出库'!$H$4:$H$2003,$A259,'[1]销售出库'!$Q$4:$Q$2003,'首页'!$B$4*100+Q$4))</f>
        <v>0</v>
      </c>
      <c r="R259" s="21">
        <f>IF($A259="",0,SUMIFS('[1]销售出库'!$R$4:$R$2003,'[1]销售出库'!$H$4:$H$2003,$A259,'[1]销售出库'!$Q$4:$Q$2003,'首页'!$B$4*100+R$4))</f>
        <v>0</v>
      </c>
      <c r="S259" s="21">
        <f>IF($A259="",0,SUMIFS('[1]销售出库'!$R$4:$R$2003,'[1]销售出库'!$H$4:$H$2003,$A259,'[1]销售出库'!$Q$4:$Q$2003,'首页'!$B$4*100+S$4))</f>
        <v>0</v>
      </c>
      <c r="T259" s="21">
        <f>IF($A259="",0,SUMIFS('[1]销售出库'!$R$4:$R$2003,'[1]销售出库'!$H$4:$H$2003,$A259,'[1]销售出库'!$Q$4:$Q$2003,'首页'!$B$4*100+T$4))</f>
        <v>0</v>
      </c>
      <c r="U259" s="21">
        <f>IF($A259="",0,SUMIFS('[1]销售出库'!$R$4:$R$2003,'[1]销售出库'!$H$4:$H$2003,$A259,'[1]销售出库'!$Q$4:$Q$2003,'首页'!$B$4*100+U$4))</f>
        <v>0</v>
      </c>
      <c r="V259" s="21">
        <f>IF($A259="",0,SUMIFS('[1]销售出库'!$R$4:$R$2003,'[1]销售出库'!$H$4:$H$2003,$A259,'[1]销售出库'!$Q$4:$Q$2003,'首页'!$B$4*100+V$4))</f>
        <v>0</v>
      </c>
      <c r="W259" s="21">
        <f>IF($A259="",0,SUMIFS('[1]销售出库'!$R$4:$R$2003,'[1]销售出库'!$H$4:$H$2003,$A259,'[1]销售出库'!$Q$4:$Q$2003,'首页'!$B$4*100+W$4))</f>
        <v>0</v>
      </c>
      <c r="X259" s="21">
        <f>IF($A259="",0,SUMIFS('[1]销售出库'!$R$4:$R$2003,'[1]销售出库'!$H$4:$H$2003,$A259,'[1]销售出库'!$Q$4:$Q$2003,'首页'!$B$4*100+X$4))</f>
        <v>0</v>
      </c>
    </row>
    <row r="260">
      <c r="A260" s="6">
        <f>IF('[1]基础资料'!$P$259="","",'[1]基础资料'!$P$259)</f>
      </c>
      <c r="B260" s="6">
        <f>IF(A260="","",'[1]基础资料'!$Q$259&amp;"")</f>
      </c>
      <c r="C260" s="21">
        <f>IF(A260="",0,N('[1]基础资料'!$S$259))</f>
        <v>0</v>
      </c>
      <c r="D260" s="11">
        <f>IF(A260="",0,N('[1]基础资料'!$U$259))</f>
        <v>0</v>
      </c>
      <c r="E260" s="21">
        <f>IF(A260="",0,SUMIFS('[1]采购入库'!$U$4:$U$2003,'[1]采购入库'!$I$4:$I$2003,$A260))</f>
        <v>0</v>
      </c>
      <c r="F260" s="11">
        <f>IF(A260="",0,SUMIFS('[1]采购入库'!$V$4:$V$2003,'[1]采购入库'!$I$4:$I$2003,$A260))</f>
        <v>0</v>
      </c>
      <c r="G260" s="21">
        <f>IF(A260="",0,SUMIFS('[1]销售出库'!$R$4:$R$2003,'[1]销售出库'!$H$4:$H$2003,$A260))</f>
        <v>0</v>
      </c>
      <c r="H260" s="11">
        <f t="shared" si="3"/>
        <v>0</v>
      </c>
      <c r="I260" s="11">
        <f t="shared" si="0"/>
        <v>0</v>
      </c>
      <c r="J260" s="21">
        <f t="shared" si="1"/>
        <v>0</v>
      </c>
      <c r="K260" s="11">
        <f t="shared" si="2"/>
        <v>0</v>
      </c>
      <c r="L260" s="6">
        <f t="shared" si="4"/>
      </c>
      <c r="M260" s="21">
        <f>IF($A260="",0,SUMIFS('[1]销售出库'!$R$4:$R$2003,'[1]销售出库'!$H$4:$H$2003,$A260,'[1]销售出库'!$Q$4:$Q$2003,'首页'!$B$4*100+M$4))</f>
        <v>0</v>
      </c>
      <c r="N260" s="21">
        <f>IF($A260="",0,SUMIFS('[1]销售出库'!$R$4:$R$2003,'[1]销售出库'!$H$4:$H$2003,$A260,'[1]销售出库'!$Q$4:$Q$2003,'首页'!$B$4*100+N$4))</f>
        <v>0</v>
      </c>
      <c r="O260" s="21">
        <f>IF($A260="",0,SUMIFS('[1]销售出库'!$R$4:$R$2003,'[1]销售出库'!$H$4:$H$2003,$A260,'[1]销售出库'!$Q$4:$Q$2003,'首页'!$B$4*100+O$4))</f>
        <v>0</v>
      </c>
      <c r="P260" s="21">
        <f>IF($A260="",0,SUMIFS('[1]销售出库'!$R$4:$R$2003,'[1]销售出库'!$H$4:$H$2003,$A260,'[1]销售出库'!$Q$4:$Q$2003,'首页'!$B$4*100+P$4))</f>
        <v>0</v>
      </c>
      <c r="Q260" s="21">
        <f>IF($A260="",0,SUMIFS('[1]销售出库'!$R$4:$R$2003,'[1]销售出库'!$H$4:$H$2003,$A260,'[1]销售出库'!$Q$4:$Q$2003,'首页'!$B$4*100+Q$4))</f>
        <v>0</v>
      </c>
      <c r="R260" s="21">
        <f>IF($A260="",0,SUMIFS('[1]销售出库'!$R$4:$R$2003,'[1]销售出库'!$H$4:$H$2003,$A260,'[1]销售出库'!$Q$4:$Q$2003,'首页'!$B$4*100+R$4))</f>
        <v>0</v>
      </c>
      <c r="S260" s="21">
        <f>IF($A260="",0,SUMIFS('[1]销售出库'!$R$4:$R$2003,'[1]销售出库'!$H$4:$H$2003,$A260,'[1]销售出库'!$Q$4:$Q$2003,'首页'!$B$4*100+S$4))</f>
        <v>0</v>
      </c>
      <c r="T260" s="21">
        <f>IF($A260="",0,SUMIFS('[1]销售出库'!$R$4:$R$2003,'[1]销售出库'!$H$4:$H$2003,$A260,'[1]销售出库'!$Q$4:$Q$2003,'首页'!$B$4*100+T$4))</f>
        <v>0</v>
      </c>
      <c r="U260" s="21">
        <f>IF($A260="",0,SUMIFS('[1]销售出库'!$R$4:$R$2003,'[1]销售出库'!$H$4:$H$2003,$A260,'[1]销售出库'!$Q$4:$Q$2003,'首页'!$B$4*100+U$4))</f>
        <v>0</v>
      </c>
      <c r="V260" s="21">
        <f>IF($A260="",0,SUMIFS('[1]销售出库'!$R$4:$R$2003,'[1]销售出库'!$H$4:$H$2003,$A260,'[1]销售出库'!$Q$4:$Q$2003,'首页'!$B$4*100+V$4))</f>
        <v>0</v>
      </c>
      <c r="W260" s="21">
        <f>IF($A260="",0,SUMIFS('[1]销售出库'!$R$4:$R$2003,'[1]销售出库'!$H$4:$H$2003,$A260,'[1]销售出库'!$Q$4:$Q$2003,'首页'!$B$4*100+W$4))</f>
        <v>0</v>
      </c>
      <c r="X260" s="21">
        <f>IF($A260="",0,SUMIFS('[1]销售出库'!$R$4:$R$2003,'[1]销售出库'!$H$4:$H$2003,$A260,'[1]销售出库'!$Q$4:$Q$2003,'首页'!$B$4*100+X$4))</f>
        <v>0</v>
      </c>
    </row>
    <row r="261">
      <c r="A261" s="6">
        <f>IF('[1]基础资料'!$P$260="","",'[1]基础资料'!$P$260)</f>
      </c>
      <c r="B261" s="6">
        <f>IF(A261="","",'[1]基础资料'!$Q$260&amp;"")</f>
      </c>
      <c r="C261" s="21">
        <f>IF(A261="",0,N('[1]基础资料'!$S$260))</f>
        <v>0</v>
      </c>
      <c r="D261" s="11">
        <f>IF(A261="",0,N('[1]基础资料'!$U$260))</f>
        <v>0</v>
      </c>
      <c r="E261" s="21">
        <f>IF(A261="",0,SUMIFS('[1]采购入库'!$U$4:$U$2003,'[1]采购入库'!$I$4:$I$2003,$A261))</f>
        <v>0</v>
      </c>
      <c r="F261" s="11">
        <f>IF(A261="",0,SUMIFS('[1]采购入库'!$V$4:$V$2003,'[1]采购入库'!$I$4:$I$2003,$A261))</f>
        <v>0</v>
      </c>
      <c r="G261" s="21">
        <f>IF(A261="",0,SUMIFS('[1]销售出库'!$R$4:$R$2003,'[1]销售出库'!$H$4:$H$2003,$A261))</f>
        <v>0</v>
      </c>
      <c r="H261" s="11">
        <f t="shared" si="3"/>
        <v>0</v>
      </c>
      <c r="I261" s="11">
        <f t="shared" si="0"/>
        <v>0</v>
      </c>
      <c r="J261" s="21">
        <f t="shared" si="1"/>
        <v>0</v>
      </c>
      <c r="K261" s="11">
        <f t="shared" si="2"/>
        <v>0</v>
      </c>
      <c r="L261" s="6">
        <f t="shared" si="4"/>
      </c>
      <c r="M261" s="21">
        <f>IF($A261="",0,SUMIFS('[1]销售出库'!$R$4:$R$2003,'[1]销售出库'!$H$4:$H$2003,$A261,'[1]销售出库'!$Q$4:$Q$2003,'首页'!$B$4*100+M$4))</f>
        <v>0</v>
      </c>
      <c r="N261" s="21">
        <f>IF($A261="",0,SUMIFS('[1]销售出库'!$R$4:$R$2003,'[1]销售出库'!$H$4:$H$2003,$A261,'[1]销售出库'!$Q$4:$Q$2003,'首页'!$B$4*100+N$4))</f>
        <v>0</v>
      </c>
      <c r="O261" s="21">
        <f>IF($A261="",0,SUMIFS('[1]销售出库'!$R$4:$R$2003,'[1]销售出库'!$H$4:$H$2003,$A261,'[1]销售出库'!$Q$4:$Q$2003,'首页'!$B$4*100+O$4))</f>
        <v>0</v>
      </c>
      <c r="P261" s="21">
        <f>IF($A261="",0,SUMIFS('[1]销售出库'!$R$4:$R$2003,'[1]销售出库'!$H$4:$H$2003,$A261,'[1]销售出库'!$Q$4:$Q$2003,'首页'!$B$4*100+P$4))</f>
        <v>0</v>
      </c>
      <c r="Q261" s="21">
        <f>IF($A261="",0,SUMIFS('[1]销售出库'!$R$4:$R$2003,'[1]销售出库'!$H$4:$H$2003,$A261,'[1]销售出库'!$Q$4:$Q$2003,'首页'!$B$4*100+Q$4))</f>
        <v>0</v>
      </c>
      <c r="R261" s="21">
        <f>IF($A261="",0,SUMIFS('[1]销售出库'!$R$4:$R$2003,'[1]销售出库'!$H$4:$H$2003,$A261,'[1]销售出库'!$Q$4:$Q$2003,'首页'!$B$4*100+R$4))</f>
        <v>0</v>
      </c>
      <c r="S261" s="21">
        <f>IF($A261="",0,SUMIFS('[1]销售出库'!$R$4:$R$2003,'[1]销售出库'!$H$4:$H$2003,$A261,'[1]销售出库'!$Q$4:$Q$2003,'首页'!$B$4*100+S$4))</f>
        <v>0</v>
      </c>
      <c r="T261" s="21">
        <f>IF($A261="",0,SUMIFS('[1]销售出库'!$R$4:$R$2003,'[1]销售出库'!$H$4:$H$2003,$A261,'[1]销售出库'!$Q$4:$Q$2003,'首页'!$B$4*100+T$4))</f>
        <v>0</v>
      </c>
      <c r="U261" s="21">
        <f>IF($A261="",0,SUMIFS('[1]销售出库'!$R$4:$R$2003,'[1]销售出库'!$H$4:$H$2003,$A261,'[1]销售出库'!$Q$4:$Q$2003,'首页'!$B$4*100+U$4))</f>
        <v>0</v>
      </c>
      <c r="V261" s="21">
        <f>IF($A261="",0,SUMIFS('[1]销售出库'!$R$4:$R$2003,'[1]销售出库'!$H$4:$H$2003,$A261,'[1]销售出库'!$Q$4:$Q$2003,'首页'!$B$4*100+V$4))</f>
        <v>0</v>
      </c>
      <c r="W261" s="21">
        <f>IF($A261="",0,SUMIFS('[1]销售出库'!$R$4:$R$2003,'[1]销售出库'!$H$4:$H$2003,$A261,'[1]销售出库'!$Q$4:$Q$2003,'首页'!$B$4*100+W$4))</f>
        <v>0</v>
      </c>
      <c r="X261" s="21">
        <f>IF($A261="",0,SUMIFS('[1]销售出库'!$R$4:$R$2003,'[1]销售出库'!$H$4:$H$2003,$A261,'[1]销售出库'!$Q$4:$Q$2003,'首页'!$B$4*100+X$4))</f>
        <v>0</v>
      </c>
    </row>
    <row r="262">
      <c r="A262" s="6">
        <f>IF('[1]基础资料'!$P$261="","",'[1]基础资料'!$P$261)</f>
      </c>
      <c r="B262" s="6">
        <f>IF(A262="","",'[1]基础资料'!$Q$261&amp;"")</f>
      </c>
      <c r="C262" s="21">
        <f>IF(A262="",0,N('[1]基础资料'!$S$261))</f>
        <v>0</v>
      </c>
      <c r="D262" s="11">
        <f>IF(A262="",0,N('[1]基础资料'!$U$261))</f>
        <v>0</v>
      </c>
      <c r="E262" s="21">
        <f>IF(A262="",0,SUMIFS('[1]采购入库'!$U$4:$U$2003,'[1]采购入库'!$I$4:$I$2003,$A262))</f>
        <v>0</v>
      </c>
      <c r="F262" s="11">
        <f>IF(A262="",0,SUMIFS('[1]采购入库'!$V$4:$V$2003,'[1]采购入库'!$I$4:$I$2003,$A262))</f>
        <v>0</v>
      </c>
      <c r="G262" s="21">
        <f>IF(A262="",0,SUMIFS('[1]销售出库'!$R$4:$R$2003,'[1]销售出库'!$H$4:$H$2003,$A262))</f>
        <v>0</v>
      </c>
      <c r="H262" s="11">
        <f t="shared" si="3"/>
        <v>0</v>
      </c>
      <c r="I262" s="11">
        <f t="shared" si="0"/>
        <v>0</v>
      </c>
      <c r="J262" s="21">
        <f t="shared" si="1"/>
        <v>0</v>
      </c>
      <c r="K262" s="11">
        <f t="shared" si="2"/>
        <v>0</v>
      </c>
      <c r="L262" s="6">
        <f t="shared" si="4"/>
      </c>
      <c r="M262" s="21">
        <f>IF($A262="",0,SUMIFS('[1]销售出库'!$R$4:$R$2003,'[1]销售出库'!$H$4:$H$2003,$A262,'[1]销售出库'!$Q$4:$Q$2003,'首页'!$B$4*100+M$4))</f>
        <v>0</v>
      </c>
      <c r="N262" s="21">
        <f>IF($A262="",0,SUMIFS('[1]销售出库'!$R$4:$R$2003,'[1]销售出库'!$H$4:$H$2003,$A262,'[1]销售出库'!$Q$4:$Q$2003,'首页'!$B$4*100+N$4))</f>
        <v>0</v>
      </c>
      <c r="O262" s="21">
        <f>IF($A262="",0,SUMIFS('[1]销售出库'!$R$4:$R$2003,'[1]销售出库'!$H$4:$H$2003,$A262,'[1]销售出库'!$Q$4:$Q$2003,'首页'!$B$4*100+O$4))</f>
        <v>0</v>
      </c>
      <c r="P262" s="21">
        <f>IF($A262="",0,SUMIFS('[1]销售出库'!$R$4:$R$2003,'[1]销售出库'!$H$4:$H$2003,$A262,'[1]销售出库'!$Q$4:$Q$2003,'首页'!$B$4*100+P$4))</f>
        <v>0</v>
      </c>
      <c r="Q262" s="21">
        <f>IF($A262="",0,SUMIFS('[1]销售出库'!$R$4:$R$2003,'[1]销售出库'!$H$4:$H$2003,$A262,'[1]销售出库'!$Q$4:$Q$2003,'首页'!$B$4*100+Q$4))</f>
        <v>0</v>
      </c>
      <c r="R262" s="21">
        <f>IF($A262="",0,SUMIFS('[1]销售出库'!$R$4:$R$2003,'[1]销售出库'!$H$4:$H$2003,$A262,'[1]销售出库'!$Q$4:$Q$2003,'首页'!$B$4*100+R$4))</f>
        <v>0</v>
      </c>
      <c r="S262" s="21">
        <f>IF($A262="",0,SUMIFS('[1]销售出库'!$R$4:$R$2003,'[1]销售出库'!$H$4:$H$2003,$A262,'[1]销售出库'!$Q$4:$Q$2003,'首页'!$B$4*100+S$4))</f>
        <v>0</v>
      </c>
      <c r="T262" s="21">
        <f>IF($A262="",0,SUMIFS('[1]销售出库'!$R$4:$R$2003,'[1]销售出库'!$H$4:$H$2003,$A262,'[1]销售出库'!$Q$4:$Q$2003,'首页'!$B$4*100+T$4))</f>
        <v>0</v>
      </c>
      <c r="U262" s="21">
        <f>IF($A262="",0,SUMIFS('[1]销售出库'!$R$4:$R$2003,'[1]销售出库'!$H$4:$H$2003,$A262,'[1]销售出库'!$Q$4:$Q$2003,'首页'!$B$4*100+U$4))</f>
        <v>0</v>
      </c>
      <c r="V262" s="21">
        <f>IF($A262="",0,SUMIFS('[1]销售出库'!$R$4:$R$2003,'[1]销售出库'!$H$4:$H$2003,$A262,'[1]销售出库'!$Q$4:$Q$2003,'首页'!$B$4*100+V$4))</f>
        <v>0</v>
      </c>
      <c r="W262" s="21">
        <f>IF($A262="",0,SUMIFS('[1]销售出库'!$R$4:$R$2003,'[1]销售出库'!$H$4:$H$2003,$A262,'[1]销售出库'!$Q$4:$Q$2003,'首页'!$B$4*100+W$4))</f>
        <v>0</v>
      </c>
      <c r="X262" s="21">
        <f>IF($A262="",0,SUMIFS('[1]销售出库'!$R$4:$R$2003,'[1]销售出库'!$H$4:$H$2003,$A262,'[1]销售出库'!$Q$4:$Q$2003,'首页'!$B$4*100+X$4))</f>
        <v>0</v>
      </c>
    </row>
    <row r="263">
      <c r="A263" s="6">
        <f>IF('[1]基础资料'!$P$262="","",'[1]基础资料'!$P$262)</f>
      </c>
      <c r="B263" s="6">
        <f>IF(A263="","",'[1]基础资料'!$Q$262&amp;"")</f>
      </c>
      <c r="C263" s="21">
        <f>IF(A263="",0,N('[1]基础资料'!$S$262))</f>
        <v>0</v>
      </c>
      <c r="D263" s="11">
        <f>IF(A263="",0,N('[1]基础资料'!$U$262))</f>
        <v>0</v>
      </c>
      <c r="E263" s="21">
        <f>IF(A263="",0,SUMIFS('[1]采购入库'!$U$4:$U$2003,'[1]采购入库'!$I$4:$I$2003,$A263))</f>
        <v>0</v>
      </c>
      <c r="F263" s="11">
        <f>IF(A263="",0,SUMIFS('[1]采购入库'!$V$4:$V$2003,'[1]采购入库'!$I$4:$I$2003,$A263))</f>
        <v>0</v>
      </c>
      <c r="G263" s="21">
        <f>IF(A263="",0,SUMIFS('[1]销售出库'!$R$4:$R$2003,'[1]销售出库'!$H$4:$H$2003,$A263))</f>
        <v>0</v>
      </c>
      <c r="H263" s="11">
        <f t="shared" si="3"/>
        <v>0</v>
      </c>
      <c r="I263" s="11">
        <f t="shared" si="0"/>
        <v>0</v>
      </c>
      <c r="J263" s="21">
        <f t="shared" si="1"/>
        <v>0</v>
      </c>
      <c r="K263" s="11">
        <f t="shared" si="2"/>
        <v>0</v>
      </c>
      <c r="L263" s="6">
        <f t="shared" si="4"/>
      </c>
      <c r="M263" s="21">
        <f>IF($A263="",0,SUMIFS('[1]销售出库'!$R$4:$R$2003,'[1]销售出库'!$H$4:$H$2003,$A263,'[1]销售出库'!$Q$4:$Q$2003,'首页'!$B$4*100+M$4))</f>
        <v>0</v>
      </c>
      <c r="N263" s="21">
        <f>IF($A263="",0,SUMIFS('[1]销售出库'!$R$4:$R$2003,'[1]销售出库'!$H$4:$H$2003,$A263,'[1]销售出库'!$Q$4:$Q$2003,'首页'!$B$4*100+N$4))</f>
        <v>0</v>
      </c>
      <c r="O263" s="21">
        <f>IF($A263="",0,SUMIFS('[1]销售出库'!$R$4:$R$2003,'[1]销售出库'!$H$4:$H$2003,$A263,'[1]销售出库'!$Q$4:$Q$2003,'首页'!$B$4*100+O$4))</f>
        <v>0</v>
      </c>
      <c r="P263" s="21">
        <f>IF($A263="",0,SUMIFS('[1]销售出库'!$R$4:$R$2003,'[1]销售出库'!$H$4:$H$2003,$A263,'[1]销售出库'!$Q$4:$Q$2003,'首页'!$B$4*100+P$4))</f>
        <v>0</v>
      </c>
      <c r="Q263" s="21">
        <f>IF($A263="",0,SUMIFS('[1]销售出库'!$R$4:$R$2003,'[1]销售出库'!$H$4:$H$2003,$A263,'[1]销售出库'!$Q$4:$Q$2003,'首页'!$B$4*100+Q$4))</f>
        <v>0</v>
      </c>
      <c r="R263" s="21">
        <f>IF($A263="",0,SUMIFS('[1]销售出库'!$R$4:$R$2003,'[1]销售出库'!$H$4:$H$2003,$A263,'[1]销售出库'!$Q$4:$Q$2003,'首页'!$B$4*100+R$4))</f>
        <v>0</v>
      </c>
      <c r="S263" s="21">
        <f>IF($A263="",0,SUMIFS('[1]销售出库'!$R$4:$R$2003,'[1]销售出库'!$H$4:$H$2003,$A263,'[1]销售出库'!$Q$4:$Q$2003,'首页'!$B$4*100+S$4))</f>
        <v>0</v>
      </c>
      <c r="T263" s="21">
        <f>IF($A263="",0,SUMIFS('[1]销售出库'!$R$4:$R$2003,'[1]销售出库'!$H$4:$H$2003,$A263,'[1]销售出库'!$Q$4:$Q$2003,'首页'!$B$4*100+T$4))</f>
        <v>0</v>
      </c>
      <c r="U263" s="21">
        <f>IF($A263="",0,SUMIFS('[1]销售出库'!$R$4:$R$2003,'[1]销售出库'!$H$4:$H$2003,$A263,'[1]销售出库'!$Q$4:$Q$2003,'首页'!$B$4*100+U$4))</f>
        <v>0</v>
      </c>
      <c r="V263" s="21">
        <f>IF($A263="",0,SUMIFS('[1]销售出库'!$R$4:$R$2003,'[1]销售出库'!$H$4:$H$2003,$A263,'[1]销售出库'!$Q$4:$Q$2003,'首页'!$B$4*100+V$4))</f>
        <v>0</v>
      </c>
      <c r="W263" s="21">
        <f>IF($A263="",0,SUMIFS('[1]销售出库'!$R$4:$R$2003,'[1]销售出库'!$H$4:$H$2003,$A263,'[1]销售出库'!$Q$4:$Q$2003,'首页'!$B$4*100+W$4))</f>
        <v>0</v>
      </c>
      <c r="X263" s="21">
        <f>IF($A263="",0,SUMIFS('[1]销售出库'!$R$4:$R$2003,'[1]销售出库'!$H$4:$H$2003,$A263,'[1]销售出库'!$Q$4:$Q$2003,'首页'!$B$4*100+X$4))</f>
        <v>0</v>
      </c>
    </row>
    <row r="264">
      <c r="A264" s="6">
        <f>IF('[1]基础资料'!$P$263="","",'[1]基础资料'!$P$263)</f>
      </c>
      <c r="B264" s="6">
        <f>IF(A264="","",'[1]基础资料'!$Q$263&amp;"")</f>
      </c>
      <c r="C264" s="21">
        <f>IF(A264="",0,N('[1]基础资料'!$S$263))</f>
        <v>0</v>
      </c>
      <c r="D264" s="11">
        <f>IF(A264="",0,N('[1]基础资料'!$U$263))</f>
        <v>0</v>
      </c>
      <c r="E264" s="21">
        <f>IF(A264="",0,SUMIFS('[1]采购入库'!$U$4:$U$2003,'[1]采购入库'!$I$4:$I$2003,$A264))</f>
        <v>0</v>
      </c>
      <c r="F264" s="11">
        <f>IF(A264="",0,SUMIFS('[1]采购入库'!$V$4:$V$2003,'[1]采购入库'!$I$4:$I$2003,$A264))</f>
        <v>0</v>
      </c>
      <c r="G264" s="21">
        <f>IF(A264="",0,SUMIFS('[1]销售出库'!$R$4:$R$2003,'[1]销售出库'!$H$4:$H$2003,$A264))</f>
        <v>0</v>
      </c>
      <c r="H264" s="11">
        <f t="shared" si="3"/>
        <v>0</v>
      </c>
      <c r="I264" s="11">
        <f t="shared" si="0"/>
        <v>0</v>
      </c>
      <c r="J264" s="21">
        <f t="shared" si="1"/>
        <v>0</v>
      </c>
      <c r="K264" s="11">
        <f t="shared" si="2"/>
        <v>0</v>
      </c>
      <c r="L264" s="6">
        <f t="shared" si="4"/>
      </c>
      <c r="M264" s="21">
        <f>IF($A264="",0,SUMIFS('[1]销售出库'!$R$4:$R$2003,'[1]销售出库'!$H$4:$H$2003,$A264,'[1]销售出库'!$Q$4:$Q$2003,'首页'!$B$4*100+M$4))</f>
        <v>0</v>
      </c>
      <c r="N264" s="21">
        <f>IF($A264="",0,SUMIFS('[1]销售出库'!$R$4:$R$2003,'[1]销售出库'!$H$4:$H$2003,$A264,'[1]销售出库'!$Q$4:$Q$2003,'首页'!$B$4*100+N$4))</f>
        <v>0</v>
      </c>
      <c r="O264" s="21">
        <f>IF($A264="",0,SUMIFS('[1]销售出库'!$R$4:$R$2003,'[1]销售出库'!$H$4:$H$2003,$A264,'[1]销售出库'!$Q$4:$Q$2003,'首页'!$B$4*100+O$4))</f>
        <v>0</v>
      </c>
      <c r="P264" s="21">
        <f>IF($A264="",0,SUMIFS('[1]销售出库'!$R$4:$R$2003,'[1]销售出库'!$H$4:$H$2003,$A264,'[1]销售出库'!$Q$4:$Q$2003,'首页'!$B$4*100+P$4))</f>
        <v>0</v>
      </c>
      <c r="Q264" s="21">
        <f>IF($A264="",0,SUMIFS('[1]销售出库'!$R$4:$R$2003,'[1]销售出库'!$H$4:$H$2003,$A264,'[1]销售出库'!$Q$4:$Q$2003,'首页'!$B$4*100+Q$4))</f>
        <v>0</v>
      </c>
      <c r="R264" s="21">
        <f>IF($A264="",0,SUMIFS('[1]销售出库'!$R$4:$R$2003,'[1]销售出库'!$H$4:$H$2003,$A264,'[1]销售出库'!$Q$4:$Q$2003,'首页'!$B$4*100+R$4))</f>
        <v>0</v>
      </c>
      <c r="S264" s="21">
        <f>IF($A264="",0,SUMIFS('[1]销售出库'!$R$4:$R$2003,'[1]销售出库'!$H$4:$H$2003,$A264,'[1]销售出库'!$Q$4:$Q$2003,'首页'!$B$4*100+S$4))</f>
        <v>0</v>
      </c>
      <c r="T264" s="21">
        <f>IF($A264="",0,SUMIFS('[1]销售出库'!$R$4:$R$2003,'[1]销售出库'!$H$4:$H$2003,$A264,'[1]销售出库'!$Q$4:$Q$2003,'首页'!$B$4*100+T$4))</f>
        <v>0</v>
      </c>
      <c r="U264" s="21">
        <f>IF($A264="",0,SUMIFS('[1]销售出库'!$R$4:$R$2003,'[1]销售出库'!$H$4:$H$2003,$A264,'[1]销售出库'!$Q$4:$Q$2003,'首页'!$B$4*100+U$4))</f>
        <v>0</v>
      </c>
      <c r="V264" s="21">
        <f>IF($A264="",0,SUMIFS('[1]销售出库'!$R$4:$R$2003,'[1]销售出库'!$H$4:$H$2003,$A264,'[1]销售出库'!$Q$4:$Q$2003,'首页'!$B$4*100+V$4))</f>
        <v>0</v>
      </c>
      <c r="W264" s="21">
        <f>IF($A264="",0,SUMIFS('[1]销售出库'!$R$4:$R$2003,'[1]销售出库'!$H$4:$H$2003,$A264,'[1]销售出库'!$Q$4:$Q$2003,'首页'!$B$4*100+W$4))</f>
        <v>0</v>
      </c>
      <c r="X264" s="21">
        <f>IF($A264="",0,SUMIFS('[1]销售出库'!$R$4:$R$2003,'[1]销售出库'!$H$4:$H$2003,$A264,'[1]销售出库'!$Q$4:$Q$2003,'首页'!$B$4*100+X$4))</f>
        <v>0</v>
      </c>
    </row>
    <row r="265">
      <c r="A265" s="6">
        <f>IF('[1]基础资料'!$P$264="","",'[1]基础资料'!$P$264)</f>
      </c>
      <c r="B265" s="6">
        <f>IF(A265="","",'[1]基础资料'!$Q$264&amp;"")</f>
      </c>
      <c r="C265" s="21">
        <f>IF(A265="",0,N('[1]基础资料'!$S$264))</f>
        <v>0</v>
      </c>
      <c r="D265" s="11">
        <f>IF(A265="",0,N('[1]基础资料'!$U$264))</f>
        <v>0</v>
      </c>
      <c r="E265" s="21">
        <f>IF(A265="",0,SUMIFS('[1]采购入库'!$U$4:$U$2003,'[1]采购入库'!$I$4:$I$2003,$A265))</f>
        <v>0</v>
      </c>
      <c r="F265" s="11">
        <f>IF(A265="",0,SUMIFS('[1]采购入库'!$V$4:$V$2003,'[1]采购入库'!$I$4:$I$2003,$A265))</f>
        <v>0</v>
      </c>
      <c r="G265" s="21">
        <f>IF(A265="",0,SUMIFS('[1]销售出库'!$R$4:$R$2003,'[1]销售出库'!$H$4:$H$2003,$A265))</f>
        <v>0</v>
      </c>
      <c r="H265" s="11">
        <f t="shared" si="3"/>
        <v>0</v>
      </c>
      <c r="I265" s="11">
        <f t="shared" si="0"/>
        <v>0</v>
      </c>
      <c r="J265" s="21">
        <f t="shared" si="1"/>
        <v>0</v>
      </c>
      <c r="K265" s="11">
        <f t="shared" si="2"/>
        <v>0</v>
      </c>
      <c r="L265" s="6">
        <f t="shared" si="4"/>
      </c>
      <c r="M265" s="21">
        <f>IF($A265="",0,SUMIFS('[1]销售出库'!$R$4:$R$2003,'[1]销售出库'!$H$4:$H$2003,$A265,'[1]销售出库'!$Q$4:$Q$2003,'首页'!$B$4*100+M$4))</f>
        <v>0</v>
      </c>
      <c r="N265" s="21">
        <f>IF($A265="",0,SUMIFS('[1]销售出库'!$R$4:$R$2003,'[1]销售出库'!$H$4:$H$2003,$A265,'[1]销售出库'!$Q$4:$Q$2003,'首页'!$B$4*100+N$4))</f>
        <v>0</v>
      </c>
      <c r="O265" s="21">
        <f>IF($A265="",0,SUMIFS('[1]销售出库'!$R$4:$R$2003,'[1]销售出库'!$H$4:$H$2003,$A265,'[1]销售出库'!$Q$4:$Q$2003,'首页'!$B$4*100+O$4))</f>
        <v>0</v>
      </c>
      <c r="P265" s="21">
        <f>IF($A265="",0,SUMIFS('[1]销售出库'!$R$4:$R$2003,'[1]销售出库'!$H$4:$H$2003,$A265,'[1]销售出库'!$Q$4:$Q$2003,'首页'!$B$4*100+P$4))</f>
        <v>0</v>
      </c>
      <c r="Q265" s="21">
        <f>IF($A265="",0,SUMIFS('[1]销售出库'!$R$4:$R$2003,'[1]销售出库'!$H$4:$H$2003,$A265,'[1]销售出库'!$Q$4:$Q$2003,'首页'!$B$4*100+Q$4))</f>
        <v>0</v>
      </c>
      <c r="R265" s="21">
        <f>IF($A265="",0,SUMIFS('[1]销售出库'!$R$4:$R$2003,'[1]销售出库'!$H$4:$H$2003,$A265,'[1]销售出库'!$Q$4:$Q$2003,'首页'!$B$4*100+R$4))</f>
        <v>0</v>
      </c>
      <c r="S265" s="21">
        <f>IF($A265="",0,SUMIFS('[1]销售出库'!$R$4:$R$2003,'[1]销售出库'!$H$4:$H$2003,$A265,'[1]销售出库'!$Q$4:$Q$2003,'首页'!$B$4*100+S$4))</f>
        <v>0</v>
      </c>
      <c r="T265" s="21">
        <f>IF($A265="",0,SUMIFS('[1]销售出库'!$R$4:$R$2003,'[1]销售出库'!$H$4:$H$2003,$A265,'[1]销售出库'!$Q$4:$Q$2003,'首页'!$B$4*100+T$4))</f>
        <v>0</v>
      </c>
      <c r="U265" s="21">
        <f>IF($A265="",0,SUMIFS('[1]销售出库'!$R$4:$R$2003,'[1]销售出库'!$H$4:$H$2003,$A265,'[1]销售出库'!$Q$4:$Q$2003,'首页'!$B$4*100+U$4))</f>
        <v>0</v>
      </c>
      <c r="V265" s="21">
        <f>IF($A265="",0,SUMIFS('[1]销售出库'!$R$4:$R$2003,'[1]销售出库'!$H$4:$H$2003,$A265,'[1]销售出库'!$Q$4:$Q$2003,'首页'!$B$4*100+V$4))</f>
        <v>0</v>
      </c>
      <c r="W265" s="21">
        <f>IF($A265="",0,SUMIFS('[1]销售出库'!$R$4:$R$2003,'[1]销售出库'!$H$4:$H$2003,$A265,'[1]销售出库'!$Q$4:$Q$2003,'首页'!$B$4*100+W$4))</f>
        <v>0</v>
      </c>
      <c r="X265" s="21">
        <f>IF($A265="",0,SUMIFS('[1]销售出库'!$R$4:$R$2003,'[1]销售出库'!$H$4:$H$2003,$A265,'[1]销售出库'!$Q$4:$Q$2003,'首页'!$B$4*100+X$4))</f>
        <v>0</v>
      </c>
    </row>
    <row r="266">
      <c r="A266" s="6">
        <f>IF('[1]基础资料'!$P$265="","",'[1]基础资料'!$P$265)</f>
      </c>
      <c r="B266" s="6">
        <f>IF(A266="","",'[1]基础资料'!$Q$265&amp;"")</f>
      </c>
      <c r="C266" s="21">
        <f>IF(A266="",0,N('[1]基础资料'!$S$265))</f>
        <v>0</v>
      </c>
      <c r="D266" s="11">
        <f>IF(A266="",0,N('[1]基础资料'!$U$265))</f>
        <v>0</v>
      </c>
      <c r="E266" s="21">
        <f>IF(A266="",0,SUMIFS('[1]采购入库'!$U$4:$U$2003,'[1]采购入库'!$I$4:$I$2003,$A266))</f>
        <v>0</v>
      </c>
      <c r="F266" s="11">
        <f>IF(A266="",0,SUMIFS('[1]采购入库'!$V$4:$V$2003,'[1]采购入库'!$I$4:$I$2003,$A266))</f>
        <v>0</v>
      </c>
      <c r="G266" s="21">
        <f>IF(A266="",0,SUMIFS('[1]销售出库'!$R$4:$R$2003,'[1]销售出库'!$H$4:$H$2003,$A266))</f>
        <v>0</v>
      </c>
      <c r="H266" s="11">
        <f t="shared" si="3"/>
        <v>0</v>
      </c>
      <c r="I266" s="11">
        <f t="shared" si="0"/>
        <v>0</v>
      </c>
      <c r="J266" s="21">
        <f t="shared" si="1"/>
        <v>0</v>
      </c>
      <c r="K266" s="11">
        <f t="shared" si="2"/>
        <v>0</v>
      </c>
      <c r="L266" s="6">
        <f t="shared" si="4"/>
      </c>
      <c r="M266" s="21">
        <f>IF($A266="",0,SUMIFS('[1]销售出库'!$R$4:$R$2003,'[1]销售出库'!$H$4:$H$2003,$A266,'[1]销售出库'!$Q$4:$Q$2003,'首页'!$B$4*100+M$4))</f>
        <v>0</v>
      </c>
      <c r="N266" s="21">
        <f>IF($A266="",0,SUMIFS('[1]销售出库'!$R$4:$R$2003,'[1]销售出库'!$H$4:$H$2003,$A266,'[1]销售出库'!$Q$4:$Q$2003,'首页'!$B$4*100+N$4))</f>
        <v>0</v>
      </c>
      <c r="O266" s="21">
        <f>IF($A266="",0,SUMIFS('[1]销售出库'!$R$4:$R$2003,'[1]销售出库'!$H$4:$H$2003,$A266,'[1]销售出库'!$Q$4:$Q$2003,'首页'!$B$4*100+O$4))</f>
        <v>0</v>
      </c>
      <c r="P266" s="21">
        <f>IF($A266="",0,SUMIFS('[1]销售出库'!$R$4:$R$2003,'[1]销售出库'!$H$4:$H$2003,$A266,'[1]销售出库'!$Q$4:$Q$2003,'首页'!$B$4*100+P$4))</f>
        <v>0</v>
      </c>
      <c r="Q266" s="21">
        <f>IF($A266="",0,SUMIFS('[1]销售出库'!$R$4:$R$2003,'[1]销售出库'!$H$4:$H$2003,$A266,'[1]销售出库'!$Q$4:$Q$2003,'首页'!$B$4*100+Q$4))</f>
        <v>0</v>
      </c>
      <c r="R266" s="21">
        <f>IF($A266="",0,SUMIFS('[1]销售出库'!$R$4:$R$2003,'[1]销售出库'!$H$4:$H$2003,$A266,'[1]销售出库'!$Q$4:$Q$2003,'首页'!$B$4*100+R$4))</f>
        <v>0</v>
      </c>
      <c r="S266" s="21">
        <f>IF($A266="",0,SUMIFS('[1]销售出库'!$R$4:$R$2003,'[1]销售出库'!$H$4:$H$2003,$A266,'[1]销售出库'!$Q$4:$Q$2003,'首页'!$B$4*100+S$4))</f>
        <v>0</v>
      </c>
      <c r="T266" s="21">
        <f>IF($A266="",0,SUMIFS('[1]销售出库'!$R$4:$R$2003,'[1]销售出库'!$H$4:$H$2003,$A266,'[1]销售出库'!$Q$4:$Q$2003,'首页'!$B$4*100+T$4))</f>
        <v>0</v>
      </c>
      <c r="U266" s="21">
        <f>IF($A266="",0,SUMIFS('[1]销售出库'!$R$4:$R$2003,'[1]销售出库'!$H$4:$H$2003,$A266,'[1]销售出库'!$Q$4:$Q$2003,'首页'!$B$4*100+U$4))</f>
        <v>0</v>
      </c>
      <c r="V266" s="21">
        <f>IF($A266="",0,SUMIFS('[1]销售出库'!$R$4:$R$2003,'[1]销售出库'!$H$4:$H$2003,$A266,'[1]销售出库'!$Q$4:$Q$2003,'首页'!$B$4*100+V$4))</f>
        <v>0</v>
      </c>
      <c r="W266" s="21">
        <f>IF($A266="",0,SUMIFS('[1]销售出库'!$R$4:$R$2003,'[1]销售出库'!$H$4:$H$2003,$A266,'[1]销售出库'!$Q$4:$Q$2003,'首页'!$B$4*100+W$4))</f>
        <v>0</v>
      </c>
      <c r="X266" s="21">
        <f>IF($A266="",0,SUMIFS('[1]销售出库'!$R$4:$R$2003,'[1]销售出库'!$H$4:$H$2003,$A266,'[1]销售出库'!$Q$4:$Q$2003,'首页'!$B$4*100+X$4))</f>
        <v>0</v>
      </c>
    </row>
    <row r="267">
      <c r="A267" s="6">
        <f>IF('[1]基础资料'!$P$266="","",'[1]基础资料'!$P$266)</f>
      </c>
      <c r="B267" s="6">
        <f>IF(A267="","",'[1]基础资料'!$Q$266&amp;"")</f>
      </c>
      <c r="C267" s="21">
        <f>IF(A267="",0,N('[1]基础资料'!$S$266))</f>
        <v>0</v>
      </c>
      <c r="D267" s="11">
        <f>IF(A267="",0,N('[1]基础资料'!$U$266))</f>
        <v>0</v>
      </c>
      <c r="E267" s="21">
        <f>IF(A267="",0,SUMIFS('[1]采购入库'!$U$4:$U$2003,'[1]采购入库'!$I$4:$I$2003,$A267))</f>
        <v>0</v>
      </c>
      <c r="F267" s="11">
        <f>IF(A267="",0,SUMIFS('[1]采购入库'!$V$4:$V$2003,'[1]采购入库'!$I$4:$I$2003,$A267))</f>
        <v>0</v>
      </c>
      <c r="G267" s="21">
        <f>IF(A267="",0,SUMIFS('[1]销售出库'!$R$4:$R$2003,'[1]销售出库'!$H$4:$H$2003,$A267))</f>
        <v>0</v>
      </c>
      <c r="H267" s="11">
        <f t="shared" si="3"/>
        <v>0</v>
      </c>
      <c r="I267" s="11">
        <f t="shared" si="0"/>
        <v>0</v>
      </c>
      <c r="J267" s="21">
        <f t="shared" si="1"/>
        <v>0</v>
      </c>
      <c r="K267" s="11">
        <f t="shared" si="2"/>
        <v>0</v>
      </c>
      <c r="L267" s="6">
        <f t="shared" si="4"/>
      </c>
      <c r="M267" s="21">
        <f>IF($A267="",0,SUMIFS('[1]销售出库'!$R$4:$R$2003,'[1]销售出库'!$H$4:$H$2003,$A267,'[1]销售出库'!$Q$4:$Q$2003,'首页'!$B$4*100+M$4))</f>
        <v>0</v>
      </c>
      <c r="N267" s="21">
        <f>IF($A267="",0,SUMIFS('[1]销售出库'!$R$4:$R$2003,'[1]销售出库'!$H$4:$H$2003,$A267,'[1]销售出库'!$Q$4:$Q$2003,'首页'!$B$4*100+N$4))</f>
        <v>0</v>
      </c>
      <c r="O267" s="21">
        <f>IF($A267="",0,SUMIFS('[1]销售出库'!$R$4:$R$2003,'[1]销售出库'!$H$4:$H$2003,$A267,'[1]销售出库'!$Q$4:$Q$2003,'首页'!$B$4*100+O$4))</f>
        <v>0</v>
      </c>
      <c r="P267" s="21">
        <f>IF($A267="",0,SUMIFS('[1]销售出库'!$R$4:$R$2003,'[1]销售出库'!$H$4:$H$2003,$A267,'[1]销售出库'!$Q$4:$Q$2003,'首页'!$B$4*100+P$4))</f>
        <v>0</v>
      </c>
      <c r="Q267" s="21">
        <f>IF($A267="",0,SUMIFS('[1]销售出库'!$R$4:$R$2003,'[1]销售出库'!$H$4:$H$2003,$A267,'[1]销售出库'!$Q$4:$Q$2003,'首页'!$B$4*100+Q$4))</f>
        <v>0</v>
      </c>
      <c r="R267" s="21">
        <f>IF($A267="",0,SUMIFS('[1]销售出库'!$R$4:$R$2003,'[1]销售出库'!$H$4:$H$2003,$A267,'[1]销售出库'!$Q$4:$Q$2003,'首页'!$B$4*100+R$4))</f>
        <v>0</v>
      </c>
      <c r="S267" s="21">
        <f>IF($A267="",0,SUMIFS('[1]销售出库'!$R$4:$R$2003,'[1]销售出库'!$H$4:$H$2003,$A267,'[1]销售出库'!$Q$4:$Q$2003,'首页'!$B$4*100+S$4))</f>
        <v>0</v>
      </c>
      <c r="T267" s="21">
        <f>IF($A267="",0,SUMIFS('[1]销售出库'!$R$4:$R$2003,'[1]销售出库'!$H$4:$H$2003,$A267,'[1]销售出库'!$Q$4:$Q$2003,'首页'!$B$4*100+T$4))</f>
        <v>0</v>
      </c>
      <c r="U267" s="21">
        <f>IF($A267="",0,SUMIFS('[1]销售出库'!$R$4:$R$2003,'[1]销售出库'!$H$4:$H$2003,$A267,'[1]销售出库'!$Q$4:$Q$2003,'首页'!$B$4*100+U$4))</f>
        <v>0</v>
      </c>
      <c r="V267" s="21">
        <f>IF($A267="",0,SUMIFS('[1]销售出库'!$R$4:$R$2003,'[1]销售出库'!$H$4:$H$2003,$A267,'[1]销售出库'!$Q$4:$Q$2003,'首页'!$B$4*100+V$4))</f>
        <v>0</v>
      </c>
      <c r="W267" s="21">
        <f>IF($A267="",0,SUMIFS('[1]销售出库'!$R$4:$R$2003,'[1]销售出库'!$H$4:$H$2003,$A267,'[1]销售出库'!$Q$4:$Q$2003,'首页'!$B$4*100+W$4))</f>
        <v>0</v>
      </c>
      <c r="X267" s="21">
        <f>IF($A267="",0,SUMIFS('[1]销售出库'!$R$4:$R$2003,'[1]销售出库'!$H$4:$H$2003,$A267,'[1]销售出库'!$Q$4:$Q$2003,'首页'!$B$4*100+X$4))</f>
        <v>0</v>
      </c>
    </row>
    <row r="268">
      <c r="A268" s="6">
        <f>IF('[1]基础资料'!$P$267="","",'[1]基础资料'!$P$267)</f>
      </c>
      <c r="B268" s="6">
        <f>IF(A268="","",'[1]基础资料'!$Q$267&amp;"")</f>
      </c>
      <c r="C268" s="21">
        <f>IF(A268="",0,N('[1]基础资料'!$S$267))</f>
        <v>0</v>
      </c>
      <c r="D268" s="11">
        <f>IF(A268="",0,N('[1]基础资料'!$U$267))</f>
        <v>0</v>
      </c>
      <c r="E268" s="21">
        <f>IF(A268="",0,SUMIFS('[1]采购入库'!$U$4:$U$2003,'[1]采购入库'!$I$4:$I$2003,$A268))</f>
        <v>0</v>
      </c>
      <c r="F268" s="11">
        <f>IF(A268="",0,SUMIFS('[1]采购入库'!$V$4:$V$2003,'[1]采购入库'!$I$4:$I$2003,$A268))</f>
        <v>0</v>
      </c>
      <c r="G268" s="21">
        <f>IF(A268="",0,SUMIFS('[1]销售出库'!$R$4:$R$2003,'[1]销售出库'!$H$4:$H$2003,$A268))</f>
        <v>0</v>
      </c>
      <c r="H268" s="11">
        <f t="shared" si="3"/>
        <v>0</v>
      </c>
      <c r="I268" s="11">
        <f t="shared" si="0"/>
        <v>0</v>
      </c>
      <c r="J268" s="21">
        <f t="shared" si="1"/>
        <v>0</v>
      </c>
      <c r="K268" s="11">
        <f t="shared" si="2"/>
        <v>0</v>
      </c>
      <c r="L268" s="6">
        <f t="shared" si="4"/>
      </c>
      <c r="M268" s="21">
        <f>IF($A268="",0,SUMIFS('[1]销售出库'!$R$4:$R$2003,'[1]销售出库'!$H$4:$H$2003,$A268,'[1]销售出库'!$Q$4:$Q$2003,'首页'!$B$4*100+M$4))</f>
        <v>0</v>
      </c>
      <c r="N268" s="21">
        <f>IF($A268="",0,SUMIFS('[1]销售出库'!$R$4:$R$2003,'[1]销售出库'!$H$4:$H$2003,$A268,'[1]销售出库'!$Q$4:$Q$2003,'首页'!$B$4*100+N$4))</f>
        <v>0</v>
      </c>
      <c r="O268" s="21">
        <f>IF($A268="",0,SUMIFS('[1]销售出库'!$R$4:$R$2003,'[1]销售出库'!$H$4:$H$2003,$A268,'[1]销售出库'!$Q$4:$Q$2003,'首页'!$B$4*100+O$4))</f>
        <v>0</v>
      </c>
      <c r="P268" s="21">
        <f>IF($A268="",0,SUMIFS('[1]销售出库'!$R$4:$R$2003,'[1]销售出库'!$H$4:$H$2003,$A268,'[1]销售出库'!$Q$4:$Q$2003,'首页'!$B$4*100+P$4))</f>
        <v>0</v>
      </c>
      <c r="Q268" s="21">
        <f>IF($A268="",0,SUMIFS('[1]销售出库'!$R$4:$R$2003,'[1]销售出库'!$H$4:$H$2003,$A268,'[1]销售出库'!$Q$4:$Q$2003,'首页'!$B$4*100+Q$4))</f>
        <v>0</v>
      </c>
      <c r="R268" s="21">
        <f>IF($A268="",0,SUMIFS('[1]销售出库'!$R$4:$R$2003,'[1]销售出库'!$H$4:$H$2003,$A268,'[1]销售出库'!$Q$4:$Q$2003,'首页'!$B$4*100+R$4))</f>
        <v>0</v>
      </c>
      <c r="S268" s="21">
        <f>IF($A268="",0,SUMIFS('[1]销售出库'!$R$4:$R$2003,'[1]销售出库'!$H$4:$H$2003,$A268,'[1]销售出库'!$Q$4:$Q$2003,'首页'!$B$4*100+S$4))</f>
        <v>0</v>
      </c>
      <c r="T268" s="21">
        <f>IF($A268="",0,SUMIFS('[1]销售出库'!$R$4:$R$2003,'[1]销售出库'!$H$4:$H$2003,$A268,'[1]销售出库'!$Q$4:$Q$2003,'首页'!$B$4*100+T$4))</f>
        <v>0</v>
      </c>
      <c r="U268" s="21">
        <f>IF($A268="",0,SUMIFS('[1]销售出库'!$R$4:$R$2003,'[1]销售出库'!$H$4:$H$2003,$A268,'[1]销售出库'!$Q$4:$Q$2003,'首页'!$B$4*100+U$4))</f>
        <v>0</v>
      </c>
      <c r="V268" s="21">
        <f>IF($A268="",0,SUMIFS('[1]销售出库'!$R$4:$R$2003,'[1]销售出库'!$H$4:$H$2003,$A268,'[1]销售出库'!$Q$4:$Q$2003,'首页'!$B$4*100+V$4))</f>
        <v>0</v>
      </c>
      <c r="W268" s="21">
        <f>IF($A268="",0,SUMIFS('[1]销售出库'!$R$4:$R$2003,'[1]销售出库'!$H$4:$H$2003,$A268,'[1]销售出库'!$Q$4:$Q$2003,'首页'!$B$4*100+W$4))</f>
        <v>0</v>
      </c>
      <c r="X268" s="21">
        <f>IF($A268="",0,SUMIFS('[1]销售出库'!$R$4:$R$2003,'[1]销售出库'!$H$4:$H$2003,$A268,'[1]销售出库'!$Q$4:$Q$2003,'首页'!$B$4*100+X$4))</f>
        <v>0</v>
      </c>
    </row>
    <row r="269">
      <c r="A269" s="6">
        <f>IF('[1]基础资料'!$P$268="","",'[1]基础资料'!$P$268)</f>
      </c>
      <c r="B269" s="6">
        <f>IF(A269="","",'[1]基础资料'!$Q$268&amp;"")</f>
      </c>
      <c r="C269" s="21">
        <f>IF(A269="",0,N('[1]基础资料'!$S$268))</f>
        <v>0</v>
      </c>
      <c r="D269" s="11">
        <f>IF(A269="",0,N('[1]基础资料'!$U$268))</f>
        <v>0</v>
      </c>
      <c r="E269" s="21">
        <f>IF(A269="",0,SUMIFS('[1]采购入库'!$U$4:$U$2003,'[1]采购入库'!$I$4:$I$2003,$A269))</f>
        <v>0</v>
      </c>
      <c r="F269" s="11">
        <f>IF(A269="",0,SUMIFS('[1]采购入库'!$V$4:$V$2003,'[1]采购入库'!$I$4:$I$2003,$A269))</f>
        <v>0</v>
      </c>
      <c r="G269" s="21">
        <f>IF(A269="",0,SUMIFS('[1]销售出库'!$R$4:$R$2003,'[1]销售出库'!$H$4:$H$2003,$A269))</f>
        <v>0</v>
      </c>
      <c r="H269" s="11">
        <f t="shared" si="3"/>
        <v>0</v>
      </c>
      <c r="I269" s="11">
        <f t="shared" si="0"/>
        <v>0</v>
      </c>
      <c r="J269" s="21">
        <f t="shared" si="1"/>
        <v>0</v>
      </c>
      <c r="K269" s="11">
        <f t="shared" si="2"/>
        <v>0</v>
      </c>
      <c r="L269" s="6">
        <f t="shared" si="4"/>
      </c>
      <c r="M269" s="21">
        <f>IF($A269="",0,SUMIFS('[1]销售出库'!$R$4:$R$2003,'[1]销售出库'!$H$4:$H$2003,$A269,'[1]销售出库'!$Q$4:$Q$2003,'首页'!$B$4*100+M$4))</f>
        <v>0</v>
      </c>
      <c r="N269" s="21">
        <f>IF($A269="",0,SUMIFS('[1]销售出库'!$R$4:$R$2003,'[1]销售出库'!$H$4:$H$2003,$A269,'[1]销售出库'!$Q$4:$Q$2003,'首页'!$B$4*100+N$4))</f>
        <v>0</v>
      </c>
      <c r="O269" s="21">
        <f>IF($A269="",0,SUMIFS('[1]销售出库'!$R$4:$R$2003,'[1]销售出库'!$H$4:$H$2003,$A269,'[1]销售出库'!$Q$4:$Q$2003,'首页'!$B$4*100+O$4))</f>
        <v>0</v>
      </c>
      <c r="P269" s="21">
        <f>IF($A269="",0,SUMIFS('[1]销售出库'!$R$4:$R$2003,'[1]销售出库'!$H$4:$H$2003,$A269,'[1]销售出库'!$Q$4:$Q$2003,'首页'!$B$4*100+P$4))</f>
        <v>0</v>
      </c>
      <c r="Q269" s="21">
        <f>IF($A269="",0,SUMIFS('[1]销售出库'!$R$4:$R$2003,'[1]销售出库'!$H$4:$H$2003,$A269,'[1]销售出库'!$Q$4:$Q$2003,'首页'!$B$4*100+Q$4))</f>
        <v>0</v>
      </c>
      <c r="R269" s="21">
        <f>IF($A269="",0,SUMIFS('[1]销售出库'!$R$4:$R$2003,'[1]销售出库'!$H$4:$H$2003,$A269,'[1]销售出库'!$Q$4:$Q$2003,'首页'!$B$4*100+R$4))</f>
        <v>0</v>
      </c>
      <c r="S269" s="21">
        <f>IF($A269="",0,SUMIFS('[1]销售出库'!$R$4:$R$2003,'[1]销售出库'!$H$4:$H$2003,$A269,'[1]销售出库'!$Q$4:$Q$2003,'首页'!$B$4*100+S$4))</f>
        <v>0</v>
      </c>
      <c r="T269" s="21">
        <f>IF($A269="",0,SUMIFS('[1]销售出库'!$R$4:$R$2003,'[1]销售出库'!$H$4:$H$2003,$A269,'[1]销售出库'!$Q$4:$Q$2003,'首页'!$B$4*100+T$4))</f>
        <v>0</v>
      </c>
      <c r="U269" s="21">
        <f>IF($A269="",0,SUMIFS('[1]销售出库'!$R$4:$R$2003,'[1]销售出库'!$H$4:$H$2003,$A269,'[1]销售出库'!$Q$4:$Q$2003,'首页'!$B$4*100+U$4))</f>
        <v>0</v>
      </c>
      <c r="V269" s="21">
        <f>IF($A269="",0,SUMIFS('[1]销售出库'!$R$4:$R$2003,'[1]销售出库'!$H$4:$H$2003,$A269,'[1]销售出库'!$Q$4:$Q$2003,'首页'!$B$4*100+V$4))</f>
        <v>0</v>
      </c>
      <c r="W269" s="21">
        <f>IF($A269="",0,SUMIFS('[1]销售出库'!$R$4:$R$2003,'[1]销售出库'!$H$4:$H$2003,$A269,'[1]销售出库'!$Q$4:$Q$2003,'首页'!$B$4*100+W$4))</f>
        <v>0</v>
      </c>
      <c r="X269" s="21">
        <f>IF($A269="",0,SUMIFS('[1]销售出库'!$R$4:$R$2003,'[1]销售出库'!$H$4:$H$2003,$A269,'[1]销售出库'!$Q$4:$Q$2003,'首页'!$B$4*100+X$4))</f>
        <v>0</v>
      </c>
    </row>
    <row r="270">
      <c r="A270" s="6">
        <f>IF('[1]基础资料'!$P$269="","",'[1]基础资料'!$P$269)</f>
      </c>
      <c r="B270" s="6">
        <f>IF(A270="","",'[1]基础资料'!$Q$269&amp;"")</f>
      </c>
      <c r="C270" s="21">
        <f>IF(A270="",0,N('[1]基础资料'!$S$269))</f>
        <v>0</v>
      </c>
      <c r="D270" s="11">
        <f>IF(A270="",0,N('[1]基础资料'!$U$269))</f>
        <v>0</v>
      </c>
      <c r="E270" s="21">
        <f>IF(A270="",0,SUMIFS('[1]采购入库'!$U$4:$U$2003,'[1]采购入库'!$I$4:$I$2003,$A270))</f>
        <v>0</v>
      </c>
      <c r="F270" s="11">
        <f>IF(A270="",0,SUMIFS('[1]采购入库'!$V$4:$V$2003,'[1]采购入库'!$I$4:$I$2003,$A270))</f>
        <v>0</v>
      </c>
      <c r="G270" s="21">
        <f>IF(A270="",0,SUMIFS('[1]销售出库'!$R$4:$R$2003,'[1]销售出库'!$H$4:$H$2003,$A270))</f>
        <v>0</v>
      </c>
      <c r="H270" s="11">
        <f t="shared" si="3"/>
        <v>0</v>
      </c>
      <c r="I270" s="11">
        <f t="shared" si="0"/>
        <v>0</v>
      </c>
      <c r="J270" s="21">
        <f t="shared" si="1"/>
        <v>0</v>
      </c>
      <c r="K270" s="11">
        <f t="shared" si="2"/>
        <v>0</v>
      </c>
      <c r="L270" s="6">
        <f t="shared" si="4"/>
      </c>
      <c r="M270" s="21">
        <f>IF($A270="",0,SUMIFS('[1]销售出库'!$R$4:$R$2003,'[1]销售出库'!$H$4:$H$2003,$A270,'[1]销售出库'!$Q$4:$Q$2003,'首页'!$B$4*100+M$4))</f>
        <v>0</v>
      </c>
      <c r="N270" s="21">
        <f>IF($A270="",0,SUMIFS('[1]销售出库'!$R$4:$R$2003,'[1]销售出库'!$H$4:$H$2003,$A270,'[1]销售出库'!$Q$4:$Q$2003,'首页'!$B$4*100+N$4))</f>
        <v>0</v>
      </c>
      <c r="O270" s="21">
        <f>IF($A270="",0,SUMIFS('[1]销售出库'!$R$4:$R$2003,'[1]销售出库'!$H$4:$H$2003,$A270,'[1]销售出库'!$Q$4:$Q$2003,'首页'!$B$4*100+O$4))</f>
        <v>0</v>
      </c>
      <c r="P270" s="21">
        <f>IF($A270="",0,SUMIFS('[1]销售出库'!$R$4:$R$2003,'[1]销售出库'!$H$4:$H$2003,$A270,'[1]销售出库'!$Q$4:$Q$2003,'首页'!$B$4*100+P$4))</f>
        <v>0</v>
      </c>
      <c r="Q270" s="21">
        <f>IF($A270="",0,SUMIFS('[1]销售出库'!$R$4:$R$2003,'[1]销售出库'!$H$4:$H$2003,$A270,'[1]销售出库'!$Q$4:$Q$2003,'首页'!$B$4*100+Q$4))</f>
        <v>0</v>
      </c>
      <c r="R270" s="21">
        <f>IF($A270="",0,SUMIFS('[1]销售出库'!$R$4:$R$2003,'[1]销售出库'!$H$4:$H$2003,$A270,'[1]销售出库'!$Q$4:$Q$2003,'首页'!$B$4*100+R$4))</f>
        <v>0</v>
      </c>
      <c r="S270" s="21">
        <f>IF($A270="",0,SUMIFS('[1]销售出库'!$R$4:$R$2003,'[1]销售出库'!$H$4:$H$2003,$A270,'[1]销售出库'!$Q$4:$Q$2003,'首页'!$B$4*100+S$4))</f>
        <v>0</v>
      </c>
      <c r="T270" s="21">
        <f>IF($A270="",0,SUMIFS('[1]销售出库'!$R$4:$R$2003,'[1]销售出库'!$H$4:$H$2003,$A270,'[1]销售出库'!$Q$4:$Q$2003,'首页'!$B$4*100+T$4))</f>
        <v>0</v>
      </c>
      <c r="U270" s="21">
        <f>IF($A270="",0,SUMIFS('[1]销售出库'!$R$4:$R$2003,'[1]销售出库'!$H$4:$H$2003,$A270,'[1]销售出库'!$Q$4:$Q$2003,'首页'!$B$4*100+U$4))</f>
        <v>0</v>
      </c>
      <c r="V270" s="21">
        <f>IF($A270="",0,SUMIFS('[1]销售出库'!$R$4:$R$2003,'[1]销售出库'!$H$4:$H$2003,$A270,'[1]销售出库'!$Q$4:$Q$2003,'首页'!$B$4*100+V$4))</f>
        <v>0</v>
      </c>
      <c r="W270" s="21">
        <f>IF($A270="",0,SUMIFS('[1]销售出库'!$R$4:$R$2003,'[1]销售出库'!$H$4:$H$2003,$A270,'[1]销售出库'!$Q$4:$Q$2003,'首页'!$B$4*100+W$4))</f>
        <v>0</v>
      </c>
      <c r="X270" s="21">
        <f>IF($A270="",0,SUMIFS('[1]销售出库'!$R$4:$R$2003,'[1]销售出库'!$H$4:$H$2003,$A270,'[1]销售出库'!$Q$4:$Q$2003,'首页'!$B$4*100+X$4))</f>
        <v>0</v>
      </c>
    </row>
    <row r="271">
      <c r="A271" s="6">
        <f>IF('[1]基础资料'!$P$270="","",'[1]基础资料'!$P$270)</f>
      </c>
      <c r="B271" s="6">
        <f>IF(A271="","",'[1]基础资料'!$Q$270&amp;"")</f>
      </c>
      <c r="C271" s="21">
        <f>IF(A271="",0,N('[1]基础资料'!$S$270))</f>
        <v>0</v>
      </c>
      <c r="D271" s="11">
        <f>IF(A271="",0,N('[1]基础资料'!$U$270))</f>
        <v>0</v>
      </c>
      <c r="E271" s="21">
        <f>IF(A271="",0,SUMIFS('[1]采购入库'!$U$4:$U$2003,'[1]采购入库'!$I$4:$I$2003,$A271))</f>
        <v>0</v>
      </c>
      <c r="F271" s="11">
        <f>IF(A271="",0,SUMIFS('[1]采购入库'!$V$4:$V$2003,'[1]采购入库'!$I$4:$I$2003,$A271))</f>
        <v>0</v>
      </c>
      <c r="G271" s="21">
        <f>IF(A271="",0,SUMIFS('[1]销售出库'!$R$4:$R$2003,'[1]销售出库'!$H$4:$H$2003,$A271))</f>
        <v>0</v>
      </c>
      <c r="H271" s="11">
        <f t="shared" si="3"/>
        <v>0</v>
      </c>
      <c r="I271" s="11">
        <f t="shared" si="0"/>
        <v>0</v>
      </c>
      <c r="J271" s="21">
        <f t="shared" si="1"/>
        <v>0</v>
      </c>
      <c r="K271" s="11">
        <f t="shared" si="2"/>
        <v>0</v>
      </c>
      <c r="L271" s="6">
        <f t="shared" si="4"/>
      </c>
      <c r="M271" s="21">
        <f>IF($A271="",0,SUMIFS('[1]销售出库'!$R$4:$R$2003,'[1]销售出库'!$H$4:$H$2003,$A271,'[1]销售出库'!$Q$4:$Q$2003,'首页'!$B$4*100+M$4))</f>
        <v>0</v>
      </c>
      <c r="N271" s="21">
        <f>IF($A271="",0,SUMIFS('[1]销售出库'!$R$4:$R$2003,'[1]销售出库'!$H$4:$H$2003,$A271,'[1]销售出库'!$Q$4:$Q$2003,'首页'!$B$4*100+N$4))</f>
        <v>0</v>
      </c>
      <c r="O271" s="21">
        <f>IF($A271="",0,SUMIFS('[1]销售出库'!$R$4:$R$2003,'[1]销售出库'!$H$4:$H$2003,$A271,'[1]销售出库'!$Q$4:$Q$2003,'首页'!$B$4*100+O$4))</f>
        <v>0</v>
      </c>
      <c r="P271" s="21">
        <f>IF($A271="",0,SUMIFS('[1]销售出库'!$R$4:$R$2003,'[1]销售出库'!$H$4:$H$2003,$A271,'[1]销售出库'!$Q$4:$Q$2003,'首页'!$B$4*100+P$4))</f>
        <v>0</v>
      </c>
      <c r="Q271" s="21">
        <f>IF($A271="",0,SUMIFS('[1]销售出库'!$R$4:$R$2003,'[1]销售出库'!$H$4:$H$2003,$A271,'[1]销售出库'!$Q$4:$Q$2003,'首页'!$B$4*100+Q$4))</f>
        <v>0</v>
      </c>
      <c r="R271" s="21">
        <f>IF($A271="",0,SUMIFS('[1]销售出库'!$R$4:$R$2003,'[1]销售出库'!$H$4:$H$2003,$A271,'[1]销售出库'!$Q$4:$Q$2003,'首页'!$B$4*100+R$4))</f>
        <v>0</v>
      </c>
      <c r="S271" s="21">
        <f>IF($A271="",0,SUMIFS('[1]销售出库'!$R$4:$R$2003,'[1]销售出库'!$H$4:$H$2003,$A271,'[1]销售出库'!$Q$4:$Q$2003,'首页'!$B$4*100+S$4))</f>
        <v>0</v>
      </c>
      <c r="T271" s="21">
        <f>IF($A271="",0,SUMIFS('[1]销售出库'!$R$4:$R$2003,'[1]销售出库'!$H$4:$H$2003,$A271,'[1]销售出库'!$Q$4:$Q$2003,'首页'!$B$4*100+T$4))</f>
        <v>0</v>
      </c>
      <c r="U271" s="21">
        <f>IF($A271="",0,SUMIFS('[1]销售出库'!$R$4:$R$2003,'[1]销售出库'!$H$4:$H$2003,$A271,'[1]销售出库'!$Q$4:$Q$2003,'首页'!$B$4*100+U$4))</f>
        <v>0</v>
      </c>
      <c r="V271" s="21">
        <f>IF($A271="",0,SUMIFS('[1]销售出库'!$R$4:$R$2003,'[1]销售出库'!$H$4:$H$2003,$A271,'[1]销售出库'!$Q$4:$Q$2003,'首页'!$B$4*100+V$4))</f>
        <v>0</v>
      </c>
      <c r="W271" s="21">
        <f>IF($A271="",0,SUMIFS('[1]销售出库'!$R$4:$R$2003,'[1]销售出库'!$H$4:$H$2003,$A271,'[1]销售出库'!$Q$4:$Q$2003,'首页'!$B$4*100+W$4))</f>
        <v>0</v>
      </c>
      <c r="X271" s="21">
        <f>IF($A271="",0,SUMIFS('[1]销售出库'!$R$4:$R$2003,'[1]销售出库'!$H$4:$H$2003,$A271,'[1]销售出库'!$Q$4:$Q$2003,'首页'!$B$4*100+X$4))</f>
        <v>0</v>
      </c>
    </row>
    <row r="272">
      <c r="A272" s="6">
        <f>IF('[1]基础资料'!$P$271="","",'[1]基础资料'!$P$271)</f>
      </c>
      <c r="B272" s="6">
        <f>IF(A272="","",'[1]基础资料'!$Q$271&amp;"")</f>
      </c>
      <c r="C272" s="21">
        <f>IF(A272="",0,N('[1]基础资料'!$S$271))</f>
        <v>0</v>
      </c>
      <c r="D272" s="11">
        <f>IF(A272="",0,N('[1]基础资料'!$U$271))</f>
        <v>0</v>
      </c>
      <c r="E272" s="21">
        <f>IF(A272="",0,SUMIFS('[1]采购入库'!$U$4:$U$2003,'[1]采购入库'!$I$4:$I$2003,$A272))</f>
        <v>0</v>
      </c>
      <c r="F272" s="11">
        <f>IF(A272="",0,SUMIFS('[1]采购入库'!$V$4:$V$2003,'[1]采购入库'!$I$4:$I$2003,$A272))</f>
        <v>0</v>
      </c>
      <c r="G272" s="21">
        <f>IF(A272="",0,SUMIFS('[1]销售出库'!$R$4:$R$2003,'[1]销售出库'!$H$4:$H$2003,$A272))</f>
        <v>0</v>
      </c>
      <c r="H272" s="11">
        <f t="shared" si="3"/>
        <v>0</v>
      </c>
      <c r="I272" s="11">
        <f t="shared" si="0"/>
        <v>0</v>
      </c>
      <c r="J272" s="21">
        <f t="shared" si="1"/>
        <v>0</v>
      </c>
      <c r="K272" s="11">
        <f t="shared" si="2"/>
        <v>0</v>
      </c>
      <c r="L272" s="6">
        <f t="shared" si="4"/>
      </c>
      <c r="M272" s="21">
        <f>IF($A272="",0,SUMIFS('[1]销售出库'!$R$4:$R$2003,'[1]销售出库'!$H$4:$H$2003,$A272,'[1]销售出库'!$Q$4:$Q$2003,'首页'!$B$4*100+M$4))</f>
        <v>0</v>
      </c>
      <c r="N272" s="21">
        <f>IF($A272="",0,SUMIFS('[1]销售出库'!$R$4:$R$2003,'[1]销售出库'!$H$4:$H$2003,$A272,'[1]销售出库'!$Q$4:$Q$2003,'首页'!$B$4*100+N$4))</f>
        <v>0</v>
      </c>
      <c r="O272" s="21">
        <f>IF($A272="",0,SUMIFS('[1]销售出库'!$R$4:$R$2003,'[1]销售出库'!$H$4:$H$2003,$A272,'[1]销售出库'!$Q$4:$Q$2003,'首页'!$B$4*100+O$4))</f>
        <v>0</v>
      </c>
      <c r="P272" s="21">
        <f>IF($A272="",0,SUMIFS('[1]销售出库'!$R$4:$R$2003,'[1]销售出库'!$H$4:$H$2003,$A272,'[1]销售出库'!$Q$4:$Q$2003,'首页'!$B$4*100+P$4))</f>
        <v>0</v>
      </c>
      <c r="Q272" s="21">
        <f>IF($A272="",0,SUMIFS('[1]销售出库'!$R$4:$R$2003,'[1]销售出库'!$H$4:$H$2003,$A272,'[1]销售出库'!$Q$4:$Q$2003,'首页'!$B$4*100+Q$4))</f>
        <v>0</v>
      </c>
      <c r="R272" s="21">
        <f>IF($A272="",0,SUMIFS('[1]销售出库'!$R$4:$R$2003,'[1]销售出库'!$H$4:$H$2003,$A272,'[1]销售出库'!$Q$4:$Q$2003,'首页'!$B$4*100+R$4))</f>
        <v>0</v>
      </c>
      <c r="S272" s="21">
        <f>IF($A272="",0,SUMIFS('[1]销售出库'!$R$4:$R$2003,'[1]销售出库'!$H$4:$H$2003,$A272,'[1]销售出库'!$Q$4:$Q$2003,'首页'!$B$4*100+S$4))</f>
        <v>0</v>
      </c>
      <c r="T272" s="21">
        <f>IF($A272="",0,SUMIFS('[1]销售出库'!$R$4:$R$2003,'[1]销售出库'!$H$4:$H$2003,$A272,'[1]销售出库'!$Q$4:$Q$2003,'首页'!$B$4*100+T$4))</f>
        <v>0</v>
      </c>
      <c r="U272" s="21">
        <f>IF($A272="",0,SUMIFS('[1]销售出库'!$R$4:$R$2003,'[1]销售出库'!$H$4:$H$2003,$A272,'[1]销售出库'!$Q$4:$Q$2003,'首页'!$B$4*100+U$4))</f>
        <v>0</v>
      </c>
      <c r="V272" s="21">
        <f>IF($A272="",0,SUMIFS('[1]销售出库'!$R$4:$R$2003,'[1]销售出库'!$H$4:$H$2003,$A272,'[1]销售出库'!$Q$4:$Q$2003,'首页'!$B$4*100+V$4))</f>
        <v>0</v>
      </c>
      <c r="W272" s="21">
        <f>IF($A272="",0,SUMIFS('[1]销售出库'!$R$4:$R$2003,'[1]销售出库'!$H$4:$H$2003,$A272,'[1]销售出库'!$Q$4:$Q$2003,'首页'!$B$4*100+W$4))</f>
        <v>0</v>
      </c>
      <c r="X272" s="21">
        <f>IF($A272="",0,SUMIFS('[1]销售出库'!$R$4:$R$2003,'[1]销售出库'!$H$4:$H$2003,$A272,'[1]销售出库'!$Q$4:$Q$2003,'首页'!$B$4*100+X$4))</f>
        <v>0</v>
      </c>
    </row>
    <row r="273">
      <c r="A273" s="6">
        <f>IF('[1]基础资料'!$P$272="","",'[1]基础资料'!$P$272)</f>
      </c>
      <c r="B273" s="6">
        <f>IF(A273="","",'[1]基础资料'!$Q$272&amp;"")</f>
      </c>
      <c r="C273" s="21">
        <f>IF(A273="",0,N('[1]基础资料'!$S$272))</f>
        <v>0</v>
      </c>
      <c r="D273" s="11">
        <f>IF(A273="",0,N('[1]基础资料'!$U$272))</f>
        <v>0</v>
      </c>
      <c r="E273" s="21">
        <f>IF(A273="",0,SUMIFS('[1]采购入库'!$U$4:$U$2003,'[1]采购入库'!$I$4:$I$2003,$A273))</f>
        <v>0</v>
      </c>
      <c r="F273" s="11">
        <f>IF(A273="",0,SUMIFS('[1]采购入库'!$V$4:$V$2003,'[1]采购入库'!$I$4:$I$2003,$A273))</f>
        <v>0</v>
      </c>
      <c r="G273" s="21">
        <f>IF(A273="",0,SUMIFS('[1]销售出库'!$R$4:$R$2003,'[1]销售出库'!$H$4:$H$2003,$A273))</f>
        <v>0</v>
      </c>
      <c r="H273" s="11">
        <f t="shared" si="3"/>
        <v>0</v>
      </c>
      <c r="I273" s="11">
        <f t="shared" si="0"/>
        <v>0</v>
      </c>
      <c r="J273" s="21">
        <f t="shared" si="1"/>
        <v>0</v>
      </c>
      <c r="K273" s="11">
        <f t="shared" si="2"/>
        <v>0</v>
      </c>
      <c r="L273" s="6">
        <f t="shared" si="4"/>
      </c>
      <c r="M273" s="21">
        <f>IF($A273="",0,SUMIFS('[1]销售出库'!$R$4:$R$2003,'[1]销售出库'!$H$4:$H$2003,$A273,'[1]销售出库'!$Q$4:$Q$2003,'首页'!$B$4*100+M$4))</f>
        <v>0</v>
      </c>
      <c r="N273" s="21">
        <f>IF($A273="",0,SUMIFS('[1]销售出库'!$R$4:$R$2003,'[1]销售出库'!$H$4:$H$2003,$A273,'[1]销售出库'!$Q$4:$Q$2003,'首页'!$B$4*100+N$4))</f>
        <v>0</v>
      </c>
      <c r="O273" s="21">
        <f>IF($A273="",0,SUMIFS('[1]销售出库'!$R$4:$R$2003,'[1]销售出库'!$H$4:$H$2003,$A273,'[1]销售出库'!$Q$4:$Q$2003,'首页'!$B$4*100+O$4))</f>
        <v>0</v>
      </c>
      <c r="P273" s="21">
        <f>IF($A273="",0,SUMIFS('[1]销售出库'!$R$4:$R$2003,'[1]销售出库'!$H$4:$H$2003,$A273,'[1]销售出库'!$Q$4:$Q$2003,'首页'!$B$4*100+P$4))</f>
        <v>0</v>
      </c>
      <c r="Q273" s="21">
        <f>IF($A273="",0,SUMIFS('[1]销售出库'!$R$4:$R$2003,'[1]销售出库'!$H$4:$H$2003,$A273,'[1]销售出库'!$Q$4:$Q$2003,'首页'!$B$4*100+Q$4))</f>
        <v>0</v>
      </c>
      <c r="R273" s="21">
        <f>IF($A273="",0,SUMIFS('[1]销售出库'!$R$4:$R$2003,'[1]销售出库'!$H$4:$H$2003,$A273,'[1]销售出库'!$Q$4:$Q$2003,'首页'!$B$4*100+R$4))</f>
        <v>0</v>
      </c>
      <c r="S273" s="21">
        <f>IF($A273="",0,SUMIFS('[1]销售出库'!$R$4:$R$2003,'[1]销售出库'!$H$4:$H$2003,$A273,'[1]销售出库'!$Q$4:$Q$2003,'首页'!$B$4*100+S$4))</f>
        <v>0</v>
      </c>
      <c r="T273" s="21">
        <f>IF($A273="",0,SUMIFS('[1]销售出库'!$R$4:$R$2003,'[1]销售出库'!$H$4:$H$2003,$A273,'[1]销售出库'!$Q$4:$Q$2003,'首页'!$B$4*100+T$4))</f>
        <v>0</v>
      </c>
      <c r="U273" s="21">
        <f>IF($A273="",0,SUMIFS('[1]销售出库'!$R$4:$R$2003,'[1]销售出库'!$H$4:$H$2003,$A273,'[1]销售出库'!$Q$4:$Q$2003,'首页'!$B$4*100+U$4))</f>
        <v>0</v>
      </c>
      <c r="V273" s="21">
        <f>IF($A273="",0,SUMIFS('[1]销售出库'!$R$4:$R$2003,'[1]销售出库'!$H$4:$H$2003,$A273,'[1]销售出库'!$Q$4:$Q$2003,'首页'!$B$4*100+V$4))</f>
        <v>0</v>
      </c>
      <c r="W273" s="21">
        <f>IF($A273="",0,SUMIFS('[1]销售出库'!$R$4:$R$2003,'[1]销售出库'!$H$4:$H$2003,$A273,'[1]销售出库'!$Q$4:$Q$2003,'首页'!$B$4*100+W$4))</f>
        <v>0</v>
      </c>
      <c r="X273" s="21">
        <f>IF($A273="",0,SUMIFS('[1]销售出库'!$R$4:$R$2003,'[1]销售出库'!$H$4:$H$2003,$A273,'[1]销售出库'!$Q$4:$Q$2003,'首页'!$B$4*100+X$4))</f>
        <v>0</v>
      </c>
    </row>
    <row r="274">
      <c r="A274" s="6">
        <f>IF('[1]基础资料'!$P$273="","",'[1]基础资料'!$P$273)</f>
      </c>
      <c r="B274" s="6">
        <f>IF(A274="","",'[1]基础资料'!$Q$273&amp;"")</f>
      </c>
      <c r="C274" s="21">
        <f>IF(A274="",0,N('[1]基础资料'!$S$273))</f>
        <v>0</v>
      </c>
      <c r="D274" s="11">
        <f>IF(A274="",0,N('[1]基础资料'!$U$273))</f>
        <v>0</v>
      </c>
      <c r="E274" s="21">
        <f>IF(A274="",0,SUMIFS('[1]采购入库'!$U$4:$U$2003,'[1]采购入库'!$I$4:$I$2003,$A274))</f>
        <v>0</v>
      </c>
      <c r="F274" s="11">
        <f>IF(A274="",0,SUMIFS('[1]采购入库'!$V$4:$V$2003,'[1]采购入库'!$I$4:$I$2003,$A274))</f>
        <v>0</v>
      </c>
      <c r="G274" s="21">
        <f>IF(A274="",0,SUMIFS('[1]销售出库'!$R$4:$R$2003,'[1]销售出库'!$H$4:$H$2003,$A274))</f>
        <v>0</v>
      </c>
      <c r="H274" s="11">
        <f t="shared" si="3"/>
        <v>0</v>
      </c>
      <c r="I274" s="11">
        <f t="shared" si="0"/>
        <v>0</v>
      </c>
      <c r="J274" s="21">
        <f t="shared" si="1"/>
        <v>0</v>
      </c>
      <c r="K274" s="11">
        <f t="shared" si="2"/>
        <v>0</v>
      </c>
      <c r="L274" s="6">
        <f t="shared" si="4"/>
      </c>
      <c r="M274" s="21">
        <f>IF($A274="",0,SUMIFS('[1]销售出库'!$R$4:$R$2003,'[1]销售出库'!$H$4:$H$2003,$A274,'[1]销售出库'!$Q$4:$Q$2003,'首页'!$B$4*100+M$4))</f>
        <v>0</v>
      </c>
      <c r="N274" s="21">
        <f>IF($A274="",0,SUMIFS('[1]销售出库'!$R$4:$R$2003,'[1]销售出库'!$H$4:$H$2003,$A274,'[1]销售出库'!$Q$4:$Q$2003,'首页'!$B$4*100+N$4))</f>
        <v>0</v>
      </c>
      <c r="O274" s="21">
        <f>IF($A274="",0,SUMIFS('[1]销售出库'!$R$4:$R$2003,'[1]销售出库'!$H$4:$H$2003,$A274,'[1]销售出库'!$Q$4:$Q$2003,'首页'!$B$4*100+O$4))</f>
        <v>0</v>
      </c>
      <c r="P274" s="21">
        <f>IF($A274="",0,SUMIFS('[1]销售出库'!$R$4:$R$2003,'[1]销售出库'!$H$4:$H$2003,$A274,'[1]销售出库'!$Q$4:$Q$2003,'首页'!$B$4*100+P$4))</f>
        <v>0</v>
      </c>
      <c r="Q274" s="21">
        <f>IF($A274="",0,SUMIFS('[1]销售出库'!$R$4:$R$2003,'[1]销售出库'!$H$4:$H$2003,$A274,'[1]销售出库'!$Q$4:$Q$2003,'首页'!$B$4*100+Q$4))</f>
        <v>0</v>
      </c>
      <c r="R274" s="21">
        <f>IF($A274="",0,SUMIFS('[1]销售出库'!$R$4:$R$2003,'[1]销售出库'!$H$4:$H$2003,$A274,'[1]销售出库'!$Q$4:$Q$2003,'首页'!$B$4*100+R$4))</f>
        <v>0</v>
      </c>
      <c r="S274" s="21">
        <f>IF($A274="",0,SUMIFS('[1]销售出库'!$R$4:$R$2003,'[1]销售出库'!$H$4:$H$2003,$A274,'[1]销售出库'!$Q$4:$Q$2003,'首页'!$B$4*100+S$4))</f>
        <v>0</v>
      </c>
      <c r="T274" s="21">
        <f>IF($A274="",0,SUMIFS('[1]销售出库'!$R$4:$R$2003,'[1]销售出库'!$H$4:$H$2003,$A274,'[1]销售出库'!$Q$4:$Q$2003,'首页'!$B$4*100+T$4))</f>
        <v>0</v>
      </c>
      <c r="U274" s="21">
        <f>IF($A274="",0,SUMIFS('[1]销售出库'!$R$4:$R$2003,'[1]销售出库'!$H$4:$H$2003,$A274,'[1]销售出库'!$Q$4:$Q$2003,'首页'!$B$4*100+U$4))</f>
        <v>0</v>
      </c>
      <c r="V274" s="21">
        <f>IF($A274="",0,SUMIFS('[1]销售出库'!$R$4:$R$2003,'[1]销售出库'!$H$4:$H$2003,$A274,'[1]销售出库'!$Q$4:$Q$2003,'首页'!$B$4*100+V$4))</f>
        <v>0</v>
      </c>
      <c r="W274" s="21">
        <f>IF($A274="",0,SUMIFS('[1]销售出库'!$R$4:$R$2003,'[1]销售出库'!$H$4:$H$2003,$A274,'[1]销售出库'!$Q$4:$Q$2003,'首页'!$B$4*100+W$4))</f>
        <v>0</v>
      </c>
      <c r="X274" s="21">
        <f>IF($A274="",0,SUMIFS('[1]销售出库'!$R$4:$R$2003,'[1]销售出库'!$H$4:$H$2003,$A274,'[1]销售出库'!$Q$4:$Q$2003,'首页'!$B$4*100+X$4))</f>
        <v>0</v>
      </c>
    </row>
    <row r="275">
      <c r="A275" s="6">
        <f>IF('[1]基础资料'!$P$274="","",'[1]基础资料'!$P$274)</f>
      </c>
      <c r="B275" s="6">
        <f>IF(A275="","",'[1]基础资料'!$Q$274&amp;"")</f>
      </c>
      <c r="C275" s="21">
        <f>IF(A275="",0,N('[1]基础资料'!$S$274))</f>
        <v>0</v>
      </c>
      <c r="D275" s="11">
        <f>IF(A275="",0,N('[1]基础资料'!$U$274))</f>
        <v>0</v>
      </c>
      <c r="E275" s="21">
        <f>IF(A275="",0,SUMIFS('[1]采购入库'!$U$4:$U$2003,'[1]采购入库'!$I$4:$I$2003,$A275))</f>
        <v>0</v>
      </c>
      <c r="F275" s="11">
        <f>IF(A275="",0,SUMIFS('[1]采购入库'!$V$4:$V$2003,'[1]采购入库'!$I$4:$I$2003,$A275))</f>
        <v>0</v>
      </c>
      <c r="G275" s="21">
        <f>IF(A275="",0,SUMIFS('[1]销售出库'!$R$4:$R$2003,'[1]销售出库'!$H$4:$H$2003,$A275))</f>
        <v>0</v>
      </c>
      <c r="H275" s="11">
        <f t="shared" si="3"/>
        <v>0</v>
      </c>
      <c r="I275" s="11">
        <f t="shared" si="0"/>
        <v>0</v>
      </c>
      <c r="J275" s="21">
        <f t="shared" si="1"/>
        <v>0</v>
      </c>
      <c r="K275" s="11">
        <f t="shared" si="2"/>
        <v>0</v>
      </c>
      <c r="L275" s="6">
        <f t="shared" si="4"/>
      </c>
      <c r="M275" s="21">
        <f>IF($A275="",0,SUMIFS('[1]销售出库'!$R$4:$R$2003,'[1]销售出库'!$H$4:$H$2003,$A275,'[1]销售出库'!$Q$4:$Q$2003,'首页'!$B$4*100+M$4))</f>
        <v>0</v>
      </c>
      <c r="N275" s="21">
        <f>IF($A275="",0,SUMIFS('[1]销售出库'!$R$4:$R$2003,'[1]销售出库'!$H$4:$H$2003,$A275,'[1]销售出库'!$Q$4:$Q$2003,'首页'!$B$4*100+N$4))</f>
        <v>0</v>
      </c>
      <c r="O275" s="21">
        <f>IF($A275="",0,SUMIFS('[1]销售出库'!$R$4:$R$2003,'[1]销售出库'!$H$4:$H$2003,$A275,'[1]销售出库'!$Q$4:$Q$2003,'首页'!$B$4*100+O$4))</f>
        <v>0</v>
      </c>
      <c r="P275" s="21">
        <f>IF($A275="",0,SUMIFS('[1]销售出库'!$R$4:$R$2003,'[1]销售出库'!$H$4:$H$2003,$A275,'[1]销售出库'!$Q$4:$Q$2003,'首页'!$B$4*100+P$4))</f>
        <v>0</v>
      </c>
      <c r="Q275" s="21">
        <f>IF($A275="",0,SUMIFS('[1]销售出库'!$R$4:$R$2003,'[1]销售出库'!$H$4:$H$2003,$A275,'[1]销售出库'!$Q$4:$Q$2003,'首页'!$B$4*100+Q$4))</f>
        <v>0</v>
      </c>
      <c r="R275" s="21">
        <f>IF($A275="",0,SUMIFS('[1]销售出库'!$R$4:$R$2003,'[1]销售出库'!$H$4:$H$2003,$A275,'[1]销售出库'!$Q$4:$Q$2003,'首页'!$B$4*100+R$4))</f>
        <v>0</v>
      </c>
      <c r="S275" s="21">
        <f>IF($A275="",0,SUMIFS('[1]销售出库'!$R$4:$R$2003,'[1]销售出库'!$H$4:$H$2003,$A275,'[1]销售出库'!$Q$4:$Q$2003,'首页'!$B$4*100+S$4))</f>
        <v>0</v>
      </c>
      <c r="T275" s="21">
        <f>IF($A275="",0,SUMIFS('[1]销售出库'!$R$4:$R$2003,'[1]销售出库'!$H$4:$H$2003,$A275,'[1]销售出库'!$Q$4:$Q$2003,'首页'!$B$4*100+T$4))</f>
        <v>0</v>
      </c>
      <c r="U275" s="21">
        <f>IF($A275="",0,SUMIFS('[1]销售出库'!$R$4:$R$2003,'[1]销售出库'!$H$4:$H$2003,$A275,'[1]销售出库'!$Q$4:$Q$2003,'首页'!$B$4*100+U$4))</f>
        <v>0</v>
      </c>
      <c r="V275" s="21">
        <f>IF($A275="",0,SUMIFS('[1]销售出库'!$R$4:$R$2003,'[1]销售出库'!$H$4:$H$2003,$A275,'[1]销售出库'!$Q$4:$Q$2003,'首页'!$B$4*100+V$4))</f>
        <v>0</v>
      </c>
      <c r="W275" s="21">
        <f>IF($A275="",0,SUMIFS('[1]销售出库'!$R$4:$R$2003,'[1]销售出库'!$H$4:$H$2003,$A275,'[1]销售出库'!$Q$4:$Q$2003,'首页'!$B$4*100+W$4))</f>
        <v>0</v>
      </c>
      <c r="X275" s="21">
        <f>IF($A275="",0,SUMIFS('[1]销售出库'!$R$4:$R$2003,'[1]销售出库'!$H$4:$H$2003,$A275,'[1]销售出库'!$Q$4:$Q$2003,'首页'!$B$4*100+X$4))</f>
        <v>0</v>
      </c>
    </row>
    <row r="276">
      <c r="A276" s="6">
        <f>IF('[1]基础资料'!$P$275="","",'[1]基础资料'!$P$275)</f>
      </c>
      <c r="B276" s="6">
        <f>IF(A276="","",'[1]基础资料'!$Q$275&amp;"")</f>
      </c>
      <c r="C276" s="21">
        <f>IF(A276="",0,N('[1]基础资料'!$S$275))</f>
        <v>0</v>
      </c>
      <c r="D276" s="11">
        <f>IF(A276="",0,N('[1]基础资料'!$U$275))</f>
        <v>0</v>
      </c>
      <c r="E276" s="21">
        <f>IF(A276="",0,SUMIFS('[1]采购入库'!$U$4:$U$2003,'[1]采购入库'!$I$4:$I$2003,$A276))</f>
        <v>0</v>
      </c>
      <c r="F276" s="11">
        <f>IF(A276="",0,SUMIFS('[1]采购入库'!$V$4:$V$2003,'[1]采购入库'!$I$4:$I$2003,$A276))</f>
        <v>0</v>
      </c>
      <c r="G276" s="21">
        <f>IF(A276="",0,SUMIFS('[1]销售出库'!$R$4:$R$2003,'[1]销售出库'!$H$4:$H$2003,$A276))</f>
        <v>0</v>
      </c>
      <c r="H276" s="11">
        <f t="shared" si="3"/>
        <v>0</v>
      </c>
      <c r="I276" s="11">
        <f t="shared" si="0"/>
        <v>0</v>
      </c>
      <c r="J276" s="21">
        <f t="shared" si="1"/>
        <v>0</v>
      </c>
      <c r="K276" s="11">
        <f t="shared" si="2"/>
        <v>0</v>
      </c>
      <c r="L276" s="6">
        <f t="shared" si="4"/>
      </c>
      <c r="M276" s="21">
        <f>IF($A276="",0,SUMIFS('[1]销售出库'!$R$4:$R$2003,'[1]销售出库'!$H$4:$H$2003,$A276,'[1]销售出库'!$Q$4:$Q$2003,'首页'!$B$4*100+M$4))</f>
        <v>0</v>
      </c>
      <c r="N276" s="21">
        <f>IF($A276="",0,SUMIFS('[1]销售出库'!$R$4:$R$2003,'[1]销售出库'!$H$4:$H$2003,$A276,'[1]销售出库'!$Q$4:$Q$2003,'首页'!$B$4*100+N$4))</f>
        <v>0</v>
      </c>
      <c r="O276" s="21">
        <f>IF($A276="",0,SUMIFS('[1]销售出库'!$R$4:$R$2003,'[1]销售出库'!$H$4:$H$2003,$A276,'[1]销售出库'!$Q$4:$Q$2003,'首页'!$B$4*100+O$4))</f>
        <v>0</v>
      </c>
      <c r="P276" s="21">
        <f>IF($A276="",0,SUMIFS('[1]销售出库'!$R$4:$R$2003,'[1]销售出库'!$H$4:$H$2003,$A276,'[1]销售出库'!$Q$4:$Q$2003,'首页'!$B$4*100+P$4))</f>
        <v>0</v>
      </c>
      <c r="Q276" s="21">
        <f>IF($A276="",0,SUMIFS('[1]销售出库'!$R$4:$R$2003,'[1]销售出库'!$H$4:$H$2003,$A276,'[1]销售出库'!$Q$4:$Q$2003,'首页'!$B$4*100+Q$4))</f>
        <v>0</v>
      </c>
      <c r="R276" s="21">
        <f>IF($A276="",0,SUMIFS('[1]销售出库'!$R$4:$R$2003,'[1]销售出库'!$H$4:$H$2003,$A276,'[1]销售出库'!$Q$4:$Q$2003,'首页'!$B$4*100+R$4))</f>
        <v>0</v>
      </c>
      <c r="S276" s="21">
        <f>IF($A276="",0,SUMIFS('[1]销售出库'!$R$4:$R$2003,'[1]销售出库'!$H$4:$H$2003,$A276,'[1]销售出库'!$Q$4:$Q$2003,'首页'!$B$4*100+S$4))</f>
        <v>0</v>
      </c>
      <c r="T276" s="21">
        <f>IF($A276="",0,SUMIFS('[1]销售出库'!$R$4:$R$2003,'[1]销售出库'!$H$4:$H$2003,$A276,'[1]销售出库'!$Q$4:$Q$2003,'首页'!$B$4*100+T$4))</f>
        <v>0</v>
      </c>
      <c r="U276" s="21">
        <f>IF($A276="",0,SUMIFS('[1]销售出库'!$R$4:$R$2003,'[1]销售出库'!$H$4:$H$2003,$A276,'[1]销售出库'!$Q$4:$Q$2003,'首页'!$B$4*100+U$4))</f>
        <v>0</v>
      </c>
      <c r="V276" s="21">
        <f>IF($A276="",0,SUMIFS('[1]销售出库'!$R$4:$R$2003,'[1]销售出库'!$H$4:$H$2003,$A276,'[1]销售出库'!$Q$4:$Q$2003,'首页'!$B$4*100+V$4))</f>
        <v>0</v>
      </c>
      <c r="W276" s="21">
        <f>IF($A276="",0,SUMIFS('[1]销售出库'!$R$4:$R$2003,'[1]销售出库'!$H$4:$H$2003,$A276,'[1]销售出库'!$Q$4:$Q$2003,'首页'!$B$4*100+W$4))</f>
        <v>0</v>
      </c>
      <c r="X276" s="21">
        <f>IF($A276="",0,SUMIFS('[1]销售出库'!$R$4:$R$2003,'[1]销售出库'!$H$4:$H$2003,$A276,'[1]销售出库'!$Q$4:$Q$2003,'首页'!$B$4*100+X$4))</f>
        <v>0</v>
      </c>
    </row>
    <row r="277">
      <c r="A277" s="6">
        <f>IF('[1]基础资料'!$P$276="","",'[1]基础资料'!$P$276)</f>
      </c>
      <c r="B277" s="6">
        <f>IF(A277="","",'[1]基础资料'!$Q$276&amp;"")</f>
      </c>
      <c r="C277" s="21">
        <f>IF(A277="",0,N('[1]基础资料'!$S$276))</f>
        <v>0</v>
      </c>
      <c r="D277" s="11">
        <f>IF(A277="",0,N('[1]基础资料'!$U$276))</f>
        <v>0</v>
      </c>
      <c r="E277" s="21">
        <f>IF(A277="",0,SUMIFS('[1]采购入库'!$U$4:$U$2003,'[1]采购入库'!$I$4:$I$2003,$A277))</f>
        <v>0</v>
      </c>
      <c r="F277" s="11">
        <f>IF(A277="",0,SUMIFS('[1]采购入库'!$V$4:$V$2003,'[1]采购入库'!$I$4:$I$2003,$A277))</f>
        <v>0</v>
      </c>
      <c r="G277" s="21">
        <f>IF(A277="",0,SUMIFS('[1]销售出库'!$R$4:$R$2003,'[1]销售出库'!$H$4:$H$2003,$A277))</f>
        <v>0</v>
      </c>
      <c r="H277" s="11">
        <f t="shared" si="3"/>
        <v>0</v>
      </c>
      <c r="I277" s="11">
        <f t="shared" si="0"/>
        <v>0</v>
      </c>
      <c r="J277" s="21">
        <f t="shared" si="1"/>
        <v>0</v>
      </c>
      <c r="K277" s="11">
        <f t="shared" si="2"/>
        <v>0</v>
      </c>
      <c r="L277" s="6">
        <f t="shared" si="4"/>
      </c>
      <c r="M277" s="21">
        <f>IF($A277="",0,SUMIFS('[1]销售出库'!$R$4:$R$2003,'[1]销售出库'!$H$4:$H$2003,$A277,'[1]销售出库'!$Q$4:$Q$2003,'首页'!$B$4*100+M$4))</f>
        <v>0</v>
      </c>
      <c r="N277" s="21">
        <f>IF($A277="",0,SUMIFS('[1]销售出库'!$R$4:$R$2003,'[1]销售出库'!$H$4:$H$2003,$A277,'[1]销售出库'!$Q$4:$Q$2003,'首页'!$B$4*100+N$4))</f>
        <v>0</v>
      </c>
      <c r="O277" s="21">
        <f>IF($A277="",0,SUMIFS('[1]销售出库'!$R$4:$R$2003,'[1]销售出库'!$H$4:$H$2003,$A277,'[1]销售出库'!$Q$4:$Q$2003,'首页'!$B$4*100+O$4))</f>
        <v>0</v>
      </c>
      <c r="P277" s="21">
        <f>IF($A277="",0,SUMIFS('[1]销售出库'!$R$4:$R$2003,'[1]销售出库'!$H$4:$H$2003,$A277,'[1]销售出库'!$Q$4:$Q$2003,'首页'!$B$4*100+P$4))</f>
        <v>0</v>
      </c>
      <c r="Q277" s="21">
        <f>IF($A277="",0,SUMIFS('[1]销售出库'!$R$4:$R$2003,'[1]销售出库'!$H$4:$H$2003,$A277,'[1]销售出库'!$Q$4:$Q$2003,'首页'!$B$4*100+Q$4))</f>
        <v>0</v>
      </c>
      <c r="R277" s="21">
        <f>IF($A277="",0,SUMIFS('[1]销售出库'!$R$4:$R$2003,'[1]销售出库'!$H$4:$H$2003,$A277,'[1]销售出库'!$Q$4:$Q$2003,'首页'!$B$4*100+R$4))</f>
        <v>0</v>
      </c>
      <c r="S277" s="21">
        <f>IF($A277="",0,SUMIFS('[1]销售出库'!$R$4:$R$2003,'[1]销售出库'!$H$4:$H$2003,$A277,'[1]销售出库'!$Q$4:$Q$2003,'首页'!$B$4*100+S$4))</f>
        <v>0</v>
      </c>
      <c r="T277" s="21">
        <f>IF($A277="",0,SUMIFS('[1]销售出库'!$R$4:$R$2003,'[1]销售出库'!$H$4:$H$2003,$A277,'[1]销售出库'!$Q$4:$Q$2003,'首页'!$B$4*100+T$4))</f>
        <v>0</v>
      </c>
      <c r="U277" s="21">
        <f>IF($A277="",0,SUMIFS('[1]销售出库'!$R$4:$R$2003,'[1]销售出库'!$H$4:$H$2003,$A277,'[1]销售出库'!$Q$4:$Q$2003,'首页'!$B$4*100+U$4))</f>
        <v>0</v>
      </c>
      <c r="V277" s="21">
        <f>IF($A277="",0,SUMIFS('[1]销售出库'!$R$4:$R$2003,'[1]销售出库'!$H$4:$H$2003,$A277,'[1]销售出库'!$Q$4:$Q$2003,'首页'!$B$4*100+V$4))</f>
        <v>0</v>
      </c>
      <c r="W277" s="21">
        <f>IF($A277="",0,SUMIFS('[1]销售出库'!$R$4:$R$2003,'[1]销售出库'!$H$4:$H$2003,$A277,'[1]销售出库'!$Q$4:$Q$2003,'首页'!$B$4*100+W$4))</f>
        <v>0</v>
      </c>
      <c r="X277" s="21">
        <f>IF($A277="",0,SUMIFS('[1]销售出库'!$R$4:$R$2003,'[1]销售出库'!$H$4:$H$2003,$A277,'[1]销售出库'!$Q$4:$Q$2003,'首页'!$B$4*100+X$4))</f>
        <v>0</v>
      </c>
    </row>
    <row r="278">
      <c r="A278" s="6">
        <f>IF('[1]基础资料'!$P$277="","",'[1]基础资料'!$P$277)</f>
      </c>
      <c r="B278" s="6">
        <f>IF(A278="","",'[1]基础资料'!$Q$277&amp;"")</f>
      </c>
      <c r="C278" s="21">
        <f>IF(A278="",0,N('[1]基础资料'!$S$277))</f>
        <v>0</v>
      </c>
      <c r="D278" s="11">
        <f>IF(A278="",0,N('[1]基础资料'!$U$277))</f>
        <v>0</v>
      </c>
      <c r="E278" s="21">
        <f>IF(A278="",0,SUMIFS('[1]采购入库'!$U$4:$U$2003,'[1]采购入库'!$I$4:$I$2003,$A278))</f>
        <v>0</v>
      </c>
      <c r="F278" s="11">
        <f>IF(A278="",0,SUMIFS('[1]采购入库'!$V$4:$V$2003,'[1]采购入库'!$I$4:$I$2003,$A278))</f>
        <v>0</v>
      </c>
      <c r="G278" s="21">
        <f>IF(A278="",0,SUMIFS('[1]销售出库'!$R$4:$R$2003,'[1]销售出库'!$H$4:$H$2003,$A278))</f>
        <v>0</v>
      </c>
      <c r="H278" s="11">
        <f t="shared" si="3"/>
        <v>0</v>
      </c>
      <c r="I278" s="11">
        <f t="shared" si="0"/>
        <v>0</v>
      </c>
      <c r="J278" s="21">
        <f t="shared" si="1"/>
        <v>0</v>
      </c>
      <c r="K278" s="11">
        <f t="shared" si="2"/>
        <v>0</v>
      </c>
      <c r="L278" s="6">
        <f t="shared" si="4"/>
      </c>
      <c r="M278" s="21">
        <f>IF($A278="",0,SUMIFS('[1]销售出库'!$R$4:$R$2003,'[1]销售出库'!$H$4:$H$2003,$A278,'[1]销售出库'!$Q$4:$Q$2003,'首页'!$B$4*100+M$4))</f>
        <v>0</v>
      </c>
      <c r="N278" s="21">
        <f>IF($A278="",0,SUMIFS('[1]销售出库'!$R$4:$R$2003,'[1]销售出库'!$H$4:$H$2003,$A278,'[1]销售出库'!$Q$4:$Q$2003,'首页'!$B$4*100+N$4))</f>
        <v>0</v>
      </c>
      <c r="O278" s="21">
        <f>IF($A278="",0,SUMIFS('[1]销售出库'!$R$4:$R$2003,'[1]销售出库'!$H$4:$H$2003,$A278,'[1]销售出库'!$Q$4:$Q$2003,'首页'!$B$4*100+O$4))</f>
        <v>0</v>
      </c>
      <c r="P278" s="21">
        <f>IF($A278="",0,SUMIFS('[1]销售出库'!$R$4:$R$2003,'[1]销售出库'!$H$4:$H$2003,$A278,'[1]销售出库'!$Q$4:$Q$2003,'首页'!$B$4*100+P$4))</f>
        <v>0</v>
      </c>
      <c r="Q278" s="21">
        <f>IF($A278="",0,SUMIFS('[1]销售出库'!$R$4:$R$2003,'[1]销售出库'!$H$4:$H$2003,$A278,'[1]销售出库'!$Q$4:$Q$2003,'首页'!$B$4*100+Q$4))</f>
        <v>0</v>
      </c>
      <c r="R278" s="21">
        <f>IF($A278="",0,SUMIFS('[1]销售出库'!$R$4:$R$2003,'[1]销售出库'!$H$4:$H$2003,$A278,'[1]销售出库'!$Q$4:$Q$2003,'首页'!$B$4*100+R$4))</f>
        <v>0</v>
      </c>
      <c r="S278" s="21">
        <f>IF($A278="",0,SUMIFS('[1]销售出库'!$R$4:$R$2003,'[1]销售出库'!$H$4:$H$2003,$A278,'[1]销售出库'!$Q$4:$Q$2003,'首页'!$B$4*100+S$4))</f>
        <v>0</v>
      </c>
      <c r="T278" s="21">
        <f>IF($A278="",0,SUMIFS('[1]销售出库'!$R$4:$R$2003,'[1]销售出库'!$H$4:$H$2003,$A278,'[1]销售出库'!$Q$4:$Q$2003,'首页'!$B$4*100+T$4))</f>
        <v>0</v>
      </c>
      <c r="U278" s="21">
        <f>IF($A278="",0,SUMIFS('[1]销售出库'!$R$4:$R$2003,'[1]销售出库'!$H$4:$H$2003,$A278,'[1]销售出库'!$Q$4:$Q$2003,'首页'!$B$4*100+U$4))</f>
        <v>0</v>
      </c>
      <c r="V278" s="21">
        <f>IF($A278="",0,SUMIFS('[1]销售出库'!$R$4:$R$2003,'[1]销售出库'!$H$4:$H$2003,$A278,'[1]销售出库'!$Q$4:$Q$2003,'首页'!$B$4*100+V$4))</f>
        <v>0</v>
      </c>
      <c r="W278" s="21">
        <f>IF($A278="",0,SUMIFS('[1]销售出库'!$R$4:$R$2003,'[1]销售出库'!$H$4:$H$2003,$A278,'[1]销售出库'!$Q$4:$Q$2003,'首页'!$B$4*100+W$4))</f>
        <v>0</v>
      </c>
      <c r="X278" s="21">
        <f>IF($A278="",0,SUMIFS('[1]销售出库'!$R$4:$R$2003,'[1]销售出库'!$H$4:$H$2003,$A278,'[1]销售出库'!$Q$4:$Q$2003,'首页'!$B$4*100+X$4))</f>
        <v>0</v>
      </c>
    </row>
    <row r="279">
      <c r="A279" s="6">
        <f>IF('[1]基础资料'!$P$278="","",'[1]基础资料'!$P$278)</f>
      </c>
      <c r="B279" s="6">
        <f>IF(A279="","",'[1]基础资料'!$Q$278&amp;"")</f>
      </c>
      <c r="C279" s="21">
        <f>IF(A279="",0,N('[1]基础资料'!$S$278))</f>
        <v>0</v>
      </c>
      <c r="D279" s="11">
        <f>IF(A279="",0,N('[1]基础资料'!$U$278))</f>
        <v>0</v>
      </c>
      <c r="E279" s="21">
        <f>IF(A279="",0,SUMIFS('[1]采购入库'!$U$4:$U$2003,'[1]采购入库'!$I$4:$I$2003,$A279))</f>
        <v>0</v>
      </c>
      <c r="F279" s="11">
        <f>IF(A279="",0,SUMIFS('[1]采购入库'!$V$4:$V$2003,'[1]采购入库'!$I$4:$I$2003,$A279))</f>
        <v>0</v>
      </c>
      <c r="G279" s="21">
        <f>IF(A279="",0,SUMIFS('[1]销售出库'!$R$4:$R$2003,'[1]销售出库'!$H$4:$H$2003,$A279))</f>
        <v>0</v>
      </c>
      <c r="H279" s="11">
        <f t="shared" si="3"/>
        <v>0</v>
      </c>
      <c r="I279" s="11">
        <f t="shared" si="0"/>
        <v>0</v>
      </c>
      <c r="J279" s="21">
        <f t="shared" si="1"/>
        <v>0</v>
      </c>
      <c r="K279" s="11">
        <f t="shared" si="2"/>
        <v>0</v>
      </c>
      <c r="L279" s="6">
        <f t="shared" si="4"/>
      </c>
      <c r="M279" s="21">
        <f>IF($A279="",0,SUMIFS('[1]销售出库'!$R$4:$R$2003,'[1]销售出库'!$H$4:$H$2003,$A279,'[1]销售出库'!$Q$4:$Q$2003,'首页'!$B$4*100+M$4))</f>
        <v>0</v>
      </c>
      <c r="N279" s="21">
        <f>IF($A279="",0,SUMIFS('[1]销售出库'!$R$4:$R$2003,'[1]销售出库'!$H$4:$H$2003,$A279,'[1]销售出库'!$Q$4:$Q$2003,'首页'!$B$4*100+N$4))</f>
        <v>0</v>
      </c>
      <c r="O279" s="21">
        <f>IF($A279="",0,SUMIFS('[1]销售出库'!$R$4:$R$2003,'[1]销售出库'!$H$4:$H$2003,$A279,'[1]销售出库'!$Q$4:$Q$2003,'首页'!$B$4*100+O$4))</f>
        <v>0</v>
      </c>
      <c r="P279" s="21">
        <f>IF($A279="",0,SUMIFS('[1]销售出库'!$R$4:$R$2003,'[1]销售出库'!$H$4:$H$2003,$A279,'[1]销售出库'!$Q$4:$Q$2003,'首页'!$B$4*100+P$4))</f>
        <v>0</v>
      </c>
      <c r="Q279" s="21">
        <f>IF($A279="",0,SUMIFS('[1]销售出库'!$R$4:$R$2003,'[1]销售出库'!$H$4:$H$2003,$A279,'[1]销售出库'!$Q$4:$Q$2003,'首页'!$B$4*100+Q$4))</f>
        <v>0</v>
      </c>
      <c r="R279" s="21">
        <f>IF($A279="",0,SUMIFS('[1]销售出库'!$R$4:$R$2003,'[1]销售出库'!$H$4:$H$2003,$A279,'[1]销售出库'!$Q$4:$Q$2003,'首页'!$B$4*100+R$4))</f>
        <v>0</v>
      </c>
      <c r="S279" s="21">
        <f>IF($A279="",0,SUMIFS('[1]销售出库'!$R$4:$R$2003,'[1]销售出库'!$H$4:$H$2003,$A279,'[1]销售出库'!$Q$4:$Q$2003,'首页'!$B$4*100+S$4))</f>
        <v>0</v>
      </c>
      <c r="T279" s="21">
        <f>IF($A279="",0,SUMIFS('[1]销售出库'!$R$4:$R$2003,'[1]销售出库'!$H$4:$H$2003,$A279,'[1]销售出库'!$Q$4:$Q$2003,'首页'!$B$4*100+T$4))</f>
        <v>0</v>
      </c>
      <c r="U279" s="21">
        <f>IF($A279="",0,SUMIFS('[1]销售出库'!$R$4:$R$2003,'[1]销售出库'!$H$4:$H$2003,$A279,'[1]销售出库'!$Q$4:$Q$2003,'首页'!$B$4*100+U$4))</f>
        <v>0</v>
      </c>
      <c r="V279" s="21">
        <f>IF($A279="",0,SUMIFS('[1]销售出库'!$R$4:$R$2003,'[1]销售出库'!$H$4:$H$2003,$A279,'[1]销售出库'!$Q$4:$Q$2003,'首页'!$B$4*100+V$4))</f>
        <v>0</v>
      </c>
      <c r="W279" s="21">
        <f>IF($A279="",0,SUMIFS('[1]销售出库'!$R$4:$R$2003,'[1]销售出库'!$H$4:$H$2003,$A279,'[1]销售出库'!$Q$4:$Q$2003,'首页'!$B$4*100+W$4))</f>
        <v>0</v>
      </c>
      <c r="X279" s="21">
        <f>IF($A279="",0,SUMIFS('[1]销售出库'!$R$4:$R$2003,'[1]销售出库'!$H$4:$H$2003,$A279,'[1]销售出库'!$Q$4:$Q$2003,'首页'!$B$4*100+X$4))</f>
        <v>0</v>
      </c>
    </row>
    <row r="280">
      <c r="A280" s="6">
        <f>IF('[1]基础资料'!$P$279="","",'[1]基础资料'!$P$279)</f>
      </c>
      <c r="B280" s="6">
        <f>IF(A280="","",'[1]基础资料'!$Q$279&amp;"")</f>
      </c>
      <c r="C280" s="21">
        <f>IF(A280="",0,N('[1]基础资料'!$S$279))</f>
        <v>0</v>
      </c>
      <c r="D280" s="11">
        <f>IF(A280="",0,N('[1]基础资料'!$U$279))</f>
        <v>0</v>
      </c>
      <c r="E280" s="21">
        <f>IF(A280="",0,SUMIFS('[1]采购入库'!$U$4:$U$2003,'[1]采购入库'!$I$4:$I$2003,$A280))</f>
        <v>0</v>
      </c>
      <c r="F280" s="11">
        <f>IF(A280="",0,SUMIFS('[1]采购入库'!$V$4:$V$2003,'[1]采购入库'!$I$4:$I$2003,$A280))</f>
        <v>0</v>
      </c>
      <c r="G280" s="21">
        <f>IF(A280="",0,SUMIFS('[1]销售出库'!$R$4:$R$2003,'[1]销售出库'!$H$4:$H$2003,$A280))</f>
        <v>0</v>
      </c>
      <c r="H280" s="11">
        <f t="shared" si="3"/>
        <v>0</v>
      </c>
      <c r="I280" s="11">
        <f t="shared" si="0"/>
        <v>0</v>
      </c>
      <c r="J280" s="21">
        <f t="shared" si="1"/>
        <v>0</v>
      </c>
      <c r="K280" s="11">
        <f t="shared" si="2"/>
        <v>0</v>
      </c>
      <c r="L280" s="6">
        <f t="shared" si="4"/>
      </c>
      <c r="M280" s="21">
        <f>IF($A280="",0,SUMIFS('[1]销售出库'!$R$4:$R$2003,'[1]销售出库'!$H$4:$H$2003,$A280,'[1]销售出库'!$Q$4:$Q$2003,'首页'!$B$4*100+M$4))</f>
        <v>0</v>
      </c>
      <c r="N280" s="21">
        <f>IF($A280="",0,SUMIFS('[1]销售出库'!$R$4:$R$2003,'[1]销售出库'!$H$4:$H$2003,$A280,'[1]销售出库'!$Q$4:$Q$2003,'首页'!$B$4*100+N$4))</f>
        <v>0</v>
      </c>
      <c r="O280" s="21">
        <f>IF($A280="",0,SUMIFS('[1]销售出库'!$R$4:$R$2003,'[1]销售出库'!$H$4:$H$2003,$A280,'[1]销售出库'!$Q$4:$Q$2003,'首页'!$B$4*100+O$4))</f>
        <v>0</v>
      </c>
      <c r="P280" s="21">
        <f>IF($A280="",0,SUMIFS('[1]销售出库'!$R$4:$R$2003,'[1]销售出库'!$H$4:$H$2003,$A280,'[1]销售出库'!$Q$4:$Q$2003,'首页'!$B$4*100+P$4))</f>
        <v>0</v>
      </c>
      <c r="Q280" s="21">
        <f>IF($A280="",0,SUMIFS('[1]销售出库'!$R$4:$R$2003,'[1]销售出库'!$H$4:$H$2003,$A280,'[1]销售出库'!$Q$4:$Q$2003,'首页'!$B$4*100+Q$4))</f>
        <v>0</v>
      </c>
      <c r="R280" s="21">
        <f>IF($A280="",0,SUMIFS('[1]销售出库'!$R$4:$R$2003,'[1]销售出库'!$H$4:$H$2003,$A280,'[1]销售出库'!$Q$4:$Q$2003,'首页'!$B$4*100+R$4))</f>
        <v>0</v>
      </c>
      <c r="S280" s="21">
        <f>IF($A280="",0,SUMIFS('[1]销售出库'!$R$4:$R$2003,'[1]销售出库'!$H$4:$H$2003,$A280,'[1]销售出库'!$Q$4:$Q$2003,'首页'!$B$4*100+S$4))</f>
        <v>0</v>
      </c>
      <c r="T280" s="21">
        <f>IF($A280="",0,SUMIFS('[1]销售出库'!$R$4:$R$2003,'[1]销售出库'!$H$4:$H$2003,$A280,'[1]销售出库'!$Q$4:$Q$2003,'首页'!$B$4*100+T$4))</f>
        <v>0</v>
      </c>
      <c r="U280" s="21">
        <f>IF($A280="",0,SUMIFS('[1]销售出库'!$R$4:$R$2003,'[1]销售出库'!$H$4:$H$2003,$A280,'[1]销售出库'!$Q$4:$Q$2003,'首页'!$B$4*100+U$4))</f>
        <v>0</v>
      </c>
      <c r="V280" s="21">
        <f>IF($A280="",0,SUMIFS('[1]销售出库'!$R$4:$R$2003,'[1]销售出库'!$H$4:$H$2003,$A280,'[1]销售出库'!$Q$4:$Q$2003,'首页'!$B$4*100+V$4))</f>
        <v>0</v>
      </c>
      <c r="W280" s="21">
        <f>IF($A280="",0,SUMIFS('[1]销售出库'!$R$4:$R$2003,'[1]销售出库'!$H$4:$H$2003,$A280,'[1]销售出库'!$Q$4:$Q$2003,'首页'!$B$4*100+W$4))</f>
        <v>0</v>
      </c>
      <c r="X280" s="21">
        <f>IF($A280="",0,SUMIFS('[1]销售出库'!$R$4:$R$2003,'[1]销售出库'!$H$4:$H$2003,$A280,'[1]销售出库'!$Q$4:$Q$2003,'首页'!$B$4*100+X$4))</f>
        <v>0</v>
      </c>
    </row>
    <row r="281">
      <c r="A281" s="6">
        <f>IF('[1]基础资料'!$P$280="","",'[1]基础资料'!$P$280)</f>
      </c>
      <c r="B281" s="6">
        <f>IF(A281="","",'[1]基础资料'!$Q$280&amp;"")</f>
      </c>
      <c r="C281" s="21">
        <f>IF(A281="",0,N('[1]基础资料'!$S$280))</f>
        <v>0</v>
      </c>
      <c r="D281" s="11">
        <f>IF(A281="",0,N('[1]基础资料'!$U$280))</f>
        <v>0</v>
      </c>
      <c r="E281" s="21">
        <f>IF(A281="",0,SUMIFS('[1]采购入库'!$U$4:$U$2003,'[1]采购入库'!$I$4:$I$2003,$A281))</f>
        <v>0</v>
      </c>
      <c r="F281" s="11">
        <f>IF(A281="",0,SUMIFS('[1]采购入库'!$V$4:$V$2003,'[1]采购入库'!$I$4:$I$2003,$A281))</f>
        <v>0</v>
      </c>
      <c r="G281" s="21">
        <f>IF(A281="",0,SUMIFS('[1]销售出库'!$R$4:$R$2003,'[1]销售出库'!$H$4:$H$2003,$A281))</f>
        <v>0</v>
      </c>
      <c r="H281" s="11">
        <f t="shared" si="3"/>
        <v>0</v>
      </c>
      <c r="I281" s="11">
        <f t="shared" si="0"/>
        <v>0</v>
      </c>
      <c r="J281" s="21">
        <f t="shared" si="1"/>
        <v>0</v>
      </c>
      <c r="K281" s="11">
        <f t="shared" si="2"/>
        <v>0</v>
      </c>
      <c r="L281" s="6">
        <f t="shared" si="4"/>
      </c>
      <c r="M281" s="21">
        <f>IF($A281="",0,SUMIFS('[1]销售出库'!$R$4:$R$2003,'[1]销售出库'!$H$4:$H$2003,$A281,'[1]销售出库'!$Q$4:$Q$2003,'首页'!$B$4*100+M$4))</f>
        <v>0</v>
      </c>
      <c r="N281" s="21">
        <f>IF($A281="",0,SUMIFS('[1]销售出库'!$R$4:$R$2003,'[1]销售出库'!$H$4:$H$2003,$A281,'[1]销售出库'!$Q$4:$Q$2003,'首页'!$B$4*100+N$4))</f>
        <v>0</v>
      </c>
      <c r="O281" s="21">
        <f>IF($A281="",0,SUMIFS('[1]销售出库'!$R$4:$R$2003,'[1]销售出库'!$H$4:$H$2003,$A281,'[1]销售出库'!$Q$4:$Q$2003,'首页'!$B$4*100+O$4))</f>
        <v>0</v>
      </c>
      <c r="P281" s="21">
        <f>IF($A281="",0,SUMIFS('[1]销售出库'!$R$4:$R$2003,'[1]销售出库'!$H$4:$H$2003,$A281,'[1]销售出库'!$Q$4:$Q$2003,'首页'!$B$4*100+P$4))</f>
        <v>0</v>
      </c>
      <c r="Q281" s="21">
        <f>IF($A281="",0,SUMIFS('[1]销售出库'!$R$4:$R$2003,'[1]销售出库'!$H$4:$H$2003,$A281,'[1]销售出库'!$Q$4:$Q$2003,'首页'!$B$4*100+Q$4))</f>
        <v>0</v>
      </c>
      <c r="R281" s="21">
        <f>IF($A281="",0,SUMIFS('[1]销售出库'!$R$4:$R$2003,'[1]销售出库'!$H$4:$H$2003,$A281,'[1]销售出库'!$Q$4:$Q$2003,'首页'!$B$4*100+R$4))</f>
        <v>0</v>
      </c>
      <c r="S281" s="21">
        <f>IF($A281="",0,SUMIFS('[1]销售出库'!$R$4:$R$2003,'[1]销售出库'!$H$4:$H$2003,$A281,'[1]销售出库'!$Q$4:$Q$2003,'首页'!$B$4*100+S$4))</f>
        <v>0</v>
      </c>
      <c r="T281" s="21">
        <f>IF($A281="",0,SUMIFS('[1]销售出库'!$R$4:$R$2003,'[1]销售出库'!$H$4:$H$2003,$A281,'[1]销售出库'!$Q$4:$Q$2003,'首页'!$B$4*100+T$4))</f>
        <v>0</v>
      </c>
      <c r="U281" s="21">
        <f>IF($A281="",0,SUMIFS('[1]销售出库'!$R$4:$R$2003,'[1]销售出库'!$H$4:$H$2003,$A281,'[1]销售出库'!$Q$4:$Q$2003,'首页'!$B$4*100+U$4))</f>
        <v>0</v>
      </c>
      <c r="V281" s="21">
        <f>IF($A281="",0,SUMIFS('[1]销售出库'!$R$4:$R$2003,'[1]销售出库'!$H$4:$H$2003,$A281,'[1]销售出库'!$Q$4:$Q$2003,'首页'!$B$4*100+V$4))</f>
        <v>0</v>
      </c>
      <c r="W281" s="21">
        <f>IF($A281="",0,SUMIFS('[1]销售出库'!$R$4:$R$2003,'[1]销售出库'!$H$4:$H$2003,$A281,'[1]销售出库'!$Q$4:$Q$2003,'首页'!$B$4*100+W$4))</f>
        <v>0</v>
      </c>
      <c r="X281" s="21">
        <f>IF($A281="",0,SUMIFS('[1]销售出库'!$R$4:$R$2003,'[1]销售出库'!$H$4:$H$2003,$A281,'[1]销售出库'!$Q$4:$Q$2003,'首页'!$B$4*100+X$4))</f>
        <v>0</v>
      </c>
    </row>
    <row r="282">
      <c r="A282" s="6">
        <f>IF('[1]基础资料'!$P$281="","",'[1]基础资料'!$P$281)</f>
      </c>
      <c r="B282" s="6">
        <f>IF(A282="","",'[1]基础资料'!$Q$281&amp;"")</f>
      </c>
      <c r="C282" s="21">
        <f>IF(A282="",0,N('[1]基础资料'!$S$281))</f>
        <v>0</v>
      </c>
      <c r="D282" s="11">
        <f>IF(A282="",0,N('[1]基础资料'!$U$281))</f>
        <v>0</v>
      </c>
      <c r="E282" s="21">
        <f>IF(A282="",0,SUMIFS('[1]采购入库'!$U$4:$U$2003,'[1]采购入库'!$I$4:$I$2003,$A282))</f>
        <v>0</v>
      </c>
      <c r="F282" s="11">
        <f>IF(A282="",0,SUMIFS('[1]采购入库'!$V$4:$V$2003,'[1]采购入库'!$I$4:$I$2003,$A282))</f>
        <v>0</v>
      </c>
      <c r="G282" s="21">
        <f>IF(A282="",0,SUMIFS('[1]销售出库'!$R$4:$R$2003,'[1]销售出库'!$H$4:$H$2003,$A282))</f>
        <v>0</v>
      </c>
      <c r="H282" s="11">
        <f t="shared" si="3"/>
        <v>0</v>
      </c>
      <c r="I282" s="11">
        <f t="shared" si="0"/>
        <v>0</v>
      </c>
      <c r="J282" s="21">
        <f t="shared" si="1"/>
        <v>0</v>
      </c>
      <c r="K282" s="11">
        <f t="shared" si="2"/>
        <v>0</v>
      </c>
      <c r="L282" s="6">
        <f t="shared" si="4"/>
      </c>
      <c r="M282" s="21">
        <f>IF($A282="",0,SUMIFS('[1]销售出库'!$R$4:$R$2003,'[1]销售出库'!$H$4:$H$2003,$A282,'[1]销售出库'!$Q$4:$Q$2003,'首页'!$B$4*100+M$4))</f>
        <v>0</v>
      </c>
      <c r="N282" s="21">
        <f>IF($A282="",0,SUMIFS('[1]销售出库'!$R$4:$R$2003,'[1]销售出库'!$H$4:$H$2003,$A282,'[1]销售出库'!$Q$4:$Q$2003,'首页'!$B$4*100+N$4))</f>
        <v>0</v>
      </c>
      <c r="O282" s="21">
        <f>IF($A282="",0,SUMIFS('[1]销售出库'!$R$4:$R$2003,'[1]销售出库'!$H$4:$H$2003,$A282,'[1]销售出库'!$Q$4:$Q$2003,'首页'!$B$4*100+O$4))</f>
        <v>0</v>
      </c>
      <c r="P282" s="21">
        <f>IF($A282="",0,SUMIFS('[1]销售出库'!$R$4:$R$2003,'[1]销售出库'!$H$4:$H$2003,$A282,'[1]销售出库'!$Q$4:$Q$2003,'首页'!$B$4*100+P$4))</f>
        <v>0</v>
      </c>
      <c r="Q282" s="21">
        <f>IF($A282="",0,SUMIFS('[1]销售出库'!$R$4:$R$2003,'[1]销售出库'!$H$4:$H$2003,$A282,'[1]销售出库'!$Q$4:$Q$2003,'首页'!$B$4*100+Q$4))</f>
        <v>0</v>
      </c>
      <c r="R282" s="21">
        <f>IF($A282="",0,SUMIFS('[1]销售出库'!$R$4:$R$2003,'[1]销售出库'!$H$4:$H$2003,$A282,'[1]销售出库'!$Q$4:$Q$2003,'首页'!$B$4*100+R$4))</f>
        <v>0</v>
      </c>
      <c r="S282" s="21">
        <f>IF($A282="",0,SUMIFS('[1]销售出库'!$R$4:$R$2003,'[1]销售出库'!$H$4:$H$2003,$A282,'[1]销售出库'!$Q$4:$Q$2003,'首页'!$B$4*100+S$4))</f>
        <v>0</v>
      </c>
      <c r="T282" s="21">
        <f>IF($A282="",0,SUMIFS('[1]销售出库'!$R$4:$R$2003,'[1]销售出库'!$H$4:$H$2003,$A282,'[1]销售出库'!$Q$4:$Q$2003,'首页'!$B$4*100+T$4))</f>
        <v>0</v>
      </c>
      <c r="U282" s="21">
        <f>IF($A282="",0,SUMIFS('[1]销售出库'!$R$4:$R$2003,'[1]销售出库'!$H$4:$H$2003,$A282,'[1]销售出库'!$Q$4:$Q$2003,'首页'!$B$4*100+U$4))</f>
        <v>0</v>
      </c>
      <c r="V282" s="21">
        <f>IF($A282="",0,SUMIFS('[1]销售出库'!$R$4:$R$2003,'[1]销售出库'!$H$4:$H$2003,$A282,'[1]销售出库'!$Q$4:$Q$2003,'首页'!$B$4*100+V$4))</f>
        <v>0</v>
      </c>
      <c r="W282" s="21">
        <f>IF($A282="",0,SUMIFS('[1]销售出库'!$R$4:$R$2003,'[1]销售出库'!$H$4:$H$2003,$A282,'[1]销售出库'!$Q$4:$Q$2003,'首页'!$B$4*100+W$4))</f>
        <v>0</v>
      </c>
      <c r="X282" s="21">
        <f>IF($A282="",0,SUMIFS('[1]销售出库'!$R$4:$R$2003,'[1]销售出库'!$H$4:$H$2003,$A282,'[1]销售出库'!$Q$4:$Q$2003,'首页'!$B$4*100+X$4))</f>
        <v>0</v>
      </c>
    </row>
    <row r="283">
      <c r="A283" s="6">
        <f>IF('[1]基础资料'!$P$282="","",'[1]基础资料'!$P$282)</f>
      </c>
      <c r="B283" s="6">
        <f>IF(A283="","",'[1]基础资料'!$Q$282&amp;"")</f>
      </c>
      <c r="C283" s="21">
        <f>IF(A283="",0,N('[1]基础资料'!$S$282))</f>
        <v>0</v>
      </c>
      <c r="D283" s="11">
        <f>IF(A283="",0,N('[1]基础资料'!$U$282))</f>
        <v>0</v>
      </c>
      <c r="E283" s="21">
        <f>IF(A283="",0,SUMIFS('[1]采购入库'!$U$4:$U$2003,'[1]采购入库'!$I$4:$I$2003,$A283))</f>
        <v>0</v>
      </c>
      <c r="F283" s="11">
        <f>IF(A283="",0,SUMIFS('[1]采购入库'!$V$4:$V$2003,'[1]采购入库'!$I$4:$I$2003,$A283))</f>
        <v>0</v>
      </c>
      <c r="G283" s="21">
        <f>IF(A283="",0,SUMIFS('[1]销售出库'!$R$4:$R$2003,'[1]销售出库'!$H$4:$H$2003,$A283))</f>
        <v>0</v>
      </c>
      <c r="H283" s="11">
        <f t="shared" si="3"/>
        <v>0</v>
      </c>
      <c r="I283" s="11">
        <f t="shared" si="0"/>
        <v>0</v>
      </c>
      <c r="J283" s="21">
        <f t="shared" si="1"/>
        <v>0</v>
      </c>
      <c r="K283" s="11">
        <f t="shared" si="2"/>
        <v>0</v>
      </c>
      <c r="L283" s="6">
        <f t="shared" si="4"/>
      </c>
      <c r="M283" s="21">
        <f>IF($A283="",0,SUMIFS('[1]销售出库'!$R$4:$R$2003,'[1]销售出库'!$H$4:$H$2003,$A283,'[1]销售出库'!$Q$4:$Q$2003,'首页'!$B$4*100+M$4))</f>
        <v>0</v>
      </c>
      <c r="N283" s="21">
        <f>IF($A283="",0,SUMIFS('[1]销售出库'!$R$4:$R$2003,'[1]销售出库'!$H$4:$H$2003,$A283,'[1]销售出库'!$Q$4:$Q$2003,'首页'!$B$4*100+N$4))</f>
        <v>0</v>
      </c>
      <c r="O283" s="21">
        <f>IF($A283="",0,SUMIFS('[1]销售出库'!$R$4:$R$2003,'[1]销售出库'!$H$4:$H$2003,$A283,'[1]销售出库'!$Q$4:$Q$2003,'首页'!$B$4*100+O$4))</f>
        <v>0</v>
      </c>
      <c r="P283" s="21">
        <f>IF($A283="",0,SUMIFS('[1]销售出库'!$R$4:$R$2003,'[1]销售出库'!$H$4:$H$2003,$A283,'[1]销售出库'!$Q$4:$Q$2003,'首页'!$B$4*100+P$4))</f>
        <v>0</v>
      </c>
      <c r="Q283" s="21">
        <f>IF($A283="",0,SUMIFS('[1]销售出库'!$R$4:$R$2003,'[1]销售出库'!$H$4:$H$2003,$A283,'[1]销售出库'!$Q$4:$Q$2003,'首页'!$B$4*100+Q$4))</f>
        <v>0</v>
      </c>
      <c r="R283" s="21">
        <f>IF($A283="",0,SUMIFS('[1]销售出库'!$R$4:$R$2003,'[1]销售出库'!$H$4:$H$2003,$A283,'[1]销售出库'!$Q$4:$Q$2003,'首页'!$B$4*100+R$4))</f>
        <v>0</v>
      </c>
      <c r="S283" s="21">
        <f>IF($A283="",0,SUMIFS('[1]销售出库'!$R$4:$R$2003,'[1]销售出库'!$H$4:$H$2003,$A283,'[1]销售出库'!$Q$4:$Q$2003,'首页'!$B$4*100+S$4))</f>
        <v>0</v>
      </c>
      <c r="T283" s="21">
        <f>IF($A283="",0,SUMIFS('[1]销售出库'!$R$4:$R$2003,'[1]销售出库'!$H$4:$H$2003,$A283,'[1]销售出库'!$Q$4:$Q$2003,'首页'!$B$4*100+T$4))</f>
        <v>0</v>
      </c>
      <c r="U283" s="21">
        <f>IF($A283="",0,SUMIFS('[1]销售出库'!$R$4:$R$2003,'[1]销售出库'!$H$4:$H$2003,$A283,'[1]销售出库'!$Q$4:$Q$2003,'首页'!$B$4*100+U$4))</f>
        <v>0</v>
      </c>
      <c r="V283" s="21">
        <f>IF($A283="",0,SUMIFS('[1]销售出库'!$R$4:$R$2003,'[1]销售出库'!$H$4:$H$2003,$A283,'[1]销售出库'!$Q$4:$Q$2003,'首页'!$B$4*100+V$4))</f>
        <v>0</v>
      </c>
      <c r="W283" s="21">
        <f>IF($A283="",0,SUMIFS('[1]销售出库'!$R$4:$R$2003,'[1]销售出库'!$H$4:$H$2003,$A283,'[1]销售出库'!$Q$4:$Q$2003,'首页'!$B$4*100+W$4))</f>
        <v>0</v>
      </c>
      <c r="X283" s="21">
        <f>IF($A283="",0,SUMIFS('[1]销售出库'!$R$4:$R$2003,'[1]销售出库'!$H$4:$H$2003,$A283,'[1]销售出库'!$Q$4:$Q$2003,'首页'!$B$4*100+X$4))</f>
        <v>0</v>
      </c>
    </row>
    <row r="284">
      <c r="A284" s="6">
        <f>IF('[1]基础资料'!$P$283="","",'[1]基础资料'!$P$283)</f>
      </c>
      <c r="B284" s="6">
        <f>IF(A284="","",'[1]基础资料'!$Q$283&amp;"")</f>
      </c>
      <c r="C284" s="21">
        <f>IF(A284="",0,N('[1]基础资料'!$S$283))</f>
        <v>0</v>
      </c>
      <c r="D284" s="11">
        <f>IF(A284="",0,N('[1]基础资料'!$U$283))</f>
        <v>0</v>
      </c>
      <c r="E284" s="21">
        <f>IF(A284="",0,SUMIFS('[1]采购入库'!$U$4:$U$2003,'[1]采购入库'!$I$4:$I$2003,$A284))</f>
        <v>0</v>
      </c>
      <c r="F284" s="11">
        <f>IF(A284="",0,SUMIFS('[1]采购入库'!$V$4:$V$2003,'[1]采购入库'!$I$4:$I$2003,$A284))</f>
        <v>0</v>
      </c>
      <c r="G284" s="21">
        <f>IF(A284="",0,SUMIFS('[1]销售出库'!$R$4:$R$2003,'[1]销售出库'!$H$4:$H$2003,$A284))</f>
        <v>0</v>
      </c>
      <c r="H284" s="11">
        <f t="shared" si="3"/>
        <v>0</v>
      </c>
      <c r="I284" s="11">
        <f t="shared" si="0"/>
        <v>0</v>
      </c>
      <c r="J284" s="21">
        <f t="shared" si="1"/>
        <v>0</v>
      </c>
      <c r="K284" s="11">
        <f t="shared" si="2"/>
        <v>0</v>
      </c>
      <c r="L284" s="6">
        <f t="shared" si="4"/>
      </c>
      <c r="M284" s="21">
        <f>IF($A284="",0,SUMIFS('[1]销售出库'!$R$4:$R$2003,'[1]销售出库'!$H$4:$H$2003,$A284,'[1]销售出库'!$Q$4:$Q$2003,'首页'!$B$4*100+M$4))</f>
        <v>0</v>
      </c>
      <c r="N284" s="21">
        <f>IF($A284="",0,SUMIFS('[1]销售出库'!$R$4:$R$2003,'[1]销售出库'!$H$4:$H$2003,$A284,'[1]销售出库'!$Q$4:$Q$2003,'首页'!$B$4*100+N$4))</f>
        <v>0</v>
      </c>
      <c r="O284" s="21">
        <f>IF($A284="",0,SUMIFS('[1]销售出库'!$R$4:$R$2003,'[1]销售出库'!$H$4:$H$2003,$A284,'[1]销售出库'!$Q$4:$Q$2003,'首页'!$B$4*100+O$4))</f>
        <v>0</v>
      </c>
      <c r="P284" s="21">
        <f>IF($A284="",0,SUMIFS('[1]销售出库'!$R$4:$R$2003,'[1]销售出库'!$H$4:$H$2003,$A284,'[1]销售出库'!$Q$4:$Q$2003,'首页'!$B$4*100+P$4))</f>
        <v>0</v>
      </c>
      <c r="Q284" s="21">
        <f>IF($A284="",0,SUMIFS('[1]销售出库'!$R$4:$R$2003,'[1]销售出库'!$H$4:$H$2003,$A284,'[1]销售出库'!$Q$4:$Q$2003,'首页'!$B$4*100+Q$4))</f>
        <v>0</v>
      </c>
      <c r="R284" s="21">
        <f>IF($A284="",0,SUMIFS('[1]销售出库'!$R$4:$R$2003,'[1]销售出库'!$H$4:$H$2003,$A284,'[1]销售出库'!$Q$4:$Q$2003,'首页'!$B$4*100+R$4))</f>
        <v>0</v>
      </c>
      <c r="S284" s="21">
        <f>IF($A284="",0,SUMIFS('[1]销售出库'!$R$4:$R$2003,'[1]销售出库'!$H$4:$H$2003,$A284,'[1]销售出库'!$Q$4:$Q$2003,'首页'!$B$4*100+S$4))</f>
        <v>0</v>
      </c>
      <c r="T284" s="21">
        <f>IF($A284="",0,SUMIFS('[1]销售出库'!$R$4:$R$2003,'[1]销售出库'!$H$4:$H$2003,$A284,'[1]销售出库'!$Q$4:$Q$2003,'首页'!$B$4*100+T$4))</f>
        <v>0</v>
      </c>
      <c r="U284" s="21">
        <f>IF($A284="",0,SUMIFS('[1]销售出库'!$R$4:$R$2003,'[1]销售出库'!$H$4:$H$2003,$A284,'[1]销售出库'!$Q$4:$Q$2003,'首页'!$B$4*100+U$4))</f>
        <v>0</v>
      </c>
      <c r="V284" s="21">
        <f>IF($A284="",0,SUMIFS('[1]销售出库'!$R$4:$R$2003,'[1]销售出库'!$H$4:$H$2003,$A284,'[1]销售出库'!$Q$4:$Q$2003,'首页'!$B$4*100+V$4))</f>
        <v>0</v>
      </c>
      <c r="W284" s="21">
        <f>IF($A284="",0,SUMIFS('[1]销售出库'!$R$4:$R$2003,'[1]销售出库'!$H$4:$H$2003,$A284,'[1]销售出库'!$Q$4:$Q$2003,'首页'!$B$4*100+W$4))</f>
        <v>0</v>
      </c>
      <c r="X284" s="21">
        <f>IF($A284="",0,SUMIFS('[1]销售出库'!$R$4:$R$2003,'[1]销售出库'!$H$4:$H$2003,$A284,'[1]销售出库'!$Q$4:$Q$2003,'首页'!$B$4*100+X$4))</f>
        <v>0</v>
      </c>
    </row>
    <row r="285">
      <c r="A285" s="6">
        <f>IF('[1]基础资料'!$P$284="","",'[1]基础资料'!$P$284)</f>
      </c>
      <c r="B285" s="6">
        <f>IF(A285="","",'[1]基础资料'!$Q$284&amp;"")</f>
      </c>
      <c r="C285" s="21">
        <f>IF(A285="",0,N('[1]基础资料'!$S$284))</f>
        <v>0</v>
      </c>
      <c r="D285" s="11">
        <f>IF(A285="",0,N('[1]基础资料'!$U$284))</f>
        <v>0</v>
      </c>
      <c r="E285" s="21">
        <f>IF(A285="",0,SUMIFS('[1]采购入库'!$U$4:$U$2003,'[1]采购入库'!$I$4:$I$2003,$A285))</f>
        <v>0</v>
      </c>
      <c r="F285" s="11">
        <f>IF(A285="",0,SUMIFS('[1]采购入库'!$V$4:$V$2003,'[1]采购入库'!$I$4:$I$2003,$A285))</f>
        <v>0</v>
      </c>
      <c r="G285" s="21">
        <f>IF(A285="",0,SUMIFS('[1]销售出库'!$R$4:$R$2003,'[1]销售出库'!$H$4:$H$2003,$A285))</f>
        <v>0</v>
      </c>
      <c r="H285" s="11">
        <f t="shared" si="3"/>
        <v>0</v>
      </c>
      <c r="I285" s="11">
        <f t="shared" si="0"/>
        <v>0</v>
      </c>
      <c r="J285" s="21">
        <f t="shared" si="1"/>
        <v>0</v>
      </c>
      <c r="K285" s="11">
        <f t="shared" si="2"/>
        <v>0</v>
      </c>
      <c r="L285" s="6">
        <f t="shared" si="4"/>
      </c>
      <c r="M285" s="21">
        <f>IF($A285="",0,SUMIFS('[1]销售出库'!$R$4:$R$2003,'[1]销售出库'!$H$4:$H$2003,$A285,'[1]销售出库'!$Q$4:$Q$2003,'首页'!$B$4*100+M$4))</f>
        <v>0</v>
      </c>
      <c r="N285" s="21">
        <f>IF($A285="",0,SUMIFS('[1]销售出库'!$R$4:$R$2003,'[1]销售出库'!$H$4:$H$2003,$A285,'[1]销售出库'!$Q$4:$Q$2003,'首页'!$B$4*100+N$4))</f>
        <v>0</v>
      </c>
      <c r="O285" s="21">
        <f>IF($A285="",0,SUMIFS('[1]销售出库'!$R$4:$R$2003,'[1]销售出库'!$H$4:$H$2003,$A285,'[1]销售出库'!$Q$4:$Q$2003,'首页'!$B$4*100+O$4))</f>
        <v>0</v>
      </c>
      <c r="P285" s="21">
        <f>IF($A285="",0,SUMIFS('[1]销售出库'!$R$4:$R$2003,'[1]销售出库'!$H$4:$H$2003,$A285,'[1]销售出库'!$Q$4:$Q$2003,'首页'!$B$4*100+P$4))</f>
        <v>0</v>
      </c>
      <c r="Q285" s="21">
        <f>IF($A285="",0,SUMIFS('[1]销售出库'!$R$4:$R$2003,'[1]销售出库'!$H$4:$H$2003,$A285,'[1]销售出库'!$Q$4:$Q$2003,'首页'!$B$4*100+Q$4))</f>
        <v>0</v>
      </c>
      <c r="R285" s="21">
        <f>IF($A285="",0,SUMIFS('[1]销售出库'!$R$4:$R$2003,'[1]销售出库'!$H$4:$H$2003,$A285,'[1]销售出库'!$Q$4:$Q$2003,'首页'!$B$4*100+R$4))</f>
        <v>0</v>
      </c>
      <c r="S285" s="21">
        <f>IF($A285="",0,SUMIFS('[1]销售出库'!$R$4:$R$2003,'[1]销售出库'!$H$4:$H$2003,$A285,'[1]销售出库'!$Q$4:$Q$2003,'首页'!$B$4*100+S$4))</f>
        <v>0</v>
      </c>
      <c r="T285" s="21">
        <f>IF($A285="",0,SUMIFS('[1]销售出库'!$R$4:$R$2003,'[1]销售出库'!$H$4:$H$2003,$A285,'[1]销售出库'!$Q$4:$Q$2003,'首页'!$B$4*100+T$4))</f>
        <v>0</v>
      </c>
      <c r="U285" s="21">
        <f>IF($A285="",0,SUMIFS('[1]销售出库'!$R$4:$R$2003,'[1]销售出库'!$H$4:$H$2003,$A285,'[1]销售出库'!$Q$4:$Q$2003,'首页'!$B$4*100+U$4))</f>
        <v>0</v>
      </c>
      <c r="V285" s="21">
        <f>IF($A285="",0,SUMIFS('[1]销售出库'!$R$4:$R$2003,'[1]销售出库'!$H$4:$H$2003,$A285,'[1]销售出库'!$Q$4:$Q$2003,'首页'!$B$4*100+V$4))</f>
        <v>0</v>
      </c>
      <c r="W285" s="21">
        <f>IF($A285="",0,SUMIFS('[1]销售出库'!$R$4:$R$2003,'[1]销售出库'!$H$4:$H$2003,$A285,'[1]销售出库'!$Q$4:$Q$2003,'首页'!$B$4*100+W$4))</f>
        <v>0</v>
      </c>
      <c r="X285" s="21">
        <f>IF($A285="",0,SUMIFS('[1]销售出库'!$R$4:$R$2003,'[1]销售出库'!$H$4:$H$2003,$A285,'[1]销售出库'!$Q$4:$Q$2003,'首页'!$B$4*100+X$4))</f>
        <v>0</v>
      </c>
    </row>
    <row r="286">
      <c r="A286" s="6">
        <f>IF('[1]基础资料'!$P$285="","",'[1]基础资料'!$P$285)</f>
      </c>
      <c r="B286" s="6">
        <f>IF(A286="","",'[1]基础资料'!$Q$285&amp;"")</f>
      </c>
      <c r="C286" s="21">
        <f>IF(A286="",0,N('[1]基础资料'!$S$285))</f>
        <v>0</v>
      </c>
      <c r="D286" s="11">
        <f>IF(A286="",0,N('[1]基础资料'!$U$285))</f>
        <v>0</v>
      </c>
      <c r="E286" s="21">
        <f>IF(A286="",0,SUMIFS('[1]采购入库'!$U$4:$U$2003,'[1]采购入库'!$I$4:$I$2003,$A286))</f>
        <v>0</v>
      </c>
      <c r="F286" s="11">
        <f>IF(A286="",0,SUMIFS('[1]采购入库'!$V$4:$V$2003,'[1]采购入库'!$I$4:$I$2003,$A286))</f>
        <v>0</v>
      </c>
      <c r="G286" s="21">
        <f>IF(A286="",0,SUMIFS('[1]销售出库'!$R$4:$R$2003,'[1]销售出库'!$H$4:$H$2003,$A286))</f>
        <v>0</v>
      </c>
      <c r="H286" s="11">
        <f t="shared" si="3"/>
        <v>0</v>
      </c>
      <c r="I286" s="11">
        <f t="shared" si="0"/>
        <v>0</v>
      </c>
      <c r="J286" s="21">
        <f t="shared" si="1"/>
        <v>0</v>
      </c>
      <c r="K286" s="11">
        <f t="shared" si="2"/>
        <v>0</v>
      </c>
      <c r="L286" s="6">
        <f t="shared" si="4"/>
      </c>
      <c r="M286" s="21">
        <f>IF($A286="",0,SUMIFS('[1]销售出库'!$R$4:$R$2003,'[1]销售出库'!$H$4:$H$2003,$A286,'[1]销售出库'!$Q$4:$Q$2003,'首页'!$B$4*100+M$4))</f>
        <v>0</v>
      </c>
      <c r="N286" s="21">
        <f>IF($A286="",0,SUMIFS('[1]销售出库'!$R$4:$R$2003,'[1]销售出库'!$H$4:$H$2003,$A286,'[1]销售出库'!$Q$4:$Q$2003,'首页'!$B$4*100+N$4))</f>
        <v>0</v>
      </c>
      <c r="O286" s="21">
        <f>IF($A286="",0,SUMIFS('[1]销售出库'!$R$4:$R$2003,'[1]销售出库'!$H$4:$H$2003,$A286,'[1]销售出库'!$Q$4:$Q$2003,'首页'!$B$4*100+O$4))</f>
        <v>0</v>
      </c>
      <c r="P286" s="21">
        <f>IF($A286="",0,SUMIFS('[1]销售出库'!$R$4:$R$2003,'[1]销售出库'!$H$4:$H$2003,$A286,'[1]销售出库'!$Q$4:$Q$2003,'首页'!$B$4*100+P$4))</f>
        <v>0</v>
      </c>
      <c r="Q286" s="21">
        <f>IF($A286="",0,SUMIFS('[1]销售出库'!$R$4:$R$2003,'[1]销售出库'!$H$4:$H$2003,$A286,'[1]销售出库'!$Q$4:$Q$2003,'首页'!$B$4*100+Q$4))</f>
        <v>0</v>
      </c>
      <c r="R286" s="21">
        <f>IF($A286="",0,SUMIFS('[1]销售出库'!$R$4:$R$2003,'[1]销售出库'!$H$4:$H$2003,$A286,'[1]销售出库'!$Q$4:$Q$2003,'首页'!$B$4*100+R$4))</f>
        <v>0</v>
      </c>
      <c r="S286" s="21">
        <f>IF($A286="",0,SUMIFS('[1]销售出库'!$R$4:$R$2003,'[1]销售出库'!$H$4:$H$2003,$A286,'[1]销售出库'!$Q$4:$Q$2003,'首页'!$B$4*100+S$4))</f>
        <v>0</v>
      </c>
      <c r="T286" s="21">
        <f>IF($A286="",0,SUMIFS('[1]销售出库'!$R$4:$R$2003,'[1]销售出库'!$H$4:$H$2003,$A286,'[1]销售出库'!$Q$4:$Q$2003,'首页'!$B$4*100+T$4))</f>
        <v>0</v>
      </c>
      <c r="U286" s="21">
        <f>IF($A286="",0,SUMIFS('[1]销售出库'!$R$4:$R$2003,'[1]销售出库'!$H$4:$H$2003,$A286,'[1]销售出库'!$Q$4:$Q$2003,'首页'!$B$4*100+U$4))</f>
        <v>0</v>
      </c>
      <c r="V286" s="21">
        <f>IF($A286="",0,SUMIFS('[1]销售出库'!$R$4:$R$2003,'[1]销售出库'!$H$4:$H$2003,$A286,'[1]销售出库'!$Q$4:$Q$2003,'首页'!$B$4*100+V$4))</f>
        <v>0</v>
      </c>
      <c r="W286" s="21">
        <f>IF($A286="",0,SUMIFS('[1]销售出库'!$R$4:$R$2003,'[1]销售出库'!$H$4:$H$2003,$A286,'[1]销售出库'!$Q$4:$Q$2003,'首页'!$B$4*100+W$4))</f>
        <v>0</v>
      </c>
      <c r="X286" s="21">
        <f>IF($A286="",0,SUMIFS('[1]销售出库'!$R$4:$R$2003,'[1]销售出库'!$H$4:$H$2003,$A286,'[1]销售出库'!$Q$4:$Q$2003,'首页'!$B$4*100+X$4))</f>
        <v>0</v>
      </c>
    </row>
    <row r="287">
      <c r="A287" s="6">
        <f>IF('[1]基础资料'!$P$286="","",'[1]基础资料'!$P$286)</f>
      </c>
      <c r="B287" s="6">
        <f>IF(A287="","",'[1]基础资料'!$Q$286&amp;"")</f>
      </c>
      <c r="C287" s="21">
        <f>IF(A287="",0,N('[1]基础资料'!$S$286))</f>
        <v>0</v>
      </c>
      <c r="D287" s="11">
        <f>IF(A287="",0,N('[1]基础资料'!$U$286))</f>
        <v>0</v>
      </c>
      <c r="E287" s="21">
        <f>IF(A287="",0,SUMIFS('[1]采购入库'!$U$4:$U$2003,'[1]采购入库'!$I$4:$I$2003,$A287))</f>
        <v>0</v>
      </c>
      <c r="F287" s="11">
        <f>IF(A287="",0,SUMIFS('[1]采购入库'!$V$4:$V$2003,'[1]采购入库'!$I$4:$I$2003,$A287))</f>
        <v>0</v>
      </c>
      <c r="G287" s="21">
        <f>IF(A287="",0,SUMIFS('[1]销售出库'!$R$4:$R$2003,'[1]销售出库'!$H$4:$H$2003,$A287))</f>
        <v>0</v>
      </c>
      <c r="H287" s="11">
        <f t="shared" si="3"/>
        <v>0</v>
      </c>
      <c r="I287" s="11">
        <f t="shared" si="0"/>
        <v>0</v>
      </c>
      <c r="J287" s="21">
        <f t="shared" si="1"/>
        <v>0</v>
      </c>
      <c r="K287" s="11">
        <f t="shared" si="2"/>
        <v>0</v>
      </c>
      <c r="L287" s="6">
        <f t="shared" si="4"/>
      </c>
      <c r="M287" s="21">
        <f>IF($A287="",0,SUMIFS('[1]销售出库'!$R$4:$R$2003,'[1]销售出库'!$H$4:$H$2003,$A287,'[1]销售出库'!$Q$4:$Q$2003,'首页'!$B$4*100+M$4))</f>
        <v>0</v>
      </c>
      <c r="N287" s="21">
        <f>IF($A287="",0,SUMIFS('[1]销售出库'!$R$4:$R$2003,'[1]销售出库'!$H$4:$H$2003,$A287,'[1]销售出库'!$Q$4:$Q$2003,'首页'!$B$4*100+N$4))</f>
        <v>0</v>
      </c>
      <c r="O287" s="21">
        <f>IF($A287="",0,SUMIFS('[1]销售出库'!$R$4:$R$2003,'[1]销售出库'!$H$4:$H$2003,$A287,'[1]销售出库'!$Q$4:$Q$2003,'首页'!$B$4*100+O$4))</f>
        <v>0</v>
      </c>
      <c r="P287" s="21">
        <f>IF($A287="",0,SUMIFS('[1]销售出库'!$R$4:$R$2003,'[1]销售出库'!$H$4:$H$2003,$A287,'[1]销售出库'!$Q$4:$Q$2003,'首页'!$B$4*100+P$4))</f>
        <v>0</v>
      </c>
      <c r="Q287" s="21">
        <f>IF($A287="",0,SUMIFS('[1]销售出库'!$R$4:$R$2003,'[1]销售出库'!$H$4:$H$2003,$A287,'[1]销售出库'!$Q$4:$Q$2003,'首页'!$B$4*100+Q$4))</f>
        <v>0</v>
      </c>
      <c r="R287" s="21">
        <f>IF($A287="",0,SUMIFS('[1]销售出库'!$R$4:$R$2003,'[1]销售出库'!$H$4:$H$2003,$A287,'[1]销售出库'!$Q$4:$Q$2003,'首页'!$B$4*100+R$4))</f>
        <v>0</v>
      </c>
      <c r="S287" s="21">
        <f>IF($A287="",0,SUMIFS('[1]销售出库'!$R$4:$R$2003,'[1]销售出库'!$H$4:$H$2003,$A287,'[1]销售出库'!$Q$4:$Q$2003,'首页'!$B$4*100+S$4))</f>
        <v>0</v>
      </c>
      <c r="T287" s="21">
        <f>IF($A287="",0,SUMIFS('[1]销售出库'!$R$4:$R$2003,'[1]销售出库'!$H$4:$H$2003,$A287,'[1]销售出库'!$Q$4:$Q$2003,'首页'!$B$4*100+T$4))</f>
        <v>0</v>
      </c>
      <c r="U287" s="21">
        <f>IF($A287="",0,SUMIFS('[1]销售出库'!$R$4:$R$2003,'[1]销售出库'!$H$4:$H$2003,$A287,'[1]销售出库'!$Q$4:$Q$2003,'首页'!$B$4*100+U$4))</f>
        <v>0</v>
      </c>
      <c r="V287" s="21">
        <f>IF($A287="",0,SUMIFS('[1]销售出库'!$R$4:$R$2003,'[1]销售出库'!$H$4:$H$2003,$A287,'[1]销售出库'!$Q$4:$Q$2003,'首页'!$B$4*100+V$4))</f>
        <v>0</v>
      </c>
      <c r="W287" s="21">
        <f>IF($A287="",0,SUMIFS('[1]销售出库'!$R$4:$R$2003,'[1]销售出库'!$H$4:$H$2003,$A287,'[1]销售出库'!$Q$4:$Q$2003,'首页'!$B$4*100+W$4))</f>
        <v>0</v>
      </c>
      <c r="X287" s="21">
        <f>IF($A287="",0,SUMIFS('[1]销售出库'!$R$4:$R$2003,'[1]销售出库'!$H$4:$H$2003,$A287,'[1]销售出库'!$Q$4:$Q$2003,'首页'!$B$4*100+X$4))</f>
        <v>0</v>
      </c>
    </row>
    <row r="288">
      <c r="A288" s="6">
        <f>IF('[1]基础资料'!$P$287="","",'[1]基础资料'!$P$287)</f>
      </c>
      <c r="B288" s="6">
        <f>IF(A288="","",'[1]基础资料'!$Q$287&amp;"")</f>
      </c>
      <c r="C288" s="21">
        <f>IF(A288="",0,N('[1]基础资料'!$S$287))</f>
        <v>0</v>
      </c>
      <c r="D288" s="11">
        <f>IF(A288="",0,N('[1]基础资料'!$U$287))</f>
        <v>0</v>
      </c>
      <c r="E288" s="21">
        <f>IF(A288="",0,SUMIFS('[1]采购入库'!$U$4:$U$2003,'[1]采购入库'!$I$4:$I$2003,$A288))</f>
        <v>0</v>
      </c>
      <c r="F288" s="11">
        <f>IF(A288="",0,SUMIFS('[1]采购入库'!$V$4:$V$2003,'[1]采购入库'!$I$4:$I$2003,$A288))</f>
        <v>0</v>
      </c>
      <c r="G288" s="21">
        <f>IF(A288="",0,SUMIFS('[1]销售出库'!$R$4:$R$2003,'[1]销售出库'!$H$4:$H$2003,$A288))</f>
        <v>0</v>
      </c>
      <c r="H288" s="11">
        <f t="shared" si="3"/>
        <v>0</v>
      </c>
      <c r="I288" s="11">
        <f t="shared" si="0"/>
        <v>0</v>
      </c>
      <c r="J288" s="21">
        <f t="shared" si="1"/>
        <v>0</v>
      </c>
      <c r="K288" s="11">
        <f t="shared" si="2"/>
        <v>0</v>
      </c>
      <c r="L288" s="6">
        <f t="shared" si="4"/>
      </c>
      <c r="M288" s="21">
        <f>IF($A288="",0,SUMIFS('[1]销售出库'!$R$4:$R$2003,'[1]销售出库'!$H$4:$H$2003,$A288,'[1]销售出库'!$Q$4:$Q$2003,'首页'!$B$4*100+M$4))</f>
        <v>0</v>
      </c>
      <c r="N288" s="21">
        <f>IF($A288="",0,SUMIFS('[1]销售出库'!$R$4:$R$2003,'[1]销售出库'!$H$4:$H$2003,$A288,'[1]销售出库'!$Q$4:$Q$2003,'首页'!$B$4*100+N$4))</f>
        <v>0</v>
      </c>
      <c r="O288" s="21">
        <f>IF($A288="",0,SUMIFS('[1]销售出库'!$R$4:$R$2003,'[1]销售出库'!$H$4:$H$2003,$A288,'[1]销售出库'!$Q$4:$Q$2003,'首页'!$B$4*100+O$4))</f>
        <v>0</v>
      </c>
      <c r="P288" s="21">
        <f>IF($A288="",0,SUMIFS('[1]销售出库'!$R$4:$R$2003,'[1]销售出库'!$H$4:$H$2003,$A288,'[1]销售出库'!$Q$4:$Q$2003,'首页'!$B$4*100+P$4))</f>
        <v>0</v>
      </c>
      <c r="Q288" s="21">
        <f>IF($A288="",0,SUMIFS('[1]销售出库'!$R$4:$R$2003,'[1]销售出库'!$H$4:$H$2003,$A288,'[1]销售出库'!$Q$4:$Q$2003,'首页'!$B$4*100+Q$4))</f>
        <v>0</v>
      </c>
      <c r="R288" s="21">
        <f>IF($A288="",0,SUMIFS('[1]销售出库'!$R$4:$R$2003,'[1]销售出库'!$H$4:$H$2003,$A288,'[1]销售出库'!$Q$4:$Q$2003,'首页'!$B$4*100+R$4))</f>
        <v>0</v>
      </c>
      <c r="S288" s="21">
        <f>IF($A288="",0,SUMIFS('[1]销售出库'!$R$4:$R$2003,'[1]销售出库'!$H$4:$H$2003,$A288,'[1]销售出库'!$Q$4:$Q$2003,'首页'!$B$4*100+S$4))</f>
        <v>0</v>
      </c>
      <c r="T288" s="21">
        <f>IF($A288="",0,SUMIFS('[1]销售出库'!$R$4:$R$2003,'[1]销售出库'!$H$4:$H$2003,$A288,'[1]销售出库'!$Q$4:$Q$2003,'首页'!$B$4*100+T$4))</f>
        <v>0</v>
      </c>
      <c r="U288" s="21">
        <f>IF($A288="",0,SUMIFS('[1]销售出库'!$R$4:$R$2003,'[1]销售出库'!$H$4:$H$2003,$A288,'[1]销售出库'!$Q$4:$Q$2003,'首页'!$B$4*100+U$4))</f>
        <v>0</v>
      </c>
      <c r="V288" s="21">
        <f>IF($A288="",0,SUMIFS('[1]销售出库'!$R$4:$R$2003,'[1]销售出库'!$H$4:$H$2003,$A288,'[1]销售出库'!$Q$4:$Q$2003,'首页'!$B$4*100+V$4))</f>
        <v>0</v>
      </c>
      <c r="W288" s="21">
        <f>IF($A288="",0,SUMIFS('[1]销售出库'!$R$4:$R$2003,'[1]销售出库'!$H$4:$H$2003,$A288,'[1]销售出库'!$Q$4:$Q$2003,'首页'!$B$4*100+W$4))</f>
        <v>0</v>
      </c>
      <c r="X288" s="21">
        <f>IF($A288="",0,SUMIFS('[1]销售出库'!$R$4:$R$2003,'[1]销售出库'!$H$4:$H$2003,$A288,'[1]销售出库'!$Q$4:$Q$2003,'首页'!$B$4*100+X$4))</f>
        <v>0</v>
      </c>
    </row>
    <row r="289">
      <c r="A289" s="6">
        <f>IF('[1]基础资料'!$P$288="","",'[1]基础资料'!$P$288)</f>
      </c>
      <c r="B289" s="6">
        <f>IF(A289="","",'[1]基础资料'!$Q$288&amp;"")</f>
      </c>
      <c r="C289" s="21">
        <f>IF(A289="",0,N('[1]基础资料'!$S$288))</f>
        <v>0</v>
      </c>
      <c r="D289" s="11">
        <f>IF(A289="",0,N('[1]基础资料'!$U$288))</f>
        <v>0</v>
      </c>
      <c r="E289" s="21">
        <f>IF(A289="",0,SUMIFS('[1]采购入库'!$U$4:$U$2003,'[1]采购入库'!$I$4:$I$2003,$A289))</f>
        <v>0</v>
      </c>
      <c r="F289" s="11">
        <f>IF(A289="",0,SUMIFS('[1]采购入库'!$V$4:$V$2003,'[1]采购入库'!$I$4:$I$2003,$A289))</f>
        <v>0</v>
      </c>
      <c r="G289" s="21">
        <f>IF(A289="",0,SUMIFS('[1]销售出库'!$R$4:$R$2003,'[1]销售出库'!$H$4:$H$2003,$A289))</f>
        <v>0</v>
      </c>
      <c r="H289" s="11">
        <f t="shared" si="3"/>
        <v>0</v>
      </c>
      <c r="I289" s="11">
        <f t="shared" si="0"/>
        <v>0</v>
      </c>
      <c r="J289" s="21">
        <f t="shared" si="1"/>
        <v>0</v>
      </c>
      <c r="K289" s="11">
        <f t="shared" si="2"/>
        <v>0</v>
      </c>
      <c r="L289" s="6">
        <f t="shared" si="4"/>
      </c>
      <c r="M289" s="21">
        <f>IF($A289="",0,SUMIFS('[1]销售出库'!$R$4:$R$2003,'[1]销售出库'!$H$4:$H$2003,$A289,'[1]销售出库'!$Q$4:$Q$2003,'首页'!$B$4*100+M$4))</f>
        <v>0</v>
      </c>
      <c r="N289" s="21">
        <f>IF($A289="",0,SUMIFS('[1]销售出库'!$R$4:$R$2003,'[1]销售出库'!$H$4:$H$2003,$A289,'[1]销售出库'!$Q$4:$Q$2003,'首页'!$B$4*100+N$4))</f>
        <v>0</v>
      </c>
      <c r="O289" s="21">
        <f>IF($A289="",0,SUMIFS('[1]销售出库'!$R$4:$R$2003,'[1]销售出库'!$H$4:$H$2003,$A289,'[1]销售出库'!$Q$4:$Q$2003,'首页'!$B$4*100+O$4))</f>
        <v>0</v>
      </c>
      <c r="P289" s="21">
        <f>IF($A289="",0,SUMIFS('[1]销售出库'!$R$4:$R$2003,'[1]销售出库'!$H$4:$H$2003,$A289,'[1]销售出库'!$Q$4:$Q$2003,'首页'!$B$4*100+P$4))</f>
        <v>0</v>
      </c>
      <c r="Q289" s="21">
        <f>IF($A289="",0,SUMIFS('[1]销售出库'!$R$4:$R$2003,'[1]销售出库'!$H$4:$H$2003,$A289,'[1]销售出库'!$Q$4:$Q$2003,'首页'!$B$4*100+Q$4))</f>
        <v>0</v>
      </c>
      <c r="R289" s="21">
        <f>IF($A289="",0,SUMIFS('[1]销售出库'!$R$4:$R$2003,'[1]销售出库'!$H$4:$H$2003,$A289,'[1]销售出库'!$Q$4:$Q$2003,'首页'!$B$4*100+R$4))</f>
        <v>0</v>
      </c>
      <c r="S289" s="21">
        <f>IF($A289="",0,SUMIFS('[1]销售出库'!$R$4:$R$2003,'[1]销售出库'!$H$4:$H$2003,$A289,'[1]销售出库'!$Q$4:$Q$2003,'首页'!$B$4*100+S$4))</f>
        <v>0</v>
      </c>
      <c r="T289" s="21">
        <f>IF($A289="",0,SUMIFS('[1]销售出库'!$R$4:$R$2003,'[1]销售出库'!$H$4:$H$2003,$A289,'[1]销售出库'!$Q$4:$Q$2003,'首页'!$B$4*100+T$4))</f>
        <v>0</v>
      </c>
      <c r="U289" s="21">
        <f>IF($A289="",0,SUMIFS('[1]销售出库'!$R$4:$R$2003,'[1]销售出库'!$H$4:$H$2003,$A289,'[1]销售出库'!$Q$4:$Q$2003,'首页'!$B$4*100+U$4))</f>
        <v>0</v>
      </c>
      <c r="V289" s="21">
        <f>IF($A289="",0,SUMIFS('[1]销售出库'!$R$4:$R$2003,'[1]销售出库'!$H$4:$H$2003,$A289,'[1]销售出库'!$Q$4:$Q$2003,'首页'!$B$4*100+V$4))</f>
        <v>0</v>
      </c>
      <c r="W289" s="21">
        <f>IF($A289="",0,SUMIFS('[1]销售出库'!$R$4:$R$2003,'[1]销售出库'!$H$4:$H$2003,$A289,'[1]销售出库'!$Q$4:$Q$2003,'首页'!$B$4*100+W$4))</f>
        <v>0</v>
      </c>
      <c r="X289" s="21">
        <f>IF($A289="",0,SUMIFS('[1]销售出库'!$R$4:$R$2003,'[1]销售出库'!$H$4:$H$2003,$A289,'[1]销售出库'!$Q$4:$Q$2003,'首页'!$B$4*100+X$4))</f>
        <v>0</v>
      </c>
    </row>
    <row r="290">
      <c r="A290" s="6">
        <f>IF('[1]基础资料'!$P$289="","",'[1]基础资料'!$P$289)</f>
      </c>
      <c r="B290" s="6">
        <f>IF(A290="","",'[1]基础资料'!$Q$289&amp;"")</f>
      </c>
      <c r="C290" s="21">
        <f>IF(A290="",0,N('[1]基础资料'!$S$289))</f>
        <v>0</v>
      </c>
      <c r="D290" s="11">
        <f>IF(A290="",0,N('[1]基础资料'!$U$289))</f>
        <v>0</v>
      </c>
      <c r="E290" s="21">
        <f>IF(A290="",0,SUMIFS('[1]采购入库'!$U$4:$U$2003,'[1]采购入库'!$I$4:$I$2003,$A290))</f>
        <v>0</v>
      </c>
      <c r="F290" s="11">
        <f>IF(A290="",0,SUMIFS('[1]采购入库'!$V$4:$V$2003,'[1]采购入库'!$I$4:$I$2003,$A290))</f>
        <v>0</v>
      </c>
      <c r="G290" s="21">
        <f>IF(A290="",0,SUMIFS('[1]销售出库'!$R$4:$R$2003,'[1]销售出库'!$H$4:$H$2003,$A290))</f>
        <v>0</v>
      </c>
      <c r="H290" s="11">
        <f t="shared" si="3"/>
        <v>0</v>
      </c>
      <c r="I290" s="11">
        <f t="shared" si="0"/>
        <v>0</v>
      </c>
      <c r="J290" s="21">
        <f t="shared" si="1"/>
        <v>0</v>
      </c>
      <c r="K290" s="11">
        <f t="shared" si="2"/>
        <v>0</v>
      </c>
      <c r="L290" s="6">
        <f t="shared" si="4"/>
      </c>
      <c r="M290" s="21">
        <f>IF($A290="",0,SUMIFS('[1]销售出库'!$R$4:$R$2003,'[1]销售出库'!$H$4:$H$2003,$A290,'[1]销售出库'!$Q$4:$Q$2003,'首页'!$B$4*100+M$4))</f>
        <v>0</v>
      </c>
      <c r="N290" s="21">
        <f>IF($A290="",0,SUMIFS('[1]销售出库'!$R$4:$R$2003,'[1]销售出库'!$H$4:$H$2003,$A290,'[1]销售出库'!$Q$4:$Q$2003,'首页'!$B$4*100+N$4))</f>
        <v>0</v>
      </c>
      <c r="O290" s="21">
        <f>IF($A290="",0,SUMIFS('[1]销售出库'!$R$4:$R$2003,'[1]销售出库'!$H$4:$H$2003,$A290,'[1]销售出库'!$Q$4:$Q$2003,'首页'!$B$4*100+O$4))</f>
        <v>0</v>
      </c>
      <c r="P290" s="21">
        <f>IF($A290="",0,SUMIFS('[1]销售出库'!$R$4:$R$2003,'[1]销售出库'!$H$4:$H$2003,$A290,'[1]销售出库'!$Q$4:$Q$2003,'首页'!$B$4*100+P$4))</f>
        <v>0</v>
      </c>
      <c r="Q290" s="21">
        <f>IF($A290="",0,SUMIFS('[1]销售出库'!$R$4:$R$2003,'[1]销售出库'!$H$4:$H$2003,$A290,'[1]销售出库'!$Q$4:$Q$2003,'首页'!$B$4*100+Q$4))</f>
        <v>0</v>
      </c>
      <c r="R290" s="21">
        <f>IF($A290="",0,SUMIFS('[1]销售出库'!$R$4:$R$2003,'[1]销售出库'!$H$4:$H$2003,$A290,'[1]销售出库'!$Q$4:$Q$2003,'首页'!$B$4*100+R$4))</f>
        <v>0</v>
      </c>
      <c r="S290" s="21">
        <f>IF($A290="",0,SUMIFS('[1]销售出库'!$R$4:$R$2003,'[1]销售出库'!$H$4:$H$2003,$A290,'[1]销售出库'!$Q$4:$Q$2003,'首页'!$B$4*100+S$4))</f>
        <v>0</v>
      </c>
      <c r="T290" s="21">
        <f>IF($A290="",0,SUMIFS('[1]销售出库'!$R$4:$R$2003,'[1]销售出库'!$H$4:$H$2003,$A290,'[1]销售出库'!$Q$4:$Q$2003,'首页'!$B$4*100+T$4))</f>
        <v>0</v>
      </c>
      <c r="U290" s="21">
        <f>IF($A290="",0,SUMIFS('[1]销售出库'!$R$4:$R$2003,'[1]销售出库'!$H$4:$H$2003,$A290,'[1]销售出库'!$Q$4:$Q$2003,'首页'!$B$4*100+U$4))</f>
        <v>0</v>
      </c>
      <c r="V290" s="21">
        <f>IF($A290="",0,SUMIFS('[1]销售出库'!$R$4:$R$2003,'[1]销售出库'!$H$4:$H$2003,$A290,'[1]销售出库'!$Q$4:$Q$2003,'首页'!$B$4*100+V$4))</f>
        <v>0</v>
      </c>
      <c r="W290" s="21">
        <f>IF($A290="",0,SUMIFS('[1]销售出库'!$R$4:$R$2003,'[1]销售出库'!$H$4:$H$2003,$A290,'[1]销售出库'!$Q$4:$Q$2003,'首页'!$B$4*100+W$4))</f>
        <v>0</v>
      </c>
      <c r="X290" s="21">
        <f>IF($A290="",0,SUMIFS('[1]销售出库'!$R$4:$R$2003,'[1]销售出库'!$H$4:$H$2003,$A290,'[1]销售出库'!$Q$4:$Q$2003,'首页'!$B$4*100+X$4))</f>
        <v>0</v>
      </c>
    </row>
    <row r="291">
      <c r="A291" s="6">
        <f>IF('[1]基础资料'!$P$290="","",'[1]基础资料'!$P$290)</f>
      </c>
      <c r="B291" s="6">
        <f>IF(A291="","",'[1]基础资料'!$Q$290&amp;"")</f>
      </c>
      <c r="C291" s="21">
        <f>IF(A291="",0,N('[1]基础资料'!$S$290))</f>
        <v>0</v>
      </c>
      <c r="D291" s="11">
        <f>IF(A291="",0,N('[1]基础资料'!$U$290))</f>
        <v>0</v>
      </c>
      <c r="E291" s="21">
        <f>IF(A291="",0,SUMIFS('[1]采购入库'!$U$4:$U$2003,'[1]采购入库'!$I$4:$I$2003,$A291))</f>
        <v>0</v>
      </c>
      <c r="F291" s="11">
        <f>IF(A291="",0,SUMIFS('[1]采购入库'!$V$4:$V$2003,'[1]采购入库'!$I$4:$I$2003,$A291))</f>
        <v>0</v>
      </c>
      <c r="G291" s="21">
        <f>IF(A291="",0,SUMIFS('[1]销售出库'!$R$4:$R$2003,'[1]销售出库'!$H$4:$H$2003,$A291))</f>
        <v>0</v>
      </c>
      <c r="H291" s="11">
        <f t="shared" si="3"/>
        <v>0</v>
      </c>
      <c r="I291" s="11">
        <f t="shared" si="0"/>
        <v>0</v>
      </c>
      <c r="J291" s="21">
        <f t="shared" si="1"/>
        <v>0</v>
      </c>
      <c r="K291" s="11">
        <f t="shared" si="2"/>
        <v>0</v>
      </c>
      <c r="L291" s="6">
        <f t="shared" si="4"/>
      </c>
      <c r="M291" s="21">
        <f>IF($A291="",0,SUMIFS('[1]销售出库'!$R$4:$R$2003,'[1]销售出库'!$H$4:$H$2003,$A291,'[1]销售出库'!$Q$4:$Q$2003,'首页'!$B$4*100+M$4))</f>
        <v>0</v>
      </c>
      <c r="N291" s="21">
        <f>IF($A291="",0,SUMIFS('[1]销售出库'!$R$4:$R$2003,'[1]销售出库'!$H$4:$H$2003,$A291,'[1]销售出库'!$Q$4:$Q$2003,'首页'!$B$4*100+N$4))</f>
        <v>0</v>
      </c>
      <c r="O291" s="21">
        <f>IF($A291="",0,SUMIFS('[1]销售出库'!$R$4:$R$2003,'[1]销售出库'!$H$4:$H$2003,$A291,'[1]销售出库'!$Q$4:$Q$2003,'首页'!$B$4*100+O$4))</f>
        <v>0</v>
      </c>
      <c r="P291" s="21">
        <f>IF($A291="",0,SUMIFS('[1]销售出库'!$R$4:$R$2003,'[1]销售出库'!$H$4:$H$2003,$A291,'[1]销售出库'!$Q$4:$Q$2003,'首页'!$B$4*100+P$4))</f>
        <v>0</v>
      </c>
      <c r="Q291" s="21">
        <f>IF($A291="",0,SUMIFS('[1]销售出库'!$R$4:$R$2003,'[1]销售出库'!$H$4:$H$2003,$A291,'[1]销售出库'!$Q$4:$Q$2003,'首页'!$B$4*100+Q$4))</f>
        <v>0</v>
      </c>
      <c r="R291" s="21">
        <f>IF($A291="",0,SUMIFS('[1]销售出库'!$R$4:$R$2003,'[1]销售出库'!$H$4:$H$2003,$A291,'[1]销售出库'!$Q$4:$Q$2003,'首页'!$B$4*100+R$4))</f>
        <v>0</v>
      </c>
      <c r="S291" s="21">
        <f>IF($A291="",0,SUMIFS('[1]销售出库'!$R$4:$R$2003,'[1]销售出库'!$H$4:$H$2003,$A291,'[1]销售出库'!$Q$4:$Q$2003,'首页'!$B$4*100+S$4))</f>
        <v>0</v>
      </c>
      <c r="T291" s="21">
        <f>IF($A291="",0,SUMIFS('[1]销售出库'!$R$4:$R$2003,'[1]销售出库'!$H$4:$H$2003,$A291,'[1]销售出库'!$Q$4:$Q$2003,'首页'!$B$4*100+T$4))</f>
        <v>0</v>
      </c>
      <c r="U291" s="21">
        <f>IF($A291="",0,SUMIFS('[1]销售出库'!$R$4:$R$2003,'[1]销售出库'!$H$4:$H$2003,$A291,'[1]销售出库'!$Q$4:$Q$2003,'首页'!$B$4*100+U$4))</f>
        <v>0</v>
      </c>
      <c r="V291" s="21">
        <f>IF($A291="",0,SUMIFS('[1]销售出库'!$R$4:$R$2003,'[1]销售出库'!$H$4:$H$2003,$A291,'[1]销售出库'!$Q$4:$Q$2003,'首页'!$B$4*100+V$4))</f>
        <v>0</v>
      </c>
      <c r="W291" s="21">
        <f>IF($A291="",0,SUMIFS('[1]销售出库'!$R$4:$R$2003,'[1]销售出库'!$H$4:$H$2003,$A291,'[1]销售出库'!$Q$4:$Q$2003,'首页'!$B$4*100+W$4))</f>
        <v>0</v>
      </c>
      <c r="X291" s="21">
        <f>IF($A291="",0,SUMIFS('[1]销售出库'!$R$4:$R$2003,'[1]销售出库'!$H$4:$H$2003,$A291,'[1]销售出库'!$Q$4:$Q$2003,'首页'!$B$4*100+X$4))</f>
        <v>0</v>
      </c>
    </row>
    <row r="292">
      <c r="A292" s="6">
        <f>IF('[1]基础资料'!$P$291="","",'[1]基础资料'!$P$291)</f>
      </c>
      <c r="B292" s="6">
        <f>IF(A292="","",'[1]基础资料'!$Q$291&amp;"")</f>
      </c>
      <c r="C292" s="21">
        <f>IF(A292="",0,N('[1]基础资料'!$S$291))</f>
        <v>0</v>
      </c>
      <c r="D292" s="11">
        <f>IF(A292="",0,N('[1]基础资料'!$U$291))</f>
        <v>0</v>
      </c>
      <c r="E292" s="21">
        <f>IF(A292="",0,SUMIFS('[1]采购入库'!$U$4:$U$2003,'[1]采购入库'!$I$4:$I$2003,$A292))</f>
        <v>0</v>
      </c>
      <c r="F292" s="11">
        <f>IF(A292="",0,SUMIFS('[1]采购入库'!$V$4:$V$2003,'[1]采购入库'!$I$4:$I$2003,$A292))</f>
        <v>0</v>
      </c>
      <c r="G292" s="21">
        <f>IF(A292="",0,SUMIFS('[1]销售出库'!$R$4:$R$2003,'[1]销售出库'!$H$4:$H$2003,$A292))</f>
        <v>0</v>
      </c>
      <c r="H292" s="11">
        <f t="shared" si="3"/>
        <v>0</v>
      </c>
      <c r="I292" s="11">
        <f t="shared" si="0"/>
        <v>0</v>
      </c>
      <c r="J292" s="21">
        <f t="shared" si="1"/>
        <v>0</v>
      </c>
      <c r="K292" s="11">
        <f t="shared" si="2"/>
        <v>0</v>
      </c>
      <c r="L292" s="6">
        <f t="shared" si="4"/>
      </c>
      <c r="M292" s="21">
        <f>IF($A292="",0,SUMIFS('[1]销售出库'!$R$4:$R$2003,'[1]销售出库'!$H$4:$H$2003,$A292,'[1]销售出库'!$Q$4:$Q$2003,'首页'!$B$4*100+M$4))</f>
        <v>0</v>
      </c>
      <c r="N292" s="21">
        <f>IF($A292="",0,SUMIFS('[1]销售出库'!$R$4:$R$2003,'[1]销售出库'!$H$4:$H$2003,$A292,'[1]销售出库'!$Q$4:$Q$2003,'首页'!$B$4*100+N$4))</f>
        <v>0</v>
      </c>
      <c r="O292" s="21">
        <f>IF($A292="",0,SUMIFS('[1]销售出库'!$R$4:$R$2003,'[1]销售出库'!$H$4:$H$2003,$A292,'[1]销售出库'!$Q$4:$Q$2003,'首页'!$B$4*100+O$4))</f>
        <v>0</v>
      </c>
      <c r="P292" s="21">
        <f>IF($A292="",0,SUMIFS('[1]销售出库'!$R$4:$R$2003,'[1]销售出库'!$H$4:$H$2003,$A292,'[1]销售出库'!$Q$4:$Q$2003,'首页'!$B$4*100+P$4))</f>
        <v>0</v>
      </c>
      <c r="Q292" s="21">
        <f>IF($A292="",0,SUMIFS('[1]销售出库'!$R$4:$R$2003,'[1]销售出库'!$H$4:$H$2003,$A292,'[1]销售出库'!$Q$4:$Q$2003,'首页'!$B$4*100+Q$4))</f>
        <v>0</v>
      </c>
      <c r="R292" s="21">
        <f>IF($A292="",0,SUMIFS('[1]销售出库'!$R$4:$R$2003,'[1]销售出库'!$H$4:$H$2003,$A292,'[1]销售出库'!$Q$4:$Q$2003,'首页'!$B$4*100+R$4))</f>
        <v>0</v>
      </c>
      <c r="S292" s="21">
        <f>IF($A292="",0,SUMIFS('[1]销售出库'!$R$4:$R$2003,'[1]销售出库'!$H$4:$H$2003,$A292,'[1]销售出库'!$Q$4:$Q$2003,'首页'!$B$4*100+S$4))</f>
        <v>0</v>
      </c>
      <c r="T292" s="21">
        <f>IF($A292="",0,SUMIFS('[1]销售出库'!$R$4:$R$2003,'[1]销售出库'!$H$4:$H$2003,$A292,'[1]销售出库'!$Q$4:$Q$2003,'首页'!$B$4*100+T$4))</f>
        <v>0</v>
      </c>
      <c r="U292" s="21">
        <f>IF($A292="",0,SUMIFS('[1]销售出库'!$R$4:$R$2003,'[1]销售出库'!$H$4:$H$2003,$A292,'[1]销售出库'!$Q$4:$Q$2003,'首页'!$B$4*100+U$4))</f>
        <v>0</v>
      </c>
      <c r="V292" s="21">
        <f>IF($A292="",0,SUMIFS('[1]销售出库'!$R$4:$R$2003,'[1]销售出库'!$H$4:$H$2003,$A292,'[1]销售出库'!$Q$4:$Q$2003,'首页'!$B$4*100+V$4))</f>
        <v>0</v>
      </c>
      <c r="W292" s="21">
        <f>IF($A292="",0,SUMIFS('[1]销售出库'!$R$4:$R$2003,'[1]销售出库'!$H$4:$H$2003,$A292,'[1]销售出库'!$Q$4:$Q$2003,'首页'!$B$4*100+W$4))</f>
        <v>0</v>
      </c>
      <c r="X292" s="21">
        <f>IF($A292="",0,SUMIFS('[1]销售出库'!$R$4:$R$2003,'[1]销售出库'!$H$4:$H$2003,$A292,'[1]销售出库'!$Q$4:$Q$2003,'首页'!$B$4*100+X$4))</f>
        <v>0</v>
      </c>
    </row>
    <row r="293">
      <c r="A293" s="6">
        <f>IF('[1]基础资料'!$P$292="","",'[1]基础资料'!$P$292)</f>
      </c>
      <c r="B293" s="6">
        <f>IF(A293="","",'[1]基础资料'!$Q$292&amp;"")</f>
      </c>
      <c r="C293" s="21">
        <f>IF(A293="",0,N('[1]基础资料'!$S$292))</f>
        <v>0</v>
      </c>
      <c r="D293" s="11">
        <f>IF(A293="",0,N('[1]基础资料'!$U$292))</f>
        <v>0</v>
      </c>
      <c r="E293" s="21">
        <f>IF(A293="",0,SUMIFS('[1]采购入库'!$U$4:$U$2003,'[1]采购入库'!$I$4:$I$2003,$A293))</f>
        <v>0</v>
      </c>
      <c r="F293" s="11">
        <f>IF(A293="",0,SUMIFS('[1]采购入库'!$V$4:$V$2003,'[1]采购入库'!$I$4:$I$2003,$A293))</f>
        <v>0</v>
      </c>
      <c r="G293" s="21">
        <f>IF(A293="",0,SUMIFS('[1]销售出库'!$R$4:$R$2003,'[1]销售出库'!$H$4:$H$2003,$A293))</f>
        <v>0</v>
      </c>
      <c r="H293" s="11">
        <f t="shared" si="3"/>
        <v>0</v>
      </c>
      <c r="I293" s="11">
        <f t="shared" si="0"/>
        <v>0</v>
      </c>
      <c r="J293" s="21">
        <f t="shared" si="1"/>
        <v>0</v>
      </c>
      <c r="K293" s="11">
        <f t="shared" si="2"/>
        <v>0</v>
      </c>
      <c r="L293" s="6">
        <f t="shared" si="4"/>
      </c>
      <c r="M293" s="21">
        <f>IF($A293="",0,SUMIFS('[1]销售出库'!$R$4:$R$2003,'[1]销售出库'!$H$4:$H$2003,$A293,'[1]销售出库'!$Q$4:$Q$2003,'首页'!$B$4*100+M$4))</f>
        <v>0</v>
      </c>
      <c r="N293" s="21">
        <f>IF($A293="",0,SUMIFS('[1]销售出库'!$R$4:$R$2003,'[1]销售出库'!$H$4:$H$2003,$A293,'[1]销售出库'!$Q$4:$Q$2003,'首页'!$B$4*100+N$4))</f>
        <v>0</v>
      </c>
      <c r="O293" s="21">
        <f>IF($A293="",0,SUMIFS('[1]销售出库'!$R$4:$R$2003,'[1]销售出库'!$H$4:$H$2003,$A293,'[1]销售出库'!$Q$4:$Q$2003,'首页'!$B$4*100+O$4))</f>
        <v>0</v>
      </c>
      <c r="P293" s="21">
        <f>IF($A293="",0,SUMIFS('[1]销售出库'!$R$4:$R$2003,'[1]销售出库'!$H$4:$H$2003,$A293,'[1]销售出库'!$Q$4:$Q$2003,'首页'!$B$4*100+P$4))</f>
        <v>0</v>
      </c>
      <c r="Q293" s="21">
        <f>IF($A293="",0,SUMIFS('[1]销售出库'!$R$4:$R$2003,'[1]销售出库'!$H$4:$H$2003,$A293,'[1]销售出库'!$Q$4:$Q$2003,'首页'!$B$4*100+Q$4))</f>
        <v>0</v>
      </c>
      <c r="R293" s="21">
        <f>IF($A293="",0,SUMIFS('[1]销售出库'!$R$4:$R$2003,'[1]销售出库'!$H$4:$H$2003,$A293,'[1]销售出库'!$Q$4:$Q$2003,'首页'!$B$4*100+R$4))</f>
        <v>0</v>
      </c>
      <c r="S293" s="21">
        <f>IF($A293="",0,SUMIFS('[1]销售出库'!$R$4:$R$2003,'[1]销售出库'!$H$4:$H$2003,$A293,'[1]销售出库'!$Q$4:$Q$2003,'首页'!$B$4*100+S$4))</f>
        <v>0</v>
      </c>
      <c r="T293" s="21">
        <f>IF($A293="",0,SUMIFS('[1]销售出库'!$R$4:$R$2003,'[1]销售出库'!$H$4:$H$2003,$A293,'[1]销售出库'!$Q$4:$Q$2003,'首页'!$B$4*100+T$4))</f>
        <v>0</v>
      </c>
      <c r="U293" s="21">
        <f>IF($A293="",0,SUMIFS('[1]销售出库'!$R$4:$R$2003,'[1]销售出库'!$H$4:$H$2003,$A293,'[1]销售出库'!$Q$4:$Q$2003,'首页'!$B$4*100+U$4))</f>
        <v>0</v>
      </c>
      <c r="V293" s="21">
        <f>IF($A293="",0,SUMIFS('[1]销售出库'!$R$4:$R$2003,'[1]销售出库'!$H$4:$H$2003,$A293,'[1]销售出库'!$Q$4:$Q$2003,'首页'!$B$4*100+V$4))</f>
        <v>0</v>
      </c>
      <c r="W293" s="21">
        <f>IF($A293="",0,SUMIFS('[1]销售出库'!$R$4:$R$2003,'[1]销售出库'!$H$4:$H$2003,$A293,'[1]销售出库'!$Q$4:$Q$2003,'首页'!$B$4*100+W$4))</f>
        <v>0</v>
      </c>
      <c r="X293" s="21">
        <f>IF($A293="",0,SUMIFS('[1]销售出库'!$R$4:$R$2003,'[1]销售出库'!$H$4:$H$2003,$A293,'[1]销售出库'!$Q$4:$Q$2003,'首页'!$B$4*100+X$4))</f>
        <v>0</v>
      </c>
    </row>
    <row r="294">
      <c r="A294" s="6">
        <f>IF('[1]基础资料'!$P$293="","",'[1]基础资料'!$P$293)</f>
      </c>
      <c r="B294" s="6">
        <f>IF(A294="","",'[1]基础资料'!$Q$293&amp;"")</f>
      </c>
      <c r="C294" s="21">
        <f>IF(A294="",0,N('[1]基础资料'!$S$293))</f>
        <v>0</v>
      </c>
      <c r="D294" s="11">
        <f>IF(A294="",0,N('[1]基础资料'!$U$293))</f>
        <v>0</v>
      </c>
      <c r="E294" s="21">
        <f>IF(A294="",0,SUMIFS('[1]采购入库'!$U$4:$U$2003,'[1]采购入库'!$I$4:$I$2003,$A294))</f>
        <v>0</v>
      </c>
      <c r="F294" s="11">
        <f>IF(A294="",0,SUMIFS('[1]采购入库'!$V$4:$V$2003,'[1]采购入库'!$I$4:$I$2003,$A294))</f>
        <v>0</v>
      </c>
      <c r="G294" s="21">
        <f>IF(A294="",0,SUMIFS('[1]销售出库'!$R$4:$R$2003,'[1]销售出库'!$H$4:$H$2003,$A294))</f>
        <v>0</v>
      </c>
      <c r="H294" s="11">
        <f t="shared" si="3"/>
        <v>0</v>
      </c>
      <c r="I294" s="11">
        <f t="shared" si="0"/>
        <v>0</v>
      </c>
      <c r="J294" s="21">
        <f t="shared" si="1"/>
        <v>0</v>
      </c>
      <c r="K294" s="11">
        <f t="shared" si="2"/>
        <v>0</v>
      </c>
      <c r="L294" s="6">
        <f t="shared" si="4"/>
      </c>
      <c r="M294" s="21">
        <f>IF($A294="",0,SUMIFS('[1]销售出库'!$R$4:$R$2003,'[1]销售出库'!$H$4:$H$2003,$A294,'[1]销售出库'!$Q$4:$Q$2003,'首页'!$B$4*100+M$4))</f>
        <v>0</v>
      </c>
      <c r="N294" s="21">
        <f>IF($A294="",0,SUMIFS('[1]销售出库'!$R$4:$R$2003,'[1]销售出库'!$H$4:$H$2003,$A294,'[1]销售出库'!$Q$4:$Q$2003,'首页'!$B$4*100+N$4))</f>
        <v>0</v>
      </c>
      <c r="O294" s="21">
        <f>IF($A294="",0,SUMIFS('[1]销售出库'!$R$4:$R$2003,'[1]销售出库'!$H$4:$H$2003,$A294,'[1]销售出库'!$Q$4:$Q$2003,'首页'!$B$4*100+O$4))</f>
        <v>0</v>
      </c>
      <c r="P294" s="21">
        <f>IF($A294="",0,SUMIFS('[1]销售出库'!$R$4:$R$2003,'[1]销售出库'!$H$4:$H$2003,$A294,'[1]销售出库'!$Q$4:$Q$2003,'首页'!$B$4*100+P$4))</f>
        <v>0</v>
      </c>
      <c r="Q294" s="21">
        <f>IF($A294="",0,SUMIFS('[1]销售出库'!$R$4:$R$2003,'[1]销售出库'!$H$4:$H$2003,$A294,'[1]销售出库'!$Q$4:$Q$2003,'首页'!$B$4*100+Q$4))</f>
        <v>0</v>
      </c>
      <c r="R294" s="21">
        <f>IF($A294="",0,SUMIFS('[1]销售出库'!$R$4:$R$2003,'[1]销售出库'!$H$4:$H$2003,$A294,'[1]销售出库'!$Q$4:$Q$2003,'首页'!$B$4*100+R$4))</f>
        <v>0</v>
      </c>
      <c r="S294" s="21">
        <f>IF($A294="",0,SUMIFS('[1]销售出库'!$R$4:$R$2003,'[1]销售出库'!$H$4:$H$2003,$A294,'[1]销售出库'!$Q$4:$Q$2003,'首页'!$B$4*100+S$4))</f>
        <v>0</v>
      </c>
      <c r="T294" s="21">
        <f>IF($A294="",0,SUMIFS('[1]销售出库'!$R$4:$R$2003,'[1]销售出库'!$H$4:$H$2003,$A294,'[1]销售出库'!$Q$4:$Q$2003,'首页'!$B$4*100+T$4))</f>
        <v>0</v>
      </c>
      <c r="U294" s="21">
        <f>IF($A294="",0,SUMIFS('[1]销售出库'!$R$4:$R$2003,'[1]销售出库'!$H$4:$H$2003,$A294,'[1]销售出库'!$Q$4:$Q$2003,'首页'!$B$4*100+U$4))</f>
        <v>0</v>
      </c>
      <c r="V294" s="21">
        <f>IF($A294="",0,SUMIFS('[1]销售出库'!$R$4:$R$2003,'[1]销售出库'!$H$4:$H$2003,$A294,'[1]销售出库'!$Q$4:$Q$2003,'首页'!$B$4*100+V$4))</f>
        <v>0</v>
      </c>
      <c r="W294" s="21">
        <f>IF($A294="",0,SUMIFS('[1]销售出库'!$R$4:$R$2003,'[1]销售出库'!$H$4:$H$2003,$A294,'[1]销售出库'!$Q$4:$Q$2003,'首页'!$B$4*100+W$4))</f>
        <v>0</v>
      </c>
      <c r="X294" s="21">
        <f>IF($A294="",0,SUMIFS('[1]销售出库'!$R$4:$R$2003,'[1]销售出库'!$H$4:$H$2003,$A294,'[1]销售出库'!$Q$4:$Q$2003,'首页'!$B$4*100+X$4))</f>
        <v>0</v>
      </c>
    </row>
    <row r="295">
      <c r="A295" s="6">
        <f>IF('[1]基础资料'!$P$294="","",'[1]基础资料'!$P$294)</f>
      </c>
      <c r="B295" s="6">
        <f>IF(A295="","",'[1]基础资料'!$Q$294&amp;"")</f>
      </c>
      <c r="C295" s="21">
        <f>IF(A295="",0,N('[1]基础资料'!$S$294))</f>
        <v>0</v>
      </c>
      <c r="D295" s="11">
        <f>IF(A295="",0,N('[1]基础资料'!$U$294))</f>
        <v>0</v>
      </c>
      <c r="E295" s="21">
        <f>IF(A295="",0,SUMIFS('[1]采购入库'!$U$4:$U$2003,'[1]采购入库'!$I$4:$I$2003,$A295))</f>
        <v>0</v>
      </c>
      <c r="F295" s="11">
        <f>IF(A295="",0,SUMIFS('[1]采购入库'!$V$4:$V$2003,'[1]采购入库'!$I$4:$I$2003,$A295))</f>
        <v>0</v>
      </c>
      <c r="G295" s="21">
        <f>IF(A295="",0,SUMIFS('[1]销售出库'!$R$4:$R$2003,'[1]销售出库'!$H$4:$H$2003,$A295))</f>
        <v>0</v>
      </c>
      <c r="H295" s="11">
        <f t="shared" si="3"/>
        <v>0</v>
      </c>
      <c r="I295" s="11">
        <f t="shared" si="0"/>
        <v>0</v>
      </c>
      <c r="J295" s="21">
        <f t="shared" si="1"/>
        <v>0</v>
      </c>
      <c r="K295" s="11">
        <f t="shared" si="2"/>
        <v>0</v>
      </c>
      <c r="L295" s="6">
        <f t="shared" si="4"/>
      </c>
      <c r="M295" s="21">
        <f>IF($A295="",0,SUMIFS('[1]销售出库'!$R$4:$R$2003,'[1]销售出库'!$H$4:$H$2003,$A295,'[1]销售出库'!$Q$4:$Q$2003,'首页'!$B$4*100+M$4))</f>
        <v>0</v>
      </c>
      <c r="N295" s="21">
        <f>IF($A295="",0,SUMIFS('[1]销售出库'!$R$4:$R$2003,'[1]销售出库'!$H$4:$H$2003,$A295,'[1]销售出库'!$Q$4:$Q$2003,'首页'!$B$4*100+N$4))</f>
        <v>0</v>
      </c>
      <c r="O295" s="21">
        <f>IF($A295="",0,SUMIFS('[1]销售出库'!$R$4:$R$2003,'[1]销售出库'!$H$4:$H$2003,$A295,'[1]销售出库'!$Q$4:$Q$2003,'首页'!$B$4*100+O$4))</f>
        <v>0</v>
      </c>
      <c r="P295" s="21">
        <f>IF($A295="",0,SUMIFS('[1]销售出库'!$R$4:$R$2003,'[1]销售出库'!$H$4:$H$2003,$A295,'[1]销售出库'!$Q$4:$Q$2003,'首页'!$B$4*100+P$4))</f>
        <v>0</v>
      </c>
      <c r="Q295" s="21">
        <f>IF($A295="",0,SUMIFS('[1]销售出库'!$R$4:$R$2003,'[1]销售出库'!$H$4:$H$2003,$A295,'[1]销售出库'!$Q$4:$Q$2003,'首页'!$B$4*100+Q$4))</f>
        <v>0</v>
      </c>
      <c r="R295" s="21">
        <f>IF($A295="",0,SUMIFS('[1]销售出库'!$R$4:$R$2003,'[1]销售出库'!$H$4:$H$2003,$A295,'[1]销售出库'!$Q$4:$Q$2003,'首页'!$B$4*100+R$4))</f>
        <v>0</v>
      </c>
      <c r="S295" s="21">
        <f>IF($A295="",0,SUMIFS('[1]销售出库'!$R$4:$R$2003,'[1]销售出库'!$H$4:$H$2003,$A295,'[1]销售出库'!$Q$4:$Q$2003,'首页'!$B$4*100+S$4))</f>
        <v>0</v>
      </c>
      <c r="T295" s="21">
        <f>IF($A295="",0,SUMIFS('[1]销售出库'!$R$4:$R$2003,'[1]销售出库'!$H$4:$H$2003,$A295,'[1]销售出库'!$Q$4:$Q$2003,'首页'!$B$4*100+T$4))</f>
        <v>0</v>
      </c>
      <c r="U295" s="21">
        <f>IF($A295="",0,SUMIFS('[1]销售出库'!$R$4:$R$2003,'[1]销售出库'!$H$4:$H$2003,$A295,'[1]销售出库'!$Q$4:$Q$2003,'首页'!$B$4*100+U$4))</f>
        <v>0</v>
      </c>
      <c r="V295" s="21">
        <f>IF($A295="",0,SUMIFS('[1]销售出库'!$R$4:$R$2003,'[1]销售出库'!$H$4:$H$2003,$A295,'[1]销售出库'!$Q$4:$Q$2003,'首页'!$B$4*100+V$4))</f>
        <v>0</v>
      </c>
      <c r="W295" s="21">
        <f>IF($A295="",0,SUMIFS('[1]销售出库'!$R$4:$R$2003,'[1]销售出库'!$H$4:$H$2003,$A295,'[1]销售出库'!$Q$4:$Q$2003,'首页'!$B$4*100+W$4))</f>
        <v>0</v>
      </c>
      <c r="X295" s="21">
        <f>IF($A295="",0,SUMIFS('[1]销售出库'!$R$4:$R$2003,'[1]销售出库'!$H$4:$H$2003,$A295,'[1]销售出库'!$Q$4:$Q$2003,'首页'!$B$4*100+X$4))</f>
        <v>0</v>
      </c>
    </row>
    <row r="296">
      <c r="A296" s="6">
        <f>IF('[1]基础资料'!$P$295="","",'[1]基础资料'!$P$295)</f>
      </c>
      <c r="B296" s="6">
        <f>IF(A296="","",'[1]基础资料'!$Q$295&amp;"")</f>
      </c>
      <c r="C296" s="21">
        <f>IF(A296="",0,N('[1]基础资料'!$S$295))</f>
        <v>0</v>
      </c>
      <c r="D296" s="11">
        <f>IF(A296="",0,N('[1]基础资料'!$U$295))</f>
        <v>0</v>
      </c>
      <c r="E296" s="21">
        <f>IF(A296="",0,SUMIFS('[1]采购入库'!$U$4:$U$2003,'[1]采购入库'!$I$4:$I$2003,$A296))</f>
        <v>0</v>
      </c>
      <c r="F296" s="11">
        <f>IF(A296="",0,SUMIFS('[1]采购入库'!$V$4:$V$2003,'[1]采购入库'!$I$4:$I$2003,$A296))</f>
        <v>0</v>
      </c>
      <c r="G296" s="21">
        <f>IF(A296="",0,SUMIFS('[1]销售出库'!$R$4:$R$2003,'[1]销售出库'!$H$4:$H$2003,$A296))</f>
        <v>0</v>
      </c>
      <c r="H296" s="11">
        <f t="shared" si="3"/>
        <v>0</v>
      </c>
      <c r="I296" s="11">
        <f t="shared" si="0"/>
        <v>0</v>
      </c>
      <c r="J296" s="21">
        <f t="shared" si="1"/>
        <v>0</v>
      </c>
      <c r="K296" s="11">
        <f t="shared" si="2"/>
        <v>0</v>
      </c>
      <c r="L296" s="6">
        <f t="shared" si="4"/>
      </c>
      <c r="M296" s="21">
        <f>IF($A296="",0,SUMIFS('[1]销售出库'!$R$4:$R$2003,'[1]销售出库'!$H$4:$H$2003,$A296,'[1]销售出库'!$Q$4:$Q$2003,'首页'!$B$4*100+M$4))</f>
        <v>0</v>
      </c>
      <c r="N296" s="21">
        <f>IF($A296="",0,SUMIFS('[1]销售出库'!$R$4:$R$2003,'[1]销售出库'!$H$4:$H$2003,$A296,'[1]销售出库'!$Q$4:$Q$2003,'首页'!$B$4*100+N$4))</f>
        <v>0</v>
      </c>
      <c r="O296" s="21">
        <f>IF($A296="",0,SUMIFS('[1]销售出库'!$R$4:$R$2003,'[1]销售出库'!$H$4:$H$2003,$A296,'[1]销售出库'!$Q$4:$Q$2003,'首页'!$B$4*100+O$4))</f>
        <v>0</v>
      </c>
      <c r="P296" s="21">
        <f>IF($A296="",0,SUMIFS('[1]销售出库'!$R$4:$R$2003,'[1]销售出库'!$H$4:$H$2003,$A296,'[1]销售出库'!$Q$4:$Q$2003,'首页'!$B$4*100+P$4))</f>
        <v>0</v>
      </c>
      <c r="Q296" s="21">
        <f>IF($A296="",0,SUMIFS('[1]销售出库'!$R$4:$R$2003,'[1]销售出库'!$H$4:$H$2003,$A296,'[1]销售出库'!$Q$4:$Q$2003,'首页'!$B$4*100+Q$4))</f>
        <v>0</v>
      </c>
      <c r="R296" s="21">
        <f>IF($A296="",0,SUMIFS('[1]销售出库'!$R$4:$R$2003,'[1]销售出库'!$H$4:$H$2003,$A296,'[1]销售出库'!$Q$4:$Q$2003,'首页'!$B$4*100+R$4))</f>
        <v>0</v>
      </c>
      <c r="S296" s="21">
        <f>IF($A296="",0,SUMIFS('[1]销售出库'!$R$4:$R$2003,'[1]销售出库'!$H$4:$H$2003,$A296,'[1]销售出库'!$Q$4:$Q$2003,'首页'!$B$4*100+S$4))</f>
        <v>0</v>
      </c>
      <c r="T296" s="21">
        <f>IF($A296="",0,SUMIFS('[1]销售出库'!$R$4:$R$2003,'[1]销售出库'!$H$4:$H$2003,$A296,'[1]销售出库'!$Q$4:$Q$2003,'首页'!$B$4*100+T$4))</f>
        <v>0</v>
      </c>
      <c r="U296" s="21">
        <f>IF($A296="",0,SUMIFS('[1]销售出库'!$R$4:$R$2003,'[1]销售出库'!$H$4:$H$2003,$A296,'[1]销售出库'!$Q$4:$Q$2003,'首页'!$B$4*100+U$4))</f>
        <v>0</v>
      </c>
      <c r="V296" s="21">
        <f>IF($A296="",0,SUMIFS('[1]销售出库'!$R$4:$R$2003,'[1]销售出库'!$H$4:$H$2003,$A296,'[1]销售出库'!$Q$4:$Q$2003,'首页'!$B$4*100+V$4))</f>
        <v>0</v>
      </c>
      <c r="W296" s="21">
        <f>IF($A296="",0,SUMIFS('[1]销售出库'!$R$4:$R$2003,'[1]销售出库'!$H$4:$H$2003,$A296,'[1]销售出库'!$Q$4:$Q$2003,'首页'!$B$4*100+W$4))</f>
        <v>0</v>
      </c>
      <c r="X296" s="21">
        <f>IF($A296="",0,SUMIFS('[1]销售出库'!$R$4:$R$2003,'[1]销售出库'!$H$4:$H$2003,$A296,'[1]销售出库'!$Q$4:$Q$2003,'首页'!$B$4*100+X$4))</f>
        <v>0</v>
      </c>
    </row>
    <row r="297">
      <c r="A297" s="6">
        <f>IF('[1]基础资料'!$P$296="","",'[1]基础资料'!$P$296)</f>
      </c>
      <c r="B297" s="6">
        <f>IF(A297="","",'[1]基础资料'!$Q$296&amp;"")</f>
      </c>
      <c r="C297" s="21">
        <f>IF(A297="",0,N('[1]基础资料'!$S$296))</f>
        <v>0</v>
      </c>
      <c r="D297" s="11">
        <f>IF(A297="",0,N('[1]基础资料'!$U$296))</f>
        <v>0</v>
      </c>
      <c r="E297" s="21">
        <f>IF(A297="",0,SUMIFS('[1]采购入库'!$U$4:$U$2003,'[1]采购入库'!$I$4:$I$2003,$A297))</f>
        <v>0</v>
      </c>
      <c r="F297" s="11">
        <f>IF(A297="",0,SUMIFS('[1]采购入库'!$V$4:$V$2003,'[1]采购入库'!$I$4:$I$2003,$A297))</f>
        <v>0</v>
      </c>
      <c r="G297" s="21">
        <f>IF(A297="",0,SUMIFS('[1]销售出库'!$R$4:$R$2003,'[1]销售出库'!$H$4:$H$2003,$A297))</f>
        <v>0</v>
      </c>
      <c r="H297" s="11">
        <f t="shared" si="3"/>
        <v>0</v>
      </c>
      <c r="I297" s="11">
        <f t="shared" si="0"/>
        <v>0</v>
      </c>
      <c r="J297" s="21">
        <f t="shared" si="1"/>
        <v>0</v>
      </c>
      <c r="K297" s="11">
        <f t="shared" si="2"/>
        <v>0</v>
      </c>
      <c r="L297" s="6">
        <f t="shared" si="4"/>
      </c>
      <c r="M297" s="21">
        <f>IF($A297="",0,SUMIFS('[1]销售出库'!$R$4:$R$2003,'[1]销售出库'!$H$4:$H$2003,$A297,'[1]销售出库'!$Q$4:$Q$2003,'首页'!$B$4*100+M$4))</f>
        <v>0</v>
      </c>
      <c r="N297" s="21">
        <f>IF($A297="",0,SUMIFS('[1]销售出库'!$R$4:$R$2003,'[1]销售出库'!$H$4:$H$2003,$A297,'[1]销售出库'!$Q$4:$Q$2003,'首页'!$B$4*100+N$4))</f>
        <v>0</v>
      </c>
      <c r="O297" s="21">
        <f>IF($A297="",0,SUMIFS('[1]销售出库'!$R$4:$R$2003,'[1]销售出库'!$H$4:$H$2003,$A297,'[1]销售出库'!$Q$4:$Q$2003,'首页'!$B$4*100+O$4))</f>
        <v>0</v>
      </c>
      <c r="P297" s="21">
        <f>IF($A297="",0,SUMIFS('[1]销售出库'!$R$4:$R$2003,'[1]销售出库'!$H$4:$H$2003,$A297,'[1]销售出库'!$Q$4:$Q$2003,'首页'!$B$4*100+P$4))</f>
        <v>0</v>
      </c>
      <c r="Q297" s="21">
        <f>IF($A297="",0,SUMIFS('[1]销售出库'!$R$4:$R$2003,'[1]销售出库'!$H$4:$H$2003,$A297,'[1]销售出库'!$Q$4:$Q$2003,'首页'!$B$4*100+Q$4))</f>
        <v>0</v>
      </c>
      <c r="R297" s="21">
        <f>IF($A297="",0,SUMIFS('[1]销售出库'!$R$4:$R$2003,'[1]销售出库'!$H$4:$H$2003,$A297,'[1]销售出库'!$Q$4:$Q$2003,'首页'!$B$4*100+R$4))</f>
        <v>0</v>
      </c>
      <c r="S297" s="21">
        <f>IF($A297="",0,SUMIFS('[1]销售出库'!$R$4:$R$2003,'[1]销售出库'!$H$4:$H$2003,$A297,'[1]销售出库'!$Q$4:$Q$2003,'首页'!$B$4*100+S$4))</f>
        <v>0</v>
      </c>
      <c r="T297" s="21">
        <f>IF($A297="",0,SUMIFS('[1]销售出库'!$R$4:$R$2003,'[1]销售出库'!$H$4:$H$2003,$A297,'[1]销售出库'!$Q$4:$Q$2003,'首页'!$B$4*100+T$4))</f>
        <v>0</v>
      </c>
      <c r="U297" s="21">
        <f>IF($A297="",0,SUMIFS('[1]销售出库'!$R$4:$R$2003,'[1]销售出库'!$H$4:$H$2003,$A297,'[1]销售出库'!$Q$4:$Q$2003,'首页'!$B$4*100+U$4))</f>
        <v>0</v>
      </c>
      <c r="V297" s="21">
        <f>IF($A297="",0,SUMIFS('[1]销售出库'!$R$4:$R$2003,'[1]销售出库'!$H$4:$H$2003,$A297,'[1]销售出库'!$Q$4:$Q$2003,'首页'!$B$4*100+V$4))</f>
        <v>0</v>
      </c>
      <c r="W297" s="21">
        <f>IF($A297="",0,SUMIFS('[1]销售出库'!$R$4:$R$2003,'[1]销售出库'!$H$4:$H$2003,$A297,'[1]销售出库'!$Q$4:$Q$2003,'首页'!$B$4*100+W$4))</f>
        <v>0</v>
      </c>
      <c r="X297" s="21">
        <f>IF($A297="",0,SUMIFS('[1]销售出库'!$R$4:$R$2003,'[1]销售出库'!$H$4:$H$2003,$A297,'[1]销售出库'!$Q$4:$Q$2003,'首页'!$B$4*100+X$4))</f>
        <v>0</v>
      </c>
    </row>
    <row r="298">
      <c r="A298" s="6">
        <f>IF('[1]基础资料'!$P$297="","",'[1]基础资料'!$P$297)</f>
      </c>
      <c r="B298" s="6">
        <f>IF(A298="","",'[1]基础资料'!$Q$297&amp;"")</f>
      </c>
      <c r="C298" s="21">
        <f>IF(A298="",0,N('[1]基础资料'!$S$297))</f>
        <v>0</v>
      </c>
      <c r="D298" s="11">
        <f>IF(A298="",0,N('[1]基础资料'!$U$297))</f>
        <v>0</v>
      </c>
      <c r="E298" s="21">
        <f>IF(A298="",0,SUMIFS('[1]采购入库'!$U$4:$U$2003,'[1]采购入库'!$I$4:$I$2003,$A298))</f>
        <v>0</v>
      </c>
      <c r="F298" s="11">
        <f>IF(A298="",0,SUMIFS('[1]采购入库'!$V$4:$V$2003,'[1]采购入库'!$I$4:$I$2003,$A298))</f>
        <v>0</v>
      </c>
      <c r="G298" s="21">
        <f>IF(A298="",0,SUMIFS('[1]销售出库'!$R$4:$R$2003,'[1]销售出库'!$H$4:$H$2003,$A298))</f>
        <v>0</v>
      </c>
      <c r="H298" s="11">
        <f t="shared" si="3"/>
        <v>0</v>
      </c>
      <c r="I298" s="11">
        <f t="shared" si="0"/>
        <v>0</v>
      </c>
      <c r="J298" s="21">
        <f t="shared" si="1"/>
        <v>0</v>
      </c>
      <c r="K298" s="11">
        <f t="shared" si="2"/>
        <v>0</v>
      </c>
      <c r="L298" s="6">
        <f t="shared" si="4"/>
      </c>
      <c r="M298" s="21">
        <f>IF($A298="",0,SUMIFS('[1]销售出库'!$R$4:$R$2003,'[1]销售出库'!$H$4:$H$2003,$A298,'[1]销售出库'!$Q$4:$Q$2003,'首页'!$B$4*100+M$4))</f>
        <v>0</v>
      </c>
      <c r="N298" s="21">
        <f>IF($A298="",0,SUMIFS('[1]销售出库'!$R$4:$R$2003,'[1]销售出库'!$H$4:$H$2003,$A298,'[1]销售出库'!$Q$4:$Q$2003,'首页'!$B$4*100+N$4))</f>
        <v>0</v>
      </c>
      <c r="O298" s="21">
        <f>IF($A298="",0,SUMIFS('[1]销售出库'!$R$4:$R$2003,'[1]销售出库'!$H$4:$H$2003,$A298,'[1]销售出库'!$Q$4:$Q$2003,'首页'!$B$4*100+O$4))</f>
        <v>0</v>
      </c>
      <c r="P298" s="21">
        <f>IF($A298="",0,SUMIFS('[1]销售出库'!$R$4:$R$2003,'[1]销售出库'!$H$4:$H$2003,$A298,'[1]销售出库'!$Q$4:$Q$2003,'首页'!$B$4*100+P$4))</f>
        <v>0</v>
      </c>
      <c r="Q298" s="21">
        <f>IF($A298="",0,SUMIFS('[1]销售出库'!$R$4:$R$2003,'[1]销售出库'!$H$4:$H$2003,$A298,'[1]销售出库'!$Q$4:$Q$2003,'首页'!$B$4*100+Q$4))</f>
        <v>0</v>
      </c>
      <c r="R298" s="21">
        <f>IF($A298="",0,SUMIFS('[1]销售出库'!$R$4:$R$2003,'[1]销售出库'!$H$4:$H$2003,$A298,'[1]销售出库'!$Q$4:$Q$2003,'首页'!$B$4*100+R$4))</f>
        <v>0</v>
      </c>
      <c r="S298" s="21">
        <f>IF($A298="",0,SUMIFS('[1]销售出库'!$R$4:$R$2003,'[1]销售出库'!$H$4:$H$2003,$A298,'[1]销售出库'!$Q$4:$Q$2003,'首页'!$B$4*100+S$4))</f>
        <v>0</v>
      </c>
      <c r="T298" s="21">
        <f>IF($A298="",0,SUMIFS('[1]销售出库'!$R$4:$R$2003,'[1]销售出库'!$H$4:$H$2003,$A298,'[1]销售出库'!$Q$4:$Q$2003,'首页'!$B$4*100+T$4))</f>
        <v>0</v>
      </c>
      <c r="U298" s="21">
        <f>IF($A298="",0,SUMIFS('[1]销售出库'!$R$4:$R$2003,'[1]销售出库'!$H$4:$H$2003,$A298,'[1]销售出库'!$Q$4:$Q$2003,'首页'!$B$4*100+U$4))</f>
        <v>0</v>
      </c>
      <c r="V298" s="21">
        <f>IF($A298="",0,SUMIFS('[1]销售出库'!$R$4:$R$2003,'[1]销售出库'!$H$4:$H$2003,$A298,'[1]销售出库'!$Q$4:$Q$2003,'首页'!$B$4*100+V$4))</f>
        <v>0</v>
      </c>
      <c r="W298" s="21">
        <f>IF($A298="",0,SUMIFS('[1]销售出库'!$R$4:$R$2003,'[1]销售出库'!$H$4:$H$2003,$A298,'[1]销售出库'!$Q$4:$Q$2003,'首页'!$B$4*100+W$4))</f>
        <v>0</v>
      </c>
      <c r="X298" s="21">
        <f>IF($A298="",0,SUMIFS('[1]销售出库'!$R$4:$R$2003,'[1]销售出库'!$H$4:$H$2003,$A298,'[1]销售出库'!$Q$4:$Q$2003,'首页'!$B$4*100+X$4))</f>
        <v>0</v>
      </c>
    </row>
    <row r="299">
      <c r="A299" s="6">
        <f>IF('[1]基础资料'!$P$298="","",'[1]基础资料'!$P$298)</f>
      </c>
      <c r="B299" s="6">
        <f>IF(A299="","",'[1]基础资料'!$Q$298&amp;"")</f>
      </c>
      <c r="C299" s="21">
        <f>IF(A299="",0,N('[1]基础资料'!$S$298))</f>
        <v>0</v>
      </c>
      <c r="D299" s="11">
        <f>IF(A299="",0,N('[1]基础资料'!$U$298))</f>
        <v>0</v>
      </c>
      <c r="E299" s="21">
        <f>IF(A299="",0,SUMIFS('[1]采购入库'!$U$4:$U$2003,'[1]采购入库'!$I$4:$I$2003,$A299))</f>
        <v>0</v>
      </c>
      <c r="F299" s="11">
        <f>IF(A299="",0,SUMIFS('[1]采购入库'!$V$4:$V$2003,'[1]采购入库'!$I$4:$I$2003,$A299))</f>
        <v>0</v>
      </c>
      <c r="G299" s="21">
        <f>IF(A299="",0,SUMIFS('[1]销售出库'!$R$4:$R$2003,'[1]销售出库'!$H$4:$H$2003,$A299))</f>
        <v>0</v>
      </c>
      <c r="H299" s="11">
        <f t="shared" si="3"/>
        <v>0</v>
      </c>
      <c r="I299" s="11">
        <f t="shared" si="0"/>
        <v>0</v>
      </c>
      <c r="J299" s="21">
        <f t="shared" si="1"/>
        <v>0</v>
      </c>
      <c r="K299" s="11">
        <f t="shared" si="2"/>
        <v>0</v>
      </c>
      <c r="L299" s="6">
        <f t="shared" si="4"/>
      </c>
      <c r="M299" s="21">
        <f>IF($A299="",0,SUMIFS('[1]销售出库'!$R$4:$R$2003,'[1]销售出库'!$H$4:$H$2003,$A299,'[1]销售出库'!$Q$4:$Q$2003,'首页'!$B$4*100+M$4))</f>
        <v>0</v>
      </c>
      <c r="N299" s="21">
        <f>IF($A299="",0,SUMIFS('[1]销售出库'!$R$4:$R$2003,'[1]销售出库'!$H$4:$H$2003,$A299,'[1]销售出库'!$Q$4:$Q$2003,'首页'!$B$4*100+N$4))</f>
        <v>0</v>
      </c>
      <c r="O299" s="21">
        <f>IF($A299="",0,SUMIFS('[1]销售出库'!$R$4:$R$2003,'[1]销售出库'!$H$4:$H$2003,$A299,'[1]销售出库'!$Q$4:$Q$2003,'首页'!$B$4*100+O$4))</f>
        <v>0</v>
      </c>
      <c r="P299" s="21">
        <f>IF($A299="",0,SUMIFS('[1]销售出库'!$R$4:$R$2003,'[1]销售出库'!$H$4:$H$2003,$A299,'[1]销售出库'!$Q$4:$Q$2003,'首页'!$B$4*100+P$4))</f>
        <v>0</v>
      </c>
      <c r="Q299" s="21">
        <f>IF($A299="",0,SUMIFS('[1]销售出库'!$R$4:$R$2003,'[1]销售出库'!$H$4:$H$2003,$A299,'[1]销售出库'!$Q$4:$Q$2003,'首页'!$B$4*100+Q$4))</f>
        <v>0</v>
      </c>
      <c r="R299" s="21">
        <f>IF($A299="",0,SUMIFS('[1]销售出库'!$R$4:$R$2003,'[1]销售出库'!$H$4:$H$2003,$A299,'[1]销售出库'!$Q$4:$Q$2003,'首页'!$B$4*100+R$4))</f>
        <v>0</v>
      </c>
      <c r="S299" s="21">
        <f>IF($A299="",0,SUMIFS('[1]销售出库'!$R$4:$R$2003,'[1]销售出库'!$H$4:$H$2003,$A299,'[1]销售出库'!$Q$4:$Q$2003,'首页'!$B$4*100+S$4))</f>
        <v>0</v>
      </c>
      <c r="T299" s="21">
        <f>IF($A299="",0,SUMIFS('[1]销售出库'!$R$4:$R$2003,'[1]销售出库'!$H$4:$H$2003,$A299,'[1]销售出库'!$Q$4:$Q$2003,'首页'!$B$4*100+T$4))</f>
        <v>0</v>
      </c>
      <c r="U299" s="21">
        <f>IF($A299="",0,SUMIFS('[1]销售出库'!$R$4:$R$2003,'[1]销售出库'!$H$4:$H$2003,$A299,'[1]销售出库'!$Q$4:$Q$2003,'首页'!$B$4*100+U$4))</f>
        <v>0</v>
      </c>
      <c r="V299" s="21">
        <f>IF($A299="",0,SUMIFS('[1]销售出库'!$R$4:$R$2003,'[1]销售出库'!$H$4:$H$2003,$A299,'[1]销售出库'!$Q$4:$Q$2003,'首页'!$B$4*100+V$4))</f>
        <v>0</v>
      </c>
      <c r="W299" s="21">
        <f>IF($A299="",0,SUMIFS('[1]销售出库'!$R$4:$R$2003,'[1]销售出库'!$H$4:$H$2003,$A299,'[1]销售出库'!$Q$4:$Q$2003,'首页'!$B$4*100+W$4))</f>
        <v>0</v>
      </c>
      <c r="X299" s="21">
        <f>IF($A299="",0,SUMIFS('[1]销售出库'!$R$4:$R$2003,'[1]销售出库'!$H$4:$H$2003,$A299,'[1]销售出库'!$Q$4:$Q$2003,'首页'!$B$4*100+X$4))</f>
        <v>0</v>
      </c>
    </row>
    <row r="300">
      <c r="A300" s="6">
        <f>IF('[1]基础资料'!$P$299="","",'[1]基础资料'!$P$299)</f>
      </c>
      <c r="B300" s="6">
        <f>IF(A300="","",'[1]基础资料'!$Q$299&amp;"")</f>
      </c>
      <c r="C300" s="21">
        <f>IF(A300="",0,N('[1]基础资料'!$S$299))</f>
        <v>0</v>
      </c>
      <c r="D300" s="11">
        <f>IF(A300="",0,N('[1]基础资料'!$U$299))</f>
        <v>0</v>
      </c>
      <c r="E300" s="21">
        <f>IF(A300="",0,SUMIFS('[1]采购入库'!$U$4:$U$2003,'[1]采购入库'!$I$4:$I$2003,$A300))</f>
        <v>0</v>
      </c>
      <c r="F300" s="11">
        <f>IF(A300="",0,SUMIFS('[1]采购入库'!$V$4:$V$2003,'[1]采购入库'!$I$4:$I$2003,$A300))</f>
        <v>0</v>
      </c>
      <c r="G300" s="21">
        <f>IF(A300="",0,SUMIFS('[1]销售出库'!$R$4:$R$2003,'[1]销售出库'!$H$4:$H$2003,$A300))</f>
        <v>0</v>
      </c>
      <c r="H300" s="11">
        <f t="shared" si="3"/>
        <v>0</v>
      </c>
      <c r="I300" s="11">
        <f t="shared" si="0"/>
        <v>0</v>
      </c>
      <c r="J300" s="21">
        <f t="shared" si="1"/>
        <v>0</v>
      </c>
      <c r="K300" s="11">
        <f t="shared" si="2"/>
        <v>0</v>
      </c>
      <c r="L300" s="6">
        <f t="shared" si="4"/>
      </c>
      <c r="M300" s="21">
        <f>IF($A300="",0,SUMIFS('[1]销售出库'!$R$4:$R$2003,'[1]销售出库'!$H$4:$H$2003,$A300,'[1]销售出库'!$Q$4:$Q$2003,'首页'!$B$4*100+M$4))</f>
        <v>0</v>
      </c>
      <c r="N300" s="21">
        <f>IF($A300="",0,SUMIFS('[1]销售出库'!$R$4:$R$2003,'[1]销售出库'!$H$4:$H$2003,$A300,'[1]销售出库'!$Q$4:$Q$2003,'首页'!$B$4*100+N$4))</f>
        <v>0</v>
      </c>
      <c r="O300" s="21">
        <f>IF($A300="",0,SUMIFS('[1]销售出库'!$R$4:$R$2003,'[1]销售出库'!$H$4:$H$2003,$A300,'[1]销售出库'!$Q$4:$Q$2003,'首页'!$B$4*100+O$4))</f>
        <v>0</v>
      </c>
      <c r="P300" s="21">
        <f>IF($A300="",0,SUMIFS('[1]销售出库'!$R$4:$R$2003,'[1]销售出库'!$H$4:$H$2003,$A300,'[1]销售出库'!$Q$4:$Q$2003,'首页'!$B$4*100+P$4))</f>
        <v>0</v>
      </c>
      <c r="Q300" s="21">
        <f>IF($A300="",0,SUMIFS('[1]销售出库'!$R$4:$R$2003,'[1]销售出库'!$H$4:$H$2003,$A300,'[1]销售出库'!$Q$4:$Q$2003,'首页'!$B$4*100+Q$4))</f>
        <v>0</v>
      </c>
      <c r="R300" s="21">
        <f>IF($A300="",0,SUMIFS('[1]销售出库'!$R$4:$R$2003,'[1]销售出库'!$H$4:$H$2003,$A300,'[1]销售出库'!$Q$4:$Q$2003,'首页'!$B$4*100+R$4))</f>
        <v>0</v>
      </c>
      <c r="S300" s="21">
        <f>IF($A300="",0,SUMIFS('[1]销售出库'!$R$4:$R$2003,'[1]销售出库'!$H$4:$H$2003,$A300,'[1]销售出库'!$Q$4:$Q$2003,'首页'!$B$4*100+S$4))</f>
        <v>0</v>
      </c>
      <c r="T300" s="21">
        <f>IF($A300="",0,SUMIFS('[1]销售出库'!$R$4:$R$2003,'[1]销售出库'!$H$4:$H$2003,$A300,'[1]销售出库'!$Q$4:$Q$2003,'首页'!$B$4*100+T$4))</f>
        <v>0</v>
      </c>
      <c r="U300" s="21">
        <f>IF($A300="",0,SUMIFS('[1]销售出库'!$R$4:$R$2003,'[1]销售出库'!$H$4:$H$2003,$A300,'[1]销售出库'!$Q$4:$Q$2003,'首页'!$B$4*100+U$4))</f>
        <v>0</v>
      </c>
      <c r="V300" s="21">
        <f>IF($A300="",0,SUMIFS('[1]销售出库'!$R$4:$R$2003,'[1]销售出库'!$H$4:$H$2003,$A300,'[1]销售出库'!$Q$4:$Q$2003,'首页'!$B$4*100+V$4))</f>
        <v>0</v>
      </c>
      <c r="W300" s="21">
        <f>IF($A300="",0,SUMIFS('[1]销售出库'!$R$4:$R$2003,'[1]销售出库'!$H$4:$H$2003,$A300,'[1]销售出库'!$Q$4:$Q$2003,'首页'!$B$4*100+W$4))</f>
        <v>0</v>
      </c>
      <c r="X300" s="21">
        <f>IF($A300="",0,SUMIFS('[1]销售出库'!$R$4:$R$2003,'[1]销售出库'!$H$4:$H$2003,$A300,'[1]销售出库'!$Q$4:$Q$2003,'首页'!$B$4*100+X$4))</f>
        <v>0</v>
      </c>
    </row>
    <row r="301">
      <c r="A301" s="6">
        <f>IF('[1]基础资料'!$P$300="","",'[1]基础资料'!$P$300)</f>
      </c>
      <c r="B301" s="6">
        <f>IF(A301="","",'[1]基础资料'!$Q$300&amp;"")</f>
      </c>
      <c r="C301" s="21">
        <f>IF(A301="",0,N('[1]基础资料'!$S$300))</f>
        <v>0</v>
      </c>
      <c r="D301" s="11">
        <f>IF(A301="",0,N('[1]基础资料'!$U$300))</f>
        <v>0</v>
      </c>
      <c r="E301" s="21">
        <f>IF(A301="",0,SUMIFS('[1]采购入库'!$U$4:$U$2003,'[1]采购入库'!$I$4:$I$2003,$A301))</f>
        <v>0</v>
      </c>
      <c r="F301" s="11">
        <f>IF(A301="",0,SUMIFS('[1]采购入库'!$V$4:$V$2003,'[1]采购入库'!$I$4:$I$2003,$A301))</f>
        <v>0</v>
      </c>
      <c r="G301" s="21">
        <f>IF(A301="",0,SUMIFS('[1]销售出库'!$R$4:$R$2003,'[1]销售出库'!$H$4:$H$2003,$A301))</f>
        <v>0</v>
      </c>
      <c r="H301" s="11">
        <f t="shared" si="3"/>
        <v>0</v>
      </c>
      <c r="I301" s="11">
        <f t="shared" si="0"/>
        <v>0</v>
      </c>
      <c r="J301" s="21">
        <f t="shared" si="1"/>
        <v>0</v>
      </c>
      <c r="K301" s="11">
        <f t="shared" si="2"/>
        <v>0</v>
      </c>
      <c r="L301" s="6">
        <f t="shared" si="4"/>
      </c>
      <c r="M301" s="21">
        <f>IF($A301="",0,SUMIFS('[1]销售出库'!$R$4:$R$2003,'[1]销售出库'!$H$4:$H$2003,$A301,'[1]销售出库'!$Q$4:$Q$2003,'首页'!$B$4*100+M$4))</f>
        <v>0</v>
      </c>
      <c r="N301" s="21">
        <f>IF($A301="",0,SUMIFS('[1]销售出库'!$R$4:$R$2003,'[1]销售出库'!$H$4:$H$2003,$A301,'[1]销售出库'!$Q$4:$Q$2003,'首页'!$B$4*100+N$4))</f>
        <v>0</v>
      </c>
      <c r="O301" s="21">
        <f>IF($A301="",0,SUMIFS('[1]销售出库'!$R$4:$R$2003,'[1]销售出库'!$H$4:$H$2003,$A301,'[1]销售出库'!$Q$4:$Q$2003,'首页'!$B$4*100+O$4))</f>
        <v>0</v>
      </c>
      <c r="P301" s="21">
        <f>IF($A301="",0,SUMIFS('[1]销售出库'!$R$4:$R$2003,'[1]销售出库'!$H$4:$H$2003,$A301,'[1]销售出库'!$Q$4:$Q$2003,'首页'!$B$4*100+P$4))</f>
        <v>0</v>
      </c>
      <c r="Q301" s="21">
        <f>IF($A301="",0,SUMIFS('[1]销售出库'!$R$4:$R$2003,'[1]销售出库'!$H$4:$H$2003,$A301,'[1]销售出库'!$Q$4:$Q$2003,'首页'!$B$4*100+Q$4))</f>
        <v>0</v>
      </c>
      <c r="R301" s="21">
        <f>IF($A301="",0,SUMIFS('[1]销售出库'!$R$4:$R$2003,'[1]销售出库'!$H$4:$H$2003,$A301,'[1]销售出库'!$Q$4:$Q$2003,'首页'!$B$4*100+R$4))</f>
        <v>0</v>
      </c>
      <c r="S301" s="21">
        <f>IF($A301="",0,SUMIFS('[1]销售出库'!$R$4:$R$2003,'[1]销售出库'!$H$4:$H$2003,$A301,'[1]销售出库'!$Q$4:$Q$2003,'首页'!$B$4*100+S$4))</f>
        <v>0</v>
      </c>
      <c r="T301" s="21">
        <f>IF($A301="",0,SUMIFS('[1]销售出库'!$R$4:$R$2003,'[1]销售出库'!$H$4:$H$2003,$A301,'[1]销售出库'!$Q$4:$Q$2003,'首页'!$B$4*100+T$4))</f>
        <v>0</v>
      </c>
      <c r="U301" s="21">
        <f>IF($A301="",0,SUMIFS('[1]销售出库'!$R$4:$R$2003,'[1]销售出库'!$H$4:$H$2003,$A301,'[1]销售出库'!$Q$4:$Q$2003,'首页'!$B$4*100+U$4))</f>
        <v>0</v>
      </c>
      <c r="V301" s="21">
        <f>IF($A301="",0,SUMIFS('[1]销售出库'!$R$4:$R$2003,'[1]销售出库'!$H$4:$H$2003,$A301,'[1]销售出库'!$Q$4:$Q$2003,'首页'!$B$4*100+V$4))</f>
        <v>0</v>
      </c>
      <c r="W301" s="21">
        <f>IF($A301="",0,SUMIFS('[1]销售出库'!$R$4:$R$2003,'[1]销售出库'!$H$4:$H$2003,$A301,'[1]销售出库'!$Q$4:$Q$2003,'首页'!$B$4*100+W$4))</f>
        <v>0</v>
      </c>
      <c r="X301" s="21">
        <f>IF($A301="",0,SUMIFS('[1]销售出库'!$R$4:$R$2003,'[1]销售出库'!$H$4:$H$2003,$A301,'[1]销售出库'!$Q$4:$Q$2003,'首页'!$B$4*100+X$4))</f>
        <v>0</v>
      </c>
    </row>
    <row r="302">
      <c r="A302" s="6">
        <f>IF('[1]基础资料'!$P$301="","",'[1]基础资料'!$P$301)</f>
      </c>
      <c r="B302" s="6">
        <f>IF(A302="","",'[1]基础资料'!$Q$301&amp;"")</f>
      </c>
      <c r="C302" s="21">
        <f>IF(A302="",0,N('[1]基础资料'!$S$301))</f>
        <v>0</v>
      </c>
      <c r="D302" s="11">
        <f>IF(A302="",0,N('[1]基础资料'!$U$301))</f>
        <v>0</v>
      </c>
      <c r="E302" s="21">
        <f>IF(A302="",0,SUMIFS('[1]采购入库'!$U$4:$U$2003,'[1]采购入库'!$I$4:$I$2003,$A302))</f>
        <v>0</v>
      </c>
      <c r="F302" s="11">
        <f>IF(A302="",0,SUMIFS('[1]采购入库'!$V$4:$V$2003,'[1]采购入库'!$I$4:$I$2003,$A302))</f>
        <v>0</v>
      </c>
      <c r="G302" s="21">
        <f>IF(A302="",0,SUMIFS('[1]销售出库'!$R$4:$R$2003,'[1]销售出库'!$H$4:$H$2003,$A302))</f>
        <v>0</v>
      </c>
      <c r="H302" s="11">
        <f t="shared" si="3"/>
        <v>0</v>
      </c>
      <c r="I302" s="11">
        <f t="shared" si="0"/>
        <v>0</v>
      </c>
      <c r="J302" s="21">
        <f t="shared" si="1"/>
        <v>0</v>
      </c>
      <c r="K302" s="11">
        <f t="shared" si="2"/>
        <v>0</v>
      </c>
      <c r="L302" s="6">
        <f t="shared" si="4"/>
      </c>
      <c r="M302" s="21">
        <f>IF($A302="",0,SUMIFS('[1]销售出库'!$R$4:$R$2003,'[1]销售出库'!$H$4:$H$2003,$A302,'[1]销售出库'!$Q$4:$Q$2003,'首页'!$B$4*100+M$4))</f>
        <v>0</v>
      </c>
      <c r="N302" s="21">
        <f>IF($A302="",0,SUMIFS('[1]销售出库'!$R$4:$R$2003,'[1]销售出库'!$H$4:$H$2003,$A302,'[1]销售出库'!$Q$4:$Q$2003,'首页'!$B$4*100+N$4))</f>
        <v>0</v>
      </c>
      <c r="O302" s="21">
        <f>IF($A302="",0,SUMIFS('[1]销售出库'!$R$4:$R$2003,'[1]销售出库'!$H$4:$H$2003,$A302,'[1]销售出库'!$Q$4:$Q$2003,'首页'!$B$4*100+O$4))</f>
        <v>0</v>
      </c>
      <c r="P302" s="21">
        <f>IF($A302="",0,SUMIFS('[1]销售出库'!$R$4:$R$2003,'[1]销售出库'!$H$4:$H$2003,$A302,'[1]销售出库'!$Q$4:$Q$2003,'首页'!$B$4*100+P$4))</f>
        <v>0</v>
      </c>
      <c r="Q302" s="21">
        <f>IF($A302="",0,SUMIFS('[1]销售出库'!$R$4:$R$2003,'[1]销售出库'!$H$4:$H$2003,$A302,'[1]销售出库'!$Q$4:$Q$2003,'首页'!$B$4*100+Q$4))</f>
        <v>0</v>
      </c>
      <c r="R302" s="21">
        <f>IF($A302="",0,SUMIFS('[1]销售出库'!$R$4:$R$2003,'[1]销售出库'!$H$4:$H$2003,$A302,'[1]销售出库'!$Q$4:$Q$2003,'首页'!$B$4*100+R$4))</f>
        <v>0</v>
      </c>
      <c r="S302" s="21">
        <f>IF($A302="",0,SUMIFS('[1]销售出库'!$R$4:$R$2003,'[1]销售出库'!$H$4:$H$2003,$A302,'[1]销售出库'!$Q$4:$Q$2003,'首页'!$B$4*100+S$4))</f>
        <v>0</v>
      </c>
      <c r="T302" s="21">
        <f>IF($A302="",0,SUMIFS('[1]销售出库'!$R$4:$R$2003,'[1]销售出库'!$H$4:$H$2003,$A302,'[1]销售出库'!$Q$4:$Q$2003,'首页'!$B$4*100+T$4))</f>
        <v>0</v>
      </c>
      <c r="U302" s="21">
        <f>IF($A302="",0,SUMIFS('[1]销售出库'!$R$4:$R$2003,'[1]销售出库'!$H$4:$H$2003,$A302,'[1]销售出库'!$Q$4:$Q$2003,'首页'!$B$4*100+U$4))</f>
        <v>0</v>
      </c>
      <c r="V302" s="21">
        <f>IF($A302="",0,SUMIFS('[1]销售出库'!$R$4:$R$2003,'[1]销售出库'!$H$4:$H$2003,$A302,'[1]销售出库'!$Q$4:$Q$2003,'首页'!$B$4*100+V$4))</f>
        <v>0</v>
      </c>
      <c r="W302" s="21">
        <f>IF($A302="",0,SUMIFS('[1]销售出库'!$R$4:$R$2003,'[1]销售出库'!$H$4:$H$2003,$A302,'[1]销售出库'!$Q$4:$Q$2003,'首页'!$B$4*100+W$4))</f>
        <v>0</v>
      </c>
      <c r="X302" s="21">
        <f>IF($A302="",0,SUMIFS('[1]销售出库'!$R$4:$R$2003,'[1]销售出库'!$H$4:$H$2003,$A302,'[1]销售出库'!$Q$4:$Q$2003,'首页'!$B$4*100+X$4))</f>
        <v>0</v>
      </c>
    </row>
    <row r="303">
      <c r="A303" s="6">
        <f>IF('[1]基础资料'!$P$302="","",'[1]基础资料'!$P$302)</f>
      </c>
      <c r="B303" s="6">
        <f>IF(A303="","",'[1]基础资料'!$Q$302&amp;"")</f>
      </c>
      <c r="C303" s="21">
        <f>IF(A303="",0,N('[1]基础资料'!$S$302))</f>
        <v>0</v>
      </c>
      <c r="D303" s="11">
        <f>IF(A303="",0,N('[1]基础资料'!$U$302))</f>
        <v>0</v>
      </c>
      <c r="E303" s="21">
        <f>IF(A303="",0,SUMIFS('[1]采购入库'!$U$4:$U$2003,'[1]采购入库'!$I$4:$I$2003,$A303))</f>
        <v>0</v>
      </c>
      <c r="F303" s="11">
        <f>IF(A303="",0,SUMIFS('[1]采购入库'!$V$4:$V$2003,'[1]采购入库'!$I$4:$I$2003,$A303))</f>
        <v>0</v>
      </c>
      <c r="G303" s="21">
        <f>IF(A303="",0,SUMIFS('[1]销售出库'!$R$4:$R$2003,'[1]销售出库'!$H$4:$H$2003,$A303))</f>
        <v>0</v>
      </c>
      <c r="H303" s="11">
        <f t="shared" si="3"/>
        <v>0</v>
      </c>
      <c r="I303" s="11">
        <f t="shared" si="0"/>
        <v>0</v>
      </c>
      <c r="J303" s="21">
        <f t="shared" si="1"/>
        <v>0</v>
      </c>
      <c r="K303" s="11">
        <f t="shared" si="2"/>
        <v>0</v>
      </c>
      <c r="L303" s="6">
        <f t="shared" si="4"/>
      </c>
      <c r="M303" s="21">
        <f>IF($A303="",0,SUMIFS('[1]销售出库'!$R$4:$R$2003,'[1]销售出库'!$H$4:$H$2003,$A303,'[1]销售出库'!$Q$4:$Q$2003,'首页'!$B$4*100+M$4))</f>
        <v>0</v>
      </c>
      <c r="N303" s="21">
        <f>IF($A303="",0,SUMIFS('[1]销售出库'!$R$4:$R$2003,'[1]销售出库'!$H$4:$H$2003,$A303,'[1]销售出库'!$Q$4:$Q$2003,'首页'!$B$4*100+N$4))</f>
        <v>0</v>
      </c>
      <c r="O303" s="21">
        <f>IF($A303="",0,SUMIFS('[1]销售出库'!$R$4:$R$2003,'[1]销售出库'!$H$4:$H$2003,$A303,'[1]销售出库'!$Q$4:$Q$2003,'首页'!$B$4*100+O$4))</f>
        <v>0</v>
      </c>
      <c r="P303" s="21">
        <f>IF($A303="",0,SUMIFS('[1]销售出库'!$R$4:$R$2003,'[1]销售出库'!$H$4:$H$2003,$A303,'[1]销售出库'!$Q$4:$Q$2003,'首页'!$B$4*100+P$4))</f>
        <v>0</v>
      </c>
      <c r="Q303" s="21">
        <f>IF($A303="",0,SUMIFS('[1]销售出库'!$R$4:$R$2003,'[1]销售出库'!$H$4:$H$2003,$A303,'[1]销售出库'!$Q$4:$Q$2003,'首页'!$B$4*100+Q$4))</f>
        <v>0</v>
      </c>
      <c r="R303" s="21">
        <f>IF($A303="",0,SUMIFS('[1]销售出库'!$R$4:$R$2003,'[1]销售出库'!$H$4:$H$2003,$A303,'[1]销售出库'!$Q$4:$Q$2003,'首页'!$B$4*100+R$4))</f>
        <v>0</v>
      </c>
      <c r="S303" s="21">
        <f>IF($A303="",0,SUMIFS('[1]销售出库'!$R$4:$R$2003,'[1]销售出库'!$H$4:$H$2003,$A303,'[1]销售出库'!$Q$4:$Q$2003,'首页'!$B$4*100+S$4))</f>
        <v>0</v>
      </c>
      <c r="T303" s="21">
        <f>IF($A303="",0,SUMIFS('[1]销售出库'!$R$4:$R$2003,'[1]销售出库'!$H$4:$H$2003,$A303,'[1]销售出库'!$Q$4:$Q$2003,'首页'!$B$4*100+T$4))</f>
        <v>0</v>
      </c>
      <c r="U303" s="21">
        <f>IF($A303="",0,SUMIFS('[1]销售出库'!$R$4:$R$2003,'[1]销售出库'!$H$4:$H$2003,$A303,'[1]销售出库'!$Q$4:$Q$2003,'首页'!$B$4*100+U$4))</f>
        <v>0</v>
      </c>
      <c r="V303" s="21">
        <f>IF($A303="",0,SUMIFS('[1]销售出库'!$R$4:$R$2003,'[1]销售出库'!$H$4:$H$2003,$A303,'[1]销售出库'!$Q$4:$Q$2003,'首页'!$B$4*100+V$4))</f>
        <v>0</v>
      </c>
      <c r="W303" s="21">
        <f>IF($A303="",0,SUMIFS('[1]销售出库'!$R$4:$R$2003,'[1]销售出库'!$H$4:$H$2003,$A303,'[1]销售出库'!$Q$4:$Q$2003,'首页'!$B$4*100+W$4))</f>
        <v>0</v>
      </c>
      <c r="X303" s="21">
        <f>IF($A303="",0,SUMIFS('[1]销售出库'!$R$4:$R$2003,'[1]销售出库'!$H$4:$H$2003,$A303,'[1]销售出库'!$Q$4:$Q$2003,'首页'!$B$4*100+X$4))</f>
        <v>0</v>
      </c>
    </row>
    <row r="304">
      <c r="A304" s="6">
        <f>IF('[1]基础资料'!$P$303="","",'[1]基础资料'!$P$303)</f>
      </c>
      <c r="B304" s="6">
        <f>IF(A304="","",'[1]基础资料'!$Q$303&amp;"")</f>
      </c>
      <c r="C304" s="21">
        <f>IF(A304="",0,N('[1]基础资料'!$S$303))</f>
        <v>0</v>
      </c>
      <c r="D304" s="11">
        <f>IF(A304="",0,N('[1]基础资料'!$U$303))</f>
        <v>0</v>
      </c>
      <c r="E304" s="21">
        <f>IF(A304="",0,SUMIFS('[1]采购入库'!$U$4:$U$2003,'[1]采购入库'!$I$4:$I$2003,$A304))</f>
        <v>0</v>
      </c>
      <c r="F304" s="11">
        <f>IF(A304="",0,SUMIFS('[1]采购入库'!$V$4:$V$2003,'[1]采购入库'!$I$4:$I$2003,$A304))</f>
        <v>0</v>
      </c>
      <c r="G304" s="21">
        <f>IF(A304="",0,SUMIFS('[1]销售出库'!$R$4:$R$2003,'[1]销售出库'!$H$4:$H$2003,$A304))</f>
        <v>0</v>
      </c>
      <c r="H304" s="11">
        <f t="shared" si="3"/>
        <v>0</v>
      </c>
      <c r="I304" s="11">
        <f t="shared" si="0"/>
        <v>0</v>
      </c>
      <c r="J304" s="21">
        <f t="shared" si="1"/>
        <v>0</v>
      </c>
      <c r="K304" s="11">
        <f t="shared" si="2"/>
        <v>0</v>
      </c>
      <c r="L304" s="6">
        <f t="shared" si="4"/>
      </c>
      <c r="M304" s="21">
        <f>IF($A304="",0,SUMIFS('[1]销售出库'!$R$4:$R$2003,'[1]销售出库'!$H$4:$H$2003,$A304,'[1]销售出库'!$Q$4:$Q$2003,'首页'!$B$4*100+M$4))</f>
        <v>0</v>
      </c>
      <c r="N304" s="21">
        <f>IF($A304="",0,SUMIFS('[1]销售出库'!$R$4:$R$2003,'[1]销售出库'!$H$4:$H$2003,$A304,'[1]销售出库'!$Q$4:$Q$2003,'首页'!$B$4*100+N$4))</f>
        <v>0</v>
      </c>
      <c r="O304" s="21">
        <f>IF($A304="",0,SUMIFS('[1]销售出库'!$R$4:$R$2003,'[1]销售出库'!$H$4:$H$2003,$A304,'[1]销售出库'!$Q$4:$Q$2003,'首页'!$B$4*100+O$4))</f>
        <v>0</v>
      </c>
      <c r="P304" s="21">
        <f>IF($A304="",0,SUMIFS('[1]销售出库'!$R$4:$R$2003,'[1]销售出库'!$H$4:$H$2003,$A304,'[1]销售出库'!$Q$4:$Q$2003,'首页'!$B$4*100+P$4))</f>
        <v>0</v>
      </c>
      <c r="Q304" s="21">
        <f>IF($A304="",0,SUMIFS('[1]销售出库'!$R$4:$R$2003,'[1]销售出库'!$H$4:$H$2003,$A304,'[1]销售出库'!$Q$4:$Q$2003,'首页'!$B$4*100+Q$4))</f>
        <v>0</v>
      </c>
      <c r="R304" s="21">
        <f>IF($A304="",0,SUMIFS('[1]销售出库'!$R$4:$R$2003,'[1]销售出库'!$H$4:$H$2003,$A304,'[1]销售出库'!$Q$4:$Q$2003,'首页'!$B$4*100+R$4))</f>
        <v>0</v>
      </c>
      <c r="S304" s="21">
        <f>IF($A304="",0,SUMIFS('[1]销售出库'!$R$4:$R$2003,'[1]销售出库'!$H$4:$H$2003,$A304,'[1]销售出库'!$Q$4:$Q$2003,'首页'!$B$4*100+S$4))</f>
        <v>0</v>
      </c>
      <c r="T304" s="21">
        <f>IF($A304="",0,SUMIFS('[1]销售出库'!$R$4:$R$2003,'[1]销售出库'!$H$4:$H$2003,$A304,'[1]销售出库'!$Q$4:$Q$2003,'首页'!$B$4*100+T$4))</f>
        <v>0</v>
      </c>
      <c r="U304" s="21">
        <f>IF($A304="",0,SUMIFS('[1]销售出库'!$R$4:$R$2003,'[1]销售出库'!$H$4:$H$2003,$A304,'[1]销售出库'!$Q$4:$Q$2003,'首页'!$B$4*100+U$4))</f>
        <v>0</v>
      </c>
      <c r="V304" s="21">
        <f>IF($A304="",0,SUMIFS('[1]销售出库'!$R$4:$R$2003,'[1]销售出库'!$H$4:$H$2003,$A304,'[1]销售出库'!$Q$4:$Q$2003,'首页'!$B$4*100+V$4))</f>
        <v>0</v>
      </c>
      <c r="W304" s="21">
        <f>IF($A304="",0,SUMIFS('[1]销售出库'!$R$4:$R$2003,'[1]销售出库'!$H$4:$H$2003,$A304,'[1]销售出库'!$Q$4:$Q$2003,'首页'!$B$4*100+W$4))</f>
        <v>0</v>
      </c>
      <c r="X304" s="21">
        <f>IF($A304="",0,SUMIFS('[1]销售出库'!$R$4:$R$2003,'[1]销售出库'!$H$4:$H$2003,$A304,'[1]销售出库'!$Q$4:$Q$2003,'首页'!$B$4*100+X$4))</f>
        <v>0</v>
      </c>
    </row>
    <row r="305">
      <c r="A305" s="6">
        <f>IF('[1]基础资料'!$P$304="","",'[1]基础资料'!$P$304)</f>
      </c>
      <c r="B305" s="6">
        <f>IF(A305="","",'[1]基础资料'!$Q$304&amp;"")</f>
      </c>
      <c r="C305" s="21">
        <f>IF(A305="",0,N('[1]基础资料'!$S$304))</f>
        <v>0</v>
      </c>
      <c r="D305" s="11">
        <f>IF(A305="",0,N('[1]基础资料'!$U$304))</f>
        <v>0</v>
      </c>
      <c r="E305" s="21">
        <f>IF(A305="",0,SUMIFS('[1]采购入库'!$U$4:$U$2003,'[1]采购入库'!$I$4:$I$2003,$A305))</f>
        <v>0</v>
      </c>
      <c r="F305" s="11">
        <f>IF(A305="",0,SUMIFS('[1]采购入库'!$V$4:$V$2003,'[1]采购入库'!$I$4:$I$2003,$A305))</f>
        <v>0</v>
      </c>
      <c r="G305" s="21">
        <f>IF(A305="",0,SUMIFS('[1]销售出库'!$R$4:$R$2003,'[1]销售出库'!$H$4:$H$2003,$A305))</f>
        <v>0</v>
      </c>
      <c r="H305" s="11">
        <f t="shared" si="3"/>
        <v>0</v>
      </c>
      <c r="I305" s="11">
        <f t="shared" si="0"/>
        <v>0</v>
      </c>
      <c r="J305" s="21">
        <f t="shared" si="1"/>
        <v>0</v>
      </c>
      <c r="K305" s="11">
        <f t="shared" si="2"/>
        <v>0</v>
      </c>
      <c r="L305" s="6">
        <f t="shared" si="4"/>
      </c>
      <c r="M305" s="21">
        <f>IF($A305="",0,SUMIFS('[1]销售出库'!$R$4:$R$2003,'[1]销售出库'!$H$4:$H$2003,$A305,'[1]销售出库'!$Q$4:$Q$2003,'首页'!$B$4*100+M$4))</f>
        <v>0</v>
      </c>
      <c r="N305" s="21">
        <f>IF($A305="",0,SUMIFS('[1]销售出库'!$R$4:$R$2003,'[1]销售出库'!$H$4:$H$2003,$A305,'[1]销售出库'!$Q$4:$Q$2003,'首页'!$B$4*100+N$4))</f>
        <v>0</v>
      </c>
      <c r="O305" s="21">
        <f>IF($A305="",0,SUMIFS('[1]销售出库'!$R$4:$R$2003,'[1]销售出库'!$H$4:$H$2003,$A305,'[1]销售出库'!$Q$4:$Q$2003,'首页'!$B$4*100+O$4))</f>
        <v>0</v>
      </c>
      <c r="P305" s="21">
        <f>IF($A305="",0,SUMIFS('[1]销售出库'!$R$4:$R$2003,'[1]销售出库'!$H$4:$H$2003,$A305,'[1]销售出库'!$Q$4:$Q$2003,'首页'!$B$4*100+P$4))</f>
        <v>0</v>
      </c>
      <c r="Q305" s="21">
        <f>IF($A305="",0,SUMIFS('[1]销售出库'!$R$4:$R$2003,'[1]销售出库'!$H$4:$H$2003,$A305,'[1]销售出库'!$Q$4:$Q$2003,'首页'!$B$4*100+Q$4))</f>
        <v>0</v>
      </c>
      <c r="R305" s="21">
        <f>IF($A305="",0,SUMIFS('[1]销售出库'!$R$4:$R$2003,'[1]销售出库'!$H$4:$H$2003,$A305,'[1]销售出库'!$Q$4:$Q$2003,'首页'!$B$4*100+R$4))</f>
        <v>0</v>
      </c>
      <c r="S305" s="21">
        <f>IF($A305="",0,SUMIFS('[1]销售出库'!$R$4:$R$2003,'[1]销售出库'!$H$4:$H$2003,$A305,'[1]销售出库'!$Q$4:$Q$2003,'首页'!$B$4*100+S$4))</f>
        <v>0</v>
      </c>
      <c r="T305" s="21">
        <f>IF($A305="",0,SUMIFS('[1]销售出库'!$R$4:$R$2003,'[1]销售出库'!$H$4:$H$2003,$A305,'[1]销售出库'!$Q$4:$Q$2003,'首页'!$B$4*100+T$4))</f>
        <v>0</v>
      </c>
      <c r="U305" s="21">
        <f>IF($A305="",0,SUMIFS('[1]销售出库'!$R$4:$R$2003,'[1]销售出库'!$H$4:$H$2003,$A305,'[1]销售出库'!$Q$4:$Q$2003,'首页'!$B$4*100+U$4))</f>
        <v>0</v>
      </c>
      <c r="V305" s="21">
        <f>IF($A305="",0,SUMIFS('[1]销售出库'!$R$4:$R$2003,'[1]销售出库'!$H$4:$H$2003,$A305,'[1]销售出库'!$Q$4:$Q$2003,'首页'!$B$4*100+V$4))</f>
        <v>0</v>
      </c>
      <c r="W305" s="21">
        <f>IF($A305="",0,SUMIFS('[1]销售出库'!$R$4:$R$2003,'[1]销售出库'!$H$4:$H$2003,$A305,'[1]销售出库'!$Q$4:$Q$2003,'首页'!$B$4*100+W$4))</f>
        <v>0</v>
      </c>
      <c r="X305" s="21">
        <f>IF($A305="",0,SUMIFS('[1]销售出库'!$R$4:$R$2003,'[1]销售出库'!$H$4:$H$2003,$A305,'[1]销售出库'!$Q$4:$Q$2003,'首页'!$B$4*100+X$4))</f>
        <v>0</v>
      </c>
    </row>
  </sheetData>
  <autoFilter ref="A4:L305"/>
  <mergeCells count="2">
    <mergeCell ref="A2:X2"/>
    <mergeCell ref="A1:X1"/>
  </mergeCells>
  <conditionalFormatting sqref="L6:L305">
    <cfRule type="expression" priority="1" dxfId="0">
      <formula>L6&lt;&gt;""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K405"/>
  <sheetViews>
    <sheetView showGridLines="1" tabSelected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</cols>
  <sheetData>
    <row r="1" ht="26" customHeight="1">
      <c r="A1" s="1" t="inlineStr">
        <is>
          <t>A076 往来（供应商应付／客户应收）</t>
        </is>
      </c>
    </row>
    <row r="2" ht="48" customHeight="1">
      <c r="A2" s="3" t="inlineStr">
        <is>
          <t>采购额、销售额来自录入本的采购入库、销售出库（全部明细）；已付款、已收款来自资金台帐里「属性＝往来」且选了这个往来单位的行（付出去记支出、收进来记收入）。应付＝期初应付＋采购－付款；应收＝期初应收＋销售－收款；既是供应商又是客户的两边轧差。拼多多买家的货款走平台，看「拼多多对账」，这里不算应收。</t>
        </is>
      </c>
    </row>
    <row r="3"/>
    <row r="4" ht="30" customHeight="1">
      <c r="A4" s="5" t="inlineStr">
        <is>
          <t>往来单位</t>
        </is>
      </c>
      <c r="B4" s="5" t="inlineStr">
        <is>
          <t>类型</t>
        </is>
      </c>
      <c r="C4" s="5" t="inlineStr">
        <is>
          <t>期初应付</t>
        </is>
      </c>
      <c r="D4" s="5" t="inlineStr">
        <is>
          <t>采购额</t>
        </is>
      </c>
      <c r="E4" s="5" t="inlineStr">
        <is>
          <t>已付款</t>
        </is>
      </c>
      <c r="F4" s="5" t="inlineStr">
        <is>
          <t>期初应收</t>
        </is>
      </c>
      <c r="G4" s="5" t="inlineStr">
        <is>
          <t>销售额</t>
        </is>
      </c>
      <c r="H4" s="5" t="inlineStr">
        <is>
          <t>已收款</t>
        </is>
      </c>
      <c r="I4" s="5" t="inlineStr">
        <is>
          <t>应付余额
(我们欠对方)</t>
        </is>
      </c>
      <c r="J4" s="5" t="inlineStr">
        <is>
          <t>应收余额
(对方欠我们)</t>
        </is>
      </c>
      <c r="K4" s="5" t="inlineStr">
        <is>
          <t>说明</t>
        </is>
      </c>
    </row>
    <row r="5">
      <c r="A5" s="8" t="inlineStr">
        <is>
          <t>合计</t>
        </is>
      </c>
      <c r="B5" s="8" t="n"/>
      <c r="C5" s="9">
        <f>SUM(C6:C405)</f>
        <v>0</v>
      </c>
      <c r="D5" s="9">
        <f>SUM(D6:D405)</f>
        <v>2813917.82</v>
      </c>
      <c r="E5" s="9">
        <f>SUM(E6:E405)</f>
        <v>0</v>
      </c>
      <c r="F5" s="9">
        <f>SUM(F6:F405)</f>
        <v>0</v>
      </c>
      <c r="G5" s="9">
        <f>SUM(G6:G405)</f>
        <v>3326969.42</v>
      </c>
      <c r="H5" s="9">
        <f>SUM(H6:H405)</f>
        <v>0</v>
      </c>
      <c r="I5" s="9">
        <f>SUM(I6:I405)</f>
        <v>2785983.82</v>
      </c>
      <c r="J5" s="9">
        <f>SUM(J6:J405)</f>
        <v>3299035.42</v>
      </c>
      <c r="K5" s="8" t="n"/>
    </row>
    <row r="6">
      <c r="A6" s="6" t="str">
        <f>IF('[1]基础资料'!$I$5="","",'[1]基础资料'!$I$5)</f>
        <v>智慧城娟娟音响广播大屏监控</v>
      </c>
      <c r="B6" s="6" t="str">
        <f>IF(A6="","",'[1]基础资料'!$J$5&amp;IF('[1]基础资料'!$K$5="","","·"&amp;'[1]基础资料'!$K$5))</f>
        <v>供应商</v>
      </c>
      <c r="C6" s="11">
        <f>IF(A6="",0,N('[1]基础资料'!$L$5))</f>
        <v>0</v>
      </c>
      <c r="D6" s="11">
        <f>IF(A6="",0,SUMIFS('[1]采购入库'!$V$4:$V$2003,'[1]采购入库'!$D$4:$D$2003,$A6))</f>
        <v>27321.65</v>
      </c>
      <c r="E6" s="11">
        <f>IF(A6="",0,SUMIFS('[1]资金台帐'!$H$4:$H$3003,'[1]资金台帐'!$D$4:$D$3003,$A6,'[1]资金台帐'!$M$4:$M$3003,"往来"))</f>
        <v>0</v>
      </c>
      <c r="F6" s="11">
        <f>IF(A6="",0,N('[1]基础资料'!$M$5))</f>
        <v>0</v>
      </c>
      <c r="G6" s="11">
        <f>IF(OR(A6="",ISNUMBER(FIND("线上",B6))),0,SUMIFS('[1]销售出库'!$S$4:$S$2003,'[1]销售出库'!$B$4:$B$2003,$A6))</f>
        <v>0</v>
      </c>
      <c r="H6" s="11">
        <f>IF(A6="",0,SUMIFS('[1]资金台帐'!$G$4:$G$3003,'[1]资金台帐'!$D$4:$D$3003,$A6,'[1]资金台帐'!$M$4:$M$3003,"往来"))</f>
        <v>0</v>
      </c>
      <c r="I6" s="11">
        <f t="shared" ref="I6:I405" si="0">MAX(0,ROUND((C6+D6-E6)-(F6+G6-H6),2))</f>
        <v>27321.65</v>
      </c>
      <c r="J6" s="11">
        <f t="shared" ref="J6:J405" si="1">MAX(0,ROUND((F6+G6-H6)-(C6+D6-E6),2))</f>
        <v>0</v>
      </c>
      <c r="K6" s="6" t="str">
        <f t="shared" ref="K6:K405" si="2">IF(A6="","",IF(ISNUMBER(FIND("线上",B6)),"平台结算，看拼多多对账",IF(I6&gt;0,"我们欠对方",IF(J6&gt;0,"对方欠我们",""))))</f>
        <v>我们欠对方</v>
      </c>
    </row>
    <row r="7">
      <c r="A7" s="6" t="str">
        <f>IF('[1]基础资料'!$I$6="","",'[1]基础资料'!$I$6)</f>
        <v>菲菲</v>
      </c>
      <c r="B7" s="6" t="str">
        <f>IF(A7="","",'[1]基础资料'!$J$6&amp;IF('[1]基础资料'!$K$6="","","·"&amp;'[1]基础资料'!$K$6))</f>
        <v>供应商</v>
      </c>
      <c r="C7" s="11">
        <f>IF(A7="",0,N('[1]基础资料'!$L$6))</f>
        <v>0</v>
      </c>
      <c r="D7" s="11">
        <f>IF(A7="",0,SUMIFS('[1]采购入库'!$V$4:$V$2003,'[1]采购入库'!$D$4:$D$2003,$A7))</f>
        <v>295590</v>
      </c>
      <c r="E7" s="11">
        <f>IF(A7="",0,SUMIFS('[1]资金台帐'!$H$4:$H$3003,'[1]资金台帐'!$D$4:$D$3003,$A7,'[1]资金台帐'!$M$4:$M$3003,"往来"))</f>
        <v>0</v>
      </c>
      <c r="F7" s="11">
        <f>IF(A7="",0,N('[1]基础资料'!$M$6))</f>
        <v>0</v>
      </c>
      <c r="G7" s="11">
        <f>IF(OR(A7="",ISNUMBER(FIND("线上",B7))),0,SUMIFS('[1]销售出库'!$S$4:$S$2003,'[1]销售出库'!$B$4:$B$2003,$A7))</f>
        <v>0</v>
      </c>
      <c r="H7" s="11">
        <f>IF(A7="",0,SUMIFS('[1]资金台帐'!$G$4:$G$3003,'[1]资金台帐'!$D$4:$D$3003,$A7,'[1]资金台帐'!$M$4:$M$3003,"往来"))</f>
        <v>0</v>
      </c>
      <c r="I7" s="11">
        <f t="shared" si="0"/>
        <v>295590</v>
      </c>
      <c r="J7" s="11">
        <f t="shared" si="1"/>
        <v>0</v>
      </c>
      <c r="K7" s="6" t="str">
        <f t="shared" si="2"/>
        <v>我们欠对方</v>
      </c>
    </row>
    <row r="8">
      <c r="A8" s="6" t="str">
        <f>IF('[1]基础资料'!$I$7="","",'[1]基础资料'!$I$7)</f>
        <v>新天地负一B10</v>
      </c>
      <c r="B8" s="6" t="str">
        <f>IF(A8="","",'[1]基础资料'!$J$7&amp;IF('[1]基础资料'!$K$7="","","·"&amp;'[1]基础资料'!$K$7))</f>
        <v>供应商</v>
      </c>
      <c r="C8" s="11">
        <f>IF(A8="",0,N('[1]基础资料'!$L$7))</f>
        <v>0</v>
      </c>
      <c r="D8" s="11">
        <f>IF(A8="",0,SUMIFS('[1]采购入库'!$V$4:$V$2003,'[1]采购入库'!$D$4:$D$2003,$A8))</f>
        <v>16460</v>
      </c>
      <c r="E8" s="11">
        <f>IF(A8="",0,SUMIFS('[1]资金台帐'!$H$4:$H$3003,'[1]资金台帐'!$D$4:$D$3003,$A8,'[1]资金台帐'!$M$4:$M$3003,"往来"))</f>
        <v>0</v>
      </c>
      <c r="F8" s="11">
        <f>IF(A8="",0,N('[1]基础资料'!$M$7))</f>
        <v>0</v>
      </c>
      <c r="G8" s="11">
        <f>IF(OR(A8="",ISNUMBER(FIND("线上",B8))),0,SUMIFS('[1]销售出库'!$S$4:$S$2003,'[1]销售出库'!$B$4:$B$2003,$A8))</f>
        <v>0</v>
      </c>
      <c r="H8" s="11">
        <f>IF(A8="",0,SUMIFS('[1]资金台帐'!$G$4:$G$3003,'[1]资金台帐'!$D$4:$D$3003,$A8,'[1]资金台帐'!$M$4:$M$3003,"往来"))</f>
        <v>0</v>
      </c>
      <c r="I8" s="11">
        <f t="shared" si="0"/>
        <v>16460</v>
      </c>
      <c r="J8" s="11">
        <f t="shared" si="1"/>
        <v>0</v>
      </c>
      <c r="K8" s="6" t="str">
        <f t="shared" si="2"/>
        <v>我们欠对方</v>
      </c>
    </row>
    <row r="9">
      <c r="A9" s="6" t="str">
        <f>IF('[1]基础资料'!$I$8="","",'[1]基础资料'!$I$8)</f>
        <v>3A37国王</v>
      </c>
      <c r="B9" s="6" t="str">
        <f>IF(A9="","",'[1]基础资料'!$J$8&amp;IF('[1]基础资料'!$K$8="","","·"&amp;'[1]基础资料'!$K$8))</f>
        <v>供应商</v>
      </c>
      <c r="C9" s="11">
        <f>IF(A9="",0,N('[1]基础资料'!$L$8))</f>
        <v>0</v>
      </c>
      <c r="D9" s="11">
        <f>IF(A9="",0,SUMIFS('[1]采购入库'!$V$4:$V$2003,'[1]采购入库'!$D$4:$D$2003,$A9))</f>
        <v>17120</v>
      </c>
      <c r="E9" s="11">
        <f>IF(A9="",0,SUMIFS('[1]资金台帐'!$H$4:$H$3003,'[1]资金台帐'!$D$4:$D$3003,$A9,'[1]资金台帐'!$M$4:$M$3003,"往来"))</f>
        <v>0</v>
      </c>
      <c r="F9" s="11">
        <f>IF(A9="",0,N('[1]基础资料'!$M$8))</f>
        <v>0</v>
      </c>
      <c r="G9" s="11">
        <f>IF(OR(A9="",ISNUMBER(FIND("线上",B9))),0,SUMIFS('[1]销售出库'!$S$4:$S$2003,'[1]销售出库'!$B$4:$B$2003,$A9))</f>
        <v>0</v>
      </c>
      <c r="H9" s="11">
        <f>IF(A9="",0,SUMIFS('[1]资金台帐'!$G$4:$G$3003,'[1]资金台帐'!$D$4:$D$3003,$A9,'[1]资金台帐'!$M$4:$M$3003,"往来"))</f>
        <v>0</v>
      </c>
      <c r="I9" s="11">
        <f t="shared" si="0"/>
        <v>17120</v>
      </c>
      <c r="J9" s="11">
        <f t="shared" si="1"/>
        <v>0</v>
      </c>
      <c r="K9" s="6" t="str">
        <f t="shared" si="2"/>
        <v>我们欠对方</v>
      </c>
    </row>
    <row r="10">
      <c r="A10" s="6" t="str">
        <f>IF('[1]基础资料'!$I$9="","",'[1]基础资料'!$I$9)</f>
        <v>新天地帅杰负一B08</v>
      </c>
      <c r="B10" s="6" t="str">
        <f>IF(A10="","",'[1]基础资料'!$J$9&amp;IF('[1]基础资料'!$K$9="","","·"&amp;'[1]基础资料'!$K$9))</f>
        <v>供应商</v>
      </c>
      <c r="C10" s="11">
        <f>IF(A10="",0,N('[1]基础资料'!$L$9))</f>
        <v>0</v>
      </c>
      <c r="D10" s="11">
        <f>IF(A10="",0,SUMIFS('[1]采购入库'!$V$4:$V$2003,'[1]采购入库'!$D$4:$D$2003,$A10))</f>
        <v>17030</v>
      </c>
      <c r="E10" s="11">
        <f>IF(A10="",0,SUMIFS('[1]资金台帐'!$H$4:$H$3003,'[1]资金台帐'!$D$4:$D$3003,$A10,'[1]资金台帐'!$M$4:$M$3003,"往来"))</f>
        <v>0</v>
      </c>
      <c r="F10" s="11">
        <f>IF(A10="",0,N('[1]基础资料'!$M$9))</f>
        <v>0</v>
      </c>
      <c r="G10" s="11">
        <f>IF(OR(A10="",ISNUMBER(FIND("线上",B10))),0,SUMIFS('[1]销售出库'!$S$4:$S$2003,'[1]销售出库'!$B$4:$B$2003,$A10))</f>
        <v>0</v>
      </c>
      <c r="H10" s="11">
        <f>IF(A10="",0,SUMIFS('[1]资金台帐'!$G$4:$G$3003,'[1]资金台帐'!$D$4:$D$3003,$A10,'[1]资金台帐'!$M$4:$M$3003,"往来"))</f>
        <v>0</v>
      </c>
      <c r="I10" s="11">
        <f t="shared" si="0"/>
        <v>17030</v>
      </c>
      <c r="J10" s="11">
        <f t="shared" si="1"/>
        <v>0</v>
      </c>
      <c r="K10" s="6" t="str">
        <f t="shared" si="2"/>
        <v>我们欠对方</v>
      </c>
    </row>
    <row r="11">
      <c r="A11" s="6" t="str">
        <f>IF('[1]基础资料'!$I$10="","",'[1]基础资料'!$I$10)</f>
        <v>鹏鑫</v>
      </c>
      <c r="B11" s="6" t="str">
        <f>IF(A11="","",'[1]基础资料'!$J$10&amp;IF('[1]基础资料'!$K$10="","","·"&amp;'[1]基础资料'!$K$10))</f>
        <v>供应商</v>
      </c>
      <c r="C11" s="11">
        <f>IF(A11="",0,N('[1]基础资料'!$L$10))</f>
        <v>0</v>
      </c>
      <c r="D11" s="11">
        <f>IF(A11="",0,SUMIFS('[1]采购入库'!$V$4:$V$2003,'[1]采购入库'!$D$4:$D$2003,$A11))</f>
        <v>8230</v>
      </c>
      <c r="E11" s="11">
        <f>IF(A11="",0,SUMIFS('[1]资金台帐'!$H$4:$H$3003,'[1]资金台帐'!$D$4:$D$3003,$A11,'[1]资金台帐'!$M$4:$M$3003,"往来"))</f>
        <v>0</v>
      </c>
      <c r="F11" s="11">
        <f>IF(A11="",0,N('[1]基础资料'!$M$10))</f>
        <v>0</v>
      </c>
      <c r="G11" s="11">
        <f>IF(OR(A11="",ISNUMBER(FIND("线上",B11))),0,SUMIFS('[1]销售出库'!$S$4:$S$2003,'[1]销售出库'!$B$4:$B$2003,$A11))</f>
        <v>0</v>
      </c>
      <c r="H11" s="11">
        <f>IF(A11="",0,SUMIFS('[1]资金台帐'!$G$4:$G$3003,'[1]资金台帐'!$D$4:$D$3003,$A11,'[1]资金台帐'!$M$4:$M$3003,"往来"))</f>
        <v>0</v>
      </c>
      <c r="I11" s="11">
        <f t="shared" si="0"/>
        <v>8230</v>
      </c>
      <c r="J11" s="11">
        <f t="shared" si="1"/>
        <v>0</v>
      </c>
      <c r="K11" s="6" t="str">
        <f t="shared" si="2"/>
        <v>我们欠对方</v>
      </c>
    </row>
    <row r="12">
      <c r="A12" s="6" t="str">
        <f>IF('[1]基础资料'!$I$11="","",'[1]基础资料'!$I$11)</f>
        <v>新天地2A51</v>
      </c>
      <c r="B12" s="6" t="str">
        <f>IF(A12="","",'[1]基础资料'!$J$11&amp;IF('[1]基础资料'!$K$11="","","·"&amp;'[1]基础资料'!$K$11))</f>
        <v>供应商</v>
      </c>
      <c r="C12" s="11">
        <f>IF(A12="",0,N('[1]基础资料'!$L$11))</f>
        <v>0</v>
      </c>
      <c r="D12" s="11">
        <f>IF(A12="",0,SUMIFS('[1]采购入库'!$V$4:$V$2003,'[1]采购入库'!$D$4:$D$2003,$A12))</f>
        <v>8220</v>
      </c>
      <c r="E12" s="11">
        <f>IF(A12="",0,SUMIFS('[1]资金台帐'!$H$4:$H$3003,'[1]资金台帐'!$D$4:$D$3003,$A12,'[1]资金台帐'!$M$4:$M$3003,"往来"))</f>
        <v>0</v>
      </c>
      <c r="F12" s="11">
        <f>IF(A12="",0,N('[1]基础资料'!$M$11))</f>
        <v>0</v>
      </c>
      <c r="G12" s="11">
        <f>IF(OR(A12="",ISNUMBER(FIND("线上",B12))),0,SUMIFS('[1]销售出库'!$S$4:$S$2003,'[1]销售出库'!$B$4:$B$2003,$A12))</f>
        <v>0</v>
      </c>
      <c r="H12" s="11">
        <f>IF(A12="",0,SUMIFS('[1]资金台帐'!$G$4:$G$3003,'[1]资金台帐'!$D$4:$D$3003,$A12,'[1]资金台帐'!$M$4:$M$3003,"往来"))</f>
        <v>0</v>
      </c>
      <c r="I12" s="11">
        <f t="shared" si="0"/>
        <v>8220</v>
      </c>
      <c r="J12" s="11">
        <f t="shared" si="1"/>
        <v>0</v>
      </c>
      <c r="K12" s="6" t="str">
        <f t="shared" si="2"/>
        <v>我们欠对方</v>
      </c>
    </row>
    <row r="13">
      <c r="A13" s="6" t="str">
        <f>IF('[1]基础资料'!$I$12="","",'[1]基础资料'!$I$12)</f>
        <v>散户</v>
      </c>
      <c r="B13" s="6" t="str">
        <f>IF(A13="","",'[1]基础资料'!$J$12&amp;IF('[1]基础资料'!$K$12="","","·"&amp;'[1]基础资料'!$K$12))</f>
        <v>供应商</v>
      </c>
      <c r="C13" s="11">
        <f>IF(A13="",0,N('[1]基础资料'!$L$12))</f>
        <v>0</v>
      </c>
      <c r="D13" s="11">
        <f>IF(A13="",0,SUMIFS('[1]采购入库'!$V$4:$V$2003,'[1]采购入库'!$D$4:$D$2003,$A13))</f>
        <v>21239.17</v>
      </c>
      <c r="E13" s="11">
        <f>IF(A13="",0,SUMIFS('[1]资金台帐'!$H$4:$H$3003,'[1]资金台帐'!$D$4:$D$3003,$A13,'[1]资金台帐'!$M$4:$M$3003,"往来"))</f>
        <v>0</v>
      </c>
      <c r="F13" s="11">
        <f>IF(A13="",0,N('[1]基础资料'!$M$12))</f>
        <v>0</v>
      </c>
      <c r="G13" s="11">
        <f>IF(OR(A13="",ISNUMBER(FIND("线上",B13))),0,SUMIFS('[1]销售出库'!$S$4:$S$2003,'[1]销售出库'!$B$4:$B$2003,$A13))</f>
        <v>0</v>
      </c>
      <c r="H13" s="11">
        <f>IF(A13="",0,SUMIFS('[1]资金台帐'!$G$4:$G$3003,'[1]资金台帐'!$D$4:$D$3003,$A13,'[1]资金台帐'!$M$4:$M$3003,"往来"))</f>
        <v>0</v>
      </c>
      <c r="I13" s="11">
        <f t="shared" si="0"/>
        <v>21239.17</v>
      </c>
      <c r="J13" s="11">
        <f t="shared" si="1"/>
        <v>0</v>
      </c>
      <c r="K13" s="6" t="str">
        <f t="shared" si="2"/>
        <v>我们欠对方</v>
      </c>
    </row>
    <row r="14">
      <c r="A14" s="6" t="str">
        <f>IF('[1]基础资料'!$I$13="","",'[1]基础资料'!$I$13)</f>
        <v>韩宜僮</v>
      </c>
      <c r="B14" s="6" t="str">
        <f>IF(A14="","",'[1]基础资料'!$J$13&amp;IF('[1]基础资料'!$K$13="","","·"&amp;'[1]基础资料'!$K$13))</f>
        <v>供应商+客户·线下</v>
      </c>
      <c r="C14" s="11">
        <f>IF(A14="",0,N('[1]基础资料'!$L$13))</f>
        <v>0</v>
      </c>
      <c r="D14" s="11">
        <f>IF(A14="",0,SUMIFS('[1]采购入库'!$V$4:$V$2003,'[1]采购入库'!$D$4:$D$2003,$A14))</f>
        <v>27934</v>
      </c>
      <c r="E14" s="11">
        <f>IF(A14="",0,SUMIFS('[1]资金台帐'!$H$4:$H$3003,'[1]资金台帐'!$D$4:$D$3003,$A14,'[1]资金台帐'!$M$4:$M$3003,"往来"))</f>
        <v>0</v>
      </c>
      <c r="F14" s="11">
        <f>IF(A14="",0,N('[1]基础资料'!$M$13))</f>
        <v>0</v>
      </c>
      <c r="G14" s="11">
        <f>IF(OR(A14="",ISNUMBER(FIND("线上",B14))),0,SUMIFS('[1]销售出库'!$S$4:$S$2003,'[1]销售出库'!$B$4:$B$2003,$A14))</f>
        <v>85014</v>
      </c>
      <c r="H14" s="11">
        <f>IF(A14="",0,SUMIFS('[1]资金台帐'!$G$4:$G$3003,'[1]资金台帐'!$D$4:$D$3003,$A14,'[1]资金台帐'!$M$4:$M$3003,"往来"))</f>
        <v>0</v>
      </c>
      <c r="I14" s="11">
        <f t="shared" si="0"/>
        <v>0</v>
      </c>
      <c r="J14" s="11">
        <f t="shared" si="1"/>
        <v>57080</v>
      </c>
      <c r="K14" s="6" t="str">
        <f t="shared" si="2"/>
        <v>对方欠我们</v>
      </c>
    </row>
    <row r="15">
      <c r="A15" s="6" t="str">
        <f>IF('[1]基础资料'!$I$14="","",'[1]基础资料'!$I$14)</f>
        <v>乱搞</v>
      </c>
      <c r="B15" s="6" t="str">
        <f>IF(A15="","",'[1]基础资料'!$J$14&amp;IF('[1]基础资料'!$K$14="","","·"&amp;'[1]基础资料'!$K$14))</f>
        <v>供应商</v>
      </c>
      <c r="C15" s="11">
        <f>IF(A15="",0,N('[1]基础资料'!$L$14))</f>
        <v>0</v>
      </c>
      <c r="D15" s="11">
        <f>IF(A15="",0,SUMIFS('[1]采购入库'!$V$4:$V$2003,'[1]采购入库'!$D$4:$D$2003,$A15))</f>
        <v>1874262</v>
      </c>
      <c r="E15" s="11">
        <f>IF(A15="",0,SUMIFS('[1]资金台帐'!$H$4:$H$3003,'[1]资金台帐'!$D$4:$D$3003,$A15,'[1]资金台帐'!$M$4:$M$3003,"往来"))</f>
        <v>0</v>
      </c>
      <c r="F15" s="11">
        <f>IF(A15="",0,N('[1]基础资料'!$M$14))</f>
        <v>0</v>
      </c>
      <c r="G15" s="11">
        <f>IF(OR(A15="",ISNUMBER(FIND("线上",B15))),0,SUMIFS('[1]销售出库'!$S$4:$S$2003,'[1]销售出库'!$B$4:$B$2003,$A15))</f>
        <v>0</v>
      </c>
      <c r="H15" s="11">
        <f>IF(A15="",0,SUMIFS('[1]资金台帐'!$G$4:$G$3003,'[1]资金台帐'!$D$4:$D$3003,$A15,'[1]资金台帐'!$M$4:$M$3003,"往来"))</f>
        <v>0</v>
      </c>
      <c r="I15" s="11">
        <f t="shared" si="0"/>
        <v>1874262</v>
      </c>
      <c r="J15" s="11">
        <f t="shared" si="1"/>
        <v>0</v>
      </c>
      <c r="K15" s="6" t="str">
        <f t="shared" si="2"/>
        <v>我们欠对方</v>
      </c>
    </row>
    <row r="16">
      <c r="A16" s="6" t="str">
        <f>IF('[1]基础资料'!$I$15="","",'[1]基础资料'!$I$15)</f>
        <v>张铭泉（泉哥）</v>
      </c>
      <c r="B16" s="6" t="str">
        <f>IF(A16="","",'[1]基础资料'!$J$15&amp;IF('[1]基础资料'!$K$15="","","·"&amp;'[1]基础资料'!$K$15))</f>
        <v>供应商</v>
      </c>
      <c r="C16" s="11">
        <f>IF(A16="",0,N('[1]基础资料'!$L$15))</f>
        <v>0</v>
      </c>
      <c r="D16" s="11">
        <f>IF(A16="",0,SUMIFS('[1]采购入库'!$V$4:$V$2003,'[1]采购入库'!$D$4:$D$2003,$A16))</f>
        <v>28080</v>
      </c>
      <c r="E16" s="11">
        <f>IF(A16="",0,SUMIFS('[1]资金台帐'!$H$4:$H$3003,'[1]资金台帐'!$D$4:$D$3003,$A16,'[1]资金台帐'!$M$4:$M$3003,"往来"))</f>
        <v>0</v>
      </c>
      <c r="F16" s="11">
        <f>IF(A16="",0,N('[1]基础资料'!$M$15))</f>
        <v>0</v>
      </c>
      <c r="G16" s="11">
        <f>IF(OR(A16="",ISNUMBER(FIND("线上",B16))),0,SUMIFS('[1]销售出库'!$S$4:$S$2003,'[1]销售出库'!$B$4:$B$2003,$A16))</f>
        <v>0</v>
      </c>
      <c r="H16" s="11">
        <f>IF(A16="",0,SUMIFS('[1]资金台帐'!$G$4:$G$3003,'[1]资金台帐'!$D$4:$D$3003,$A16,'[1]资金台帐'!$M$4:$M$3003,"往来"))</f>
        <v>0</v>
      </c>
      <c r="I16" s="11">
        <f t="shared" si="0"/>
        <v>28080</v>
      </c>
      <c r="J16" s="11">
        <f t="shared" si="1"/>
        <v>0</v>
      </c>
      <c r="K16" s="6" t="str">
        <f t="shared" si="2"/>
        <v>我们欠对方</v>
      </c>
    </row>
    <row r="17">
      <c r="A17" s="6" t="str">
        <f>IF('[1]基础资料'!$I$16="","",'[1]基础资料'!$I$16)</f>
        <v>负一楼A3-11龙康</v>
      </c>
      <c r="B17" s="6" t="str">
        <f>IF(A17="","",'[1]基础资料'!$J$16&amp;IF('[1]基础资料'!$K$16="","","·"&amp;'[1]基础资料'!$K$16))</f>
        <v>供应商</v>
      </c>
      <c r="C17" s="11">
        <f>IF(A17="",0,N('[1]基础资料'!$L$16))</f>
        <v>0</v>
      </c>
      <c r="D17" s="11">
        <f>IF(A17="",0,SUMIFS('[1]采购入库'!$V$4:$V$2003,'[1]采购入库'!$D$4:$D$2003,$A17))</f>
        <v>45090</v>
      </c>
      <c r="E17" s="11">
        <f>IF(A17="",0,SUMIFS('[1]资金台帐'!$H$4:$H$3003,'[1]资金台帐'!$D$4:$D$3003,$A17,'[1]资金台帐'!$M$4:$M$3003,"往来"))</f>
        <v>0</v>
      </c>
      <c r="F17" s="11">
        <f>IF(A17="",0,N('[1]基础资料'!$M$16))</f>
        <v>0</v>
      </c>
      <c r="G17" s="11">
        <f>IF(OR(A17="",ISNUMBER(FIND("线上",B17))),0,SUMIFS('[1]销售出库'!$S$4:$S$2003,'[1]销售出库'!$B$4:$B$2003,$A17))</f>
        <v>0</v>
      </c>
      <c r="H17" s="11">
        <f>IF(A17="",0,SUMIFS('[1]资金台帐'!$G$4:$G$3003,'[1]资金台帐'!$D$4:$D$3003,$A17,'[1]资金台帐'!$M$4:$M$3003,"往来"))</f>
        <v>0</v>
      </c>
      <c r="I17" s="11">
        <f t="shared" si="0"/>
        <v>45090</v>
      </c>
      <c r="J17" s="11">
        <f t="shared" si="1"/>
        <v>0</v>
      </c>
      <c r="K17" s="6" t="str">
        <f t="shared" si="2"/>
        <v>我们欠对方</v>
      </c>
    </row>
    <row r="18">
      <c r="A18" s="6" t="str">
        <f>IF('[1]基础资料'!$I$17="","",'[1]基础资料'!$I$17)</f>
        <v>新天地奕强A3-27</v>
      </c>
      <c r="B18" s="6" t="str">
        <f>IF(A18="","",'[1]基础资料'!$J$17&amp;IF('[1]基础资料'!$K$17="","","·"&amp;'[1]基础资料'!$K$17))</f>
        <v>供应商</v>
      </c>
      <c r="C18" s="11">
        <f>IF(A18="",0,N('[1]基础资料'!$L$17))</f>
        <v>0</v>
      </c>
      <c r="D18" s="11">
        <f>IF(A18="",0,SUMIFS('[1]采购入库'!$V$4:$V$2003,'[1]采购入库'!$D$4:$D$2003,$A18))</f>
        <v>9030</v>
      </c>
      <c r="E18" s="11">
        <f>IF(A18="",0,SUMIFS('[1]资金台帐'!$H$4:$H$3003,'[1]资金台帐'!$D$4:$D$3003,$A18,'[1]资金台帐'!$M$4:$M$3003,"往来"))</f>
        <v>0</v>
      </c>
      <c r="F18" s="11">
        <f>IF(A18="",0,N('[1]基础资料'!$M$17))</f>
        <v>0</v>
      </c>
      <c r="G18" s="11">
        <f>IF(OR(A18="",ISNUMBER(FIND("线上",B18))),0,SUMIFS('[1]销售出库'!$S$4:$S$2003,'[1]销售出库'!$B$4:$B$2003,$A18))</f>
        <v>0</v>
      </c>
      <c r="H18" s="11">
        <f>IF(A18="",0,SUMIFS('[1]资金台帐'!$G$4:$G$3003,'[1]资金台帐'!$D$4:$D$3003,$A18,'[1]资金台帐'!$M$4:$M$3003,"往来"))</f>
        <v>0</v>
      </c>
      <c r="I18" s="11">
        <f t="shared" si="0"/>
        <v>9030</v>
      </c>
      <c r="J18" s="11">
        <f t="shared" si="1"/>
        <v>0</v>
      </c>
      <c r="K18" s="6" t="str">
        <f t="shared" si="2"/>
        <v>我们欠对方</v>
      </c>
    </row>
    <row r="19">
      <c r="A19" s="6" t="str">
        <f>IF('[1]基础资料'!$I$18="","",'[1]基础资料'!$I$18)</f>
        <v>郑州甜达姬艳恒</v>
      </c>
      <c r="B19" s="6" t="str">
        <f>IF(A19="","",'[1]基础资料'!$J$18&amp;IF('[1]基础资料'!$K$18="","","·"&amp;'[1]基础资料'!$K$18))</f>
        <v>供应商</v>
      </c>
      <c r="C19" s="11">
        <f>IF(A19="",0,N('[1]基础资料'!$L$18))</f>
        <v>0</v>
      </c>
      <c r="D19" s="11">
        <f>IF(A19="",0,SUMIFS('[1]采购入库'!$V$4:$V$2003,'[1]采购入库'!$D$4:$D$2003,$A19))</f>
        <v>14600</v>
      </c>
      <c r="E19" s="11">
        <f>IF(A19="",0,SUMIFS('[1]资金台帐'!$H$4:$H$3003,'[1]资金台帐'!$D$4:$D$3003,$A19,'[1]资金台帐'!$M$4:$M$3003,"往来"))</f>
        <v>0</v>
      </c>
      <c r="F19" s="11">
        <f>IF(A19="",0,N('[1]基础资料'!$M$18))</f>
        <v>0</v>
      </c>
      <c r="G19" s="11">
        <f>IF(OR(A19="",ISNUMBER(FIND("线上",B19))),0,SUMIFS('[1]销售出库'!$S$4:$S$2003,'[1]销售出库'!$B$4:$B$2003,$A19))</f>
        <v>0</v>
      </c>
      <c r="H19" s="11">
        <f>IF(A19="",0,SUMIFS('[1]资金台帐'!$G$4:$G$3003,'[1]资金台帐'!$D$4:$D$3003,$A19,'[1]资金台帐'!$M$4:$M$3003,"往来"))</f>
        <v>0</v>
      </c>
      <c r="I19" s="11">
        <f t="shared" si="0"/>
        <v>14600</v>
      </c>
      <c r="J19" s="11">
        <f t="shared" si="1"/>
        <v>0</v>
      </c>
      <c r="K19" s="6" t="str">
        <f t="shared" si="2"/>
        <v>我们欠对方</v>
      </c>
    </row>
    <row r="20">
      <c r="A20" s="6" t="str">
        <f>IF('[1]基础资料'!$I$19="","",'[1]基础资料'!$I$19)</f>
        <v>负一楼C07A帅康</v>
      </c>
      <c r="B20" s="6" t="str">
        <f>IF(A20="","",'[1]基础资料'!$J$19&amp;IF('[1]基础资料'!$K$19="","","·"&amp;'[1]基础资料'!$K$19))</f>
        <v>供应商</v>
      </c>
      <c r="C20" s="11">
        <f>IF(A20="",0,N('[1]基础资料'!$L$19))</f>
        <v>0</v>
      </c>
      <c r="D20" s="11">
        <f>IF(A20="",0,SUMIFS('[1]采购入库'!$V$4:$V$2003,'[1]采购入库'!$D$4:$D$2003,$A20))</f>
        <v>7280</v>
      </c>
      <c r="E20" s="11">
        <f>IF(A20="",0,SUMIFS('[1]资金台帐'!$H$4:$H$3003,'[1]资金台帐'!$D$4:$D$3003,$A20,'[1]资金台帐'!$M$4:$M$3003,"往来"))</f>
        <v>0</v>
      </c>
      <c r="F20" s="11">
        <f>IF(A20="",0,N('[1]基础资料'!$M$19))</f>
        <v>0</v>
      </c>
      <c r="G20" s="11">
        <f>IF(OR(A20="",ISNUMBER(FIND("线上",B20))),0,SUMIFS('[1]销售出库'!$S$4:$S$2003,'[1]销售出库'!$B$4:$B$2003,$A20))</f>
        <v>0</v>
      </c>
      <c r="H20" s="11">
        <f>IF(A20="",0,SUMIFS('[1]资金台帐'!$G$4:$G$3003,'[1]资金台帐'!$D$4:$D$3003,$A20,'[1]资金台帐'!$M$4:$M$3003,"往来"))</f>
        <v>0</v>
      </c>
      <c r="I20" s="11">
        <f t="shared" si="0"/>
        <v>7280</v>
      </c>
      <c r="J20" s="11">
        <f t="shared" si="1"/>
        <v>0</v>
      </c>
      <c r="K20" s="6" t="str">
        <f t="shared" si="2"/>
        <v>我们欠对方</v>
      </c>
    </row>
    <row r="21">
      <c r="A21" s="6" t="str">
        <f>IF('[1]基础资料'!$I$20="","",'[1]基础资料'!$I$20)</f>
        <v>大冠2C08</v>
      </c>
      <c r="B21" s="6" t="str">
        <f>IF(A21="","",'[1]基础资料'!$J$20&amp;IF('[1]基础资料'!$K$20="","","·"&amp;'[1]基础资料'!$K$20))</f>
        <v>供应商</v>
      </c>
      <c r="C21" s="11">
        <f>IF(A21="",0,N('[1]基础资料'!$L$20))</f>
        <v>0</v>
      </c>
      <c r="D21" s="11">
        <f>IF(A21="",0,SUMIFS('[1]采购入库'!$V$4:$V$2003,'[1]采购入库'!$D$4:$D$2003,$A21))</f>
        <v>14560</v>
      </c>
      <c r="E21" s="11">
        <f>IF(A21="",0,SUMIFS('[1]资金台帐'!$H$4:$H$3003,'[1]资金台帐'!$D$4:$D$3003,$A21,'[1]资金台帐'!$M$4:$M$3003,"往来"))</f>
        <v>0</v>
      </c>
      <c r="F21" s="11">
        <f>IF(A21="",0,N('[1]基础资料'!$M$20))</f>
        <v>0</v>
      </c>
      <c r="G21" s="11">
        <f>IF(OR(A21="",ISNUMBER(FIND("线上",B21))),0,SUMIFS('[1]销售出库'!$S$4:$S$2003,'[1]销售出库'!$B$4:$B$2003,$A21))</f>
        <v>0</v>
      </c>
      <c r="H21" s="11">
        <f>IF(A21="",0,SUMIFS('[1]资金台帐'!$G$4:$G$3003,'[1]资金台帐'!$D$4:$D$3003,$A21,'[1]资金台帐'!$M$4:$M$3003,"往来"))</f>
        <v>0</v>
      </c>
      <c r="I21" s="11">
        <f t="shared" si="0"/>
        <v>14560</v>
      </c>
      <c r="J21" s="11">
        <f t="shared" si="1"/>
        <v>0</v>
      </c>
      <c r="K21" s="6" t="str">
        <f t="shared" si="2"/>
        <v>我们欠对方</v>
      </c>
    </row>
    <row r="22">
      <c r="A22" s="6" t="str">
        <f>IF('[1]基础资料'!$I$21="","",'[1]基础资料'!$I$21)</f>
        <v>晨晨</v>
      </c>
      <c r="B22" s="6" t="str">
        <f>IF(A22="","",'[1]基础资料'!$J$21&amp;IF('[1]基础资料'!$K$21="","","·"&amp;'[1]基础资料'!$K$21))</f>
        <v>供应商</v>
      </c>
      <c r="C22" s="11">
        <f>IF(A22="",0,N('[1]基础资料'!$L$21))</f>
        <v>0</v>
      </c>
      <c r="D22" s="11">
        <f>IF(A22="",0,SUMIFS('[1]采购入库'!$V$4:$V$2003,'[1]采购入库'!$D$4:$D$2003,$A22))</f>
        <v>191940</v>
      </c>
      <c r="E22" s="11">
        <f>IF(A22="",0,SUMIFS('[1]资金台帐'!$H$4:$H$3003,'[1]资金台帐'!$D$4:$D$3003,$A22,'[1]资金台帐'!$M$4:$M$3003,"往来"))</f>
        <v>0</v>
      </c>
      <c r="F22" s="11">
        <f>IF(A22="",0,N('[1]基础资料'!$M$21))</f>
        <v>0</v>
      </c>
      <c r="G22" s="11">
        <f>IF(OR(A22="",ISNUMBER(FIND("线上",B22))),0,SUMIFS('[1]销售出库'!$S$4:$S$2003,'[1]销售出库'!$B$4:$B$2003,$A22))</f>
        <v>0</v>
      </c>
      <c r="H22" s="11">
        <f>IF(A22="",0,SUMIFS('[1]资金台帐'!$G$4:$G$3003,'[1]资金台帐'!$D$4:$D$3003,$A22,'[1]资金台帐'!$M$4:$M$3003,"往来"))</f>
        <v>0</v>
      </c>
      <c r="I22" s="11">
        <f t="shared" si="0"/>
        <v>191940</v>
      </c>
      <c r="J22" s="11">
        <f t="shared" si="1"/>
        <v>0</v>
      </c>
      <c r="K22" s="6" t="str">
        <f t="shared" si="2"/>
        <v>我们欠对方</v>
      </c>
    </row>
    <row r="23">
      <c r="A23" s="6" t="str">
        <f>IF('[1]基础资料'!$I$22="","",'[1]基础资料'!$I$22)</f>
        <v>北京沙涛</v>
      </c>
      <c r="B23" s="6" t="str">
        <f>IF(A23="","",'[1]基础资料'!$J$22&amp;IF('[1]基础资料'!$K$22="","","·"&amp;'[1]基础资料'!$K$22))</f>
        <v>供应商</v>
      </c>
      <c r="C23" s="11">
        <f>IF(A23="",0,N('[1]基础资料'!$L$22))</f>
        <v>0</v>
      </c>
      <c r="D23" s="11">
        <f>IF(A23="",0,SUMIFS('[1]采购入库'!$V$4:$V$2003,'[1]采购入库'!$D$4:$D$2003,$A23))</f>
        <v>20520</v>
      </c>
      <c r="E23" s="11">
        <f>IF(A23="",0,SUMIFS('[1]资金台帐'!$H$4:$H$3003,'[1]资金台帐'!$D$4:$D$3003,$A23,'[1]资金台帐'!$M$4:$M$3003,"往来"))</f>
        <v>0</v>
      </c>
      <c r="F23" s="11">
        <f>IF(A23="",0,N('[1]基础资料'!$M$22))</f>
        <v>0</v>
      </c>
      <c r="G23" s="11">
        <f>IF(OR(A23="",ISNUMBER(FIND("线上",B23))),0,SUMIFS('[1]销售出库'!$S$4:$S$2003,'[1]销售出库'!$B$4:$B$2003,$A23))</f>
        <v>0</v>
      </c>
      <c r="H23" s="11">
        <f>IF(A23="",0,SUMIFS('[1]资金台帐'!$G$4:$G$3003,'[1]资金台帐'!$D$4:$D$3003,$A23,'[1]资金台帐'!$M$4:$M$3003,"往来"))</f>
        <v>0</v>
      </c>
      <c r="I23" s="11">
        <f t="shared" si="0"/>
        <v>20520</v>
      </c>
      <c r="J23" s="11">
        <f t="shared" si="1"/>
        <v>0</v>
      </c>
      <c r="K23" s="6" t="str">
        <f t="shared" si="2"/>
        <v>我们欠对方</v>
      </c>
    </row>
    <row r="24">
      <c r="A24" s="6" t="str">
        <f>IF('[1]基础资料'!$I$23="","",'[1]基础资料'!$I$23)</f>
        <v>祺鑫</v>
      </c>
      <c r="B24" s="6" t="str">
        <f>IF(A24="","",'[1]基础资料'!$J$23&amp;IF('[1]基础资料'!$K$23="","","·"&amp;'[1]基础资料'!$K$23))</f>
        <v>供应商</v>
      </c>
      <c r="C24" s="11">
        <f>IF(A24="",0,N('[1]基础资料'!$L$23))</f>
        <v>0</v>
      </c>
      <c r="D24" s="11">
        <f>IF(A24="",0,SUMIFS('[1]采购入库'!$V$4:$V$2003,'[1]采购入库'!$D$4:$D$2003,$A24))</f>
        <v>9030</v>
      </c>
      <c r="E24" s="11">
        <f>IF(A24="",0,SUMIFS('[1]资金台帐'!$H$4:$H$3003,'[1]资金台帐'!$D$4:$D$3003,$A24,'[1]资金台帐'!$M$4:$M$3003,"往来"))</f>
        <v>0</v>
      </c>
      <c r="F24" s="11">
        <f>IF(A24="",0,N('[1]基础资料'!$M$23))</f>
        <v>0</v>
      </c>
      <c r="G24" s="11">
        <f>IF(OR(A24="",ISNUMBER(FIND("线上",B24))),0,SUMIFS('[1]销售出库'!$S$4:$S$2003,'[1]销售出库'!$B$4:$B$2003,$A24))</f>
        <v>0</v>
      </c>
      <c r="H24" s="11">
        <f>IF(A24="",0,SUMIFS('[1]资金台帐'!$G$4:$G$3003,'[1]资金台帐'!$D$4:$D$3003,$A24,'[1]资金台帐'!$M$4:$M$3003,"往来"))</f>
        <v>0</v>
      </c>
      <c r="I24" s="11">
        <f t="shared" si="0"/>
        <v>9030</v>
      </c>
      <c r="J24" s="11">
        <f t="shared" si="1"/>
        <v>0</v>
      </c>
      <c r="K24" s="6" t="str">
        <f t="shared" si="2"/>
        <v>我们欠对方</v>
      </c>
    </row>
    <row r="25">
      <c r="A25" s="6" t="str">
        <f>IF('[1]基础资料'!$I$24="","",'[1]基础资料'!$I$24)</f>
        <v>郑州大富19栋1</v>
      </c>
      <c r="B25" s="6" t="str">
        <f>IF(A25="","",'[1]基础资料'!$J$24&amp;IF('[1]基础资料'!$K$24="","","·"&amp;'[1]基础资料'!$K$24))</f>
        <v>供应商</v>
      </c>
      <c r="C25" s="11">
        <f>IF(A25="",0,N('[1]基础资料'!$L$24))</f>
        <v>0</v>
      </c>
      <c r="D25" s="11">
        <f>IF(A25="",0,SUMIFS('[1]采购入库'!$V$4:$V$2003,'[1]采购入库'!$D$4:$D$2003,$A25))</f>
        <v>9020</v>
      </c>
      <c r="E25" s="11">
        <f>IF(A25="",0,SUMIFS('[1]资金台帐'!$H$4:$H$3003,'[1]资金台帐'!$D$4:$D$3003,$A25,'[1]资金台帐'!$M$4:$M$3003,"往来"))</f>
        <v>0</v>
      </c>
      <c r="F25" s="11">
        <f>IF(A25="",0,N('[1]基础资料'!$M$24))</f>
        <v>0</v>
      </c>
      <c r="G25" s="11">
        <f>IF(OR(A25="",ISNUMBER(FIND("线上",B25))),0,SUMIFS('[1]销售出库'!$S$4:$S$2003,'[1]销售出库'!$B$4:$B$2003,$A25))</f>
        <v>0</v>
      </c>
      <c r="H25" s="11">
        <f>IF(A25="",0,SUMIFS('[1]资金台帐'!$G$4:$G$3003,'[1]资金台帐'!$D$4:$D$3003,$A25,'[1]资金台帐'!$M$4:$M$3003,"往来"))</f>
        <v>0</v>
      </c>
      <c r="I25" s="11">
        <f t="shared" si="0"/>
        <v>9020</v>
      </c>
      <c r="J25" s="11">
        <f t="shared" si="1"/>
        <v>0</v>
      </c>
      <c r="K25" s="6" t="str">
        <f t="shared" si="2"/>
        <v>我们欠对方</v>
      </c>
    </row>
    <row r="26">
      <c r="A26" s="6" t="str">
        <f>IF('[1]基础资料'!$I$25="","",'[1]基础资料'!$I$25)</f>
        <v>1C33烽火</v>
      </c>
      <c r="B26" s="6" t="str">
        <f>IF(A26="","",'[1]基础资料'!$J$25&amp;IF('[1]基础资料'!$K$25="","","·"&amp;'[1]基础资料'!$K$25))</f>
        <v>供应商</v>
      </c>
      <c r="C26" s="11">
        <f>IF(A26="",0,N('[1]基础资料'!$L$25))</f>
        <v>0</v>
      </c>
      <c r="D26" s="11">
        <f>IF(A26="",0,SUMIFS('[1]采购入库'!$V$4:$V$2003,'[1]采购入库'!$D$4:$D$2003,$A26))</f>
        <v>15650</v>
      </c>
      <c r="E26" s="11">
        <f>IF(A26="",0,SUMIFS('[1]资金台帐'!$H$4:$H$3003,'[1]资金台帐'!$D$4:$D$3003,$A26,'[1]资金台帐'!$M$4:$M$3003,"往来"))</f>
        <v>0</v>
      </c>
      <c r="F26" s="11">
        <f>IF(A26="",0,N('[1]基础资料'!$M$25))</f>
        <v>0</v>
      </c>
      <c r="G26" s="11">
        <f>IF(OR(A26="",ISNUMBER(FIND("线上",B26))),0,SUMIFS('[1]销售出库'!$S$4:$S$2003,'[1]销售出库'!$B$4:$B$2003,$A26))</f>
        <v>0</v>
      </c>
      <c r="H26" s="11">
        <f>IF(A26="",0,SUMIFS('[1]资金台帐'!$G$4:$G$3003,'[1]资金台帐'!$D$4:$D$3003,$A26,'[1]资金台帐'!$M$4:$M$3003,"往来"))</f>
        <v>0</v>
      </c>
      <c r="I26" s="11">
        <f t="shared" si="0"/>
        <v>15650</v>
      </c>
      <c r="J26" s="11">
        <f t="shared" si="1"/>
        <v>0</v>
      </c>
      <c r="K26" s="6" t="str">
        <f t="shared" si="2"/>
        <v>我们欠对方</v>
      </c>
    </row>
    <row r="27">
      <c r="A27" s="6" t="str">
        <f>IF('[1]基础资料'!$I$26="","",'[1]基础资料'!$I$26)</f>
        <v>安静365B15</v>
      </c>
      <c r="B27" s="6" t="str">
        <f>IF(A27="","",'[1]基础资料'!$J$26&amp;IF('[1]基础资料'!$K$26="","","·"&amp;'[1]基础资料'!$K$26))</f>
        <v>供应商</v>
      </c>
      <c r="C27" s="11">
        <f>IF(A27="",0,N('[1]基础资料'!$L$26))</f>
        <v>0</v>
      </c>
      <c r="D27" s="11">
        <f>IF(A27="",0,SUMIFS('[1]采购入库'!$V$4:$V$2003,'[1]采购入库'!$D$4:$D$2003,$A27))</f>
        <v>3100</v>
      </c>
      <c r="E27" s="11">
        <f>IF(A27="",0,SUMIFS('[1]资金台帐'!$H$4:$H$3003,'[1]资金台帐'!$D$4:$D$3003,$A27,'[1]资金台帐'!$M$4:$M$3003,"往来"))</f>
        <v>0</v>
      </c>
      <c r="F27" s="11">
        <f>IF(A27="",0,N('[1]基础资料'!$M$26))</f>
        <v>0</v>
      </c>
      <c r="G27" s="11">
        <f>IF(OR(A27="",ISNUMBER(FIND("线上",B27))),0,SUMIFS('[1]销售出库'!$S$4:$S$2003,'[1]销售出库'!$B$4:$B$2003,$A27))</f>
        <v>0</v>
      </c>
      <c r="H27" s="11">
        <f>IF(A27="",0,SUMIFS('[1]资金台帐'!$G$4:$G$3003,'[1]资金台帐'!$D$4:$D$3003,$A27,'[1]资金台帐'!$M$4:$M$3003,"往来"))</f>
        <v>0</v>
      </c>
      <c r="I27" s="11">
        <f t="shared" si="0"/>
        <v>3100</v>
      </c>
      <c r="J27" s="11">
        <f t="shared" si="1"/>
        <v>0</v>
      </c>
      <c r="K27" s="6" t="str">
        <f t="shared" si="2"/>
        <v>我们欠对方</v>
      </c>
    </row>
    <row r="28">
      <c r="A28" s="6" t="str">
        <f>IF('[1]基础资料'!$I$27="","",'[1]基础资料'!$I$27)</f>
        <v>大汉通讯A6-21</v>
      </c>
      <c r="B28" s="6" t="str">
        <f>IF(A28="","",'[1]基础资料'!$J$27&amp;IF('[1]基础资料'!$K$27="","","·"&amp;'[1]基础资料'!$K$27))</f>
        <v>供应商</v>
      </c>
      <c r="C28" s="11">
        <f>IF(A28="",0,N('[1]基础资料'!$L$27))</f>
        <v>0</v>
      </c>
      <c r="D28" s="11">
        <f>IF(A28="",0,SUMIFS('[1]采购入库'!$V$4:$V$2003,'[1]采购入库'!$D$4:$D$2003,$A28))</f>
        <v>6200</v>
      </c>
      <c r="E28" s="11">
        <f>IF(A28="",0,SUMIFS('[1]资金台帐'!$H$4:$H$3003,'[1]资金台帐'!$D$4:$D$3003,$A28,'[1]资金台帐'!$M$4:$M$3003,"往来"))</f>
        <v>0</v>
      </c>
      <c r="F28" s="11">
        <f>IF(A28="",0,N('[1]基础资料'!$M$27))</f>
        <v>0</v>
      </c>
      <c r="G28" s="11">
        <f>IF(OR(A28="",ISNUMBER(FIND("线上",B28))),0,SUMIFS('[1]销售出库'!$S$4:$S$2003,'[1]销售出库'!$B$4:$B$2003,$A28))</f>
        <v>0</v>
      </c>
      <c r="H28" s="11">
        <f>IF(A28="",0,SUMIFS('[1]资金台帐'!$G$4:$G$3003,'[1]资金台帐'!$D$4:$D$3003,$A28,'[1]资金台帐'!$M$4:$M$3003,"往来"))</f>
        <v>0</v>
      </c>
      <c r="I28" s="11">
        <f t="shared" si="0"/>
        <v>6200</v>
      </c>
      <c r="J28" s="11">
        <f t="shared" si="1"/>
        <v>0</v>
      </c>
      <c r="K28" s="6" t="str">
        <f t="shared" si="2"/>
        <v>我们欠对方</v>
      </c>
    </row>
    <row r="29">
      <c r="A29" s="6" t="str">
        <f>IF('[1]基础资料'!$I$28="","",'[1]基础资料'!$I$28)</f>
        <v>贺培</v>
      </c>
      <c r="B29" s="6" t="str">
        <f>IF(A29="","",'[1]基础资料'!$J$28&amp;IF('[1]基础资料'!$K$28="","","·"&amp;'[1]基础资料'!$K$28))</f>
        <v>供应商</v>
      </c>
      <c r="C29" s="11">
        <f>IF(A29="",0,N('[1]基础资料'!$L$28))</f>
        <v>0</v>
      </c>
      <c r="D29" s="11">
        <f>IF(A29="",0,SUMIFS('[1]采购入库'!$V$4:$V$2003,'[1]采购入库'!$D$4:$D$2003,$A29))</f>
        <v>3090</v>
      </c>
      <c r="E29" s="11">
        <f>IF(A29="",0,SUMIFS('[1]资金台帐'!$H$4:$H$3003,'[1]资金台帐'!$D$4:$D$3003,$A29,'[1]资金台帐'!$M$4:$M$3003,"往来"))</f>
        <v>0</v>
      </c>
      <c r="F29" s="11">
        <f>IF(A29="",0,N('[1]基础资料'!$M$28))</f>
        <v>0</v>
      </c>
      <c r="G29" s="11">
        <f>IF(OR(A29="",ISNUMBER(FIND("线上",B29))),0,SUMIFS('[1]销售出库'!$S$4:$S$2003,'[1]销售出库'!$B$4:$B$2003,$A29))</f>
        <v>0</v>
      </c>
      <c r="H29" s="11">
        <f>IF(A29="",0,SUMIFS('[1]资金台帐'!$G$4:$G$3003,'[1]资金台帐'!$D$4:$D$3003,$A29,'[1]资金台帐'!$M$4:$M$3003,"往来"))</f>
        <v>0</v>
      </c>
      <c r="I29" s="11">
        <f t="shared" si="0"/>
        <v>3090</v>
      </c>
      <c r="J29" s="11">
        <f t="shared" si="1"/>
        <v>0</v>
      </c>
      <c r="K29" s="6" t="str">
        <f t="shared" si="2"/>
        <v>我们欠对方</v>
      </c>
    </row>
    <row r="30">
      <c r="A30" s="6" t="str">
        <f>IF('[1]基础资料'!$I$29="","",'[1]基础资料'!$I$29)</f>
        <v>博伦通讯C40</v>
      </c>
      <c r="B30" s="6" t="str">
        <f>IF(A30="","",'[1]基础资料'!$J$29&amp;IF('[1]基础资料'!$K$29="","","·"&amp;'[1]基础资料'!$K$29))</f>
        <v>供应商</v>
      </c>
      <c r="C30" s="11">
        <f>IF(A30="",0,N('[1]基础资料'!$L$29))</f>
        <v>0</v>
      </c>
      <c r="D30" s="11">
        <f>IF(A30="",0,SUMIFS('[1]采购入库'!$V$4:$V$2003,'[1]采购入库'!$D$4:$D$2003,$A30))</f>
        <v>53940</v>
      </c>
      <c r="E30" s="11">
        <f>IF(A30="",0,SUMIFS('[1]资金台帐'!$H$4:$H$3003,'[1]资金台帐'!$D$4:$D$3003,$A30,'[1]资金台帐'!$M$4:$M$3003,"往来"))</f>
        <v>0</v>
      </c>
      <c r="F30" s="11">
        <f>IF(A30="",0,N('[1]基础资料'!$M$29))</f>
        <v>0</v>
      </c>
      <c r="G30" s="11">
        <f>IF(OR(A30="",ISNUMBER(FIND("线上",B30))),0,SUMIFS('[1]销售出库'!$S$4:$S$2003,'[1]销售出库'!$B$4:$B$2003,$A30))</f>
        <v>0</v>
      </c>
      <c r="H30" s="11">
        <f>IF(A30="",0,SUMIFS('[1]资金台帐'!$G$4:$G$3003,'[1]资金台帐'!$D$4:$D$3003,$A30,'[1]资金台帐'!$M$4:$M$3003,"往来"))</f>
        <v>0</v>
      </c>
      <c r="I30" s="11">
        <f t="shared" si="0"/>
        <v>53940</v>
      </c>
      <c r="J30" s="11">
        <f t="shared" si="1"/>
        <v>0</v>
      </c>
      <c r="K30" s="6" t="str">
        <f t="shared" si="2"/>
        <v>我们欠对方</v>
      </c>
    </row>
    <row r="31">
      <c r="A31" s="6" t="str">
        <f>IF('[1]基础资料'!$I$30="","",'[1]基础资料'!$I$30)</f>
        <v>365-D08星扬李森洋</v>
      </c>
      <c r="B31" s="6" t="str">
        <f>IF(A31="","",'[1]基础资料'!$J$30&amp;IF('[1]基础资料'!$K$30="","","·"&amp;'[1]基础资料'!$K$30))</f>
        <v>供应商</v>
      </c>
      <c r="C31" s="11">
        <f>IF(A31="",0,N('[1]基础资料'!$L$30))</f>
        <v>0</v>
      </c>
      <c r="D31" s="11">
        <f>IF(A31="",0,SUMIFS('[1]采购入库'!$V$4:$V$2003,'[1]采购入库'!$D$4:$D$2003,$A31))</f>
        <v>31400</v>
      </c>
      <c r="E31" s="11">
        <f>IF(A31="",0,SUMIFS('[1]资金台帐'!$H$4:$H$3003,'[1]资金台帐'!$D$4:$D$3003,$A31,'[1]资金台帐'!$M$4:$M$3003,"往来"))</f>
        <v>0</v>
      </c>
      <c r="F31" s="11">
        <f>IF(A31="",0,N('[1]基础资料'!$M$30))</f>
        <v>0</v>
      </c>
      <c r="G31" s="11">
        <f>IF(OR(A31="",ISNUMBER(FIND("线上",B31))),0,SUMIFS('[1]销售出库'!$S$4:$S$2003,'[1]销售出库'!$B$4:$B$2003,$A31))</f>
        <v>0</v>
      </c>
      <c r="H31" s="11">
        <f>IF(A31="",0,SUMIFS('[1]资金台帐'!$G$4:$G$3003,'[1]资金台帐'!$D$4:$D$3003,$A31,'[1]资金台帐'!$M$4:$M$3003,"往来"))</f>
        <v>0</v>
      </c>
      <c r="I31" s="11">
        <f t="shared" si="0"/>
        <v>31400</v>
      </c>
      <c r="J31" s="11">
        <f t="shared" si="1"/>
        <v>0</v>
      </c>
      <c r="K31" s="6" t="str">
        <f t="shared" si="2"/>
        <v>我们欠对方</v>
      </c>
    </row>
    <row r="32">
      <c r="A32" s="6" t="str">
        <f>IF('[1]基础资料'!$I$31="","",'[1]基础资料'!$I$31)</f>
        <v>月亮4D06</v>
      </c>
      <c r="B32" s="6" t="str">
        <f>IF(A32="","",'[1]基础资料'!$J$31&amp;IF('[1]基础资料'!$K$31="","","·"&amp;'[1]基础资料'!$K$31))</f>
        <v>供应商</v>
      </c>
      <c r="C32" s="11">
        <f>IF(A32="",0,N('[1]基础资料'!$L$31))</f>
        <v>0</v>
      </c>
      <c r="D32" s="11">
        <f>IF(A32="",0,SUMIFS('[1]采购入库'!$V$4:$V$2003,'[1]采购入库'!$D$4:$D$2003,$A32))</f>
        <v>251</v>
      </c>
      <c r="E32" s="11">
        <f>IF(A32="",0,SUMIFS('[1]资金台帐'!$H$4:$H$3003,'[1]资金台帐'!$D$4:$D$3003,$A32,'[1]资金台帐'!$M$4:$M$3003,"往来"))</f>
        <v>0</v>
      </c>
      <c r="F32" s="11">
        <f>IF(A32="",0,N('[1]基础资料'!$M$31))</f>
        <v>0</v>
      </c>
      <c r="G32" s="11">
        <f>IF(OR(A32="",ISNUMBER(FIND("线上",B32))),0,SUMIFS('[1]销售出库'!$S$4:$S$2003,'[1]销售出库'!$B$4:$B$2003,$A32))</f>
        <v>0</v>
      </c>
      <c r="H32" s="11">
        <f>IF(A32="",0,SUMIFS('[1]资金台帐'!$G$4:$G$3003,'[1]资金台帐'!$D$4:$D$3003,$A32,'[1]资金台帐'!$M$4:$M$3003,"往来"))</f>
        <v>0</v>
      </c>
      <c r="I32" s="11">
        <f t="shared" si="0"/>
        <v>251</v>
      </c>
      <c r="J32" s="11">
        <f t="shared" si="1"/>
        <v>0</v>
      </c>
      <c r="K32" s="6" t="str">
        <f t="shared" si="2"/>
        <v>我们欠对方</v>
      </c>
    </row>
    <row r="33">
      <c r="A33" s="6" t="str">
        <f>IF('[1]基础资料'!$I$32="","",'[1]基础资料'!$I$32)</f>
        <v>麦田 3110</v>
      </c>
      <c r="B33" s="6" t="str">
        <f>IF(A33="","",'[1]基础资料'!$J$32&amp;IF('[1]基础资料'!$K$32="","","·"&amp;'[1]基础资料'!$K$32))</f>
        <v>供应商</v>
      </c>
      <c r="C33" s="11">
        <f>IF(A33="",0,N('[1]基础资料'!$L$32))</f>
        <v>0</v>
      </c>
      <c r="D33" s="11">
        <f>IF(A33="",0,SUMIFS('[1]采购入库'!$V$4:$V$2003,'[1]采购入库'!$D$4:$D$2003,$A33))</f>
        <v>3110</v>
      </c>
      <c r="E33" s="11">
        <f>IF(A33="",0,SUMIFS('[1]资金台帐'!$H$4:$H$3003,'[1]资金台帐'!$D$4:$D$3003,$A33,'[1]资金台帐'!$M$4:$M$3003,"往来"))</f>
        <v>0</v>
      </c>
      <c r="F33" s="11">
        <f>IF(A33="",0,N('[1]基础资料'!$M$32))</f>
        <v>0</v>
      </c>
      <c r="G33" s="11">
        <f>IF(OR(A33="",ISNUMBER(FIND("线上",B33))),0,SUMIFS('[1]销售出库'!$S$4:$S$2003,'[1]销售出库'!$B$4:$B$2003,$A33))</f>
        <v>0</v>
      </c>
      <c r="H33" s="11">
        <f>IF(A33="",0,SUMIFS('[1]资金台帐'!$G$4:$G$3003,'[1]资金台帐'!$D$4:$D$3003,$A33,'[1]资金台帐'!$M$4:$M$3003,"往来"))</f>
        <v>0</v>
      </c>
      <c r="I33" s="11">
        <f t="shared" si="0"/>
        <v>3110</v>
      </c>
      <c r="J33" s="11">
        <f t="shared" si="1"/>
        <v>0</v>
      </c>
      <c r="K33" s="6" t="str">
        <f t="shared" si="2"/>
        <v>我们欠对方</v>
      </c>
    </row>
    <row r="34">
      <c r="A34" s="6" t="str">
        <f>IF('[1]基础资料'!$I$33="","",'[1]基础资料'!$I$33)</f>
        <v>1B47无忧</v>
      </c>
      <c r="B34" s="6" t="str">
        <f>IF(A34="","",'[1]基础资料'!$J$33&amp;IF('[1]基础资料'!$K$33="","","·"&amp;'[1]基础资料'!$K$33))</f>
        <v>供应商</v>
      </c>
      <c r="C34" s="11">
        <f>IF(A34="",0,N('[1]基础资料'!$L$33))</f>
        <v>0</v>
      </c>
      <c r="D34" s="11">
        <f>IF(A34="",0,SUMIFS('[1]采购入库'!$V$4:$V$2003,'[1]采购入库'!$D$4:$D$2003,$A34))</f>
        <v>8940</v>
      </c>
      <c r="E34" s="11">
        <f>IF(A34="",0,SUMIFS('[1]资金台帐'!$H$4:$H$3003,'[1]资金台帐'!$D$4:$D$3003,$A34,'[1]资金台帐'!$M$4:$M$3003,"往来"))</f>
        <v>0</v>
      </c>
      <c r="F34" s="11">
        <f>IF(A34="",0,N('[1]基础资料'!$M$33))</f>
        <v>0</v>
      </c>
      <c r="G34" s="11">
        <f>IF(OR(A34="",ISNUMBER(FIND("线上",B34))),0,SUMIFS('[1]销售出库'!$S$4:$S$2003,'[1]销售出库'!$B$4:$B$2003,$A34))</f>
        <v>0</v>
      </c>
      <c r="H34" s="11">
        <f>IF(A34="",0,SUMIFS('[1]资金台帐'!$G$4:$G$3003,'[1]资金台帐'!$D$4:$D$3003,$A34,'[1]资金台帐'!$M$4:$M$3003,"往来"))</f>
        <v>0</v>
      </c>
      <c r="I34" s="11">
        <f t="shared" si="0"/>
        <v>8940</v>
      </c>
      <c r="J34" s="11">
        <f t="shared" si="1"/>
        <v>0</v>
      </c>
      <c r="K34" s="6" t="str">
        <f t="shared" si="2"/>
        <v>我们欠对方</v>
      </c>
    </row>
    <row r="35">
      <c r="A35" s="6" t="str">
        <f>IF('[1]基础资料'!$I$34="","",'[1]基础资料'!$I$34)</f>
        <v>A6-18 19 信畅</v>
      </c>
      <c r="B35" s="6" t="str">
        <f>IF(A35="","",'[1]基础资料'!$J$34&amp;IF('[1]基础资料'!$K$34="","","·"&amp;'[1]基础资料'!$K$34))</f>
        <v>供应商</v>
      </c>
      <c r="C35" s="11">
        <f>IF(A35="",0,N('[1]基础资料'!$L$34))</f>
        <v>0</v>
      </c>
      <c r="D35" s="11">
        <f>IF(A35="",0,SUMIFS('[1]采购入库'!$V$4:$V$2003,'[1]采购入库'!$D$4:$D$2003,$A35))</f>
        <v>17120</v>
      </c>
      <c r="E35" s="11">
        <f>IF(A35="",0,SUMIFS('[1]资金台帐'!$H$4:$H$3003,'[1]资金台帐'!$D$4:$D$3003,$A35,'[1]资金台帐'!$M$4:$M$3003,"往来"))</f>
        <v>0</v>
      </c>
      <c r="F35" s="11">
        <f>IF(A35="",0,N('[1]基础资料'!$M$34))</f>
        <v>0</v>
      </c>
      <c r="G35" s="11">
        <f>IF(OR(A35="",ISNUMBER(FIND("线上",B35))),0,SUMIFS('[1]销售出库'!$S$4:$S$2003,'[1]销售出库'!$B$4:$B$2003,$A35))</f>
        <v>0</v>
      </c>
      <c r="H35" s="11">
        <f>IF(A35="",0,SUMIFS('[1]资金台帐'!$G$4:$G$3003,'[1]资金台帐'!$D$4:$D$3003,$A35,'[1]资金台帐'!$M$4:$M$3003,"往来"))</f>
        <v>0</v>
      </c>
      <c r="I35" s="11">
        <f t="shared" si="0"/>
        <v>17120</v>
      </c>
      <c r="J35" s="11">
        <f t="shared" si="1"/>
        <v>0</v>
      </c>
      <c r="K35" s="6" t="str">
        <f t="shared" si="2"/>
        <v>我们欠对方</v>
      </c>
    </row>
    <row r="36">
      <c r="A36" s="6" t="str">
        <f>IF('[1]基础资料'!$I$35="","",'[1]基础资料'!$I$35)</f>
        <v>小东南</v>
      </c>
      <c r="B36" s="6" t="str">
        <f>IF(A36="","",'[1]基础资料'!$J$35&amp;IF('[1]基础资料'!$K$35="","","·"&amp;'[1]基础资料'!$K$35))</f>
        <v>供应商</v>
      </c>
      <c r="C36" s="11">
        <f>IF(A36="",0,N('[1]基础资料'!$L$35))</f>
        <v>0</v>
      </c>
      <c r="D36" s="11">
        <f>IF(A36="",0,SUMIFS('[1]采购入库'!$V$4:$V$2003,'[1]采购入库'!$D$4:$D$2003,$A36))</f>
        <v>8560</v>
      </c>
      <c r="E36" s="11">
        <f>IF(A36="",0,SUMIFS('[1]资金台帐'!$H$4:$H$3003,'[1]资金台帐'!$D$4:$D$3003,$A36,'[1]资金台帐'!$M$4:$M$3003,"往来"))</f>
        <v>0</v>
      </c>
      <c r="F36" s="11">
        <f>IF(A36="",0,N('[1]基础资料'!$M$35))</f>
        <v>0</v>
      </c>
      <c r="G36" s="11">
        <f>IF(OR(A36="",ISNUMBER(FIND("线上",B36))),0,SUMIFS('[1]销售出库'!$S$4:$S$2003,'[1]销售出库'!$B$4:$B$2003,$A36))</f>
        <v>0</v>
      </c>
      <c r="H36" s="11">
        <f>IF(A36="",0,SUMIFS('[1]资金台帐'!$G$4:$G$3003,'[1]资金台帐'!$D$4:$D$3003,$A36,'[1]资金台帐'!$M$4:$M$3003,"往来"))</f>
        <v>0</v>
      </c>
      <c r="I36" s="11">
        <f t="shared" si="0"/>
        <v>8560</v>
      </c>
      <c r="J36" s="11">
        <f t="shared" si="1"/>
        <v>0</v>
      </c>
      <c r="K36" s="6" t="str">
        <f t="shared" si="2"/>
        <v>我们欠对方</v>
      </c>
    </row>
    <row r="37">
      <c r="A37" s="6" t="str">
        <f>IF('[1]基础资料'!$I$36="","",'[1]基础资料'!$I$36)</f>
        <v>拼多多买家</v>
      </c>
      <c r="B37" s="6" t="str">
        <f>IF(A37="","",'[1]基础资料'!$J$36&amp;IF('[1]基础资料'!$K$36="","","·"&amp;'[1]基础资料'!$K$36))</f>
        <v>客户·线上</v>
      </c>
      <c r="C37" s="11">
        <f>IF(A37="",0,N('[1]基础资料'!$L$36))</f>
        <v>0</v>
      </c>
      <c r="D37" s="11">
        <f>IF(A37="",0,SUMIFS('[1]采购入库'!$V$4:$V$2003,'[1]采购入库'!$D$4:$D$2003,$A37))</f>
        <v>0</v>
      </c>
      <c r="E37" s="11">
        <f>IF(A37="",0,SUMIFS('[1]资金台帐'!$H$4:$H$3003,'[1]资金台帐'!$D$4:$D$3003,$A37,'[1]资金台帐'!$M$4:$M$3003,"往来"))</f>
        <v>0</v>
      </c>
      <c r="F37" s="11">
        <f>IF(A37="",0,N('[1]基础资料'!$M$36))</f>
        <v>0</v>
      </c>
      <c r="G37" s="11">
        <f>IF(OR(A37="",ISNUMBER(FIND("线上",B37))),0,SUMIFS('[1]销售出库'!$S$4:$S$2003,'[1]销售出库'!$B$4:$B$2003,$A37))</f>
        <v>0</v>
      </c>
      <c r="H37" s="11">
        <f>IF(A37="",0,SUMIFS('[1]资金台帐'!$G$4:$G$3003,'[1]资金台帐'!$D$4:$D$3003,$A37,'[1]资金台帐'!$M$4:$M$3003,"往来"))</f>
        <v>0</v>
      </c>
      <c r="I37" s="11">
        <f t="shared" si="0"/>
        <v>0</v>
      </c>
      <c r="J37" s="11">
        <f t="shared" si="1"/>
        <v>0</v>
      </c>
      <c r="K37" s="6" t="str">
        <f t="shared" si="2"/>
        <v>平台结算，看拼多多对账</v>
      </c>
    </row>
    <row r="38">
      <c r="A38" s="6" t="str">
        <f>IF('[1]基础资料'!$I$37="","",'[1]基础资料'!$I$37)</f>
        <v>北京联硕民（拼多多）</v>
      </c>
      <c r="B38" s="6" t="str">
        <f>IF(A38="","",'[1]基础资料'!$J$37&amp;IF('[1]基础资料'!$K$37="","","·"&amp;'[1]基础资料'!$K$37))</f>
        <v>客户·线上</v>
      </c>
      <c r="C38" s="11">
        <f>IF(A38="",0,N('[1]基础资料'!$L$37))</f>
        <v>0</v>
      </c>
      <c r="D38" s="11">
        <f>IF(A38="",0,SUMIFS('[1]采购入库'!$V$4:$V$2003,'[1]采购入库'!$D$4:$D$2003,$A38))</f>
        <v>0</v>
      </c>
      <c r="E38" s="11">
        <f>IF(A38="",0,SUMIFS('[1]资金台帐'!$H$4:$H$3003,'[1]资金台帐'!$D$4:$D$3003,$A38,'[1]资金台帐'!$M$4:$M$3003,"往来"))</f>
        <v>0</v>
      </c>
      <c r="F38" s="11">
        <f>IF(A38="",0,N('[1]基础资料'!$M$37))</f>
        <v>0</v>
      </c>
      <c r="G38" s="11">
        <f>IF(OR(A38="",ISNUMBER(FIND("线上",B38))),0,SUMIFS('[1]销售出库'!$S$4:$S$2003,'[1]销售出库'!$B$4:$B$2003,$A38))</f>
        <v>0</v>
      </c>
      <c r="H38" s="11">
        <f>IF(A38="",0,SUMIFS('[1]资金台帐'!$G$4:$G$3003,'[1]资金台帐'!$D$4:$D$3003,$A38,'[1]资金台帐'!$M$4:$M$3003,"往来"))</f>
        <v>0</v>
      </c>
      <c r="I38" s="11">
        <f t="shared" si="0"/>
        <v>0</v>
      </c>
      <c r="J38" s="11">
        <f t="shared" si="1"/>
        <v>0</v>
      </c>
      <c r="K38" s="6" t="str">
        <f t="shared" si="2"/>
        <v>平台结算，看拼多多对账</v>
      </c>
    </row>
    <row r="39">
      <c r="A39" s="6" t="str">
        <f>IF('[1]基础资料'!$I$38="","",'[1]基础资料'!$I$38)</f>
        <v>沈艳岗</v>
      </c>
      <c r="B39" s="6" t="str">
        <f>IF(A39="","",'[1]基础资料'!$J$38&amp;IF('[1]基础资料'!$K$38="","","·"&amp;'[1]基础资料'!$K$38))</f>
        <v>客户·线下</v>
      </c>
      <c r="C39" s="11">
        <f>IF(A39="",0,N('[1]基础资料'!$L$38))</f>
        <v>0</v>
      </c>
      <c r="D39" s="11">
        <f>IF(A39="",0,SUMIFS('[1]采购入库'!$V$4:$V$2003,'[1]采购入库'!$D$4:$D$2003,$A39))</f>
        <v>0</v>
      </c>
      <c r="E39" s="11">
        <f>IF(A39="",0,SUMIFS('[1]资金台帐'!$H$4:$H$3003,'[1]资金台帐'!$D$4:$D$3003,$A39,'[1]资金台帐'!$M$4:$M$3003,"往来"))</f>
        <v>0</v>
      </c>
      <c r="F39" s="11">
        <f>IF(A39="",0,N('[1]基础资料'!$M$38))</f>
        <v>0</v>
      </c>
      <c r="G39" s="11">
        <f>IF(OR(A39="",ISNUMBER(FIND("线上",B39))),0,SUMIFS('[1]销售出库'!$S$4:$S$2003,'[1]销售出库'!$B$4:$B$2003,$A39))</f>
        <v>5045.79</v>
      </c>
      <c r="H39" s="11">
        <f>IF(A39="",0,SUMIFS('[1]资金台帐'!$G$4:$G$3003,'[1]资金台帐'!$D$4:$D$3003,$A39,'[1]资金台帐'!$M$4:$M$3003,"往来"))</f>
        <v>0</v>
      </c>
      <c r="I39" s="11">
        <f t="shared" si="0"/>
        <v>0</v>
      </c>
      <c r="J39" s="11">
        <f t="shared" si="1"/>
        <v>5045.79</v>
      </c>
      <c r="K39" s="6" t="str">
        <f t="shared" si="2"/>
        <v>对方欠我们</v>
      </c>
    </row>
    <row r="40">
      <c r="A40" s="6" t="str">
        <f>IF('[1]基础资料'!$I$39="","",'[1]基础资料'!$I$39)</f>
        <v>铝镁3-2-1  党新华</v>
      </c>
      <c r="B40" s="6" t="str">
        <f>IF(A40="","",'[1]基础资料'!$J$39&amp;IF('[1]基础资料'!$K$39="","","·"&amp;'[1]基础资料'!$K$39))</f>
        <v>客户·线下</v>
      </c>
      <c r="C40" s="11">
        <f>IF(A40="",0,N('[1]基础资料'!$L$39))</f>
        <v>0</v>
      </c>
      <c r="D40" s="11">
        <f>IF(A40="",0,SUMIFS('[1]采购入库'!$V$4:$V$2003,'[1]采购入库'!$D$4:$D$2003,$A40))</f>
        <v>0</v>
      </c>
      <c r="E40" s="11">
        <f>IF(A40="",0,SUMIFS('[1]资金台帐'!$H$4:$H$3003,'[1]资金台帐'!$D$4:$D$3003,$A40,'[1]资金台帐'!$M$4:$M$3003,"往来"))</f>
        <v>0</v>
      </c>
      <c r="F40" s="11">
        <f>IF(A40="",0,N('[1]基础资料'!$M$39))</f>
        <v>0</v>
      </c>
      <c r="G40" s="11">
        <f>IF(OR(A40="",ISNUMBER(FIND("线上",B40))),0,SUMIFS('[1]销售出库'!$S$4:$S$2003,'[1]销售出库'!$B$4:$B$2003,$A40))</f>
        <v>8210</v>
      </c>
      <c r="H40" s="11">
        <f>IF(A40="",0,SUMIFS('[1]资金台帐'!$G$4:$G$3003,'[1]资金台帐'!$D$4:$D$3003,$A40,'[1]资金台帐'!$M$4:$M$3003,"往来"))</f>
        <v>0</v>
      </c>
      <c r="I40" s="11">
        <f t="shared" si="0"/>
        <v>0</v>
      </c>
      <c r="J40" s="11">
        <f t="shared" si="1"/>
        <v>8210</v>
      </c>
      <c r="K40" s="6" t="str">
        <f t="shared" si="2"/>
        <v>对方欠我们</v>
      </c>
    </row>
    <row r="41">
      <c r="A41" s="6" t="str">
        <f>IF('[1]基础资料'!$I$40="","",'[1]基础资料'!$I$40)</f>
        <v>白佳豪</v>
      </c>
      <c r="B41" s="6" t="str">
        <f>IF(A41="","",'[1]基础资料'!$J$40&amp;IF('[1]基础资料'!$K$40="","","·"&amp;'[1]基础资料'!$K$40))</f>
        <v>客户·线下</v>
      </c>
      <c r="C41" s="11">
        <f>IF(A41="",0,N('[1]基础资料'!$L$40))</f>
        <v>0</v>
      </c>
      <c r="D41" s="11">
        <f>IF(A41="",0,SUMIFS('[1]采购入库'!$V$4:$V$2003,'[1]采购入库'!$D$4:$D$2003,$A41))</f>
        <v>0</v>
      </c>
      <c r="E41" s="11">
        <f>IF(A41="",0,SUMIFS('[1]资金台帐'!$H$4:$H$3003,'[1]资金台帐'!$D$4:$D$3003,$A41,'[1]资金台帐'!$M$4:$M$3003,"往来"))</f>
        <v>0</v>
      </c>
      <c r="F41" s="11">
        <f>IF(A41="",0,N('[1]基础资料'!$M$40))</f>
        <v>0</v>
      </c>
      <c r="G41" s="11">
        <f>IF(OR(A41="",ISNUMBER(FIND("线上",B41))),0,SUMIFS('[1]销售出库'!$S$4:$S$2003,'[1]销售出库'!$B$4:$B$2003,$A41))</f>
        <v>2346630</v>
      </c>
      <c r="H41" s="11">
        <f>IF(A41="",0,SUMIFS('[1]资金台帐'!$G$4:$G$3003,'[1]资金台帐'!$D$4:$D$3003,$A41,'[1]资金台帐'!$M$4:$M$3003,"往来"))</f>
        <v>0</v>
      </c>
      <c r="I41" s="11">
        <f t="shared" si="0"/>
        <v>0</v>
      </c>
      <c r="J41" s="11">
        <f t="shared" si="1"/>
        <v>2346630</v>
      </c>
      <c r="K41" s="6" t="str">
        <f t="shared" si="2"/>
        <v>对方欠我们</v>
      </c>
    </row>
    <row r="42">
      <c r="A42" s="6" t="str">
        <f>IF('[1]基础资料'!$I$41="","",'[1]基础资料'!$I$41)</f>
        <v>硅谷广场五楼 c5-68 王毅 18037150215</v>
      </c>
      <c r="B42" s="6" t="str">
        <f>IF(A42="","",'[1]基础资料'!$J$41&amp;IF('[1]基础资料'!$K$41="","","·"&amp;'[1]基础资料'!$K$41))</f>
        <v>客户·线下</v>
      </c>
      <c r="C42" s="11">
        <f>IF(A42="",0,N('[1]基础资料'!$L$41))</f>
        <v>0</v>
      </c>
      <c r="D42" s="11">
        <f>IF(A42="",0,SUMIFS('[1]采购入库'!$V$4:$V$2003,'[1]采购入库'!$D$4:$D$2003,$A42))</f>
        <v>0</v>
      </c>
      <c r="E42" s="11">
        <f>IF(A42="",0,SUMIFS('[1]资金台帐'!$H$4:$H$3003,'[1]资金台帐'!$D$4:$D$3003,$A42,'[1]资金台帐'!$M$4:$M$3003,"往来"))</f>
        <v>0</v>
      </c>
      <c r="F42" s="11">
        <f>IF(A42="",0,N('[1]基础资料'!$M$41))</f>
        <v>0</v>
      </c>
      <c r="G42" s="11">
        <f>IF(OR(A42="",ISNUMBER(FIND("线上",B42))),0,SUMIFS('[1]销售出库'!$S$4:$S$2003,'[1]销售出库'!$B$4:$B$2003,$A42))</f>
        <v>37710</v>
      </c>
      <c r="H42" s="11">
        <f>IF(A42="",0,SUMIFS('[1]资金台帐'!$G$4:$G$3003,'[1]资金台帐'!$D$4:$D$3003,$A42,'[1]资金台帐'!$M$4:$M$3003,"往来"))</f>
        <v>0</v>
      </c>
      <c r="I42" s="11">
        <f t="shared" si="0"/>
        <v>0</v>
      </c>
      <c r="J42" s="11">
        <f t="shared" si="1"/>
        <v>37710</v>
      </c>
      <c r="K42" s="6" t="str">
        <f t="shared" si="2"/>
        <v>对方欠我们</v>
      </c>
    </row>
    <row r="43">
      <c r="A43" s="6" t="str">
        <f>IF('[1]基础资料'!$I$42="","",'[1]基础资料'!$I$42)</f>
        <v>刘林航</v>
      </c>
      <c r="B43" s="6" t="str">
        <f>IF(A43="","",'[1]基础资料'!$J$42&amp;IF('[1]基础资料'!$K$42="","","·"&amp;'[1]基础资料'!$K$42))</f>
        <v>客户·线下</v>
      </c>
      <c r="C43" s="11">
        <f>IF(A43="",0,N('[1]基础资料'!$L$42))</f>
        <v>0</v>
      </c>
      <c r="D43" s="11">
        <f>IF(A43="",0,SUMIFS('[1]采购入库'!$V$4:$V$2003,'[1]采购入库'!$D$4:$D$2003,$A43))</f>
        <v>0</v>
      </c>
      <c r="E43" s="11">
        <f>IF(A43="",0,SUMIFS('[1]资金台帐'!$H$4:$H$3003,'[1]资金台帐'!$D$4:$D$3003,$A43,'[1]资金台帐'!$M$4:$M$3003,"往来"))</f>
        <v>0</v>
      </c>
      <c r="F43" s="11">
        <f>IF(A43="",0,N('[1]基础资料'!$M$42))</f>
        <v>0</v>
      </c>
      <c r="G43" s="11">
        <f>IF(OR(A43="",ISNUMBER(FIND("线上",B43))),0,SUMIFS('[1]销售出库'!$S$4:$S$2003,'[1]销售出库'!$B$4:$B$2003,$A43))</f>
        <v>787.46</v>
      </c>
      <c r="H43" s="11">
        <f>IF(A43="",0,SUMIFS('[1]资金台帐'!$G$4:$G$3003,'[1]资金台帐'!$D$4:$D$3003,$A43,'[1]资金台帐'!$M$4:$M$3003,"往来"))</f>
        <v>0</v>
      </c>
      <c r="I43" s="11">
        <f t="shared" si="0"/>
        <v>0</v>
      </c>
      <c r="J43" s="11">
        <f t="shared" si="1"/>
        <v>787.46</v>
      </c>
      <c r="K43" s="6" t="str">
        <f t="shared" si="2"/>
        <v>对方欠我们</v>
      </c>
    </row>
    <row r="44">
      <c r="A44" s="6" t="str">
        <f>IF('[1]基础资料'!$I$43="","",'[1]基础资料'!$I$43)</f>
        <v>郑州誉忆商贸商行（个人独资）</v>
      </c>
      <c r="B44" s="6" t="str">
        <f>IF(A44="","",'[1]基础资料'!$J$43&amp;IF('[1]基础资料'!$K$43="","","·"&amp;'[1]基础资料'!$K$43))</f>
        <v>客户·线下</v>
      </c>
      <c r="C44" s="11">
        <f>IF(A44="",0,N('[1]基础资料'!$L$43))</f>
        <v>0</v>
      </c>
      <c r="D44" s="11">
        <f>IF(A44="",0,SUMIFS('[1]采购入库'!$V$4:$V$2003,'[1]采购入库'!$D$4:$D$2003,$A44))</f>
        <v>0</v>
      </c>
      <c r="E44" s="11">
        <f>IF(A44="",0,SUMIFS('[1]资金台帐'!$H$4:$H$3003,'[1]资金台帐'!$D$4:$D$3003,$A44,'[1]资金台帐'!$M$4:$M$3003,"往来"))</f>
        <v>0</v>
      </c>
      <c r="F44" s="11">
        <f>IF(A44="",0,N('[1]基础资料'!$M$43))</f>
        <v>0</v>
      </c>
      <c r="G44" s="11">
        <f>IF(OR(A44="",ISNUMBER(FIND("线上",B44))),0,SUMIFS('[1]销售出库'!$S$4:$S$2003,'[1]销售出库'!$B$4:$B$2003,$A44))</f>
        <v>4268.62</v>
      </c>
      <c r="H44" s="11">
        <f>IF(A44="",0,SUMIFS('[1]资金台帐'!$G$4:$G$3003,'[1]资金台帐'!$D$4:$D$3003,$A44,'[1]资金台帐'!$M$4:$M$3003,"往来"))</f>
        <v>0</v>
      </c>
      <c r="I44" s="11">
        <f t="shared" si="0"/>
        <v>0</v>
      </c>
      <c r="J44" s="11">
        <f t="shared" si="1"/>
        <v>4268.62</v>
      </c>
      <c r="K44" s="6" t="str">
        <f t="shared" si="2"/>
        <v>对方欠我们</v>
      </c>
    </row>
    <row r="45">
      <c r="A45" s="6" t="str">
        <f>IF('[1]基础资料'!$I$44="","",'[1]基础资料'!$I$44)</f>
        <v>2d23雯雯</v>
      </c>
      <c r="B45" s="6" t="str">
        <f>IF(A45="","",'[1]基础资料'!$J$44&amp;IF('[1]基础资料'!$K$44="","","·"&amp;'[1]基础资料'!$K$44))</f>
        <v>客户·线下</v>
      </c>
      <c r="C45" s="11">
        <f>IF(A45="",0,N('[1]基础资料'!$L$44))</f>
        <v>0</v>
      </c>
      <c r="D45" s="11">
        <f>IF(A45="",0,SUMIFS('[1]采购入库'!$V$4:$V$2003,'[1]采购入库'!$D$4:$D$2003,$A45))</f>
        <v>0</v>
      </c>
      <c r="E45" s="11">
        <f>IF(A45="",0,SUMIFS('[1]资金台帐'!$H$4:$H$3003,'[1]资金台帐'!$D$4:$D$3003,$A45,'[1]资金台帐'!$M$4:$M$3003,"往来"))</f>
        <v>0</v>
      </c>
      <c r="F45" s="11">
        <f>IF(A45="",0,N('[1]基础资料'!$M$44))</f>
        <v>0</v>
      </c>
      <c r="G45" s="11">
        <f>IF(OR(A45="",ISNUMBER(FIND("线上",B45))),0,SUMIFS('[1]销售出库'!$S$4:$S$2003,'[1]销售出库'!$B$4:$B$2003,$A45))</f>
        <v>366500</v>
      </c>
      <c r="H45" s="11">
        <f>IF(A45="",0,SUMIFS('[1]资金台帐'!$G$4:$G$3003,'[1]资金台帐'!$D$4:$D$3003,$A45,'[1]资金台帐'!$M$4:$M$3003,"往来"))</f>
        <v>0</v>
      </c>
      <c r="I45" s="11">
        <f t="shared" si="0"/>
        <v>0</v>
      </c>
      <c r="J45" s="11">
        <f t="shared" si="1"/>
        <v>366500</v>
      </c>
      <c r="K45" s="6" t="str">
        <f t="shared" si="2"/>
        <v>对方欠我们</v>
      </c>
    </row>
    <row r="46">
      <c r="A46" s="6" t="str">
        <f>IF('[1]基础资料'!$I$45="","",'[1]基础资料'!$I$45)</f>
        <v>通讯新天地2A12顾朝红136 1380 0915</v>
      </c>
      <c r="B46" s="6" t="str">
        <f>IF(A46="","",'[1]基础资料'!$J$45&amp;IF('[1]基础资料'!$K$45="","","·"&amp;'[1]基础资料'!$K$45))</f>
        <v>客户·线下</v>
      </c>
      <c r="C46" s="11">
        <f>IF(A46="",0,N('[1]基础资料'!$L$45))</f>
        <v>0</v>
      </c>
      <c r="D46" s="11">
        <f>IF(A46="",0,SUMIFS('[1]采购入库'!$V$4:$V$2003,'[1]采购入库'!$D$4:$D$2003,$A46))</f>
        <v>0</v>
      </c>
      <c r="E46" s="11">
        <f>IF(A46="",0,SUMIFS('[1]资金台帐'!$H$4:$H$3003,'[1]资金台帐'!$D$4:$D$3003,$A46,'[1]资金台帐'!$M$4:$M$3003,"往来"))</f>
        <v>0</v>
      </c>
      <c r="F46" s="11">
        <f>IF(A46="",0,N('[1]基础资料'!$M$45))</f>
        <v>0</v>
      </c>
      <c r="G46" s="11">
        <f>IF(OR(A46="",ISNUMBER(FIND("线上",B46))),0,SUMIFS('[1]销售出库'!$S$4:$S$2003,'[1]销售出库'!$B$4:$B$2003,$A46))</f>
        <v>11300</v>
      </c>
      <c r="H46" s="11">
        <f>IF(A46="",0,SUMIFS('[1]资金台帐'!$G$4:$G$3003,'[1]资金台帐'!$D$4:$D$3003,$A46,'[1]资金台帐'!$M$4:$M$3003,"往来"))</f>
        <v>0</v>
      </c>
      <c r="I46" s="11">
        <f t="shared" si="0"/>
        <v>0</v>
      </c>
      <c r="J46" s="11">
        <f t="shared" si="1"/>
        <v>11300</v>
      </c>
      <c r="K46" s="6" t="str">
        <f t="shared" si="2"/>
        <v>对方欠我们</v>
      </c>
    </row>
    <row r="47">
      <c r="A47" s="6" t="str">
        <f>IF('[1]基础资料'!$I$46="","",'[1]基础资料'!$I$46)</f>
        <v>郑州海俊电子（汇宝大厦1704）</v>
      </c>
      <c r="B47" s="6" t="str">
        <f>IF(A47="","",'[1]基础资料'!$J$46&amp;IF('[1]基础资料'!$K$46="","","·"&amp;'[1]基础资料'!$K$46))</f>
        <v>客户·线下</v>
      </c>
      <c r="C47" s="11">
        <f>IF(A47="",0,N('[1]基础资料'!$L$46))</f>
        <v>0</v>
      </c>
      <c r="D47" s="11">
        <f>IF(A47="",0,SUMIFS('[1]采购入库'!$V$4:$V$2003,'[1]采购入库'!$D$4:$D$2003,$A47))</f>
        <v>0</v>
      </c>
      <c r="E47" s="11">
        <f>IF(A47="",0,SUMIFS('[1]资金台帐'!$H$4:$H$3003,'[1]资金台帐'!$D$4:$D$3003,$A47,'[1]资金台帐'!$M$4:$M$3003,"往来"))</f>
        <v>0</v>
      </c>
      <c r="F47" s="11">
        <f>IF(A47="",0,N('[1]基础资料'!$M$46))</f>
        <v>0</v>
      </c>
      <c r="G47" s="11">
        <f>IF(OR(A47="",ISNUMBER(FIND("线上",B47))),0,SUMIFS('[1]销售出库'!$S$4:$S$2003,'[1]销售出库'!$B$4:$B$2003,$A47))</f>
        <v>3150</v>
      </c>
      <c r="H47" s="11">
        <f>IF(A47="",0,SUMIFS('[1]资金台帐'!$G$4:$G$3003,'[1]资金台帐'!$D$4:$D$3003,$A47,'[1]资金台帐'!$M$4:$M$3003,"往来"))</f>
        <v>0</v>
      </c>
      <c r="I47" s="11">
        <f t="shared" si="0"/>
        <v>0</v>
      </c>
      <c r="J47" s="11">
        <f t="shared" si="1"/>
        <v>3150</v>
      </c>
      <c r="K47" s="6" t="str">
        <f t="shared" si="2"/>
        <v>对方欠我们</v>
      </c>
    </row>
    <row r="48">
      <c r="A48" s="6" t="str">
        <f>IF('[1]基础资料'!$I$47="","",'[1]基础资料'!$I$47)</f>
        <v>王元中</v>
      </c>
      <c r="B48" s="6" t="str">
        <f>IF(A48="","",'[1]基础资料'!$J$47&amp;IF('[1]基础资料'!$K$47="","","·"&amp;'[1]基础资料'!$K$47))</f>
        <v>客户·线下</v>
      </c>
      <c r="C48" s="11">
        <f>IF(A48="",0,N('[1]基础资料'!$L$47))</f>
        <v>0</v>
      </c>
      <c r="D48" s="11">
        <f>IF(A48="",0,SUMIFS('[1]采购入库'!$V$4:$V$2003,'[1]采购入库'!$D$4:$D$2003,$A48))</f>
        <v>0</v>
      </c>
      <c r="E48" s="11">
        <f>IF(A48="",0,SUMIFS('[1]资金台帐'!$H$4:$H$3003,'[1]资金台帐'!$D$4:$D$3003,$A48,'[1]资金台帐'!$M$4:$M$3003,"往来"))</f>
        <v>0</v>
      </c>
      <c r="F48" s="11">
        <f>IF(A48="",0,N('[1]基础资料'!$M$47))</f>
        <v>0</v>
      </c>
      <c r="G48" s="11">
        <f>IF(OR(A48="",ISNUMBER(FIND("线上",B48))),0,SUMIFS('[1]销售出库'!$S$4:$S$2003,'[1]销售出库'!$B$4:$B$2003,$A48))</f>
        <v>42300</v>
      </c>
      <c r="H48" s="11">
        <f>IF(A48="",0,SUMIFS('[1]资金台帐'!$G$4:$G$3003,'[1]资金台帐'!$D$4:$D$3003,$A48,'[1]资金台帐'!$M$4:$M$3003,"往来"))</f>
        <v>0</v>
      </c>
      <c r="I48" s="11">
        <f t="shared" si="0"/>
        <v>0</v>
      </c>
      <c r="J48" s="11">
        <f t="shared" si="1"/>
        <v>42300</v>
      </c>
      <c r="K48" s="6" t="str">
        <f t="shared" si="2"/>
        <v>对方欠我们</v>
      </c>
    </row>
    <row r="49">
      <c r="A49" s="6" t="str">
        <f>IF('[1]基础资料'!$I$48="","",'[1]基础资料'!$I$48)</f>
        <v>郑州精宽商贸商行（个人独资）</v>
      </c>
      <c r="B49" s="6" t="str">
        <f>IF(A49="","",'[1]基础资料'!$J$48&amp;IF('[1]基础资料'!$K$48="","","·"&amp;'[1]基础资料'!$K$48))</f>
        <v>客户·线下</v>
      </c>
      <c r="C49" s="11">
        <f>IF(A49="",0,N('[1]基础资料'!$L$48))</f>
        <v>0</v>
      </c>
      <c r="D49" s="11">
        <f>IF(A49="",0,SUMIFS('[1]采购入库'!$V$4:$V$2003,'[1]采购入库'!$D$4:$D$2003,$A49))</f>
        <v>0</v>
      </c>
      <c r="E49" s="11">
        <f>IF(A49="",0,SUMIFS('[1]资金台帐'!$H$4:$H$3003,'[1]资金台帐'!$D$4:$D$3003,$A49,'[1]资金台帐'!$M$4:$M$3003,"往来"))</f>
        <v>0</v>
      </c>
      <c r="F49" s="11">
        <f>IF(A49="",0,N('[1]基础资料'!$M$48))</f>
        <v>0</v>
      </c>
      <c r="G49" s="11">
        <f>IF(OR(A49="",ISNUMBER(FIND("线上",B49))),0,SUMIFS('[1]销售出库'!$S$4:$S$2003,'[1]销售出库'!$B$4:$B$2003,$A49))</f>
        <v>5750.55</v>
      </c>
      <c r="H49" s="11">
        <f>IF(A49="",0,SUMIFS('[1]资金台帐'!$G$4:$G$3003,'[1]资金台帐'!$D$4:$D$3003,$A49,'[1]资金台帐'!$M$4:$M$3003,"往来"))</f>
        <v>0</v>
      </c>
      <c r="I49" s="11">
        <f t="shared" si="0"/>
        <v>0</v>
      </c>
      <c r="J49" s="11">
        <f t="shared" si="1"/>
        <v>5750.55</v>
      </c>
      <c r="K49" s="6" t="str">
        <f t="shared" si="2"/>
        <v>对方欠我们</v>
      </c>
    </row>
    <row r="50">
      <c r="A50" s="6" t="str">
        <f>IF('[1]基础资料'!$I$49="","",'[1]基础资料'!$I$49)</f>
        <v>郭群（山东）</v>
      </c>
      <c r="B50" s="6" t="str">
        <f>IF(A50="","",'[1]基础资料'!$J$49&amp;IF('[1]基础资料'!$K$49="","","·"&amp;'[1]基础资料'!$K$49))</f>
        <v>客户·线下</v>
      </c>
      <c r="C50" s="11">
        <f>IF(A50="",0,N('[1]基础资料'!$L$49))</f>
        <v>0</v>
      </c>
      <c r="D50" s="11">
        <f>IF(A50="",0,SUMIFS('[1]采购入库'!$V$4:$V$2003,'[1]采购入库'!$D$4:$D$2003,$A50))</f>
        <v>0</v>
      </c>
      <c r="E50" s="11">
        <f>IF(A50="",0,SUMIFS('[1]资金台帐'!$H$4:$H$3003,'[1]资金台帐'!$D$4:$D$3003,$A50,'[1]资金台帐'!$M$4:$M$3003,"往来"))</f>
        <v>0</v>
      </c>
      <c r="F50" s="11">
        <f>IF(A50="",0,N('[1]基础资料'!$M$49))</f>
        <v>0</v>
      </c>
      <c r="G50" s="11">
        <f>IF(OR(A50="",ISNUMBER(FIND("线上",B50))),0,SUMIFS('[1]销售出库'!$S$4:$S$2003,'[1]销售出库'!$B$4:$B$2003,$A50))</f>
        <v>29200</v>
      </c>
      <c r="H50" s="11">
        <f>IF(A50="",0,SUMIFS('[1]资金台帐'!$G$4:$G$3003,'[1]资金台帐'!$D$4:$D$3003,$A50,'[1]资金台帐'!$M$4:$M$3003,"往来"))</f>
        <v>0</v>
      </c>
      <c r="I50" s="11">
        <f t="shared" si="0"/>
        <v>0</v>
      </c>
      <c r="J50" s="11">
        <f t="shared" si="1"/>
        <v>29200</v>
      </c>
      <c r="K50" s="6" t="str">
        <f t="shared" si="2"/>
        <v>对方欠我们</v>
      </c>
    </row>
    <row r="51">
      <c r="A51" s="6" t="str">
        <f>IF('[1]基础资料'!$I$50="","",'[1]基础资料'!$I$50)</f>
        <v>费德丽(北京）</v>
      </c>
      <c r="B51" s="6" t="str">
        <f>IF(A51="","",'[1]基础资料'!$J$50&amp;IF('[1]基础资料'!$K$50="","","·"&amp;'[1]基础资料'!$K$50))</f>
        <v>客户·线下</v>
      </c>
      <c r="C51" s="11">
        <f>IF(A51="",0,N('[1]基础资料'!$L$50))</f>
        <v>0</v>
      </c>
      <c r="D51" s="11">
        <f>IF(A51="",0,SUMIFS('[1]采购入库'!$V$4:$V$2003,'[1]采购入库'!$D$4:$D$2003,$A51))</f>
        <v>0</v>
      </c>
      <c r="E51" s="11">
        <f>IF(A51="",0,SUMIFS('[1]资金台帐'!$H$4:$H$3003,'[1]资金台帐'!$D$4:$D$3003,$A51,'[1]资金台帐'!$M$4:$M$3003,"往来"))</f>
        <v>0</v>
      </c>
      <c r="F51" s="11">
        <f>IF(A51="",0,N('[1]基础资料'!$M$50))</f>
        <v>0</v>
      </c>
      <c r="G51" s="11">
        <f>IF(OR(A51="",ISNUMBER(FIND("线上",B51))),0,SUMIFS('[1]销售出库'!$S$4:$S$2003,'[1]销售出库'!$B$4:$B$2003,$A51))</f>
        <v>10440</v>
      </c>
      <c r="H51" s="11">
        <f>IF(A51="",0,SUMIFS('[1]资金台帐'!$G$4:$G$3003,'[1]资金台帐'!$D$4:$D$3003,$A51,'[1]资金台帐'!$M$4:$M$3003,"往来"))</f>
        <v>0</v>
      </c>
      <c r="I51" s="11">
        <f t="shared" si="0"/>
        <v>0</v>
      </c>
      <c r="J51" s="11">
        <f t="shared" si="1"/>
        <v>10440</v>
      </c>
      <c r="K51" s="6" t="str">
        <f t="shared" si="2"/>
        <v>对方欠我们</v>
      </c>
    </row>
    <row r="52">
      <c r="A52" s="6" t="str">
        <f>IF('[1]基础资料'!$I$51="","",'[1]基础资料'!$I$51)</f>
        <v>A3-26锦淇通讯</v>
      </c>
      <c r="B52" s="6" t="str">
        <f>IF(A52="","",'[1]基础资料'!$J$51&amp;IF('[1]基础资料'!$K$51="","","·"&amp;'[1]基础资料'!$K$51))</f>
        <v>客户·线下</v>
      </c>
      <c r="C52" s="11">
        <f>IF(A52="",0,N('[1]基础资料'!$L$51))</f>
        <v>0</v>
      </c>
      <c r="D52" s="11">
        <f>IF(A52="",0,SUMIFS('[1]采购入库'!$V$4:$V$2003,'[1]采购入库'!$D$4:$D$2003,$A52))</f>
        <v>0</v>
      </c>
      <c r="E52" s="11">
        <f>IF(A52="",0,SUMIFS('[1]资金台帐'!$H$4:$H$3003,'[1]资金台帐'!$D$4:$D$3003,$A52,'[1]资金台帐'!$M$4:$M$3003,"往来"))</f>
        <v>0</v>
      </c>
      <c r="F52" s="11">
        <f>IF(A52="",0,N('[1]基础资料'!$M$51))</f>
        <v>0</v>
      </c>
      <c r="G52" s="11">
        <f>IF(OR(A52="",ISNUMBER(FIND("线上",B52))),0,SUMIFS('[1]销售出库'!$S$4:$S$2003,'[1]销售出库'!$B$4:$B$2003,$A52))</f>
        <v>10130</v>
      </c>
      <c r="H52" s="11">
        <f>IF(A52="",0,SUMIFS('[1]资金台帐'!$G$4:$G$3003,'[1]资金台帐'!$D$4:$D$3003,$A52,'[1]资金台帐'!$M$4:$M$3003,"往来"))</f>
        <v>0</v>
      </c>
      <c r="I52" s="11">
        <f t="shared" si="0"/>
        <v>0</v>
      </c>
      <c r="J52" s="11">
        <f t="shared" si="1"/>
        <v>10130</v>
      </c>
      <c r="K52" s="6" t="str">
        <f t="shared" si="2"/>
        <v>对方欠我们</v>
      </c>
    </row>
    <row r="53">
      <c r="A53" s="6" t="str">
        <f>IF('[1]基础资料'!$I$52="","",'[1]基础资料'!$I$52)</f>
        <v>负一楼a3-26</v>
      </c>
      <c r="B53" s="6" t="str">
        <f>IF(A53="","",'[1]基础资料'!$J$52&amp;IF('[1]基础资料'!$K$52="","","·"&amp;'[1]基础资料'!$K$52))</f>
        <v>客户·线下</v>
      </c>
      <c r="C53" s="11">
        <f>IF(A53="",0,N('[1]基础资料'!$L$52))</f>
        <v>0</v>
      </c>
      <c r="D53" s="11">
        <f>IF(A53="",0,SUMIFS('[1]采购入库'!$V$4:$V$2003,'[1]采购入库'!$D$4:$D$2003,$A53))</f>
        <v>0</v>
      </c>
      <c r="E53" s="11">
        <f>IF(A53="",0,SUMIFS('[1]资金台帐'!$H$4:$H$3003,'[1]资金台帐'!$D$4:$D$3003,$A53,'[1]资金台帐'!$M$4:$M$3003,"往来"))</f>
        <v>0</v>
      </c>
      <c r="F53" s="11">
        <f>IF(A53="",0,N('[1]基础资料'!$M$52))</f>
        <v>0</v>
      </c>
      <c r="G53" s="11">
        <f>IF(OR(A53="",ISNUMBER(FIND("线上",B53))),0,SUMIFS('[1]销售出库'!$S$4:$S$2003,'[1]销售出库'!$B$4:$B$2003,$A53))</f>
        <v>2370</v>
      </c>
      <c r="H53" s="11">
        <f>IF(A53="",0,SUMIFS('[1]资金台帐'!$G$4:$G$3003,'[1]资金台帐'!$D$4:$D$3003,$A53,'[1]资金台帐'!$M$4:$M$3003,"往来"))</f>
        <v>0</v>
      </c>
      <c r="I53" s="11">
        <f t="shared" si="0"/>
        <v>0</v>
      </c>
      <c r="J53" s="11">
        <f t="shared" si="1"/>
        <v>2370</v>
      </c>
      <c r="K53" s="6" t="str">
        <f t="shared" si="2"/>
        <v>对方欠我们</v>
      </c>
    </row>
    <row r="54">
      <c r="A54" s="6" t="str">
        <f>IF('[1]基础资料'!$I$53="","",'[1]基础资料'!$I$53)</f>
        <v>闲鱼散户</v>
      </c>
      <c r="B54" s="6" t="str">
        <f>IF(A54="","",'[1]基础资料'!$J$53&amp;IF('[1]基础资料'!$K$53="","","·"&amp;'[1]基础资料'!$K$53))</f>
        <v>客户·线下</v>
      </c>
      <c r="C54" s="11">
        <f>IF(A54="",0,N('[1]基础资料'!$L$53))</f>
        <v>0</v>
      </c>
      <c r="D54" s="11">
        <f>IF(A54="",0,SUMIFS('[1]采购入库'!$V$4:$V$2003,'[1]采购入库'!$D$4:$D$2003,$A54))</f>
        <v>0</v>
      </c>
      <c r="E54" s="11">
        <f>IF(A54="",0,SUMIFS('[1]资金台帐'!$H$4:$H$3003,'[1]资金台帐'!$D$4:$D$3003,$A54,'[1]资金台帐'!$M$4:$M$3003,"往来"))</f>
        <v>0</v>
      </c>
      <c r="F54" s="11">
        <f>IF(A54="",0,N('[1]基础资料'!$M$53))</f>
        <v>0</v>
      </c>
      <c r="G54" s="11">
        <f>IF(OR(A54="",ISNUMBER(FIND("线上",B54))),0,SUMIFS('[1]销售出库'!$S$4:$S$2003,'[1]销售出库'!$B$4:$B$2003,$A54))</f>
        <v>10058</v>
      </c>
      <c r="H54" s="11">
        <f>IF(A54="",0,SUMIFS('[1]资金台帐'!$G$4:$G$3003,'[1]资金台帐'!$D$4:$D$3003,$A54,'[1]资金台帐'!$M$4:$M$3003,"往来"))</f>
        <v>0</v>
      </c>
      <c r="I54" s="11">
        <f t="shared" si="0"/>
        <v>0</v>
      </c>
      <c r="J54" s="11">
        <f t="shared" si="1"/>
        <v>10058</v>
      </c>
      <c r="K54" s="6" t="str">
        <f t="shared" si="2"/>
        <v>对方欠我们</v>
      </c>
    </row>
    <row r="55">
      <c r="A55" s="6" t="str">
        <f>IF('[1]基础资料'!$I$54="","",'[1]基础资料'!$I$54)</f>
        <v>硅谷广场二号门联想S046瑞达</v>
      </c>
      <c r="B55" s="6" t="str">
        <f>IF(A55="","",'[1]基础资料'!$J$54&amp;IF('[1]基础资料'!$K$54="","","·"&amp;'[1]基础资料'!$K$54))</f>
        <v>客户·线下</v>
      </c>
      <c r="C55" s="11">
        <f>IF(A55="",0,N('[1]基础资料'!$L$54))</f>
        <v>0</v>
      </c>
      <c r="D55" s="11">
        <f>IF(A55="",0,SUMIFS('[1]采购入库'!$V$4:$V$2003,'[1]采购入库'!$D$4:$D$2003,$A55))</f>
        <v>0</v>
      </c>
      <c r="E55" s="11">
        <f>IF(A55="",0,SUMIFS('[1]资金台帐'!$H$4:$H$3003,'[1]资金台帐'!$D$4:$D$3003,$A55,'[1]资金台帐'!$M$4:$M$3003,"往来"))</f>
        <v>0</v>
      </c>
      <c r="F55" s="11">
        <f>IF(A55="",0,N('[1]基础资料'!$M$54))</f>
        <v>0</v>
      </c>
      <c r="G55" s="11">
        <f>IF(OR(A55="",ISNUMBER(FIND("线上",B55))),0,SUMIFS('[1]销售出库'!$S$4:$S$2003,'[1]销售出库'!$B$4:$B$2003,$A55))</f>
        <v>3400</v>
      </c>
      <c r="H55" s="11">
        <f>IF(A55="",0,SUMIFS('[1]资金台帐'!$G$4:$G$3003,'[1]资金台帐'!$D$4:$D$3003,$A55,'[1]资金台帐'!$M$4:$M$3003,"往来"))</f>
        <v>0</v>
      </c>
      <c r="I55" s="11">
        <f t="shared" si="0"/>
        <v>0</v>
      </c>
      <c r="J55" s="11">
        <f t="shared" si="1"/>
        <v>3400</v>
      </c>
      <c r="K55" s="6" t="str">
        <f t="shared" si="2"/>
        <v>对方欠我们</v>
      </c>
    </row>
    <row r="56">
      <c r="A56" s="6" t="str">
        <f>IF('[1]基础资料'!$I$55="","",'[1]基础资料'!$I$55)</f>
        <v>上海奕欣柯艺阳</v>
      </c>
      <c r="B56" s="6" t="str">
        <f>IF(A56="","",'[1]基础资料'!$J$55&amp;IF('[1]基础资料'!$K$55="","","·"&amp;'[1]基础资料'!$K$55))</f>
        <v>客户·线下</v>
      </c>
      <c r="C56" s="11">
        <f>IF(A56="",0,N('[1]基础资料'!$L$55))</f>
        <v>0</v>
      </c>
      <c r="D56" s="11">
        <f>IF(A56="",0,SUMIFS('[1]采购入库'!$V$4:$V$2003,'[1]采购入库'!$D$4:$D$2003,$A56))</f>
        <v>0</v>
      </c>
      <c r="E56" s="11">
        <f>IF(A56="",0,SUMIFS('[1]资金台帐'!$H$4:$H$3003,'[1]资金台帐'!$D$4:$D$3003,$A56,'[1]资金台帐'!$M$4:$M$3003,"往来"))</f>
        <v>0</v>
      </c>
      <c r="F56" s="11">
        <f>IF(A56="",0,N('[1]基础资料'!$M$55))</f>
        <v>0</v>
      </c>
      <c r="G56" s="11">
        <f>IF(OR(A56="",ISNUMBER(FIND("线上",B56))),0,SUMIFS('[1]销售出库'!$S$4:$S$2003,'[1]销售出库'!$B$4:$B$2003,$A56))</f>
        <v>2890</v>
      </c>
      <c r="H56" s="11">
        <f>IF(A56="",0,SUMIFS('[1]资金台帐'!$G$4:$G$3003,'[1]资金台帐'!$D$4:$D$3003,$A56,'[1]资金台帐'!$M$4:$M$3003,"往来"))</f>
        <v>0</v>
      </c>
      <c r="I56" s="11">
        <f t="shared" si="0"/>
        <v>0</v>
      </c>
      <c r="J56" s="11">
        <f t="shared" si="1"/>
        <v>2890</v>
      </c>
      <c r="K56" s="6" t="str">
        <f t="shared" si="2"/>
        <v>对方欠我们</v>
      </c>
    </row>
    <row r="57">
      <c r="A57" s="6" t="str">
        <f>IF('[1]基础资料'!$I$56="","",'[1]基础资料'!$I$56)</f>
        <v>新延</v>
      </c>
      <c r="B57" s="6" t="str">
        <f>IF(A57="","",'[1]基础资料'!$J$56&amp;IF('[1]基础资料'!$K$56="","","·"&amp;'[1]基础资料'!$K$56))</f>
        <v>客户·线下</v>
      </c>
      <c r="C57" s="11">
        <f>IF(A57="",0,N('[1]基础资料'!$L$56))</f>
        <v>0</v>
      </c>
      <c r="D57" s="11">
        <f>IF(A57="",0,SUMIFS('[1]采购入库'!$V$4:$V$2003,'[1]采购入库'!$D$4:$D$2003,$A57))</f>
        <v>0</v>
      </c>
      <c r="E57" s="11">
        <f>IF(A57="",0,SUMIFS('[1]资金台帐'!$H$4:$H$3003,'[1]资金台帐'!$D$4:$D$3003,$A57,'[1]资金台帐'!$M$4:$M$3003,"往来"))</f>
        <v>0</v>
      </c>
      <c r="F57" s="11">
        <f>IF(A57="",0,N('[1]基础资料'!$M$56))</f>
        <v>0</v>
      </c>
      <c r="G57" s="11">
        <f>IF(OR(A57="",ISNUMBER(FIND("线上",B57))),0,SUMIFS('[1]销售出库'!$S$4:$S$2003,'[1]销售出库'!$B$4:$B$2003,$A57))</f>
        <v>2625</v>
      </c>
      <c r="H57" s="11">
        <f>IF(A57="",0,SUMIFS('[1]资金台帐'!$G$4:$G$3003,'[1]资金台帐'!$D$4:$D$3003,$A57,'[1]资金台帐'!$M$4:$M$3003,"往来"))</f>
        <v>0</v>
      </c>
      <c r="I57" s="11">
        <f t="shared" si="0"/>
        <v>0</v>
      </c>
      <c r="J57" s="11">
        <f t="shared" si="1"/>
        <v>2625</v>
      </c>
      <c r="K57" s="6" t="str">
        <f t="shared" si="2"/>
        <v>对方欠我们</v>
      </c>
    </row>
    <row r="58">
      <c r="A58" s="6" t="str">
        <f>IF('[1]基础资料'!$I$57="","",'[1]基础资料'!$I$57)</f>
        <v>张磊</v>
      </c>
      <c r="B58" s="6" t="str">
        <f>IF(A58="","",'[1]基础资料'!$J$57&amp;IF('[1]基础资料'!$K$57="","","·"&amp;'[1]基础资料'!$K$57))</f>
        <v>客户·线下</v>
      </c>
      <c r="C58" s="11">
        <f>IF(A58="",0,N('[1]基础资料'!$L$57))</f>
        <v>0</v>
      </c>
      <c r="D58" s="11">
        <f>IF(A58="",0,SUMIFS('[1]采购入库'!$V$4:$V$2003,'[1]采购入库'!$D$4:$D$2003,$A58))</f>
        <v>0</v>
      </c>
      <c r="E58" s="11">
        <f>IF(A58="",0,SUMIFS('[1]资金台帐'!$H$4:$H$3003,'[1]资金台帐'!$D$4:$D$3003,$A58,'[1]资金台帐'!$M$4:$M$3003,"往来"))</f>
        <v>0</v>
      </c>
      <c r="F58" s="11">
        <f>IF(A58="",0,N('[1]基础资料'!$M$57))</f>
        <v>0</v>
      </c>
      <c r="G58" s="11">
        <f>IF(OR(A58="",ISNUMBER(FIND("线上",B58))),0,SUMIFS('[1]销售出库'!$S$4:$S$2003,'[1]销售出库'!$B$4:$B$2003,$A58))</f>
        <v>16540</v>
      </c>
      <c r="H58" s="11">
        <f>IF(A58="",0,SUMIFS('[1]资金台帐'!$G$4:$G$3003,'[1]资金台帐'!$D$4:$D$3003,$A58,'[1]资金台帐'!$M$4:$M$3003,"往来"))</f>
        <v>0</v>
      </c>
      <c r="I58" s="11">
        <f t="shared" si="0"/>
        <v>0</v>
      </c>
      <c r="J58" s="11">
        <f t="shared" si="1"/>
        <v>16540</v>
      </c>
      <c r="K58" s="6" t="str">
        <f t="shared" si="2"/>
        <v>对方欠我们</v>
      </c>
    </row>
    <row r="59">
      <c r="A59" s="6" t="str">
        <f>IF('[1]基础资料'!$I$58="","",'[1]基础资料'!$I$58)</f>
        <v>何龙</v>
      </c>
      <c r="B59" s="6" t="str">
        <f>IF(A59="","",'[1]基础资料'!$J$58&amp;IF('[1]基础资料'!$K$58="","","·"&amp;'[1]基础资料'!$K$58))</f>
        <v>客户·线下</v>
      </c>
      <c r="C59" s="11">
        <f>IF(A59="",0,N('[1]基础资料'!$L$58))</f>
        <v>0</v>
      </c>
      <c r="D59" s="11">
        <f>IF(A59="",0,SUMIFS('[1]采购入库'!$V$4:$V$2003,'[1]采购入库'!$D$4:$D$2003,$A59))</f>
        <v>0</v>
      </c>
      <c r="E59" s="11">
        <f>IF(A59="",0,SUMIFS('[1]资金台帐'!$H$4:$H$3003,'[1]资金台帐'!$D$4:$D$3003,$A59,'[1]资金台帐'!$M$4:$M$3003,"往来"))</f>
        <v>0</v>
      </c>
      <c r="F59" s="11">
        <f>IF(A59="",0,N('[1]基础资料'!$M$58))</f>
        <v>0</v>
      </c>
      <c r="G59" s="11">
        <f>IF(OR(A59="",ISNUMBER(FIND("线上",B59))),0,SUMIFS('[1]销售出库'!$S$4:$S$2003,'[1]销售出库'!$B$4:$B$2003,$A59))</f>
        <v>163200</v>
      </c>
      <c r="H59" s="11">
        <f>IF(A59="",0,SUMIFS('[1]资金台帐'!$G$4:$G$3003,'[1]资金台帐'!$D$4:$D$3003,$A59,'[1]资金台帐'!$M$4:$M$3003,"往来"))</f>
        <v>0</v>
      </c>
      <c r="I59" s="11">
        <f t="shared" si="0"/>
        <v>0</v>
      </c>
      <c r="J59" s="11">
        <f t="shared" si="1"/>
        <v>163200</v>
      </c>
      <c r="K59" s="6" t="str">
        <f t="shared" si="2"/>
        <v>对方欠我们</v>
      </c>
    </row>
    <row r="60">
      <c r="A60" s="6" t="str">
        <f>IF('[1]基础资料'!$I$59="","",'[1]基础资料'!$I$59)</f>
        <v>山东WoHi</v>
      </c>
      <c r="B60" s="6" t="str">
        <f>IF(A60="","",'[1]基础资料'!$J$59&amp;IF('[1]基础资料'!$K$59="","","·"&amp;'[1]基础资料'!$K$59))</f>
        <v>客户·线下</v>
      </c>
      <c r="C60" s="11">
        <f>IF(A60="",0,N('[1]基础资料'!$L$59))</f>
        <v>0</v>
      </c>
      <c r="D60" s="11">
        <f>IF(A60="",0,SUMIFS('[1]采购入库'!$V$4:$V$2003,'[1]采购入库'!$D$4:$D$2003,$A60))</f>
        <v>0</v>
      </c>
      <c r="E60" s="11">
        <f>IF(A60="",0,SUMIFS('[1]资金台帐'!$H$4:$H$3003,'[1]资金台帐'!$D$4:$D$3003,$A60,'[1]资金台帐'!$M$4:$M$3003,"往来"))</f>
        <v>0</v>
      </c>
      <c r="F60" s="11">
        <f>IF(A60="",0,N('[1]基础资料'!$M$59))</f>
        <v>0</v>
      </c>
      <c r="G60" s="11">
        <f>IF(OR(A60="",ISNUMBER(FIND("线上",B60))),0,SUMIFS('[1]销售出库'!$S$4:$S$2003,'[1]销售出库'!$B$4:$B$2003,$A60))</f>
        <v>2400</v>
      </c>
      <c r="H60" s="11">
        <f>IF(A60="",0,SUMIFS('[1]资金台帐'!$G$4:$G$3003,'[1]资金台帐'!$D$4:$D$3003,$A60,'[1]资金台帐'!$M$4:$M$3003,"往来"))</f>
        <v>0</v>
      </c>
      <c r="I60" s="11">
        <f t="shared" si="0"/>
        <v>0</v>
      </c>
      <c r="J60" s="11">
        <f t="shared" si="1"/>
        <v>2400</v>
      </c>
      <c r="K60" s="6" t="str">
        <f t="shared" si="2"/>
        <v>对方欠我们</v>
      </c>
    </row>
    <row r="61">
      <c r="A61" s="6" t="str">
        <f>IF('[1]基础资料'!$I$60="","",'[1]基础资料'!$I$60)</f>
        <v>成都泛海</v>
      </c>
      <c r="B61" s="6" t="str">
        <f>IF(A61="","",'[1]基础资料'!$J$60&amp;IF('[1]基础资料'!$K$60="","","·"&amp;'[1]基础资料'!$K$60))</f>
        <v>客户·线下</v>
      </c>
      <c r="C61" s="11">
        <f>IF(A61="",0,N('[1]基础资料'!$L$60))</f>
        <v>0</v>
      </c>
      <c r="D61" s="11">
        <f>IF(A61="",0,SUMIFS('[1]采购入库'!$V$4:$V$2003,'[1]采购入库'!$D$4:$D$2003,$A61))</f>
        <v>0</v>
      </c>
      <c r="E61" s="11">
        <f>IF(A61="",0,SUMIFS('[1]资金台帐'!$H$4:$H$3003,'[1]资金台帐'!$D$4:$D$3003,$A61,'[1]资金台帐'!$M$4:$M$3003,"往来"))</f>
        <v>0</v>
      </c>
      <c r="F61" s="11">
        <f>IF(A61="",0,N('[1]基础资料'!$M$60))</f>
        <v>0</v>
      </c>
      <c r="G61" s="11">
        <f>IF(OR(A61="",ISNUMBER(FIND("线上",B61))),0,SUMIFS('[1]销售出库'!$S$4:$S$2003,'[1]销售出库'!$B$4:$B$2003,$A61))</f>
        <v>3240</v>
      </c>
      <c r="H61" s="11">
        <f>IF(A61="",0,SUMIFS('[1]资金台帐'!$G$4:$G$3003,'[1]资金台帐'!$D$4:$D$3003,$A61,'[1]资金台帐'!$M$4:$M$3003,"往来"))</f>
        <v>0</v>
      </c>
      <c r="I61" s="11">
        <f t="shared" si="0"/>
        <v>0</v>
      </c>
      <c r="J61" s="11">
        <f t="shared" si="1"/>
        <v>3240</v>
      </c>
      <c r="K61" s="6" t="str">
        <f t="shared" si="2"/>
        <v>对方欠我们</v>
      </c>
    </row>
    <row r="62">
      <c r="A62" s="6" t="str">
        <f>IF('[1]基础资料'!$I$61="","",'[1]基础资料'!$I$61)</f>
        <v>联想&amp;华为批发裕晨王涛13223063127</v>
      </c>
      <c r="B62" s="6" t="str">
        <f>IF(A62="","",'[1]基础资料'!$J$61&amp;IF('[1]基础资料'!$K$61="","","·"&amp;'[1]基础资料'!$K$61))</f>
        <v>客户·线下</v>
      </c>
      <c r="C62" s="11">
        <f>IF(A62="",0,N('[1]基础资料'!$L$61))</f>
        <v>0</v>
      </c>
      <c r="D62" s="11">
        <f>IF(A62="",0,SUMIFS('[1]采购入库'!$V$4:$V$2003,'[1]采购入库'!$D$4:$D$2003,$A62))</f>
        <v>0</v>
      </c>
      <c r="E62" s="11">
        <f>IF(A62="",0,SUMIFS('[1]资金台帐'!$H$4:$H$3003,'[1]资金台帐'!$D$4:$D$3003,$A62,'[1]资金台帐'!$M$4:$M$3003,"往来"))</f>
        <v>0</v>
      </c>
      <c r="F62" s="11">
        <f>IF(A62="",0,N('[1]基础资料'!$M$61))</f>
        <v>0</v>
      </c>
      <c r="G62" s="11">
        <f>IF(OR(A62="",ISNUMBER(FIND("线上",B62))),0,SUMIFS('[1]销售出库'!$S$4:$S$2003,'[1]销售出库'!$B$4:$B$2003,$A62))</f>
        <v>8950</v>
      </c>
      <c r="H62" s="11">
        <f>IF(A62="",0,SUMIFS('[1]资金台帐'!$G$4:$G$3003,'[1]资金台帐'!$D$4:$D$3003,$A62,'[1]资金台帐'!$M$4:$M$3003,"往来"))</f>
        <v>0</v>
      </c>
      <c r="I62" s="11">
        <f t="shared" si="0"/>
        <v>0</v>
      </c>
      <c r="J62" s="11">
        <f t="shared" si="1"/>
        <v>8950</v>
      </c>
      <c r="K62" s="6" t="str">
        <f t="shared" si="2"/>
        <v>对方欠我们</v>
      </c>
    </row>
    <row r="63">
      <c r="A63" s="6" t="str">
        <f>IF('[1]基础资料'!$I$62="","",'[1]基础资料'!$I$62)</f>
        <v>2c56</v>
      </c>
      <c r="B63" s="6" t="str">
        <f>IF(A63="","",'[1]基础资料'!$J$62&amp;IF('[1]基础资料'!$K$62="","","·"&amp;'[1]基础资料'!$K$62))</f>
        <v>客户·线下</v>
      </c>
      <c r="C63" s="11">
        <f>IF(A63="",0,N('[1]基础资料'!$L$62))</f>
        <v>0</v>
      </c>
      <c r="D63" s="11">
        <f>IF(A63="",0,SUMIFS('[1]采购入库'!$V$4:$V$2003,'[1]采购入库'!$D$4:$D$2003,$A63))</f>
        <v>0</v>
      </c>
      <c r="E63" s="11">
        <f>IF(A63="",0,SUMIFS('[1]资金台帐'!$H$4:$H$3003,'[1]资金台帐'!$D$4:$D$3003,$A63,'[1]资金台帐'!$M$4:$M$3003,"往来"))</f>
        <v>0</v>
      </c>
      <c r="F63" s="11">
        <f>IF(A63="",0,N('[1]基础资料'!$M$62))</f>
        <v>0</v>
      </c>
      <c r="G63" s="11">
        <f>IF(OR(A63="",ISNUMBER(FIND("线上",B63))),0,SUMIFS('[1]销售出库'!$S$4:$S$2003,'[1]销售出库'!$B$4:$B$2003,$A63))</f>
        <v>9600</v>
      </c>
      <c r="H63" s="11">
        <f>IF(A63="",0,SUMIFS('[1]资金台帐'!$G$4:$G$3003,'[1]资金台帐'!$D$4:$D$3003,$A63,'[1]资金台帐'!$M$4:$M$3003,"往来"))</f>
        <v>0</v>
      </c>
      <c r="I63" s="11">
        <f t="shared" si="0"/>
        <v>0</v>
      </c>
      <c r="J63" s="11">
        <f t="shared" si="1"/>
        <v>9600</v>
      </c>
      <c r="K63" s="6" t="str">
        <f t="shared" si="2"/>
        <v>对方欠我们</v>
      </c>
    </row>
    <row r="64">
      <c r="A64" s="6" t="str">
        <f>IF('[1]基础资料'!$I$63="","",'[1]基础资料'!$I$63)</f>
        <v>365商务区212恒晟</v>
      </c>
      <c r="B64" s="6" t="str">
        <f>IF(A64="","",'[1]基础资料'!$J$63&amp;IF('[1]基础资料'!$K$63="","","·"&amp;'[1]基础资料'!$K$63))</f>
        <v>客户·线下</v>
      </c>
      <c r="C64" s="11">
        <f>IF(A64="",0,N('[1]基础资料'!$L$63))</f>
        <v>0</v>
      </c>
      <c r="D64" s="11">
        <f>IF(A64="",0,SUMIFS('[1]采购入库'!$V$4:$V$2003,'[1]采购入库'!$D$4:$D$2003,$A64))</f>
        <v>0</v>
      </c>
      <c r="E64" s="11">
        <f>IF(A64="",0,SUMIFS('[1]资金台帐'!$H$4:$H$3003,'[1]资金台帐'!$D$4:$D$3003,$A64,'[1]资金台帐'!$M$4:$M$3003,"往来"))</f>
        <v>0</v>
      </c>
      <c r="F64" s="11">
        <f>IF(A64="",0,N('[1]基础资料'!$M$63))</f>
        <v>0</v>
      </c>
      <c r="G64" s="11">
        <f>IF(OR(A64="",ISNUMBER(FIND("线上",B64))),0,SUMIFS('[1]销售出库'!$S$4:$S$2003,'[1]销售出库'!$B$4:$B$2003,$A64))</f>
        <v>23350</v>
      </c>
      <c r="H64" s="11">
        <f>IF(A64="",0,SUMIFS('[1]资金台帐'!$G$4:$G$3003,'[1]资金台帐'!$D$4:$D$3003,$A64,'[1]资金台帐'!$M$4:$M$3003,"往来"))</f>
        <v>0</v>
      </c>
      <c r="I64" s="11">
        <f t="shared" si="0"/>
        <v>0</v>
      </c>
      <c r="J64" s="11">
        <f t="shared" si="1"/>
        <v>23350</v>
      </c>
      <c r="K64" s="6" t="str">
        <f t="shared" si="2"/>
        <v>对方欠我们</v>
      </c>
    </row>
    <row r="65">
      <c r="A65" s="6" t="str">
        <f>IF('[1]基础资料'!$I$64="","",'[1]基础资料'!$I$64)</f>
        <v>2C56誉达</v>
      </c>
      <c r="B65" s="6" t="str">
        <f>IF(A65="","",'[1]基础资料'!$J$64&amp;IF('[1]基础资料'!$K$64="","","·"&amp;'[1]基础资料'!$K$64))</f>
        <v>客户·线下</v>
      </c>
      <c r="C65" s="11">
        <f>IF(A65="",0,N('[1]基础资料'!$L$64))</f>
        <v>0</v>
      </c>
      <c r="D65" s="11">
        <f>IF(A65="",0,SUMIFS('[1]采购入库'!$V$4:$V$2003,'[1]采购入库'!$D$4:$D$2003,$A65))</f>
        <v>0</v>
      </c>
      <c r="E65" s="11">
        <f>IF(A65="",0,SUMIFS('[1]资金台帐'!$H$4:$H$3003,'[1]资金台帐'!$D$4:$D$3003,$A65,'[1]资金台帐'!$M$4:$M$3003,"往来"))</f>
        <v>0</v>
      </c>
      <c r="F65" s="11">
        <f>IF(A65="",0,N('[1]基础资料'!$M$64))</f>
        <v>0</v>
      </c>
      <c r="G65" s="11">
        <f>IF(OR(A65="",ISNUMBER(FIND("线上",B65))),0,SUMIFS('[1]销售出库'!$S$4:$S$2003,'[1]销售出库'!$B$4:$B$2003,$A65))</f>
        <v>60920</v>
      </c>
      <c r="H65" s="11">
        <f>IF(A65="",0,SUMIFS('[1]资金台帐'!$G$4:$G$3003,'[1]资金台帐'!$D$4:$D$3003,$A65,'[1]资金台帐'!$M$4:$M$3003,"往来"))</f>
        <v>0</v>
      </c>
      <c r="I65" s="11">
        <f t="shared" si="0"/>
        <v>0</v>
      </c>
      <c r="J65" s="11">
        <f t="shared" si="1"/>
        <v>60920</v>
      </c>
      <c r="K65" s="6" t="str">
        <f t="shared" si="2"/>
        <v>对方欠我们</v>
      </c>
    </row>
    <row r="66">
      <c r="A66" s="6" t="str">
        <f>IF('[1]基础资料'!$I$65="","",'[1]基础资料'!$I$65)</f>
        <v>1C26</v>
      </c>
      <c r="B66" s="6" t="str">
        <f>IF(A66="","",'[1]基础资料'!$J$65&amp;IF('[1]基础资料'!$K$65="","","·"&amp;'[1]基础资料'!$K$65))</f>
        <v>客户·线下</v>
      </c>
      <c r="C66" s="11">
        <f>IF(A66="",0,N('[1]基础资料'!$L$65))</f>
        <v>0</v>
      </c>
      <c r="D66" s="11">
        <f>IF(A66="",0,SUMIFS('[1]采购入库'!$V$4:$V$2003,'[1]采购入库'!$D$4:$D$2003,$A66))</f>
        <v>0</v>
      </c>
      <c r="E66" s="11">
        <f>IF(A66="",0,SUMIFS('[1]资金台帐'!$H$4:$H$3003,'[1]资金台帐'!$D$4:$D$3003,$A66,'[1]资金台帐'!$M$4:$M$3003,"往来"))</f>
        <v>0</v>
      </c>
      <c r="F66" s="11">
        <f>IF(A66="",0,N('[1]基础资料'!$M$65))</f>
        <v>0</v>
      </c>
      <c r="G66" s="11">
        <f>IF(OR(A66="",ISNUMBER(FIND("线上",B66))),0,SUMIFS('[1]销售出库'!$S$4:$S$2003,'[1]销售出库'!$B$4:$B$2003,$A66))</f>
        <v>4670</v>
      </c>
      <c r="H66" s="11">
        <f>IF(A66="",0,SUMIFS('[1]资金台帐'!$G$4:$G$3003,'[1]资金台帐'!$D$4:$D$3003,$A66,'[1]资金台帐'!$M$4:$M$3003,"往来"))</f>
        <v>0</v>
      </c>
      <c r="I66" s="11">
        <f t="shared" si="0"/>
        <v>0</v>
      </c>
      <c r="J66" s="11">
        <f t="shared" si="1"/>
        <v>4670</v>
      </c>
      <c r="K66" s="6" t="str">
        <f t="shared" si="2"/>
        <v>对方欠我们</v>
      </c>
    </row>
    <row r="67">
      <c r="A67" s="6" t="str">
        <f>IF('[1]基础资料'!$I$66="","",'[1]基础资料'!$I$66)</f>
        <v>4C37</v>
      </c>
      <c r="B67" s="6" t="str">
        <f>IF(A67="","",'[1]基础资料'!$J$66&amp;IF('[1]基础资料'!$K$66="","","·"&amp;'[1]基础资料'!$K$66))</f>
        <v>客户·线下</v>
      </c>
      <c r="C67" s="11">
        <f>IF(A67="",0,N('[1]基础资料'!$L$66))</f>
        <v>0</v>
      </c>
      <c r="D67" s="11">
        <f>IF(A67="",0,SUMIFS('[1]采购入库'!$V$4:$V$2003,'[1]采购入库'!$D$4:$D$2003,$A67))</f>
        <v>0</v>
      </c>
      <c r="E67" s="11">
        <f>IF(A67="",0,SUMIFS('[1]资金台帐'!$H$4:$H$3003,'[1]资金台帐'!$D$4:$D$3003,$A67,'[1]资金台帐'!$M$4:$M$3003,"往来"))</f>
        <v>0</v>
      </c>
      <c r="F67" s="11">
        <f>IF(A67="",0,N('[1]基础资料'!$M$66))</f>
        <v>0</v>
      </c>
      <c r="G67" s="11">
        <f>IF(OR(A67="",ISNUMBER(FIND("线上",B67))),0,SUMIFS('[1]销售出库'!$S$4:$S$2003,'[1]销售出库'!$B$4:$B$2003,$A67))</f>
        <v>43020</v>
      </c>
      <c r="H67" s="11">
        <f>IF(A67="",0,SUMIFS('[1]资金台帐'!$G$4:$G$3003,'[1]资金台帐'!$D$4:$D$3003,$A67,'[1]资金台帐'!$M$4:$M$3003,"往来"))</f>
        <v>0</v>
      </c>
      <c r="I67" s="11">
        <f t="shared" si="0"/>
        <v>0</v>
      </c>
      <c r="J67" s="11">
        <f t="shared" si="1"/>
        <v>43020</v>
      </c>
      <c r="K67" s="6" t="str">
        <f t="shared" si="2"/>
        <v>对方欠我们</v>
      </c>
    </row>
    <row r="68">
      <c r="A68" s="6" t="str">
        <f>IF('[1]基础资料'!$I$67="","",'[1]基础资料'!$I$67)</f>
        <v>3a40晨曦</v>
      </c>
      <c r="B68" s="6" t="str">
        <f>IF(A68="","",'[1]基础资料'!$J$67&amp;IF('[1]基础资料'!$K$67="","","·"&amp;'[1]基础资料'!$K$67))</f>
        <v>客户·线下</v>
      </c>
      <c r="C68" s="11">
        <f>IF(A68="",0,N('[1]基础资料'!$L$67))</f>
        <v>0</v>
      </c>
      <c r="D68" s="11">
        <f>IF(A68="",0,SUMIFS('[1]采购入库'!$V$4:$V$2003,'[1]采购入库'!$D$4:$D$2003,$A68))</f>
        <v>0</v>
      </c>
      <c r="E68" s="11">
        <f>IF(A68="",0,SUMIFS('[1]资金台帐'!$H$4:$H$3003,'[1]资金台帐'!$D$4:$D$3003,$A68,'[1]资金台帐'!$M$4:$M$3003,"往来"))</f>
        <v>0</v>
      </c>
      <c r="F68" s="11">
        <f>IF(A68="",0,N('[1]基础资料'!$M$67))</f>
        <v>0</v>
      </c>
      <c r="G68" s="11">
        <f>IF(OR(A68="",ISNUMBER(FIND("线上",B68))),0,SUMIFS('[1]销售出库'!$S$4:$S$2003,'[1]销售出库'!$B$4:$B$2003,$A68))</f>
        <v>3300</v>
      </c>
      <c r="H68" s="11">
        <f>IF(A68="",0,SUMIFS('[1]资金台帐'!$G$4:$G$3003,'[1]资金台帐'!$D$4:$D$3003,$A68,'[1]资金台帐'!$M$4:$M$3003,"往来"))</f>
        <v>0</v>
      </c>
      <c r="I68" s="11">
        <f t="shared" si="0"/>
        <v>0</v>
      </c>
      <c r="J68" s="11">
        <f t="shared" si="1"/>
        <v>3300</v>
      </c>
      <c r="K68" s="6" t="str">
        <f t="shared" si="2"/>
        <v>对方欠我们</v>
      </c>
    </row>
    <row r="69">
      <c r="A69" s="6">
        <f>IF('[1]基础资料'!$I$68="","",'[1]基础资料'!$I$68)</f>
      </c>
      <c r="B69" s="6">
        <f>IF(A69="","",'[1]基础资料'!$J$68&amp;IF('[1]基础资料'!$K$68="","","·"&amp;'[1]基础资料'!$K$68))</f>
      </c>
      <c r="C69" s="11">
        <f>IF(A69="",0,N('[1]基础资料'!$L$68))</f>
        <v>0</v>
      </c>
      <c r="D69" s="11">
        <f>IF(A69="",0,SUMIFS('[1]采购入库'!$V$4:$V$2003,'[1]采购入库'!$D$4:$D$2003,$A69))</f>
        <v>0</v>
      </c>
      <c r="E69" s="11">
        <f>IF(A69="",0,SUMIFS('[1]资金台帐'!$H$4:$H$3003,'[1]资金台帐'!$D$4:$D$3003,$A69,'[1]资金台帐'!$M$4:$M$3003,"往来"))</f>
        <v>0</v>
      </c>
      <c r="F69" s="11">
        <f>IF(A69="",0,N('[1]基础资料'!$M$68))</f>
        <v>0</v>
      </c>
      <c r="G69" s="11">
        <f>IF(OR(A69="",ISNUMBER(FIND("线上",B69))),0,SUMIFS('[1]销售出库'!$S$4:$S$2003,'[1]销售出库'!$B$4:$B$2003,$A69))</f>
        <v>0</v>
      </c>
      <c r="H69" s="11">
        <f>IF(A69="",0,SUMIFS('[1]资金台帐'!$G$4:$G$3003,'[1]资金台帐'!$D$4:$D$3003,$A69,'[1]资金台帐'!$M$4:$M$3003,"往来"))</f>
        <v>0</v>
      </c>
      <c r="I69" s="11">
        <f t="shared" si="0"/>
        <v>0</v>
      </c>
      <c r="J69" s="11">
        <f t="shared" si="1"/>
        <v>0</v>
      </c>
      <c r="K69" s="6">
        <f t="shared" si="2"/>
      </c>
    </row>
    <row r="70">
      <c r="A70" s="6">
        <f>IF('[1]基础资料'!$I$69="","",'[1]基础资料'!$I$69)</f>
      </c>
      <c r="B70" s="6">
        <f>IF(A70="","",'[1]基础资料'!$J$69&amp;IF('[1]基础资料'!$K$69="","","·"&amp;'[1]基础资料'!$K$69))</f>
      </c>
      <c r="C70" s="11">
        <f>IF(A70="",0,N('[1]基础资料'!$L$69))</f>
        <v>0</v>
      </c>
      <c r="D70" s="11">
        <f>IF(A70="",0,SUMIFS('[1]采购入库'!$V$4:$V$2003,'[1]采购入库'!$D$4:$D$2003,$A70))</f>
        <v>0</v>
      </c>
      <c r="E70" s="11">
        <f>IF(A70="",0,SUMIFS('[1]资金台帐'!$H$4:$H$3003,'[1]资金台帐'!$D$4:$D$3003,$A70,'[1]资金台帐'!$M$4:$M$3003,"往来"))</f>
        <v>0</v>
      </c>
      <c r="F70" s="11">
        <f>IF(A70="",0,N('[1]基础资料'!$M$69))</f>
        <v>0</v>
      </c>
      <c r="G70" s="11">
        <f>IF(OR(A70="",ISNUMBER(FIND("线上",B70))),0,SUMIFS('[1]销售出库'!$S$4:$S$2003,'[1]销售出库'!$B$4:$B$2003,$A70))</f>
        <v>0</v>
      </c>
      <c r="H70" s="11">
        <f>IF(A70="",0,SUMIFS('[1]资金台帐'!$G$4:$G$3003,'[1]资金台帐'!$D$4:$D$3003,$A70,'[1]资金台帐'!$M$4:$M$3003,"往来"))</f>
        <v>0</v>
      </c>
      <c r="I70" s="11">
        <f t="shared" si="0"/>
        <v>0</v>
      </c>
      <c r="J70" s="11">
        <f t="shared" si="1"/>
        <v>0</v>
      </c>
      <c r="K70" s="6">
        <f t="shared" si="2"/>
      </c>
    </row>
    <row r="71">
      <c r="A71" s="6">
        <f>IF('[1]基础资料'!$I$70="","",'[1]基础资料'!$I$70)</f>
      </c>
      <c r="B71" s="6">
        <f>IF(A71="","",'[1]基础资料'!$J$70&amp;IF('[1]基础资料'!$K$70="","","·"&amp;'[1]基础资料'!$K$70))</f>
      </c>
      <c r="C71" s="11">
        <f>IF(A71="",0,N('[1]基础资料'!$L$70))</f>
        <v>0</v>
      </c>
      <c r="D71" s="11">
        <f>IF(A71="",0,SUMIFS('[1]采购入库'!$V$4:$V$2003,'[1]采购入库'!$D$4:$D$2003,$A71))</f>
        <v>0</v>
      </c>
      <c r="E71" s="11">
        <f>IF(A71="",0,SUMIFS('[1]资金台帐'!$H$4:$H$3003,'[1]资金台帐'!$D$4:$D$3003,$A71,'[1]资金台帐'!$M$4:$M$3003,"往来"))</f>
        <v>0</v>
      </c>
      <c r="F71" s="11">
        <f>IF(A71="",0,N('[1]基础资料'!$M$70))</f>
        <v>0</v>
      </c>
      <c r="G71" s="11">
        <f>IF(OR(A71="",ISNUMBER(FIND("线上",B71))),0,SUMIFS('[1]销售出库'!$S$4:$S$2003,'[1]销售出库'!$B$4:$B$2003,$A71))</f>
        <v>0</v>
      </c>
      <c r="H71" s="11">
        <f>IF(A71="",0,SUMIFS('[1]资金台帐'!$G$4:$G$3003,'[1]资金台帐'!$D$4:$D$3003,$A71,'[1]资金台帐'!$M$4:$M$3003,"往来"))</f>
        <v>0</v>
      </c>
      <c r="I71" s="11">
        <f t="shared" si="0"/>
        <v>0</v>
      </c>
      <c r="J71" s="11">
        <f t="shared" si="1"/>
        <v>0</v>
      </c>
      <c r="K71" s="6">
        <f t="shared" si="2"/>
      </c>
    </row>
    <row r="72">
      <c r="A72" s="6">
        <f>IF('[1]基础资料'!$I$71="","",'[1]基础资料'!$I$71)</f>
      </c>
      <c r="B72" s="6">
        <f>IF(A72="","",'[1]基础资料'!$J$71&amp;IF('[1]基础资料'!$K$71="","","·"&amp;'[1]基础资料'!$K$71))</f>
      </c>
      <c r="C72" s="11">
        <f>IF(A72="",0,N('[1]基础资料'!$L$71))</f>
        <v>0</v>
      </c>
      <c r="D72" s="11">
        <f>IF(A72="",0,SUMIFS('[1]采购入库'!$V$4:$V$2003,'[1]采购入库'!$D$4:$D$2003,$A72))</f>
        <v>0</v>
      </c>
      <c r="E72" s="11">
        <f>IF(A72="",0,SUMIFS('[1]资金台帐'!$H$4:$H$3003,'[1]资金台帐'!$D$4:$D$3003,$A72,'[1]资金台帐'!$M$4:$M$3003,"往来"))</f>
        <v>0</v>
      </c>
      <c r="F72" s="11">
        <f>IF(A72="",0,N('[1]基础资料'!$M$71))</f>
        <v>0</v>
      </c>
      <c r="G72" s="11">
        <f>IF(OR(A72="",ISNUMBER(FIND("线上",B72))),0,SUMIFS('[1]销售出库'!$S$4:$S$2003,'[1]销售出库'!$B$4:$B$2003,$A72))</f>
        <v>0</v>
      </c>
      <c r="H72" s="11">
        <f>IF(A72="",0,SUMIFS('[1]资金台帐'!$G$4:$G$3003,'[1]资金台帐'!$D$4:$D$3003,$A72,'[1]资金台帐'!$M$4:$M$3003,"往来"))</f>
        <v>0</v>
      </c>
      <c r="I72" s="11">
        <f t="shared" si="0"/>
        <v>0</v>
      </c>
      <c r="J72" s="11">
        <f t="shared" si="1"/>
        <v>0</v>
      </c>
      <c r="K72" s="6">
        <f t="shared" si="2"/>
      </c>
    </row>
    <row r="73">
      <c r="A73" s="6">
        <f>IF('[1]基础资料'!$I$72="","",'[1]基础资料'!$I$72)</f>
      </c>
      <c r="B73" s="6">
        <f>IF(A73="","",'[1]基础资料'!$J$72&amp;IF('[1]基础资料'!$K$72="","","·"&amp;'[1]基础资料'!$K$72))</f>
      </c>
      <c r="C73" s="11">
        <f>IF(A73="",0,N('[1]基础资料'!$L$72))</f>
        <v>0</v>
      </c>
      <c r="D73" s="11">
        <f>IF(A73="",0,SUMIFS('[1]采购入库'!$V$4:$V$2003,'[1]采购入库'!$D$4:$D$2003,$A73))</f>
        <v>0</v>
      </c>
      <c r="E73" s="11">
        <f>IF(A73="",0,SUMIFS('[1]资金台帐'!$H$4:$H$3003,'[1]资金台帐'!$D$4:$D$3003,$A73,'[1]资金台帐'!$M$4:$M$3003,"往来"))</f>
        <v>0</v>
      </c>
      <c r="F73" s="11">
        <f>IF(A73="",0,N('[1]基础资料'!$M$72))</f>
        <v>0</v>
      </c>
      <c r="G73" s="11">
        <f>IF(OR(A73="",ISNUMBER(FIND("线上",B73))),0,SUMIFS('[1]销售出库'!$S$4:$S$2003,'[1]销售出库'!$B$4:$B$2003,$A73))</f>
        <v>0</v>
      </c>
      <c r="H73" s="11">
        <f>IF(A73="",0,SUMIFS('[1]资金台帐'!$G$4:$G$3003,'[1]资金台帐'!$D$4:$D$3003,$A73,'[1]资金台帐'!$M$4:$M$3003,"往来"))</f>
        <v>0</v>
      </c>
      <c r="I73" s="11">
        <f t="shared" si="0"/>
        <v>0</v>
      </c>
      <c r="J73" s="11">
        <f t="shared" si="1"/>
        <v>0</v>
      </c>
      <c r="K73" s="6">
        <f t="shared" si="2"/>
      </c>
    </row>
    <row r="74">
      <c r="A74" s="6">
        <f>IF('[1]基础资料'!$I$73="","",'[1]基础资料'!$I$73)</f>
      </c>
      <c r="B74" s="6">
        <f>IF(A74="","",'[1]基础资料'!$J$73&amp;IF('[1]基础资料'!$K$73="","","·"&amp;'[1]基础资料'!$K$73))</f>
      </c>
      <c r="C74" s="11">
        <f>IF(A74="",0,N('[1]基础资料'!$L$73))</f>
        <v>0</v>
      </c>
      <c r="D74" s="11">
        <f>IF(A74="",0,SUMIFS('[1]采购入库'!$V$4:$V$2003,'[1]采购入库'!$D$4:$D$2003,$A74))</f>
        <v>0</v>
      </c>
      <c r="E74" s="11">
        <f>IF(A74="",0,SUMIFS('[1]资金台帐'!$H$4:$H$3003,'[1]资金台帐'!$D$4:$D$3003,$A74,'[1]资金台帐'!$M$4:$M$3003,"往来"))</f>
        <v>0</v>
      </c>
      <c r="F74" s="11">
        <f>IF(A74="",0,N('[1]基础资料'!$M$73))</f>
        <v>0</v>
      </c>
      <c r="G74" s="11">
        <f>IF(OR(A74="",ISNUMBER(FIND("线上",B74))),0,SUMIFS('[1]销售出库'!$S$4:$S$2003,'[1]销售出库'!$B$4:$B$2003,$A74))</f>
        <v>0</v>
      </c>
      <c r="H74" s="11">
        <f>IF(A74="",0,SUMIFS('[1]资金台帐'!$G$4:$G$3003,'[1]资金台帐'!$D$4:$D$3003,$A74,'[1]资金台帐'!$M$4:$M$3003,"往来"))</f>
        <v>0</v>
      </c>
      <c r="I74" s="11">
        <f t="shared" si="0"/>
        <v>0</v>
      </c>
      <c r="J74" s="11">
        <f t="shared" si="1"/>
        <v>0</v>
      </c>
      <c r="K74" s="6">
        <f t="shared" si="2"/>
      </c>
    </row>
    <row r="75">
      <c r="A75" s="6">
        <f>IF('[1]基础资料'!$I$74="","",'[1]基础资料'!$I$74)</f>
      </c>
      <c r="B75" s="6">
        <f>IF(A75="","",'[1]基础资料'!$J$74&amp;IF('[1]基础资料'!$K$74="","","·"&amp;'[1]基础资料'!$K$74))</f>
      </c>
      <c r="C75" s="11">
        <f>IF(A75="",0,N('[1]基础资料'!$L$74))</f>
        <v>0</v>
      </c>
      <c r="D75" s="11">
        <f>IF(A75="",0,SUMIFS('[1]采购入库'!$V$4:$V$2003,'[1]采购入库'!$D$4:$D$2003,$A75))</f>
        <v>0</v>
      </c>
      <c r="E75" s="11">
        <f>IF(A75="",0,SUMIFS('[1]资金台帐'!$H$4:$H$3003,'[1]资金台帐'!$D$4:$D$3003,$A75,'[1]资金台帐'!$M$4:$M$3003,"往来"))</f>
        <v>0</v>
      </c>
      <c r="F75" s="11">
        <f>IF(A75="",0,N('[1]基础资料'!$M$74))</f>
        <v>0</v>
      </c>
      <c r="G75" s="11">
        <f>IF(OR(A75="",ISNUMBER(FIND("线上",B75))),0,SUMIFS('[1]销售出库'!$S$4:$S$2003,'[1]销售出库'!$B$4:$B$2003,$A75))</f>
        <v>0</v>
      </c>
      <c r="H75" s="11">
        <f>IF(A75="",0,SUMIFS('[1]资金台帐'!$G$4:$G$3003,'[1]资金台帐'!$D$4:$D$3003,$A75,'[1]资金台帐'!$M$4:$M$3003,"往来"))</f>
        <v>0</v>
      </c>
      <c r="I75" s="11">
        <f t="shared" si="0"/>
        <v>0</v>
      </c>
      <c r="J75" s="11">
        <f t="shared" si="1"/>
        <v>0</v>
      </c>
      <c r="K75" s="6">
        <f t="shared" si="2"/>
      </c>
    </row>
    <row r="76">
      <c r="A76" s="6">
        <f>IF('[1]基础资料'!$I$75="","",'[1]基础资料'!$I$75)</f>
      </c>
      <c r="B76" s="6">
        <f>IF(A76="","",'[1]基础资料'!$J$75&amp;IF('[1]基础资料'!$K$75="","","·"&amp;'[1]基础资料'!$K$75))</f>
      </c>
      <c r="C76" s="11">
        <f>IF(A76="",0,N('[1]基础资料'!$L$75))</f>
        <v>0</v>
      </c>
      <c r="D76" s="11">
        <f>IF(A76="",0,SUMIFS('[1]采购入库'!$V$4:$V$2003,'[1]采购入库'!$D$4:$D$2003,$A76))</f>
        <v>0</v>
      </c>
      <c r="E76" s="11">
        <f>IF(A76="",0,SUMIFS('[1]资金台帐'!$H$4:$H$3003,'[1]资金台帐'!$D$4:$D$3003,$A76,'[1]资金台帐'!$M$4:$M$3003,"往来"))</f>
        <v>0</v>
      </c>
      <c r="F76" s="11">
        <f>IF(A76="",0,N('[1]基础资料'!$M$75))</f>
        <v>0</v>
      </c>
      <c r="G76" s="11">
        <f>IF(OR(A76="",ISNUMBER(FIND("线上",B76))),0,SUMIFS('[1]销售出库'!$S$4:$S$2003,'[1]销售出库'!$B$4:$B$2003,$A76))</f>
        <v>0</v>
      </c>
      <c r="H76" s="11">
        <f>IF(A76="",0,SUMIFS('[1]资金台帐'!$G$4:$G$3003,'[1]资金台帐'!$D$4:$D$3003,$A76,'[1]资金台帐'!$M$4:$M$3003,"往来"))</f>
        <v>0</v>
      </c>
      <c r="I76" s="11">
        <f t="shared" si="0"/>
        <v>0</v>
      </c>
      <c r="J76" s="11">
        <f t="shared" si="1"/>
        <v>0</v>
      </c>
      <c r="K76" s="6">
        <f t="shared" si="2"/>
      </c>
    </row>
    <row r="77">
      <c r="A77" s="6">
        <f>IF('[1]基础资料'!$I$76="","",'[1]基础资料'!$I$76)</f>
      </c>
      <c r="B77" s="6">
        <f>IF(A77="","",'[1]基础资料'!$J$76&amp;IF('[1]基础资料'!$K$76="","","·"&amp;'[1]基础资料'!$K$76))</f>
      </c>
      <c r="C77" s="11">
        <f>IF(A77="",0,N('[1]基础资料'!$L$76))</f>
        <v>0</v>
      </c>
      <c r="D77" s="11">
        <f>IF(A77="",0,SUMIFS('[1]采购入库'!$V$4:$V$2003,'[1]采购入库'!$D$4:$D$2003,$A77))</f>
        <v>0</v>
      </c>
      <c r="E77" s="11">
        <f>IF(A77="",0,SUMIFS('[1]资金台帐'!$H$4:$H$3003,'[1]资金台帐'!$D$4:$D$3003,$A77,'[1]资金台帐'!$M$4:$M$3003,"往来"))</f>
        <v>0</v>
      </c>
      <c r="F77" s="11">
        <f>IF(A77="",0,N('[1]基础资料'!$M$76))</f>
        <v>0</v>
      </c>
      <c r="G77" s="11">
        <f>IF(OR(A77="",ISNUMBER(FIND("线上",B77))),0,SUMIFS('[1]销售出库'!$S$4:$S$2003,'[1]销售出库'!$B$4:$B$2003,$A77))</f>
        <v>0</v>
      </c>
      <c r="H77" s="11">
        <f>IF(A77="",0,SUMIFS('[1]资金台帐'!$G$4:$G$3003,'[1]资金台帐'!$D$4:$D$3003,$A77,'[1]资金台帐'!$M$4:$M$3003,"往来"))</f>
        <v>0</v>
      </c>
      <c r="I77" s="11">
        <f t="shared" si="0"/>
        <v>0</v>
      </c>
      <c r="J77" s="11">
        <f t="shared" si="1"/>
        <v>0</v>
      </c>
      <c r="K77" s="6">
        <f t="shared" si="2"/>
      </c>
    </row>
    <row r="78">
      <c r="A78" s="6">
        <f>IF('[1]基础资料'!$I$77="","",'[1]基础资料'!$I$77)</f>
      </c>
      <c r="B78" s="6">
        <f>IF(A78="","",'[1]基础资料'!$J$77&amp;IF('[1]基础资料'!$K$77="","","·"&amp;'[1]基础资料'!$K$77))</f>
      </c>
      <c r="C78" s="11">
        <f>IF(A78="",0,N('[1]基础资料'!$L$77))</f>
        <v>0</v>
      </c>
      <c r="D78" s="11">
        <f>IF(A78="",0,SUMIFS('[1]采购入库'!$V$4:$V$2003,'[1]采购入库'!$D$4:$D$2003,$A78))</f>
        <v>0</v>
      </c>
      <c r="E78" s="11">
        <f>IF(A78="",0,SUMIFS('[1]资金台帐'!$H$4:$H$3003,'[1]资金台帐'!$D$4:$D$3003,$A78,'[1]资金台帐'!$M$4:$M$3003,"往来"))</f>
        <v>0</v>
      </c>
      <c r="F78" s="11">
        <f>IF(A78="",0,N('[1]基础资料'!$M$77))</f>
        <v>0</v>
      </c>
      <c r="G78" s="11">
        <f>IF(OR(A78="",ISNUMBER(FIND("线上",B78))),0,SUMIFS('[1]销售出库'!$S$4:$S$2003,'[1]销售出库'!$B$4:$B$2003,$A78))</f>
        <v>0</v>
      </c>
      <c r="H78" s="11">
        <f>IF(A78="",0,SUMIFS('[1]资金台帐'!$G$4:$G$3003,'[1]资金台帐'!$D$4:$D$3003,$A78,'[1]资金台帐'!$M$4:$M$3003,"往来"))</f>
        <v>0</v>
      </c>
      <c r="I78" s="11">
        <f t="shared" si="0"/>
        <v>0</v>
      </c>
      <c r="J78" s="11">
        <f t="shared" si="1"/>
        <v>0</v>
      </c>
      <c r="K78" s="6">
        <f t="shared" si="2"/>
      </c>
    </row>
    <row r="79">
      <c r="A79" s="6">
        <f>IF('[1]基础资料'!$I$78="","",'[1]基础资料'!$I$78)</f>
      </c>
      <c r="B79" s="6">
        <f>IF(A79="","",'[1]基础资料'!$J$78&amp;IF('[1]基础资料'!$K$78="","","·"&amp;'[1]基础资料'!$K$78))</f>
      </c>
      <c r="C79" s="11">
        <f>IF(A79="",0,N('[1]基础资料'!$L$78))</f>
        <v>0</v>
      </c>
      <c r="D79" s="11">
        <f>IF(A79="",0,SUMIFS('[1]采购入库'!$V$4:$V$2003,'[1]采购入库'!$D$4:$D$2003,$A79))</f>
        <v>0</v>
      </c>
      <c r="E79" s="11">
        <f>IF(A79="",0,SUMIFS('[1]资金台帐'!$H$4:$H$3003,'[1]资金台帐'!$D$4:$D$3003,$A79,'[1]资金台帐'!$M$4:$M$3003,"往来"))</f>
        <v>0</v>
      </c>
      <c r="F79" s="11">
        <f>IF(A79="",0,N('[1]基础资料'!$M$78))</f>
        <v>0</v>
      </c>
      <c r="G79" s="11">
        <f>IF(OR(A79="",ISNUMBER(FIND("线上",B79))),0,SUMIFS('[1]销售出库'!$S$4:$S$2003,'[1]销售出库'!$B$4:$B$2003,$A79))</f>
        <v>0</v>
      </c>
      <c r="H79" s="11">
        <f>IF(A79="",0,SUMIFS('[1]资金台帐'!$G$4:$G$3003,'[1]资金台帐'!$D$4:$D$3003,$A79,'[1]资金台帐'!$M$4:$M$3003,"往来"))</f>
        <v>0</v>
      </c>
      <c r="I79" s="11">
        <f t="shared" si="0"/>
        <v>0</v>
      </c>
      <c r="J79" s="11">
        <f t="shared" si="1"/>
        <v>0</v>
      </c>
      <c r="K79" s="6">
        <f t="shared" si="2"/>
      </c>
    </row>
    <row r="80">
      <c r="A80" s="6">
        <f>IF('[1]基础资料'!$I$79="","",'[1]基础资料'!$I$79)</f>
      </c>
      <c r="B80" s="6">
        <f>IF(A80="","",'[1]基础资料'!$J$79&amp;IF('[1]基础资料'!$K$79="","","·"&amp;'[1]基础资料'!$K$79))</f>
      </c>
      <c r="C80" s="11">
        <f>IF(A80="",0,N('[1]基础资料'!$L$79))</f>
        <v>0</v>
      </c>
      <c r="D80" s="11">
        <f>IF(A80="",0,SUMIFS('[1]采购入库'!$V$4:$V$2003,'[1]采购入库'!$D$4:$D$2003,$A80))</f>
        <v>0</v>
      </c>
      <c r="E80" s="11">
        <f>IF(A80="",0,SUMIFS('[1]资金台帐'!$H$4:$H$3003,'[1]资金台帐'!$D$4:$D$3003,$A80,'[1]资金台帐'!$M$4:$M$3003,"往来"))</f>
        <v>0</v>
      </c>
      <c r="F80" s="11">
        <f>IF(A80="",0,N('[1]基础资料'!$M$79))</f>
        <v>0</v>
      </c>
      <c r="G80" s="11">
        <f>IF(OR(A80="",ISNUMBER(FIND("线上",B80))),0,SUMIFS('[1]销售出库'!$S$4:$S$2003,'[1]销售出库'!$B$4:$B$2003,$A80))</f>
        <v>0</v>
      </c>
      <c r="H80" s="11">
        <f>IF(A80="",0,SUMIFS('[1]资金台帐'!$G$4:$G$3003,'[1]资金台帐'!$D$4:$D$3003,$A80,'[1]资金台帐'!$M$4:$M$3003,"往来"))</f>
        <v>0</v>
      </c>
      <c r="I80" s="11">
        <f t="shared" si="0"/>
        <v>0</v>
      </c>
      <c r="J80" s="11">
        <f t="shared" si="1"/>
        <v>0</v>
      </c>
      <c r="K80" s="6">
        <f t="shared" si="2"/>
      </c>
    </row>
    <row r="81">
      <c r="A81" s="6">
        <f>IF('[1]基础资料'!$I$80="","",'[1]基础资料'!$I$80)</f>
      </c>
      <c r="B81" s="6">
        <f>IF(A81="","",'[1]基础资料'!$J$80&amp;IF('[1]基础资料'!$K$80="","","·"&amp;'[1]基础资料'!$K$80))</f>
      </c>
      <c r="C81" s="11">
        <f>IF(A81="",0,N('[1]基础资料'!$L$80))</f>
        <v>0</v>
      </c>
      <c r="D81" s="11">
        <f>IF(A81="",0,SUMIFS('[1]采购入库'!$V$4:$V$2003,'[1]采购入库'!$D$4:$D$2003,$A81))</f>
        <v>0</v>
      </c>
      <c r="E81" s="11">
        <f>IF(A81="",0,SUMIFS('[1]资金台帐'!$H$4:$H$3003,'[1]资金台帐'!$D$4:$D$3003,$A81,'[1]资金台帐'!$M$4:$M$3003,"往来"))</f>
        <v>0</v>
      </c>
      <c r="F81" s="11">
        <f>IF(A81="",0,N('[1]基础资料'!$M$80))</f>
        <v>0</v>
      </c>
      <c r="G81" s="11">
        <f>IF(OR(A81="",ISNUMBER(FIND("线上",B81))),0,SUMIFS('[1]销售出库'!$S$4:$S$2003,'[1]销售出库'!$B$4:$B$2003,$A81))</f>
        <v>0</v>
      </c>
      <c r="H81" s="11">
        <f>IF(A81="",0,SUMIFS('[1]资金台帐'!$G$4:$G$3003,'[1]资金台帐'!$D$4:$D$3003,$A81,'[1]资金台帐'!$M$4:$M$3003,"往来"))</f>
        <v>0</v>
      </c>
      <c r="I81" s="11">
        <f t="shared" si="0"/>
        <v>0</v>
      </c>
      <c r="J81" s="11">
        <f t="shared" si="1"/>
        <v>0</v>
      </c>
      <c r="K81" s="6">
        <f t="shared" si="2"/>
      </c>
    </row>
    <row r="82">
      <c r="A82" s="6">
        <f>IF('[1]基础资料'!$I$81="","",'[1]基础资料'!$I$81)</f>
      </c>
      <c r="B82" s="6">
        <f>IF(A82="","",'[1]基础资料'!$J$81&amp;IF('[1]基础资料'!$K$81="","","·"&amp;'[1]基础资料'!$K$81))</f>
      </c>
      <c r="C82" s="11">
        <f>IF(A82="",0,N('[1]基础资料'!$L$81))</f>
        <v>0</v>
      </c>
      <c r="D82" s="11">
        <f>IF(A82="",0,SUMIFS('[1]采购入库'!$V$4:$V$2003,'[1]采购入库'!$D$4:$D$2003,$A82))</f>
        <v>0</v>
      </c>
      <c r="E82" s="11">
        <f>IF(A82="",0,SUMIFS('[1]资金台帐'!$H$4:$H$3003,'[1]资金台帐'!$D$4:$D$3003,$A82,'[1]资金台帐'!$M$4:$M$3003,"往来"))</f>
        <v>0</v>
      </c>
      <c r="F82" s="11">
        <f>IF(A82="",0,N('[1]基础资料'!$M$81))</f>
        <v>0</v>
      </c>
      <c r="G82" s="11">
        <f>IF(OR(A82="",ISNUMBER(FIND("线上",B82))),0,SUMIFS('[1]销售出库'!$S$4:$S$2003,'[1]销售出库'!$B$4:$B$2003,$A82))</f>
        <v>0</v>
      </c>
      <c r="H82" s="11">
        <f>IF(A82="",0,SUMIFS('[1]资金台帐'!$G$4:$G$3003,'[1]资金台帐'!$D$4:$D$3003,$A82,'[1]资金台帐'!$M$4:$M$3003,"往来"))</f>
        <v>0</v>
      </c>
      <c r="I82" s="11">
        <f t="shared" si="0"/>
        <v>0</v>
      </c>
      <c r="J82" s="11">
        <f t="shared" si="1"/>
        <v>0</v>
      </c>
      <c r="K82" s="6">
        <f t="shared" si="2"/>
      </c>
    </row>
    <row r="83">
      <c r="A83" s="6">
        <f>IF('[1]基础资料'!$I$82="","",'[1]基础资料'!$I$82)</f>
      </c>
      <c r="B83" s="6">
        <f>IF(A83="","",'[1]基础资料'!$J$82&amp;IF('[1]基础资料'!$K$82="","","·"&amp;'[1]基础资料'!$K$82))</f>
      </c>
      <c r="C83" s="11">
        <f>IF(A83="",0,N('[1]基础资料'!$L$82))</f>
        <v>0</v>
      </c>
      <c r="D83" s="11">
        <f>IF(A83="",0,SUMIFS('[1]采购入库'!$V$4:$V$2003,'[1]采购入库'!$D$4:$D$2003,$A83))</f>
        <v>0</v>
      </c>
      <c r="E83" s="11">
        <f>IF(A83="",0,SUMIFS('[1]资金台帐'!$H$4:$H$3003,'[1]资金台帐'!$D$4:$D$3003,$A83,'[1]资金台帐'!$M$4:$M$3003,"往来"))</f>
        <v>0</v>
      </c>
      <c r="F83" s="11">
        <f>IF(A83="",0,N('[1]基础资料'!$M$82))</f>
        <v>0</v>
      </c>
      <c r="G83" s="11">
        <f>IF(OR(A83="",ISNUMBER(FIND("线上",B83))),0,SUMIFS('[1]销售出库'!$S$4:$S$2003,'[1]销售出库'!$B$4:$B$2003,$A83))</f>
        <v>0</v>
      </c>
      <c r="H83" s="11">
        <f>IF(A83="",0,SUMIFS('[1]资金台帐'!$G$4:$G$3003,'[1]资金台帐'!$D$4:$D$3003,$A83,'[1]资金台帐'!$M$4:$M$3003,"往来"))</f>
        <v>0</v>
      </c>
      <c r="I83" s="11">
        <f t="shared" si="0"/>
        <v>0</v>
      </c>
      <c r="J83" s="11">
        <f t="shared" si="1"/>
        <v>0</v>
      </c>
      <c r="K83" s="6">
        <f t="shared" si="2"/>
      </c>
    </row>
    <row r="84">
      <c r="A84" s="6">
        <f>IF('[1]基础资料'!$I$83="","",'[1]基础资料'!$I$83)</f>
      </c>
      <c r="B84" s="6">
        <f>IF(A84="","",'[1]基础资料'!$J$83&amp;IF('[1]基础资料'!$K$83="","","·"&amp;'[1]基础资料'!$K$83))</f>
      </c>
      <c r="C84" s="11">
        <f>IF(A84="",0,N('[1]基础资料'!$L$83))</f>
        <v>0</v>
      </c>
      <c r="D84" s="11">
        <f>IF(A84="",0,SUMIFS('[1]采购入库'!$V$4:$V$2003,'[1]采购入库'!$D$4:$D$2003,$A84))</f>
        <v>0</v>
      </c>
      <c r="E84" s="11">
        <f>IF(A84="",0,SUMIFS('[1]资金台帐'!$H$4:$H$3003,'[1]资金台帐'!$D$4:$D$3003,$A84,'[1]资金台帐'!$M$4:$M$3003,"往来"))</f>
        <v>0</v>
      </c>
      <c r="F84" s="11">
        <f>IF(A84="",0,N('[1]基础资料'!$M$83))</f>
        <v>0</v>
      </c>
      <c r="G84" s="11">
        <f>IF(OR(A84="",ISNUMBER(FIND("线上",B84))),0,SUMIFS('[1]销售出库'!$S$4:$S$2003,'[1]销售出库'!$B$4:$B$2003,$A84))</f>
        <v>0</v>
      </c>
      <c r="H84" s="11">
        <f>IF(A84="",0,SUMIFS('[1]资金台帐'!$G$4:$G$3003,'[1]资金台帐'!$D$4:$D$3003,$A84,'[1]资金台帐'!$M$4:$M$3003,"往来"))</f>
        <v>0</v>
      </c>
      <c r="I84" s="11">
        <f t="shared" si="0"/>
        <v>0</v>
      </c>
      <c r="J84" s="11">
        <f t="shared" si="1"/>
        <v>0</v>
      </c>
      <c r="K84" s="6">
        <f t="shared" si="2"/>
      </c>
    </row>
    <row r="85">
      <c r="A85" s="6">
        <f>IF('[1]基础资料'!$I$84="","",'[1]基础资料'!$I$84)</f>
      </c>
      <c r="B85" s="6">
        <f>IF(A85="","",'[1]基础资料'!$J$84&amp;IF('[1]基础资料'!$K$84="","","·"&amp;'[1]基础资料'!$K$84))</f>
      </c>
      <c r="C85" s="11">
        <f>IF(A85="",0,N('[1]基础资料'!$L$84))</f>
        <v>0</v>
      </c>
      <c r="D85" s="11">
        <f>IF(A85="",0,SUMIFS('[1]采购入库'!$V$4:$V$2003,'[1]采购入库'!$D$4:$D$2003,$A85))</f>
        <v>0</v>
      </c>
      <c r="E85" s="11">
        <f>IF(A85="",0,SUMIFS('[1]资金台帐'!$H$4:$H$3003,'[1]资金台帐'!$D$4:$D$3003,$A85,'[1]资金台帐'!$M$4:$M$3003,"往来"))</f>
        <v>0</v>
      </c>
      <c r="F85" s="11">
        <f>IF(A85="",0,N('[1]基础资料'!$M$84))</f>
        <v>0</v>
      </c>
      <c r="G85" s="11">
        <f>IF(OR(A85="",ISNUMBER(FIND("线上",B85))),0,SUMIFS('[1]销售出库'!$S$4:$S$2003,'[1]销售出库'!$B$4:$B$2003,$A85))</f>
        <v>0</v>
      </c>
      <c r="H85" s="11">
        <f>IF(A85="",0,SUMIFS('[1]资金台帐'!$G$4:$G$3003,'[1]资金台帐'!$D$4:$D$3003,$A85,'[1]资金台帐'!$M$4:$M$3003,"往来"))</f>
        <v>0</v>
      </c>
      <c r="I85" s="11">
        <f t="shared" si="0"/>
        <v>0</v>
      </c>
      <c r="J85" s="11">
        <f t="shared" si="1"/>
        <v>0</v>
      </c>
      <c r="K85" s="6">
        <f t="shared" si="2"/>
      </c>
    </row>
    <row r="86">
      <c r="A86" s="6">
        <f>IF('[1]基础资料'!$I$85="","",'[1]基础资料'!$I$85)</f>
      </c>
      <c r="B86" s="6">
        <f>IF(A86="","",'[1]基础资料'!$J$85&amp;IF('[1]基础资料'!$K$85="","","·"&amp;'[1]基础资料'!$K$85))</f>
      </c>
      <c r="C86" s="11">
        <f>IF(A86="",0,N('[1]基础资料'!$L$85))</f>
        <v>0</v>
      </c>
      <c r="D86" s="11">
        <f>IF(A86="",0,SUMIFS('[1]采购入库'!$V$4:$V$2003,'[1]采购入库'!$D$4:$D$2003,$A86))</f>
        <v>0</v>
      </c>
      <c r="E86" s="11">
        <f>IF(A86="",0,SUMIFS('[1]资金台帐'!$H$4:$H$3003,'[1]资金台帐'!$D$4:$D$3003,$A86,'[1]资金台帐'!$M$4:$M$3003,"往来"))</f>
        <v>0</v>
      </c>
      <c r="F86" s="11">
        <f>IF(A86="",0,N('[1]基础资料'!$M$85))</f>
        <v>0</v>
      </c>
      <c r="G86" s="11">
        <f>IF(OR(A86="",ISNUMBER(FIND("线上",B86))),0,SUMIFS('[1]销售出库'!$S$4:$S$2003,'[1]销售出库'!$B$4:$B$2003,$A86))</f>
        <v>0</v>
      </c>
      <c r="H86" s="11">
        <f>IF(A86="",0,SUMIFS('[1]资金台帐'!$G$4:$G$3003,'[1]资金台帐'!$D$4:$D$3003,$A86,'[1]资金台帐'!$M$4:$M$3003,"往来"))</f>
        <v>0</v>
      </c>
      <c r="I86" s="11">
        <f t="shared" si="0"/>
        <v>0</v>
      </c>
      <c r="J86" s="11">
        <f t="shared" si="1"/>
        <v>0</v>
      </c>
      <c r="K86" s="6">
        <f t="shared" si="2"/>
      </c>
    </row>
    <row r="87">
      <c r="A87" s="6">
        <f>IF('[1]基础资料'!$I$86="","",'[1]基础资料'!$I$86)</f>
      </c>
      <c r="B87" s="6">
        <f>IF(A87="","",'[1]基础资料'!$J$86&amp;IF('[1]基础资料'!$K$86="","","·"&amp;'[1]基础资料'!$K$86))</f>
      </c>
      <c r="C87" s="11">
        <f>IF(A87="",0,N('[1]基础资料'!$L$86))</f>
        <v>0</v>
      </c>
      <c r="D87" s="11">
        <f>IF(A87="",0,SUMIFS('[1]采购入库'!$V$4:$V$2003,'[1]采购入库'!$D$4:$D$2003,$A87))</f>
        <v>0</v>
      </c>
      <c r="E87" s="11">
        <f>IF(A87="",0,SUMIFS('[1]资金台帐'!$H$4:$H$3003,'[1]资金台帐'!$D$4:$D$3003,$A87,'[1]资金台帐'!$M$4:$M$3003,"往来"))</f>
        <v>0</v>
      </c>
      <c r="F87" s="11">
        <f>IF(A87="",0,N('[1]基础资料'!$M$86))</f>
        <v>0</v>
      </c>
      <c r="G87" s="11">
        <f>IF(OR(A87="",ISNUMBER(FIND("线上",B87))),0,SUMIFS('[1]销售出库'!$S$4:$S$2003,'[1]销售出库'!$B$4:$B$2003,$A87))</f>
        <v>0</v>
      </c>
      <c r="H87" s="11">
        <f>IF(A87="",0,SUMIFS('[1]资金台帐'!$G$4:$G$3003,'[1]资金台帐'!$D$4:$D$3003,$A87,'[1]资金台帐'!$M$4:$M$3003,"往来"))</f>
        <v>0</v>
      </c>
      <c r="I87" s="11">
        <f t="shared" si="0"/>
        <v>0</v>
      </c>
      <c r="J87" s="11">
        <f t="shared" si="1"/>
        <v>0</v>
      </c>
      <c r="K87" s="6">
        <f t="shared" si="2"/>
      </c>
    </row>
    <row r="88">
      <c r="A88" s="6">
        <f>IF('[1]基础资料'!$I$87="","",'[1]基础资料'!$I$87)</f>
      </c>
      <c r="B88" s="6">
        <f>IF(A88="","",'[1]基础资料'!$J$87&amp;IF('[1]基础资料'!$K$87="","","·"&amp;'[1]基础资料'!$K$87))</f>
      </c>
      <c r="C88" s="11">
        <f>IF(A88="",0,N('[1]基础资料'!$L$87))</f>
        <v>0</v>
      </c>
      <c r="D88" s="11">
        <f>IF(A88="",0,SUMIFS('[1]采购入库'!$V$4:$V$2003,'[1]采购入库'!$D$4:$D$2003,$A88))</f>
        <v>0</v>
      </c>
      <c r="E88" s="11">
        <f>IF(A88="",0,SUMIFS('[1]资金台帐'!$H$4:$H$3003,'[1]资金台帐'!$D$4:$D$3003,$A88,'[1]资金台帐'!$M$4:$M$3003,"往来"))</f>
        <v>0</v>
      </c>
      <c r="F88" s="11">
        <f>IF(A88="",0,N('[1]基础资料'!$M$87))</f>
        <v>0</v>
      </c>
      <c r="G88" s="11">
        <f>IF(OR(A88="",ISNUMBER(FIND("线上",B88))),0,SUMIFS('[1]销售出库'!$S$4:$S$2003,'[1]销售出库'!$B$4:$B$2003,$A88))</f>
        <v>0</v>
      </c>
      <c r="H88" s="11">
        <f>IF(A88="",0,SUMIFS('[1]资金台帐'!$G$4:$G$3003,'[1]资金台帐'!$D$4:$D$3003,$A88,'[1]资金台帐'!$M$4:$M$3003,"往来"))</f>
        <v>0</v>
      </c>
      <c r="I88" s="11">
        <f t="shared" si="0"/>
        <v>0</v>
      </c>
      <c r="J88" s="11">
        <f t="shared" si="1"/>
        <v>0</v>
      </c>
      <c r="K88" s="6">
        <f t="shared" si="2"/>
      </c>
    </row>
    <row r="89">
      <c r="A89" s="6">
        <f>IF('[1]基础资料'!$I$88="","",'[1]基础资料'!$I$88)</f>
      </c>
      <c r="B89" s="6">
        <f>IF(A89="","",'[1]基础资料'!$J$88&amp;IF('[1]基础资料'!$K$88="","","·"&amp;'[1]基础资料'!$K$88))</f>
      </c>
      <c r="C89" s="11">
        <f>IF(A89="",0,N('[1]基础资料'!$L$88))</f>
        <v>0</v>
      </c>
      <c r="D89" s="11">
        <f>IF(A89="",0,SUMIFS('[1]采购入库'!$V$4:$V$2003,'[1]采购入库'!$D$4:$D$2003,$A89))</f>
        <v>0</v>
      </c>
      <c r="E89" s="11">
        <f>IF(A89="",0,SUMIFS('[1]资金台帐'!$H$4:$H$3003,'[1]资金台帐'!$D$4:$D$3003,$A89,'[1]资金台帐'!$M$4:$M$3003,"往来"))</f>
        <v>0</v>
      </c>
      <c r="F89" s="11">
        <f>IF(A89="",0,N('[1]基础资料'!$M$88))</f>
        <v>0</v>
      </c>
      <c r="G89" s="11">
        <f>IF(OR(A89="",ISNUMBER(FIND("线上",B89))),0,SUMIFS('[1]销售出库'!$S$4:$S$2003,'[1]销售出库'!$B$4:$B$2003,$A89))</f>
        <v>0</v>
      </c>
      <c r="H89" s="11">
        <f>IF(A89="",0,SUMIFS('[1]资金台帐'!$G$4:$G$3003,'[1]资金台帐'!$D$4:$D$3003,$A89,'[1]资金台帐'!$M$4:$M$3003,"往来"))</f>
        <v>0</v>
      </c>
      <c r="I89" s="11">
        <f t="shared" si="0"/>
        <v>0</v>
      </c>
      <c r="J89" s="11">
        <f t="shared" si="1"/>
        <v>0</v>
      </c>
      <c r="K89" s="6">
        <f t="shared" si="2"/>
      </c>
    </row>
    <row r="90">
      <c r="A90" s="6">
        <f>IF('[1]基础资料'!$I$89="","",'[1]基础资料'!$I$89)</f>
      </c>
      <c r="B90" s="6">
        <f>IF(A90="","",'[1]基础资料'!$J$89&amp;IF('[1]基础资料'!$K$89="","","·"&amp;'[1]基础资料'!$K$89))</f>
      </c>
      <c r="C90" s="11">
        <f>IF(A90="",0,N('[1]基础资料'!$L$89))</f>
        <v>0</v>
      </c>
      <c r="D90" s="11">
        <f>IF(A90="",0,SUMIFS('[1]采购入库'!$V$4:$V$2003,'[1]采购入库'!$D$4:$D$2003,$A90))</f>
        <v>0</v>
      </c>
      <c r="E90" s="11">
        <f>IF(A90="",0,SUMIFS('[1]资金台帐'!$H$4:$H$3003,'[1]资金台帐'!$D$4:$D$3003,$A90,'[1]资金台帐'!$M$4:$M$3003,"往来"))</f>
        <v>0</v>
      </c>
      <c r="F90" s="11">
        <f>IF(A90="",0,N('[1]基础资料'!$M$89))</f>
        <v>0</v>
      </c>
      <c r="G90" s="11">
        <f>IF(OR(A90="",ISNUMBER(FIND("线上",B90))),0,SUMIFS('[1]销售出库'!$S$4:$S$2003,'[1]销售出库'!$B$4:$B$2003,$A90))</f>
        <v>0</v>
      </c>
      <c r="H90" s="11">
        <f>IF(A90="",0,SUMIFS('[1]资金台帐'!$G$4:$G$3003,'[1]资金台帐'!$D$4:$D$3003,$A90,'[1]资金台帐'!$M$4:$M$3003,"往来"))</f>
        <v>0</v>
      </c>
      <c r="I90" s="11">
        <f t="shared" si="0"/>
        <v>0</v>
      </c>
      <c r="J90" s="11">
        <f t="shared" si="1"/>
        <v>0</v>
      </c>
      <c r="K90" s="6">
        <f t="shared" si="2"/>
      </c>
    </row>
    <row r="91">
      <c r="A91" s="6">
        <f>IF('[1]基础资料'!$I$90="","",'[1]基础资料'!$I$90)</f>
      </c>
      <c r="B91" s="6">
        <f>IF(A91="","",'[1]基础资料'!$J$90&amp;IF('[1]基础资料'!$K$90="","","·"&amp;'[1]基础资料'!$K$90))</f>
      </c>
      <c r="C91" s="11">
        <f>IF(A91="",0,N('[1]基础资料'!$L$90))</f>
        <v>0</v>
      </c>
      <c r="D91" s="11">
        <f>IF(A91="",0,SUMIFS('[1]采购入库'!$V$4:$V$2003,'[1]采购入库'!$D$4:$D$2003,$A91))</f>
        <v>0</v>
      </c>
      <c r="E91" s="11">
        <f>IF(A91="",0,SUMIFS('[1]资金台帐'!$H$4:$H$3003,'[1]资金台帐'!$D$4:$D$3003,$A91,'[1]资金台帐'!$M$4:$M$3003,"往来"))</f>
        <v>0</v>
      </c>
      <c r="F91" s="11">
        <f>IF(A91="",0,N('[1]基础资料'!$M$90))</f>
        <v>0</v>
      </c>
      <c r="G91" s="11">
        <f>IF(OR(A91="",ISNUMBER(FIND("线上",B91))),0,SUMIFS('[1]销售出库'!$S$4:$S$2003,'[1]销售出库'!$B$4:$B$2003,$A91))</f>
        <v>0</v>
      </c>
      <c r="H91" s="11">
        <f>IF(A91="",0,SUMIFS('[1]资金台帐'!$G$4:$G$3003,'[1]资金台帐'!$D$4:$D$3003,$A91,'[1]资金台帐'!$M$4:$M$3003,"往来"))</f>
        <v>0</v>
      </c>
      <c r="I91" s="11">
        <f t="shared" si="0"/>
        <v>0</v>
      </c>
      <c r="J91" s="11">
        <f t="shared" si="1"/>
        <v>0</v>
      </c>
      <c r="K91" s="6">
        <f t="shared" si="2"/>
      </c>
    </row>
    <row r="92">
      <c r="A92" s="6">
        <f>IF('[1]基础资料'!$I$91="","",'[1]基础资料'!$I$91)</f>
      </c>
      <c r="B92" s="6">
        <f>IF(A92="","",'[1]基础资料'!$J$91&amp;IF('[1]基础资料'!$K$91="","","·"&amp;'[1]基础资料'!$K$91))</f>
      </c>
      <c r="C92" s="11">
        <f>IF(A92="",0,N('[1]基础资料'!$L$91))</f>
        <v>0</v>
      </c>
      <c r="D92" s="11">
        <f>IF(A92="",0,SUMIFS('[1]采购入库'!$V$4:$V$2003,'[1]采购入库'!$D$4:$D$2003,$A92))</f>
        <v>0</v>
      </c>
      <c r="E92" s="11">
        <f>IF(A92="",0,SUMIFS('[1]资金台帐'!$H$4:$H$3003,'[1]资金台帐'!$D$4:$D$3003,$A92,'[1]资金台帐'!$M$4:$M$3003,"往来"))</f>
        <v>0</v>
      </c>
      <c r="F92" s="11">
        <f>IF(A92="",0,N('[1]基础资料'!$M$91))</f>
        <v>0</v>
      </c>
      <c r="G92" s="11">
        <f>IF(OR(A92="",ISNUMBER(FIND("线上",B92))),0,SUMIFS('[1]销售出库'!$S$4:$S$2003,'[1]销售出库'!$B$4:$B$2003,$A92))</f>
        <v>0</v>
      </c>
      <c r="H92" s="11">
        <f>IF(A92="",0,SUMIFS('[1]资金台帐'!$G$4:$G$3003,'[1]资金台帐'!$D$4:$D$3003,$A92,'[1]资金台帐'!$M$4:$M$3003,"往来"))</f>
        <v>0</v>
      </c>
      <c r="I92" s="11">
        <f t="shared" si="0"/>
        <v>0</v>
      </c>
      <c r="J92" s="11">
        <f t="shared" si="1"/>
        <v>0</v>
      </c>
      <c r="K92" s="6">
        <f t="shared" si="2"/>
      </c>
    </row>
    <row r="93">
      <c r="A93" s="6">
        <f>IF('[1]基础资料'!$I$92="","",'[1]基础资料'!$I$92)</f>
      </c>
      <c r="B93" s="6">
        <f>IF(A93="","",'[1]基础资料'!$J$92&amp;IF('[1]基础资料'!$K$92="","","·"&amp;'[1]基础资料'!$K$92))</f>
      </c>
      <c r="C93" s="11">
        <f>IF(A93="",0,N('[1]基础资料'!$L$92))</f>
        <v>0</v>
      </c>
      <c r="D93" s="11">
        <f>IF(A93="",0,SUMIFS('[1]采购入库'!$V$4:$V$2003,'[1]采购入库'!$D$4:$D$2003,$A93))</f>
        <v>0</v>
      </c>
      <c r="E93" s="11">
        <f>IF(A93="",0,SUMIFS('[1]资金台帐'!$H$4:$H$3003,'[1]资金台帐'!$D$4:$D$3003,$A93,'[1]资金台帐'!$M$4:$M$3003,"往来"))</f>
        <v>0</v>
      </c>
      <c r="F93" s="11">
        <f>IF(A93="",0,N('[1]基础资料'!$M$92))</f>
        <v>0</v>
      </c>
      <c r="G93" s="11">
        <f>IF(OR(A93="",ISNUMBER(FIND("线上",B93))),0,SUMIFS('[1]销售出库'!$S$4:$S$2003,'[1]销售出库'!$B$4:$B$2003,$A93))</f>
        <v>0</v>
      </c>
      <c r="H93" s="11">
        <f>IF(A93="",0,SUMIFS('[1]资金台帐'!$G$4:$G$3003,'[1]资金台帐'!$D$4:$D$3003,$A93,'[1]资金台帐'!$M$4:$M$3003,"往来"))</f>
        <v>0</v>
      </c>
      <c r="I93" s="11">
        <f t="shared" si="0"/>
        <v>0</v>
      </c>
      <c r="J93" s="11">
        <f t="shared" si="1"/>
        <v>0</v>
      </c>
      <c r="K93" s="6">
        <f t="shared" si="2"/>
      </c>
    </row>
    <row r="94">
      <c r="A94" s="6">
        <f>IF('[1]基础资料'!$I$93="","",'[1]基础资料'!$I$93)</f>
      </c>
      <c r="B94" s="6">
        <f>IF(A94="","",'[1]基础资料'!$J$93&amp;IF('[1]基础资料'!$K$93="","","·"&amp;'[1]基础资料'!$K$93))</f>
      </c>
      <c r="C94" s="11">
        <f>IF(A94="",0,N('[1]基础资料'!$L$93))</f>
        <v>0</v>
      </c>
      <c r="D94" s="11">
        <f>IF(A94="",0,SUMIFS('[1]采购入库'!$V$4:$V$2003,'[1]采购入库'!$D$4:$D$2003,$A94))</f>
        <v>0</v>
      </c>
      <c r="E94" s="11">
        <f>IF(A94="",0,SUMIFS('[1]资金台帐'!$H$4:$H$3003,'[1]资金台帐'!$D$4:$D$3003,$A94,'[1]资金台帐'!$M$4:$M$3003,"往来"))</f>
        <v>0</v>
      </c>
      <c r="F94" s="11">
        <f>IF(A94="",0,N('[1]基础资料'!$M$93))</f>
        <v>0</v>
      </c>
      <c r="G94" s="11">
        <f>IF(OR(A94="",ISNUMBER(FIND("线上",B94))),0,SUMIFS('[1]销售出库'!$S$4:$S$2003,'[1]销售出库'!$B$4:$B$2003,$A94))</f>
        <v>0</v>
      </c>
      <c r="H94" s="11">
        <f>IF(A94="",0,SUMIFS('[1]资金台帐'!$G$4:$G$3003,'[1]资金台帐'!$D$4:$D$3003,$A94,'[1]资金台帐'!$M$4:$M$3003,"往来"))</f>
        <v>0</v>
      </c>
      <c r="I94" s="11">
        <f t="shared" si="0"/>
        <v>0</v>
      </c>
      <c r="J94" s="11">
        <f t="shared" si="1"/>
        <v>0</v>
      </c>
      <c r="K94" s="6">
        <f t="shared" si="2"/>
      </c>
    </row>
    <row r="95">
      <c r="A95" s="6">
        <f>IF('[1]基础资料'!$I$94="","",'[1]基础资料'!$I$94)</f>
      </c>
      <c r="B95" s="6">
        <f>IF(A95="","",'[1]基础资料'!$J$94&amp;IF('[1]基础资料'!$K$94="","","·"&amp;'[1]基础资料'!$K$94))</f>
      </c>
      <c r="C95" s="11">
        <f>IF(A95="",0,N('[1]基础资料'!$L$94))</f>
        <v>0</v>
      </c>
      <c r="D95" s="11">
        <f>IF(A95="",0,SUMIFS('[1]采购入库'!$V$4:$V$2003,'[1]采购入库'!$D$4:$D$2003,$A95))</f>
        <v>0</v>
      </c>
      <c r="E95" s="11">
        <f>IF(A95="",0,SUMIFS('[1]资金台帐'!$H$4:$H$3003,'[1]资金台帐'!$D$4:$D$3003,$A95,'[1]资金台帐'!$M$4:$M$3003,"往来"))</f>
        <v>0</v>
      </c>
      <c r="F95" s="11">
        <f>IF(A95="",0,N('[1]基础资料'!$M$94))</f>
        <v>0</v>
      </c>
      <c r="G95" s="11">
        <f>IF(OR(A95="",ISNUMBER(FIND("线上",B95))),0,SUMIFS('[1]销售出库'!$S$4:$S$2003,'[1]销售出库'!$B$4:$B$2003,$A95))</f>
        <v>0</v>
      </c>
      <c r="H95" s="11">
        <f>IF(A95="",0,SUMIFS('[1]资金台帐'!$G$4:$G$3003,'[1]资金台帐'!$D$4:$D$3003,$A95,'[1]资金台帐'!$M$4:$M$3003,"往来"))</f>
        <v>0</v>
      </c>
      <c r="I95" s="11">
        <f t="shared" si="0"/>
        <v>0</v>
      </c>
      <c r="J95" s="11">
        <f t="shared" si="1"/>
        <v>0</v>
      </c>
      <c r="K95" s="6">
        <f t="shared" si="2"/>
      </c>
    </row>
    <row r="96">
      <c r="A96" s="6">
        <f>IF('[1]基础资料'!$I$95="","",'[1]基础资料'!$I$95)</f>
      </c>
      <c r="B96" s="6">
        <f>IF(A96="","",'[1]基础资料'!$J$95&amp;IF('[1]基础资料'!$K$95="","","·"&amp;'[1]基础资料'!$K$95))</f>
      </c>
      <c r="C96" s="11">
        <f>IF(A96="",0,N('[1]基础资料'!$L$95))</f>
        <v>0</v>
      </c>
      <c r="D96" s="11">
        <f>IF(A96="",0,SUMIFS('[1]采购入库'!$V$4:$V$2003,'[1]采购入库'!$D$4:$D$2003,$A96))</f>
        <v>0</v>
      </c>
      <c r="E96" s="11">
        <f>IF(A96="",0,SUMIFS('[1]资金台帐'!$H$4:$H$3003,'[1]资金台帐'!$D$4:$D$3003,$A96,'[1]资金台帐'!$M$4:$M$3003,"往来"))</f>
        <v>0</v>
      </c>
      <c r="F96" s="11">
        <f>IF(A96="",0,N('[1]基础资料'!$M$95))</f>
        <v>0</v>
      </c>
      <c r="G96" s="11">
        <f>IF(OR(A96="",ISNUMBER(FIND("线上",B96))),0,SUMIFS('[1]销售出库'!$S$4:$S$2003,'[1]销售出库'!$B$4:$B$2003,$A96))</f>
        <v>0</v>
      </c>
      <c r="H96" s="11">
        <f>IF(A96="",0,SUMIFS('[1]资金台帐'!$G$4:$G$3003,'[1]资金台帐'!$D$4:$D$3003,$A96,'[1]资金台帐'!$M$4:$M$3003,"往来"))</f>
        <v>0</v>
      </c>
      <c r="I96" s="11">
        <f t="shared" si="0"/>
        <v>0</v>
      </c>
      <c r="J96" s="11">
        <f t="shared" si="1"/>
        <v>0</v>
      </c>
      <c r="K96" s="6">
        <f t="shared" si="2"/>
      </c>
    </row>
    <row r="97">
      <c r="A97" s="6">
        <f>IF('[1]基础资料'!$I$96="","",'[1]基础资料'!$I$96)</f>
      </c>
      <c r="B97" s="6">
        <f>IF(A97="","",'[1]基础资料'!$J$96&amp;IF('[1]基础资料'!$K$96="","","·"&amp;'[1]基础资料'!$K$96))</f>
      </c>
      <c r="C97" s="11">
        <f>IF(A97="",0,N('[1]基础资料'!$L$96))</f>
        <v>0</v>
      </c>
      <c r="D97" s="11">
        <f>IF(A97="",0,SUMIFS('[1]采购入库'!$V$4:$V$2003,'[1]采购入库'!$D$4:$D$2003,$A97))</f>
        <v>0</v>
      </c>
      <c r="E97" s="11">
        <f>IF(A97="",0,SUMIFS('[1]资金台帐'!$H$4:$H$3003,'[1]资金台帐'!$D$4:$D$3003,$A97,'[1]资金台帐'!$M$4:$M$3003,"往来"))</f>
        <v>0</v>
      </c>
      <c r="F97" s="11">
        <f>IF(A97="",0,N('[1]基础资料'!$M$96))</f>
        <v>0</v>
      </c>
      <c r="G97" s="11">
        <f>IF(OR(A97="",ISNUMBER(FIND("线上",B97))),0,SUMIFS('[1]销售出库'!$S$4:$S$2003,'[1]销售出库'!$B$4:$B$2003,$A97))</f>
        <v>0</v>
      </c>
      <c r="H97" s="11">
        <f>IF(A97="",0,SUMIFS('[1]资金台帐'!$G$4:$G$3003,'[1]资金台帐'!$D$4:$D$3003,$A97,'[1]资金台帐'!$M$4:$M$3003,"往来"))</f>
        <v>0</v>
      </c>
      <c r="I97" s="11">
        <f t="shared" si="0"/>
        <v>0</v>
      </c>
      <c r="J97" s="11">
        <f t="shared" si="1"/>
        <v>0</v>
      </c>
      <c r="K97" s="6">
        <f t="shared" si="2"/>
      </c>
    </row>
    <row r="98">
      <c r="A98" s="6">
        <f>IF('[1]基础资料'!$I$97="","",'[1]基础资料'!$I$97)</f>
      </c>
      <c r="B98" s="6">
        <f>IF(A98="","",'[1]基础资料'!$J$97&amp;IF('[1]基础资料'!$K$97="","","·"&amp;'[1]基础资料'!$K$97))</f>
      </c>
      <c r="C98" s="11">
        <f>IF(A98="",0,N('[1]基础资料'!$L$97))</f>
        <v>0</v>
      </c>
      <c r="D98" s="11">
        <f>IF(A98="",0,SUMIFS('[1]采购入库'!$V$4:$V$2003,'[1]采购入库'!$D$4:$D$2003,$A98))</f>
        <v>0</v>
      </c>
      <c r="E98" s="11">
        <f>IF(A98="",0,SUMIFS('[1]资金台帐'!$H$4:$H$3003,'[1]资金台帐'!$D$4:$D$3003,$A98,'[1]资金台帐'!$M$4:$M$3003,"往来"))</f>
        <v>0</v>
      </c>
      <c r="F98" s="11">
        <f>IF(A98="",0,N('[1]基础资料'!$M$97))</f>
        <v>0</v>
      </c>
      <c r="G98" s="11">
        <f>IF(OR(A98="",ISNUMBER(FIND("线上",B98))),0,SUMIFS('[1]销售出库'!$S$4:$S$2003,'[1]销售出库'!$B$4:$B$2003,$A98))</f>
        <v>0</v>
      </c>
      <c r="H98" s="11">
        <f>IF(A98="",0,SUMIFS('[1]资金台帐'!$G$4:$G$3003,'[1]资金台帐'!$D$4:$D$3003,$A98,'[1]资金台帐'!$M$4:$M$3003,"往来"))</f>
        <v>0</v>
      </c>
      <c r="I98" s="11">
        <f t="shared" si="0"/>
        <v>0</v>
      </c>
      <c r="J98" s="11">
        <f t="shared" si="1"/>
        <v>0</v>
      </c>
      <c r="K98" s="6">
        <f t="shared" si="2"/>
      </c>
    </row>
    <row r="99">
      <c r="A99" s="6">
        <f>IF('[1]基础资料'!$I$98="","",'[1]基础资料'!$I$98)</f>
      </c>
      <c r="B99" s="6">
        <f>IF(A99="","",'[1]基础资料'!$J$98&amp;IF('[1]基础资料'!$K$98="","","·"&amp;'[1]基础资料'!$K$98))</f>
      </c>
      <c r="C99" s="11">
        <f>IF(A99="",0,N('[1]基础资料'!$L$98))</f>
        <v>0</v>
      </c>
      <c r="D99" s="11">
        <f>IF(A99="",0,SUMIFS('[1]采购入库'!$V$4:$V$2003,'[1]采购入库'!$D$4:$D$2003,$A99))</f>
        <v>0</v>
      </c>
      <c r="E99" s="11">
        <f>IF(A99="",0,SUMIFS('[1]资金台帐'!$H$4:$H$3003,'[1]资金台帐'!$D$4:$D$3003,$A99,'[1]资金台帐'!$M$4:$M$3003,"往来"))</f>
        <v>0</v>
      </c>
      <c r="F99" s="11">
        <f>IF(A99="",0,N('[1]基础资料'!$M$98))</f>
        <v>0</v>
      </c>
      <c r="G99" s="11">
        <f>IF(OR(A99="",ISNUMBER(FIND("线上",B99))),0,SUMIFS('[1]销售出库'!$S$4:$S$2003,'[1]销售出库'!$B$4:$B$2003,$A99))</f>
        <v>0</v>
      </c>
      <c r="H99" s="11">
        <f>IF(A99="",0,SUMIFS('[1]资金台帐'!$G$4:$G$3003,'[1]资金台帐'!$D$4:$D$3003,$A99,'[1]资金台帐'!$M$4:$M$3003,"往来"))</f>
        <v>0</v>
      </c>
      <c r="I99" s="11">
        <f t="shared" si="0"/>
        <v>0</v>
      </c>
      <c r="J99" s="11">
        <f t="shared" si="1"/>
        <v>0</v>
      </c>
      <c r="K99" s="6">
        <f t="shared" si="2"/>
      </c>
    </row>
    <row r="100">
      <c r="A100" s="6">
        <f>IF('[1]基础资料'!$I$99="","",'[1]基础资料'!$I$99)</f>
      </c>
      <c r="B100" s="6">
        <f>IF(A100="","",'[1]基础资料'!$J$99&amp;IF('[1]基础资料'!$K$99="","","·"&amp;'[1]基础资料'!$K$99))</f>
      </c>
      <c r="C100" s="11">
        <f>IF(A100="",0,N('[1]基础资料'!$L$99))</f>
        <v>0</v>
      </c>
      <c r="D100" s="11">
        <f>IF(A100="",0,SUMIFS('[1]采购入库'!$V$4:$V$2003,'[1]采购入库'!$D$4:$D$2003,$A100))</f>
        <v>0</v>
      </c>
      <c r="E100" s="11">
        <f>IF(A100="",0,SUMIFS('[1]资金台帐'!$H$4:$H$3003,'[1]资金台帐'!$D$4:$D$3003,$A100,'[1]资金台帐'!$M$4:$M$3003,"往来"))</f>
        <v>0</v>
      </c>
      <c r="F100" s="11">
        <f>IF(A100="",0,N('[1]基础资料'!$M$99))</f>
        <v>0</v>
      </c>
      <c r="G100" s="11">
        <f>IF(OR(A100="",ISNUMBER(FIND("线上",B100))),0,SUMIFS('[1]销售出库'!$S$4:$S$2003,'[1]销售出库'!$B$4:$B$2003,$A100))</f>
        <v>0</v>
      </c>
      <c r="H100" s="11">
        <f>IF(A100="",0,SUMIFS('[1]资金台帐'!$G$4:$G$3003,'[1]资金台帐'!$D$4:$D$3003,$A100,'[1]资金台帐'!$M$4:$M$3003,"往来"))</f>
        <v>0</v>
      </c>
      <c r="I100" s="11">
        <f t="shared" si="0"/>
        <v>0</v>
      </c>
      <c r="J100" s="11">
        <f t="shared" si="1"/>
        <v>0</v>
      </c>
      <c r="K100" s="6">
        <f t="shared" si="2"/>
      </c>
    </row>
    <row r="101">
      <c r="A101" s="6">
        <f>IF('[1]基础资料'!$I$100="","",'[1]基础资料'!$I$100)</f>
      </c>
      <c r="B101" s="6">
        <f>IF(A101="","",'[1]基础资料'!$J$100&amp;IF('[1]基础资料'!$K$100="","","·"&amp;'[1]基础资料'!$K$100))</f>
      </c>
      <c r="C101" s="11">
        <f>IF(A101="",0,N('[1]基础资料'!$L$100))</f>
        <v>0</v>
      </c>
      <c r="D101" s="11">
        <f>IF(A101="",0,SUMIFS('[1]采购入库'!$V$4:$V$2003,'[1]采购入库'!$D$4:$D$2003,$A101))</f>
        <v>0</v>
      </c>
      <c r="E101" s="11">
        <f>IF(A101="",0,SUMIFS('[1]资金台帐'!$H$4:$H$3003,'[1]资金台帐'!$D$4:$D$3003,$A101,'[1]资金台帐'!$M$4:$M$3003,"往来"))</f>
        <v>0</v>
      </c>
      <c r="F101" s="11">
        <f>IF(A101="",0,N('[1]基础资料'!$M$100))</f>
        <v>0</v>
      </c>
      <c r="G101" s="11">
        <f>IF(OR(A101="",ISNUMBER(FIND("线上",B101))),0,SUMIFS('[1]销售出库'!$S$4:$S$2003,'[1]销售出库'!$B$4:$B$2003,$A101))</f>
        <v>0</v>
      </c>
      <c r="H101" s="11">
        <f>IF(A101="",0,SUMIFS('[1]资金台帐'!$G$4:$G$3003,'[1]资金台帐'!$D$4:$D$3003,$A101,'[1]资金台帐'!$M$4:$M$3003,"往来"))</f>
        <v>0</v>
      </c>
      <c r="I101" s="11">
        <f t="shared" si="0"/>
        <v>0</v>
      </c>
      <c r="J101" s="11">
        <f t="shared" si="1"/>
        <v>0</v>
      </c>
      <c r="K101" s="6">
        <f t="shared" si="2"/>
      </c>
    </row>
    <row r="102">
      <c r="A102" s="6">
        <f>IF('[1]基础资料'!$I$101="","",'[1]基础资料'!$I$101)</f>
      </c>
      <c r="B102" s="6">
        <f>IF(A102="","",'[1]基础资料'!$J$101&amp;IF('[1]基础资料'!$K$101="","","·"&amp;'[1]基础资料'!$K$101))</f>
      </c>
      <c r="C102" s="11">
        <f>IF(A102="",0,N('[1]基础资料'!$L$101))</f>
        <v>0</v>
      </c>
      <c r="D102" s="11">
        <f>IF(A102="",0,SUMIFS('[1]采购入库'!$V$4:$V$2003,'[1]采购入库'!$D$4:$D$2003,$A102))</f>
        <v>0</v>
      </c>
      <c r="E102" s="11">
        <f>IF(A102="",0,SUMIFS('[1]资金台帐'!$H$4:$H$3003,'[1]资金台帐'!$D$4:$D$3003,$A102,'[1]资金台帐'!$M$4:$M$3003,"往来"))</f>
        <v>0</v>
      </c>
      <c r="F102" s="11">
        <f>IF(A102="",0,N('[1]基础资料'!$M$101))</f>
        <v>0</v>
      </c>
      <c r="G102" s="11">
        <f>IF(OR(A102="",ISNUMBER(FIND("线上",B102))),0,SUMIFS('[1]销售出库'!$S$4:$S$2003,'[1]销售出库'!$B$4:$B$2003,$A102))</f>
        <v>0</v>
      </c>
      <c r="H102" s="11">
        <f>IF(A102="",0,SUMIFS('[1]资金台帐'!$G$4:$G$3003,'[1]资金台帐'!$D$4:$D$3003,$A102,'[1]资金台帐'!$M$4:$M$3003,"往来"))</f>
        <v>0</v>
      </c>
      <c r="I102" s="11">
        <f t="shared" si="0"/>
        <v>0</v>
      </c>
      <c r="J102" s="11">
        <f t="shared" si="1"/>
        <v>0</v>
      </c>
      <c r="K102" s="6">
        <f t="shared" si="2"/>
      </c>
    </row>
    <row r="103">
      <c r="A103" s="6">
        <f>IF('[1]基础资料'!$I$102="","",'[1]基础资料'!$I$102)</f>
      </c>
      <c r="B103" s="6">
        <f>IF(A103="","",'[1]基础资料'!$J$102&amp;IF('[1]基础资料'!$K$102="","","·"&amp;'[1]基础资料'!$K$102))</f>
      </c>
      <c r="C103" s="11">
        <f>IF(A103="",0,N('[1]基础资料'!$L$102))</f>
        <v>0</v>
      </c>
      <c r="D103" s="11">
        <f>IF(A103="",0,SUMIFS('[1]采购入库'!$V$4:$V$2003,'[1]采购入库'!$D$4:$D$2003,$A103))</f>
        <v>0</v>
      </c>
      <c r="E103" s="11">
        <f>IF(A103="",0,SUMIFS('[1]资金台帐'!$H$4:$H$3003,'[1]资金台帐'!$D$4:$D$3003,$A103,'[1]资金台帐'!$M$4:$M$3003,"往来"))</f>
        <v>0</v>
      </c>
      <c r="F103" s="11">
        <f>IF(A103="",0,N('[1]基础资料'!$M$102))</f>
        <v>0</v>
      </c>
      <c r="G103" s="11">
        <f>IF(OR(A103="",ISNUMBER(FIND("线上",B103))),0,SUMIFS('[1]销售出库'!$S$4:$S$2003,'[1]销售出库'!$B$4:$B$2003,$A103))</f>
        <v>0</v>
      </c>
      <c r="H103" s="11">
        <f>IF(A103="",0,SUMIFS('[1]资金台帐'!$G$4:$G$3003,'[1]资金台帐'!$D$4:$D$3003,$A103,'[1]资金台帐'!$M$4:$M$3003,"往来"))</f>
        <v>0</v>
      </c>
      <c r="I103" s="11">
        <f t="shared" si="0"/>
        <v>0</v>
      </c>
      <c r="J103" s="11">
        <f t="shared" si="1"/>
        <v>0</v>
      </c>
      <c r="K103" s="6">
        <f t="shared" si="2"/>
      </c>
    </row>
    <row r="104">
      <c r="A104" s="6">
        <f>IF('[1]基础资料'!$I$103="","",'[1]基础资料'!$I$103)</f>
      </c>
      <c r="B104" s="6">
        <f>IF(A104="","",'[1]基础资料'!$J$103&amp;IF('[1]基础资料'!$K$103="","","·"&amp;'[1]基础资料'!$K$103))</f>
      </c>
      <c r="C104" s="11">
        <f>IF(A104="",0,N('[1]基础资料'!$L$103))</f>
        <v>0</v>
      </c>
      <c r="D104" s="11">
        <f>IF(A104="",0,SUMIFS('[1]采购入库'!$V$4:$V$2003,'[1]采购入库'!$D$4:$D$2003,$A104))</f>
        <v>0</v>
      </c>
      <c r="E104" s="11">
        <f>IF(A104="",0,SUMIFS('[1]资金台帐'!$H$4:$H$3003,'[1]资金台帐'!$D$4:$D$3003,$A104,'[1]资金台帐'!$M$4:$M$3003,"往来"))</f>
        <v>0</v>
      </c>
      <c r="F104" s="11">
        <f>IF(A104="",0,N('[1]基础资料'!$M$103))</f>
        <v>0</v>
      </c>
      <c r="G104" s="11">
        <f>IF(OR(A104="",ISNUMBER(FIND("线上",B104))),0,SUMIFS('[1]销售出库'!$S$4:$S$2003,'[1]销售出库'!$B$4:$B$2003,$A104))</f>
        <v>0</v>
      </c>
      <c r="H104" s="11">
        <f>IF(A104="",0,SUMIFS('[1]资金台帐'!$G$4:$G$3003,'[1]资金台帐'!$D$4:$D$3003,$A104,'[1]资金台帐'!$M$4:$M$3003,"往来"))</f>
        <v>0</v>
      </c>
      <c r="I104" s="11">
        <f t="shared" si="0"/>
        <v>0</v>
      </c>
      <c r="J104" s="11">
        <f t="shared" si="1"/>
        <v>0</v>
      </c>
      <c r="K104" s="6">
        <f t="shared" si="2"/>
      </c>
    </row>
    <row r="105">
      <c r="A105" s="6">
        <f>IF('[1]基础资料'!$I$104="","",'[1]基础资料'!$I$104)</f>
      </c>
      <c r="B105" s="6">
        <f>IF(A105="","",'[1]基础资料'!$J$104&amp;IF('[1]基础资料'!$K$104="","","·"&amp;'[1]基础资料'!$K$104))</f>
      </c>
      <c r="C105" s="11">
        <f>IF(A105="",0,N('[1]基础资料'!$L$104))</f>
        <v>0</v>
      </c>
      <c r="D105" s="11">
        <f>IF(A105="",0,SUMIFS('[1]采购入库'!$V$4:$V$2003,'[1]采购入库'!$D$4:$D$2003,$A105))</f>
        <v>0</v>
      </c>
      <c r="E105" s="11">
        <f>IF(A105="",0,SUMIFS('[1]资金台帐'!$H$4:$H$3003,'[1]资金台帐'!$D$4:$D$3003,$A105,'[1]资金台帐'!$M$4:$M$3003,"往来"))</f>
        <v>0</v>
      </c>
      <c r="F105" s="11">
        <f>IF(A105="",0,N('[1]基础资料'!$M$104))</f>
        <v>0</v>
      </c>
      <c r="G105" s="11">
        <f>IF(OR(A105="",ISNUMBER(FIND("线上",B105))),0,SUMIFS('[1]销售出库'!$S$4:$S$2003,'[1]销售出库'!$B$4:$B$2003,$A105))</f>
        <v>0</v>
      </c>
      <c r="H105" s="11">
        <f>IF(A105="",0,SUMIFS('[1]资金台帐'!$G$4:$G$3003,'[1]资金台帐'!$D$4:$D$3003,$A105,'[1]资金台帐'!$M$4:$M$3003,"往来"))</f>
        <v>0</v>
      </c>
      <c r="I105" s="11">
        <f t="shared" si="0"/>
        <v>0</v>
      </c>
      <c r="J105" s="11">
        <f t="shared" si="1"/>
        <v>0</v>
      </c>
      <c r="K105" s="6">
        <f t="shared" si="2"/>
      </c>
    </row>
    <row r="106">
      <c r="A106" s="6">
        <f>IF('[1]基础资料'!$I$105="","",'[1]基础资料'!$I$105)</f>
      </c>
      <c r="B106" s="6">
        <f>IF(A106="","",'[1]基础资料'!$J$105&amp;IF('[1]基础资料'!$K$105="","","·"&amp;'[1]基础资料'!$K$105))</f>
      </c>
      <c r="C106" s="11">
        <f>IF(A106="",0,N('[1]基础资料'!$L$105))</f>
        <v>0</v>
      </c>
      <c r="D106" s="11">
        <f>IF(A106="",0,SUMIFS('[1]采购入库'!$V$4:$V$2003,'[1]采购入库'!$D$4:$D$2003,$A106))</f>
        <v>0</v>
      </c>
      <c r="E106" s="11">
        <f>IF(A106="",0,SUMIFS('[1]资金台帐'!$H$4:$H$3003,'[1]资金台帐'!$D$4:$D$3003,$A106,'[1]资金台帐'!$M$4:$M$3003,"往来"))</f>
        <v>0</v>
      </c>
      <c r="F106" s="11">
        <f>IF(A106="",0,N('[1]基础资料'!$M$105))</f>
        <v>0</v>
      </c>
      <c r="G106" s="11">
        <f>IF(OR(A106="",ISNUMBER(FIND("线上",B106))),0,SUMIFS('[1]销售出库'!$S$4:$S$2003,'[1]销售出库'!$B$4:$B$2003,$A106))</f>
        <v>0</v>
      </c>
      <c r="H106" s="11">
        <f>IF(A106="",0,SUMIFS('[1]资金台帐'!$G$4:$G$3003,'[1]资金台帐'!$D$4:$D$3003,$A106,'[1]资金台帐'!$M$4:$M$3003,"往来"))</f>
        <v>0</v>
      </c>
      <c r="I106" s="11">
        <f t="shared" si="0"/>
        <v>0</v>
      </c>
      <c r="J106" s="11">
        <f t="shared" si="1"/>
        <v>0</v>
      </c>
      <c r="K106" s="6">
        <f t="shared" si="2"/>
      </c>
    </row>
    <row r="107">
      <c r="A107" s="6">
        <f>IF('[1]基础资料'!$I$106="","",'[1]基础资料'!$I$106)</f>
      </c>
      <c r="B107" s="6">
        <f>IF(A107="","",'[1]基础资料'!$J$106&amp;IF('[1]基础资料'!$K$106="","","·"&amp;'[1]基础资料'!$K$106))</f>
      </c>
      <c r="C107" s="11">
        <f>IF(A107="",0,N('[1]基础资料'!$L$106))</f>
        <v>0</v>
      </c>
      <c r="D107" s="11">
        <f>IF(A107="",0,SUMIFS('[1]采购入库'!$V$4:$V$2003,'[1]采购入库'!$D$4:$D$2003,$A107))</f>
        <v>0</v>
      </c>
      <c r="E107" s="11">
        <f>IF(A107="",0,SUMIFS('[1]资金台帐'!$H$4:$H$3003,'[1]资金台帐'!$D$4:$D$3003,$A107,'[1]资金台帐'!$M$4:$M$3003,"往来"))</f>
        <v>0</v>
      </c>
      <c r="F107" s="11">
        <f>IF(A107="",0,N('[1]基础资料'!$M$106))</f>
        <v>0</v>
      </c>
      <c r="G107" s="11">
        <f>IF(OR(A107="",ISNUMBER(FIND("线上",B107))),0,SUMIFS('[1]销售出库'!$S$4:$S$2003,'[1]销售出库'!$B$4:$B$2003,$A107))</f>
        <v>0</v>
      </c>
      <c r="H107" s="11">
        <f>IF(A107="",0,SUMIFS('[1]资金台帐'!$G$4:$G$3003,'[1]资金台帐'!$D$4:$D$3003,$A107,'[1]资金台帐'!$M$4:$M$3003,"往来"))</f>
        <v>0</v>
      </c>
      <c r="I107" s="11">
        <f t="shared" si="0"/>
        <v>0</v>
      </c>
      <c r="J107" s="11">
        <f t="shared" si="1"/>
        <v>0</v>
      </c>
      <c r="K107" s="6">
        <f t="shared" si="2"/>
      </c>
    </row>
    <row r="108">
      <c r="A108" s="6">
        <f>IF('[1]基础资料'!$I$107="","",'[1]基础资料'!$I$107)</f>
      </c>
      <c r="B108" s="6">
        <f>IF(A108="","",'[1]基础资料'!$J$107&amp;IF('[1]基础资料'!$K$107="","","·"&amp;'[1]基础资料'!$K$107))</f>
      </c>
      <c r="C108" s="11">
        <f>IF(A108="",0,N('[1]基础资料'!$L$107))</f>
        <v>0</v>
      </c>
      <c r="D108" s="11">
        <f>IF(A108="",0,SUMIFS('[1]采购入库'!$V$4:$V$2003,'[1]采购入库'!$D$4:$D$2003,$A108))</f>
        <v>0</v>
      </c>
      <c r="E108" s="11">
        <f>IF(A108="",0,SUMIFS('[1]资金台帐'!$H$4:$H$3003,'[1]资金台帐'!$D$4:$D$3003,$A108,'[1]资金台帐'!$M$4:$M$3003,"往来"))</f>
        <v>0</v>
      </c>
      <c r="F108" s="11">
        <f>IF(A108="",0,N('[1]基础资料'!$M$107))</f>
        <v>0</v>
      </c>
      <c r="G108" s="11">
        <f>IF(OR(A108="",ISNUMBER(FIND("线上",B108))),0,SUMIFS('[1]销售出库'!$S$4:$S$2003,'[1]销售出库'!$B$4:$B$2003,$A108))</f>
        <v>0</v>
      </c>
      <c r="H108" s="11">
        <f>IF(A108="",0,SUMIFS('[1]资金台帐'!$G$4:$G$3003,'[1]资金台帐'!$D$4:$D$3003,$A108,'[1]资金台帐'!$M$4:$M$3003,"往来"))</f>
        <v>0</v>
      </c>
      <c r="I108" s="11">
        <f t="shared" si="0"/>
        <v>0</v>
      </c>
      <c r="J108" s="11">
        <f t="shared" si="1"/>
        <v>0</v>
      </c>
      <c r="K108" s="6">
        <f t="shared" si="2"/>
      </c>
    </row>
    <row r="109">
      <c r="A109" s="6">
        <f>IF('[1]基础资料'!$I$108="","",'[1]基础资料'!$I$108)</f>
      </c>
      <c r="B109" s="6">
        <f>IF(A109="","",'[1]基础资料'!$J$108&amp;IF('[1]基础资料'!$K$108="","","·"&amp;'[1]基础资料'!$K$108))</f>
      </c>
      <c r="C109" s="11">
        <f>IF(A109="",0,N('[1]基础资料'!$L$108))</f>
        <v>0</v>
      </c>
      <c r="D109" s="11">
        <f>IF(A109="",0,SUMIFS('[1]采购入库'!$V$4:$V$2003,'[1]采购入库'!$D$4:$D$2003,$A109))</f>
        <v>0</v>
      </c>
      <c r="E109" s="11">
        <f>IF(A109="",0,SUMIFS('[1]资金台帐'!$H$4:$H$3003,'[1]资金台帐'!$D$4:$D$3003,$A109,'[1]资金台帐'!$M$4:$M$3003,"往来"))</f>
        <v>0</v>
      </c>
      <c r="F109" s="11">
        <f>IF(A109="",0,N('[1]基础资料'!$M$108))</f>
        <v>0</v>
      </c>
      <c r="G109" s="11">
        <f>IF(OR(A109="",ISNUMBER(FIND("线上",B109))),0,SUMIFS('[1]销售出库'!$S$4:$S$2003,'[1]销售出库'!$B$4:$B$2003,$A109))</f>
        <v>0</v>
      </c>
      <c r="H109" s="11">
        <f>IF(A109="",0,SUMIFS('[1]资金台帐'!$G$4:$G$3003,'[1]资金台帐'!$D$4:$D$3003,$A109,'[1]资金台帐'!$M$4:$M$3003,"往来"))</f>
        <v>0</v>
      </c>
      <c r="I109" s="11">
        <f t="shared" si="0"/>
        <v>0</v>
      </c>
      <c r="J109" s="11">
        <f t="shared" si="1"/>
        <v>0</v>
      </c>
      <c r="K109" s="6">
        <f t="shared" si="2"/>
      </c>
    </row>
    <row r="110">
      <c r="A110" s="6">
        <f>IF('[1]基础资料'!$I$109="","",'[1]基础资料'!$I$109)</f>
      </c>
      <c r="B110" s="6">
        <f>IF(A110="","",'[1]基础资料'!$J$109&amp;IF('[1]基础资料'!$K$109="","","·"&amp;'[1]基础资料'!$K$109))</f>
      </c>
      <c r="C110" s="11">
        <f>IF(A110="",0,N('[1]基础资料'!$L$109))</f>
        <v>0</v>
      </c>
      <c r="D110" s="11">
        <f>IF(A110="",0,SUMIFS('[1]采购入库'!$V$4:$V$2003,'[1]采购入库'!$D$4:$D$2003,$A110))</f>
        <v>0</v>
      </c>
      <c r="E110" s="11">
        <f>IF(A110="",0,SUMIFS('[1]资金台帐'!$H$4:$H$3003,'[1]资金台帐'!$D$4:$D$3003,$A110,'[1]资金台帐'!$M$4:$M$3003,"往来"))</f>
        <v>0</v>
      </c>
      <c r="F110" s="11">
        <f>IF(A110="",0,N('[1]基础资料'!$M$109))</f>
        <v>0</v>
      </c>
      <c r="G110" s="11">
        <f>IF(OR(A110="",ISNUMBER(FIND("线上",B110))),0,SUMIFS('[1]销售出库'!$S$4:$S$2003,'[1]销售出库'!$B$4:$B$2003,$A110))</f>
        <v>0</v>
      </c>
      <c r="H110" s="11">
        <f>IF(A110="",0,SUMIFS('[1]资金台帐'!$G$4:$G$3003,'[1]资金台帐'!$D$4:$D$3003,$A110,'[1]资金台帐'!$M$4:$M$3003,"往来"))</f>
        <v>0</v>
      </c>
      <c r="I110" s="11">
        <f t="shared" si="0"/>
        <v>0</v>
      </c>
      <c r="J110" s="11">
        <f t="shared" si="1"/>
        <v>0</v>
      </c>
      <c r="K110" s="6">
        <f t="shared" si="2"/>
      </c>
    </row>
    <row r="111">
      <c r="A111" s="6">
        <f>IF('[1]基础资料'!$I$110="","",'[1]基础资料'!$I$110)</f>
      </c>
      <c r="B111" s="6">
        <f>IF(A111="","",'[1]基础资料'!$J$110&amp;IF('[1]基础资料'!$K$110="","","·"&amp;'[1]基础资料'!$K$110))</f>
      </c>
      <c r="C111" s="11">
        <f>IF(A111="",0,N('[1]基础资料'!$L$110))</f>
        <v>0</v>
      </c>
      <c r="D111" s="11">
        <f>IF(A111="",0,SUMIFS('[1]采购入库'!$V$4:$V$2003,'[1]采购入库'!$D$4:$D$2003,$A111))</f>
        <v>0</v>
      </c>
      <c r="E111" s="11">
        <f>IF(A111="",0,SUMIFS('[1]资金台帐'!$H$4:$H$3003,'[1]资金台帐'!$D$4:$D$3003,$A111,'[1]资金台帐'!$M$4:$M$3003,"往来"))</f>
        <v>0</v>
      </c>
      <c r="F111" s="11">
        <f>IF(A111="",0,N('[1]基础资料'!$M$110))</f>
        <v>0</v>
      </c>
      <c r="G111" s="11">
        <f>IF(OR(A111="",ISNUMBER(FIND("线上",B111))),0,SUMIFS('[1]销售出库'!$S$4:$S$2003,'[1]销售出库'!$B$4:$B$2003,$A111))</f>
        <v>0</v>
      </c>
      <c r="H111" s="11">
        <f>IF(A111="",0,SUMIFS('[1]资金台帐'!$G$4:$G$3003,'[1]资金台帐'!$D$4:$D$3003,$A111,'[1]资金台帐'!$M$4:$M$3003,"往来"))</f>
        <v>0</v>
      </c>
      <c r="I111" s="11">
        <f t="shared" si="0"/>
        <v>0</v>
      </c>
      <c r="J111" s="11">
        <f t="shared" si="1"/>
        <v>0</v>
      </c>
      <c r="K111" s="6">
        <f t="shared" si="2"/>
      </c>
    </row>
    <row r="112">
      <c r="A112" s="6">
        <f>IF('[1]基础资料'!$I$111="","",'[1]基础资料'!$I$111)</f>
      </c>
      <c r="B112" s="6">
        <f>IF(A112="","",'[1]基础资料'!$J$111&amp;IF('[1]基础资料'!$K$111="","","·"&amp;'[1]基础资料'!$K$111))</f>
      </c>
      <c r="C112" s="11">
        <f>IF(A112="",0,N('[1]基础资料'!$L$111))</f>
        <v>0</v>
      </c>
      <c r="D112" s="11">
        <f>IF(A112="",0,SUMIFS('[1]采购入库'!$V$4:$V$2003,'[1]采购入库'!$D$4:$D$2003,$A112))</f>
        <v>0</v>
      </c>
      <c r="E112" s="11">
        <f>IF(A112="",0,SUMIFS('[1]资金台帐'!$H$4:$H$3003,'[1]资金台帐'!$D$4:$D$3003,$A112,'[1]资金台帐'!$M$4:$M$3003,"往来"))</f>
        <v>0</v>
      </c>
      <c r="F112" s="11">
        <f>IF(A112="",0,N('[1]基础资料'!$M$111))</f>
        <v>0</v>
      </c>
      <c r="G112" s="11">
        <f>IF(OR(A112="",ISNUMBER(FIND("线上",B112))),0,SUMIFS('[1]销售出库'!$S$4:$S$2003,'[1]销售出库'!$B$4:$B$2003,$A112))</f>
        <v>0</v>
      </c>
      <c r="H112" s="11">
        <f>IF(A112="",0,SUMIFS('[1]资金台帐'!$G$4:$G$3003,'[1]资金台帐'!$D$4:$D$3003,$A112,'[1]资金台帐'!$M$4:$M$3003,"往来"))</f>
        <v>0</v>
      </c>
      <c r="I112" s="11">
        <f t="shared" si="0"/>
        <v>0</v>
      </c>
      <c r="J112" s="11">
        <f t="shared" si="1"/>
        <v>0</v>
      </c>
      <c r="K112" s="6">
        <f t="shared" si="2"/>
      </c>
    </row>
    <row r="113">
      <c r="A113" s="6">
        <f>IF('[1]基础资料'!$I$112="","",'[1]基础资料'!$I$112)</f>
      </c>
      <c r="B113" s="6">
        <f>IF(A113="","",'[1]基础资料'!$J$112&amp;IF('[1]基础资料'!$K$112="","","·"&amp;'[1]基础资料'!$K$112))</f>
      </c>
      <c r="C113" s="11">
        <f>IF(A113="",0,N('[1]基础资料'!$L$112))</f>
        <v>0</v>
      </c>
      <c r="D113" s="11">
        <f>IF(A113="",0,SUMIFS('[1]采购入库'!$V$4:$V$2003,'[1]采购入库'!$D$4:$D$2003,$A113))</f>
        <v>0</v>
      </c>
      <c r="E113" s="11">
        <f>IF(A113="",0,SUMIFS('[1]资金台帐'!$H$4:$H$3003,'[1]资金台帐'!$D$4:$D$3003,$A113,'[1]资金台帐'!$M$4:$M$3003,"往来"))</f>
        <v>0</v>
      </c>
      <c r="F113" s="11">
        <f>IF(A113="",0,N('[1]基础资料'!$M$112))</f>
        <v>0</v>
      </c>
      <c r="G113" s="11">
        <f>IF(OR(A113="",ISNUMBER(FIND("线上",B113))),0,SUMIFS('[1]销售出库'!$S$4:$S$2003,'[1]销售出库'!$B$4:$B$2003,$A113))</f>
        <v>0</v>
      </c>
      <c r="H113" s="11">
        <f>IF(A113="",0,SUMIFS('[1]资金台帐'!$G$4:$G$3003,'[1]资金台帐'!$D$4:$D$3003,$A113,'[1]资金台帐'!$M$4:$M$3003,"往来"))</f>
        <v>0</v>
      </c>
      <c r="I113" s="11">
        <f t="shared" si="0"/>
        <v>0</v>
      </c>
      <c r="J113" s="11">
        <f t="shared" si="1"/>
        <v>0</v>
      </c>
      <c r="K113" s="6">
        <f t="shared" si="2"/>
      </c>
    </row>
    <row r="114">
      <c r="A114" s="6">
        <f>IF('[1]基础资料'!$I$113="","",'[1]基础资料'!$I$113)</f>
      </c>
      <c r="B114" s="6">
        <f>IF(A114="","",'[1]基础资料'!$J$113&amp;IF('[1]基础资料'!$K$113="","","·"&amp;'[1]基础资料'!$K$113))</f>
      </c>
      <c r="C114" s="11">
        <f>IF(A114="",0,N('[1]基础资料'!$L$113))</f>
        <v>0</v>
      </c>
      <c r="D114" s="11">
        <f>IF(A114="",0,SUMIFS('[1]采购入库'!$V$4:$V$2003,'[1]采购入库'!$D$4:$D$2003,$A114))</f>
        <v>0</v>
      </c>
      <c r="E114" s="11">
        <f>IF(A114="",0,SUMIFS('[1]资金台帐'!$H$4:$H$3003,'[1]资金台帐'!$D$4:$D$3003,$A114,'[1]资金台帐'!$M$4:$M$3003,"往来"))</f>
        <v>0</v>
      </c>
      <c r="F114" s="11">
        <f>IF(A114="",0,N('[1]基础资料'!$M$113))</f>
        <v>0</v>
      </c>
      <c r="G114" s="11">
        <f>IF(OR(A114="",ISNUMBER(FIND("线上",B114))),0,SUMIFS('[1]销售出库'!$S$4:$S$2003,'[1]销售出库'!$B$4:$B$2003,$A114))</f>
        <v>0</v>
      </c>
      <c r="H114" s="11">
        <f>IF(A114="",0,SUMIFS('[1]资金台帐'!$G$4:$G$3003,'[1]资金台帐'!$D$4:$D$3003,$A114,'[1]资金台帐'!$M$4:$M$3003,"往来"))</f>
        <v>0</v>
      </c>
      <c r="I114" s="11">
        <f t="shared" si="0"/>
        <v>0</v>
      </c>
      <c r="J114" s="11">
        <f t="shared" si="1"/>
        <v>0</v>
      </c>
      <c r="K114" s="6">
        <f t="shared" si="2"/>
      </c>
    </row>
    <row r="115">
      <c r="A115" s="6">
        <f>IF('[1]基础资料'!$I$114="","",'[1]基础资料'!$I$114)</f>
      </c>
      <c r="B115" s="6">
        <f>IF(A115="","",'[1]基础资料'!$J$114&amp;IF('[1]基础资料'!$K$114="","","·"&amp;'[1]基础资料'!$K$114))</f>
      </c>
      <c r="C115" s="11">
        <f>IF(A115="",0,N('[1]基础资料'!$L$114))</f>
        <v>0</v>
      </c>
      <c r="D115" s="11">
        <f>IF(A115="",0,SUMIFS('[1]采购入库'!$V$4:$V$2003,'[1]采购入库'!$D$4:$D$2003,$A115))</f>
        <v>0</v>
      </c>
      <c r="E115" s="11">
        <f>IF(A115="",0,SUMIFS('[1]资金台帐'!$H$4:$H$3003,'[1]资金台帐'!$D$4:$D$3003,$A115,'[1]资金台帐'!$M$4:$M$3003,"往来"))</f>
        <v>0</v>
      </c>
      <c r="F115" s="11">
        <f>IF(A115="",0,N('[1]基础资料'!$M$114))</f>
        <v>0</v>
      </c>
      <c r="G115" s="11">
        <f>IF(OR(A115="",ISNUMBER(FIND("线上",B115))),0,SUMIFS('[1]销售出库'!$S$4:$S$2003,'[1]销售出库'!$B$4:$B$2003,$A115))</f>
        <v>0</v>
      </c>
      <c r="H115" s="11">
        <f>IF(A115="",0,SUMIFS('[1]资金台帐'!$G$4:$G$3003,'[1]资金台帐'!$D$4:$D$3003,$A115,'[1]资金台帐'!$M$4:$M$3003,"往来"))</f>
        <v>0</v>
      </c>
      <c r="I115" s="11">
        <f t="shared" si="0"/>
        <v>0</v>
      </c>
      <c r="J115" s="11">
        <f t="shared" si="1"/>
        <v>0</v>
      </c>
      <c r="K115" s="6">
        <f t="shared" si="2"/>
      </c>
    </row>
    <row r="116">
      <c r="A116" s="6">
        <f>IF('[1]基础资料'!$I$115="","",'[1]基础资料'!$I$115)</f>
      </c>
      <c r="B116" s="6">
        <f>IF(A116="","",'[1]基础资料'!$J$115&amp;IF('[1]基础资料'!$K$115="","","·"&amp;'[1]基础资料'!$K$115))</f>
      </c>
      <c r="C116" s="11">
        <f>IF(A116="",0,N('[1]基础资料'!$L$115))</f>
        <v>0</v>
      </c>
      <c r="D116" s="11">
        <f>IF(A116="",0,SUMIFS('[1]采购入库'!$V$4:$V$2003,'[1]采购入库'!$D$4:$D$2003,$A116))</f>
        <v>0</v>
      </c>
      <c r="E116" s="11">
        <f>IF(A116="",0,SUMIFS('[1]资金台帐'!$H$4:$H$3003,'[1]资金台帐'!$D$4:$D$3003,$A116,'[1]资金台帐'!$M$4:$M$3003,"往来"))</f>
        <v>0</v>
      </c>
      <c r="F116" s="11">
        <f>IF(A116="",0,N('[1]基础资料'!$M$115))</f>
        <v>0</v>
      </c>
      <c r="G116" s="11">
        <f>IF(OR(A116="",ISNUMBER(FIND("线上",B116))),0,SUMIFS('[1]销售出库'!$S$4:$S$2003,'[1]销售出库'!$B$4:$B$2003,$A116))</f>
        <v>0</v>
      </c>
      <c r="H116" s="11">
        <f>IF(A116="",0,SUMIFS('[1]资金台帐'!$G$4:$G$3003,'[1]资金台帐'!$D$4:$D$3003,$A116,'[1]资金台帐'!$M$4:$M$3003,"往来"))</f>
        <v>0</v>
      </c>
      <c r="I116" s="11">
        <f t="shared" si="0"/>
        <v>0</v>
      </c>
      <c r="J116" s="11">
        <f t="shared" si="1"/>
        <v>0</v>
      </c>
      <c r="K116" s="6">
        <f t="shared" si="2"/>
      </c>
    </row>
    <row r="117">
      <c r="A117" s="6">
        <f>IF('[1]基础资料'!$I$116="","",'[1]基础资料'!$I$116)</f>
      </c>
      <c r="B117" s="6">
        <f>IF(A117="","",'[1]基础资料'!$J$116&amp;IF('[1]基础资料'!$K$116="","","·"&amp;'[1]基础资料'!$K$116))</f>
      </c>
      <c r="C117" s="11">
        <f>IF(A117="",0,N('[1]基础资料'!$L$116))</f>
        <v>0</v>
      </c>
      <c r="D117" s="11">
        <f>IF(A117="",0,SUMIFS('[1]采购入库'!$V$4:$V$2003,'[1]采购入库'!$D$4:$D$2003,$A117))</f>
        <v>0</v>
      </c>
      <c r="E117" s="11">
        <f>IF(A117="",0,SUMIFS('[1]资金台帐'!$H$4:$H$3003,'[1]资金台帐'!$D$4:$D$3003,$A117,'[1]资金台帐'!$M$4:$M$3003,"往来"))</f>
        <v>0</v>
      </c>
      <c r="F117" s="11">
        <f>IF(A117="",0,N('[1]基础资料'!$M$116))</f>
        <v>0</v>
      </c>
      <c r="G117" s="11">
        <f>IF(OR(A117="",ISNUMBER(FIND("线上",B117))),0,SUMIFS('[1]销售出库'!$S$4:$S$2003,'[1]销售出库'!$B$4:$B$2003,$A117))</f>
        <v>0</v>
      </c>
      <c r="H117" s="11">
        <f>IF(A117="",0,SUMIFS('[1]资金台帐'!$G$4:$G$3003,'[1]资金台帐'!$D$4:$D$3003,$A117,'[1]资金台帐'!$M$4:$M$3003,"往来"))</f>
        <v>0</v>
      </c>
      <c r="I117" s="11">
        <f t="shared" si="0"/>
        <v>0</v>
      </c>
      <c r="J117" s="11">
        <f t="shared" si="1"/>
        <v>0</v>
      </c>
      <c r="K117" s="6">
        <f t="shared" si="2"/>
      </c>
    </row>
    <row r="118">
      <c r="A118" s="6">
        <f>IF('[1]基础资料'!$I$117="","",'[1]基础资料'!$I$117)</f>
      </c>
      <c r="B118" s="6">
        <f>IF(A118="","",'[1]基础资料'!$J$117&amp;IF('[1]基础资料'!$K$117="","","·"&amp;'[1]基础资料'!$K$117))</f>
      </c>
      <c r="C118" s="11">
        <f>IF(A118="",0,N('[1]基础资料'!$L$117))</f>
        <v>0</v>
      </c>
      <c r="D118" s="11">
        <f>IF(A118="",0,SUMIFS('[1]采购入库'!$V$4:$V$2003,'[1]采购入库'!$D$4:$D$2003,$A118))</f>
        <v>0</v>
      </c>
      <c r="E118" s="11">
        <f>IF(A118="",0,SUMIFS('[1]资金台帐'!$H$4:$H$3003,'[1]资金台帐'!$D$4:$D$3003,$A118,'[1]资金台帐'!$M$4:$M$3003,"往来"))</f>
        <v>0</v>
      </c>
      <c r="F118" s="11">
        <f>IF(A118="",0,N('[1]基础资料'!$M$117))</f>
        <v>0</v>
      </c>
      <c r="G118" s="11">
        <f>IF(OR(A118="",ISNUMBER(FIND("线上",B118))),0,SUMIFS('[1]销售出库'!$S$4:$S$2003,'[1]销售出库'!$B$4:$B$2003,$A118))</f>
        <v>0</v>
      </c>
      <c r="H118" s="11">
        <f>IF(A118="",0,SUMIFS('[1]资金台帐'!$G$4:$G$3003,'[1]资金台帐'!$D$4:$D$3003,$A118,'[1]资金台帐'!$M$4:$M$3003,"往来"))</f>
        <v>0</v>
      </c>
      <c r="I118" s="11">
        <f t="shared" si="0"/>
        <v>0</v>
      </c>
      <c r="J118" s="11">
        <f t="shared" si="1"/>
        <v>0</v>
      </c>
      <c r="K118" s="6">
        <f t="shared" si="2"/>
      </c>
    </row>
    <row r="119">
      <c r="A119" s="6">
        <f>IF('[1]基础资料'!$I$118="","",'[1]基础资料'!$I$118)</f>
      </c>
      <c r="B119" s="6">
        <f>IF(A119="","",'[1]基础资料'!$J$118&amp;IF('[1]基础资料'!$K$118="","","·"&amp;'[1]基础资料'!$K$118))</f>
      </c>
      <c r="C119" s="11">
        <f>IF(A119="",0,N('[1]基础资料'!$L$118))</f>
        <v>0</v>
      </c>
      <c r="D119" s="11">
        <f>IF(A119="",0,SUMIFS('[1]采购入库'!$V$4:$V$2003,'[1]采购入库'!$D$4:$D$2003,$A119))</f>
        <v>0</v>
      </c>
      <c r="E119" s="11">
        <f>IF(A119="",0,SUMIFS('[1]资金台帐'!$H$4:$H$3003,'[1]资金台帐'!$D$4:$D$3003,$A119,'[1]资金台帐'!$M$4:$M$3003,"往来"))</f>
        <v>0</v>
      </c>
      <c r="F119" s="11">
        <f>IF(A119="",0,N('[1]基础资料'!$M$118))</f>
        <v>0</v>
      </c>
      <c r="G119" s="11">
        <f>IF(OR(A119="",ISNUMBER(FIND("线上",B119))),0,SUMIFS('[1]销售出库'!$S$4:$S$2003,'[1]销售出库'!$B$4:$B$2003,$A119))</f>
        <v>0</v>
      </c>
      <c r="H119" s="11">
        <f>IF(A119="",0,SUMIFS('[1]资金台帐'!$G$4:$G$3003,'[1]资金台帐'!$D$4:$D$3003,$A119,'[1]资金台帐'!$M$4:$M$3003,"往来"))</f>
        <v>0</v>
      </c>
      <c r="I119" s="11">
        <f t="shared" si="0"/>
        <v>0</v>
      </c>
      <c r="J119" s="11">
        <f t="shared" si="1"/>
        <v>0</v>
      </c>
      <c r="K119" s="6">
        <f t="shared" si="2"/>
      </c>
    </row>
    <row r="120">
      <c r="A120" s="6">
        <f>IF('[1]基础资料'!$I$119="","",'[1]基础资料'!$I$119)</f>
      </c>
      <c r="B120" s="6">
        <f>IF(A120="","",'[1]基础资料'!$J$119&amp;IF('[1]基础资料'!$K$119="","","·"&amp;'[1]基础资料'!$K$119))</f>
      </c>
      <c r="C120" s="11">
        <f>IF(A120="",0,N('[1]基础资料'!$L$119))</f>
        <v>0</v>
      </c>
      <c r="D120" s="11">
        <f>IF(A120="",0,SUMIFS('[1]采购入库'!$V$4:$V$2003,'[1]采购入库'!$D$4:$D$2003,$A120))</f>
        <v>0</v>
      </c>
      <c r="E120" s="11">
        <f>IF(A120="",0,SUMIFS('[1]资金台帐'!$H$4:$H$3003,'[1]资金台帐'!$D$4:$D$3003,$A120,'[1]资金台帐'!$M$4:$M$3003,"往来"))</f>
        <v>0</v>
      </c>
      <c r="F120" s="11">
        <f>IF(A120="",0,N('[1]基础资料'!$M$119))</f>
        <v>0</v>
      </c>
      <c r="G120" s="11">
        <f>IF(OR(A120="",ISNUMBER(FIND("线上",B120))),0,SUMIFS('[1]销售出库'!$S$4:$S$2003,'[1]销售出库'!$B$4:$B$2003,$A120))</f>
        <v>0</v>
      </c>
      <c r="H120" s="11">
        <f>IF(A120="",0,SUMIFS('[1]资金台帐'!$G$4:$G$3003,'[1]资金台帐'!$D$4:$D$3003,$A120,'[1]资金台帐'!$M$4:$M$3003,"往来"))</f>
        <v>0</v>
      </c>
      <c r="I120" s="11">
        <f t="shared" si="0"/>
        <v>0</v>
      </c>
      <c r="J120" s="11">
        <f t="shared" si="1"/>
        <v>0</v>
      </c>
      <c r="K120" s="6">
        <f t="shared" si="2"/>
      </c>
    </row>
    <row r="121">
      <c r="A121" s="6">
        <f>IF('[1]基础资料'!$I$120="","",'[1]基础资料'!$I$120)</f>
      </c>
      <c r="B121" s="6">
        <f>IF(A121="","",'[1]基础资料'!$J$120&amp;IF('[1]基础资料'!$K$120="","","·"&amp;'[1]基础资料'!$K$120))</f>
      </c>
      <c r="C121" s="11">
        <f>IF(A121="",0,N('[1]基础资料'!$L$120))</f>
        <v>0</v>
      </c>
      <c r="D121" s="11">
        <f>IF(A121="",0,SUMIFS('[1]采购入库'!$V$4:$V$2003,'[1]采购入库'!$D$4:$D$2003,$A121))</f>
        <v>0</v>
      </c>
      <c r="E121" s="11">
        <f>IF(A121="",0,SUMIFS('[1]资金台帐'!$H$4:$H$3003,'[1]资金台帐'!$D$4:$D$3003,$A121,'[1]资金台帐'!$M$4:$M$3003,"往来"))</f>
        <v>0</v>
      </c>
      <c r="F121" s="11">
        <f>IF(A121="",0,N('[1]基础资料'!$M$120))</f>
        <v>0</v>
      </c>
      <c r="G121" s="11">
        <f>IF(OR(A121="",ISNUMBER(FIND("线上",B121))),0,SUMIFS('[1]销售出库'!$S$4:$S$2003,'[1]销售出库'!$B$4:$B$2003,$A121))</f>
        <v>0</v>
      </c>
      <c r="H121" s="11">
        <f>IF(A121="",0,SUMIFS('[1]资金台帐'!$G$4:$G$3003,'[1]资金台帐'!$D$4:$D$3003,$A121,'[1]资金台帐'!$M$4:$M$3003,"往来"))</f>
        <v>0</v>
      </c>
      <c r="I121" s="11">
        <f t="shared" si="0"/>
        <v>0</v>
      </c>
      <c r="J121" s="11">
        <f t="shared" si="1"/>
        <v>0</v>
      </c>
      <c r="K121" s="6">
        <f t="shared" si="2"/>
      </c>
    </row>
    <row r="122">
      <c r="A122" s="6">
        <f>IF('[1]基础资料'!$I$121="","",'[1]基础资料'!$I$121)</f>
      </c>
      <c r="B122" s="6">
        <f>IF(A122="","",'[1]基础资料'!$J$121&amp;IF('[1]基础资料'!$K$121="","","·"&amp;'[1]基础资料'!$K$121))</f>
      </c>
      <c r="C122" s="11">
        <f>IF(A122="",0,N('[1]基础资料'!$L$121))</f>
        <v>0</v>
      </c>
      <c r="D122" s="11">
        <f>IF(A122="",0,SUMIFS('[1]采购入库'!$V$4:$V$2003,'[1]采购入库'!$D$4:$D$2003,$A122))</f>
        <v>0</v>
      </c>
      <c r="E122" s="11">
        <f>IF(A122="",0,SUMIFS('[1]资金台帐'!$H$4:$H$3003,'[1]资金台帐'!$D$4:$D$3003,$A122,'[1]资金台帐'!$M$4:$M$3003,"往来"))</f>
        <v>0</v>
      </c>
      <c r="F122" s="11">
        <f>IF(A122="",0,N('[1]基础资料'!$M$121))</f>
        <v>0</v>
      </c>
      <c r="G122" s="11">
        <f>IF(OR(A122="",ISNUMBER(FIND("线上",B122))),0,SUMIFS('[1]销售出库'!$S$4:$S$2003,'[1]销售出库'!$B$4:$B$2003,$A122))</f>
        <v>0</v>
      </c>
      <c r="H122" s="11">
        <f>IF(A122="",0,SUMIFS('[1]资金台帐'!$G$4:$G$3003,'[1]资金台帐'!$D$4:$D$3003,$A122,'[1]资金台帐'!$M$4:$M$3003,"往来"))</f>
        <v>0</v>
      </c>
      <c r="I122" s="11">
        <f t="shared" si="0"/>
        <v>0</v>
      </c>
      <c r="J122" s="11">
        <f t="shared" si="1"/>
        <v>0</v>
      </c>
      <c r="K122" s="6">
        <f t="shared" si="2"/>
      </c>
    </row>
    <row r="123">
      <c r="A123" s="6">
        <f>IF('[1]基础资料'!$I$122="","",'[1]基础资料'!$I$122)</f>
      </c>
      <c r="B123" s="6">
        <f>IF(A123="","",'[1]基础资料'!$J$122&amp;IF('[1]基础资料'!$K$122="","","·"&amp;'[1]基础资料'!$K$122))</f>
      </c>
      <c r="C123" s="11">
        <f>IF(A123="",0,N('[1]基础资料'!$L$122))</f>
        <v>0</v>
      </c>
      <c r="D123" s="11">
        <f>IF(A123="",0,SUMIFS('[1]采购入库'!$V$4:$V$2003,'[1]采购入库'!$D$4:$D$2003,$A123))</f>
        <v>0</v>
      </c>
      <c r="E123" s="11">
        <f>IF(A123="",0,SUMIFS('[1]资金台帐'!$H$4:$H$3003,'[1]资金台帐'!$D$4:$D$3003,$A123,'[1]资金台帐'!$M$4:$M$3003,"往来"))</f>
        <v>0</v>
      </c>
      <c r="F123" s="11">
        <f>IF(A123="",0,N('[1]基础资料'!$M$122))</f>
        <v>0</v>
      </c>
      <c r="G123" s="11">
        <f>IF(OR(A123="",ISNUMBER(FIND("线上",B123))),0,SUMIFS('[1]销售出库'!$S$4:$S$2003,'[1]销售出库'!$B$4:$B$2003,$A123))</f>
        <v>0</v>
      </c>
      <c r="H123" s="11">
        <f>IF(A123="",0,SUMIFS('[1]资金台帐'!$G$4:$G$3003,'[1]资金台帐'!$D$4:$D$3003,$A123,'[1]资金台帐'!$M$4:$M$3003,"往来"))</f>
        <v>0</v>
      </c>
      <c r="I123" s="11">
        <f t="shared" si="0"/>
        <v>0</v>
      </c>
      <c r="J123" s="11">
        <f t="shared" si="1"/>
        <v>0</v>
      </c>
      <c r="K123" s="6">
        <f t="shared" si="2"/>
      </c>
    </row>
    <row r="124">
      <c r="A124" s="6">
        <f>IF('[1]基础资料'!$I$123="","",'[1]基础资料'!$I$123)</f>
      </c>
      <c r="B124" s="6">
        <f>IF(A124="","",'[1]基础资料'!$J$123&amp;IF('[1]基础资料'!$K$123="","","·"&amp;'[1]基础资料'!$K$123))</f>
      </c>
      <c r="C124" s="11">
        <f>IF(A124="",0,N('[1]基础资料'!$L$123))</f>
        <v>0</v>
      </c>
      <c r="D124" s="11">
        <f>IF(A124="",0,SUMIFS('[1]采购入库'!$V$4:$V$2003,'[1]采购入库'!$D$4:$D$2003,$A124))</f>
        <v>0</v>
      </c>
      <c r="E124" s="11">
        <f>IF(A124="",0,SUMIFS('[1]资金台帐'!$H$4:$H$3003,'[1]资金台帐'!$D$4:$D$3003,$A124,'[1]资金台帐'!$M$4:$M$3003,"往来"))</f>
        <v>0</v>
      </c>
      <c r="F124" s="11">
        <f>IF(A124="",0,N('[1]基础资料'!$M$123))</f>
        <v>0</v>
      </c>
      <c r="G124" s="11">
        <f>IF(OR(A124="",ISNUMBER(FIND("线上",B124))),0,SUMIFS('[1]销售出库'!$S$4:$S$2003,'[1]销售出库'!$B$4:$B$2003,$A124))</f>
        <v>0</v>
      </c>
      <c r="H124" s="11">
        <f>IF(A124="",0,SUMIFS('[1]资金台帐'!$G$4:$G$3003,'[1]资金台帐'!$D$4:$D$3003,$A124,'[1]资金台帐'!$M$4:$M$3003,"往来"))</f>
        <v>0</v>
      </c>
      <c r="I124" s="11">
        <f t="shared" si="0"/>
        <v>0</v>
      </c>
      <c r="J124" s="11">
        <f t="shared" si="1"/>
        <v>0</v>
      </c>
      <c r="K124" s="6">
        <f t="shared" si="2"/>
      </c>
    </row>
    <row r="125">
      <c r="A125" s="6">
        <f>IF('[1]基础资料'!$I$124="","",'[1]基础资料'!$I$124)</f>
      </c>
      <c r="B125" s="6">
        <f>IF(A125="","",'[1]基础资料'!$J$124&amp;IF('[1]基础资料'!$K$124="","","·"&amp;'[1]基础资料'!$K$124))</f>
      </c>
      <c r="C125" s="11">
        <f>IF(A125="",0,N('[1]基础资料'!$L$124))</f>
        <v>0</v>
      </c>
      <c r="D125" s="11">
        <f>IF(A125="",0,SUMIFS('[1]采购入库'!$V$4:$V$2003,'[1]采购入库'!$D$4:$D$2003,$A125))</f>
        <v>0</v>
      </c>
      <c r="E125" s="11">
        <f>IF(A125="",0,SUMIFS('[1]资金台帐'!$H$4:$H$3003,'[1]资金台帐'!$D$4:$D$3003,$A125,'[1]资金台帐'!$M$4:$M$3003,"往来"))</f>
        <v>0</v>
      </c>
      <c r="F125" s="11">
        <f>IF(A125="",0,N('[1]基础资料'!$M$124))</f>
        <v>0</v>
      </c>
      <c r="G125" s="11">
        <f>IF(OR(A125="",ISNUMBER(FIND("线上",B125))),0,SUMIFS('[1]销售出库'!$S$4:$S$2003,'[1]销售出库'!$B$4:$B$2003,$A125))</f>
        <v>0</v>
      </c>
      <c r="H125" s="11">
        <f>IF(A125="",0,SUMIFS('[1]资金台帐'!$G$4:$G$3003,'[1]资金台帐'!$D$4:$D$3003,$A125,'[1]资金台帐'!$M$4:$M$3003,"往来"))</f>
        <v>0</v>
      </c>
      <c r="I125" s="11">
        <f t="shared" si="0"/>
        <v>0</v>
      </c>
      <c r="J125" s="11">
        <f t="shared" si="1"/>
        <v>0</v>
      </c>
      <c r="K125" s="6">
        <f t="shared" si="2"/>
      </c>
    </row>
    <row r="126">
      <c r="A126" s="6">
        <f>IF('[1]基础资料'!$I$125="","",'[1]基础资料'!$I$125)</f>
      </c>
      <c r="B126" s="6">
        <f>IF(A126="","",'[1]基础资料'!$J$125&amp;IF('[1]基础资料'!$K$125="","","·"&amp;'[1]基础资料'!$K$125))</f>
      </c>
      <c r="C126" s="11">
        <f>IF(A126="",0,N('[1]基础资料'!$L$125))</f>
        <v>0</v>
      </c>
      <c r="D126" s="11">
        <f>IF(A126="",0,SUMIFS('[1]采购入库'!$V$4:$V$2003,'[1]采购入库'!$D$4:$D$2003,$A126))</f>
        <v>0</v>
      </c>
      <c r="E126" s="11">
        <f>IF(A126="",0,SUMIFS('[1]资金台帐'!$H$4:$H$3003,'[1]资金台帐'!$D$4:$D$3003,$A126,'[1]资金台帐'!$M$4:$M$3003,"往来"))</f>
        <v>0</v>
      </c>
      <c r="F126" s="11">
        <f>IF(A126="",0,N('[1]基础资料'!$M$125))</f>
        <v>0</v>
      </c>
      <c r="G126" s="11">
        <f>IF(OR(A126="",ISNUMBER(FIND("线上",B126))),0,SUMIFS('[1]销售出库'!$S$4:$S$2003,'[1]销售出库'!$B$4:$B$2003,$A126))</f>
        <v>0</v>
      </c>
      <c r="H126" s="11">
        <f>IF(A126="",0,SUMIFS('[1]资金台帐'!$G$4:$G$3003,'[1]资金台帐'!$D$4:$D$3003,$A126,'[1]资金台帐'!$M$4:$M$3003,"往来"))</f>
        <v>0</v>
      </c>
      <c r="I126" s="11">
        <f t="shared" si="0"/>
        <v>0</v>
      </c>
      <c r="J126" s="11">
        <f t="shared" si="1"/>
        <v>0</v>
      </c>
      <c r="K126" s="6">
        <f t="shared" si="2"/>
      </c>
    </row>
    <row r="127">
      <c r="A127" s="6">
        <f>IF('[1]基础资料'!$I$126="","",'[1]基础资料'!$I$126)</f>
      </c>
      <c r="B127" s="6">
        <f>IF(A127="","",'[1]基础资料'!$J$126&amp;IF('[1]基础资料'!$K$126="","","·"&amp;'[1]基础资料'!$K$126))</f>
      </c>
      <c r="C127" s="11">
        <f>IF(A127="",0,N('[1]基础资料'!$L$126))</f>
        <v>0</v>
      </c>
      <c r="D127" s="11">
        <f>IF(A127="",0,SUMIFS('[1]采购入库'!$V$4:$V$2003,'[1]采购入库'!$D$4:$D$2003,$A127))</f>
        <v>0</v>
      </c>
      <c r="E127" s="11">
        <f>IF(A127="",0,SUMIFS('[1]资金台帐'!$H$4:$H$3003,'[1]资金台帐'!$D$4:$D$3003,$A127,'[1]资金台帐'!$M$4:$M$3003,"往来"))</f>
        <v>0</v>
      </c>
      <c r="F127" s="11">
        <f>IF(A127="",0,N('[1]基础资料'!$M$126))</f>
        <v>0</v>
      </c>
      <c r="G127" s="11">
        <f>IF(OR(A127="",ISNUMBER(FIND("线上",B127))),0,SUMIFS('[1]销售出库'!$S$4:$S$2003,'[1]销售出库'!$B$4:$B$2003,$A127))</f>
        <v>0</v>
      </c>
      <c r="H127" s="11">
        <f>IF(A127="",0,SUMIFS('[1]资金台帐'!$G$4:$G$3003,'[1]资金台帐'!$D$4:$D$3003,$A127,'[1]资金台帐'!$M$4:$M$3003,"往来"))</f>
        <v>0</v>
      </c>
      <c r="I127" s="11">
        <f t="shared" si="0"/>
        <v>0</v>
      </c>
      <c r="J127" s="11">
        <f t="shared" si="1"/>
        <v>0</v>
      </c>
      <c r="K127" s="6">
        <f t="shared" si="2"/>
      </c>
    </row>
    <row r="128">
      <c r="A128" s="6">
        <f>IF('[1]基础资料'!$I$127="","",'[1]基础资料'!$I$127)</f>
      </c>
      <c r="B128" s="6">
        <f>IF(A128="","",'[1]基础资料'!$J$127&amp;IF('[1]基础资料'!$K$127="","","·"&amp;'[1]基础资料'!$K$127))</f>
      </c>
      <c r="C128" s="11">
        <f>IF(A128="",0,N('[1]基础资料'!$L$127))</f>
        <v>0</v>
      </c>
      <c r="D128" s="11">
        <f>IF(A128="",0,SUMIFS('[1]采购入库'!$V$4:$V$2003,'[1]采购入库'!$D$4:$D$2003,$A128))</f>
        <v>0</v>
      </c>
      <c r="E128" s="11">
        <f>IF(A128="",0,SUMIFS('[1]资金台帐'!$H$4:$H$3003,'[1]资金台帐'!$D$4:$D$3003,$A128,'[1]资金台帐'!$M$4:$M$3003,"往来"))</f>
        <v>0</v>
      </c>
      <c r="F128" s="11">
        <f>IF(A128="",0,N('[1]基础资料'!$M$127))</f>
        <v>0</v>
      </c>
      <c r="G128" s="11">
        <f>IF(OR(A128="",ISNUMBER(FIND("线上",B128))),0,SUMIFS('[1]销售出库'!$S$4:$S$2003,'[1]销售出库'!$B$4:$B$2003,$A128))</f>
        <v>0</v>
      </c>
      <c r="H128" s="11">
        <f>IF(A128="",0,SUMIFS('[1]资金台帐'!$G$4:$G$3003,'[1]资金台帐'!$D$4:$D$3003,$A128,'[1]资金台帐'!$M$4:$M$3003,"往来"))</f>
        <v>0</v>
      </c>
      <c r="I128" s="11">
        <f t="shared" si="0"/>
        <v>0</v>
      </c>
      <c r="J128" s="11">
        <f t="shared" si="1"/>
        <v>0</v>
      </c>
      <c r="K128" s="6">
        <f t="shared" si="2"/>
      </c>
    </row>
    <row r="129">
      <c r="A129" s="6">
        <f>IF('[1]基础资料'!$I$128="","",'[1]基础资料'!$I$128)</f>
      </c>
      <c r="B129" s="6">
        <f>IF(A129="","",'[1]基础资料'!$J$128&amp;IF('[1]基础资料'!$K$128="","","·"&amp;'[1]基础资料'!$K$128))</f>
      </c>
      <c r="C129" s="11">
        <f>IF(A129="",0,N('[1]基础资料'!$L$128))</f>
        <v>0</v>
      </c>
      <c r="D129" s="11">
        <f>IF(A129="",0,SUMIFS('[1]采购入库'!$V$4:$V$2003,'[1]采购入库'!$D$4:$D$2003,$A129))</f>
        <v>0</v>
      </c>
      <c r="E129" s="11">
        <f>IF(A129="",0,SUMIFS('[1]资金台帐'!$H$4:$H$3003,'[1]资金台帐'!$D$4:$D$3003,$A129,'[1]资金台帐'!$M$4:$M$3003,"往来"))</f>
        <v>0</v>
      </c>
      <c r="F129" s="11">
        <f>IF(A129="",0,N('[1]基础资料'!$M$128))</f>
        <v>0</v>
      </c>
      <c r="G129" s="11">
        <f>IF(OR(A129="",ISNUMBER(FIND("线上",B129))),0,SUMIFS('[1]销售出库'!$S$4:$S$2003,'[1]销售出库'!$B$4:$B$2003,$A129))</f>
        <v>0</v>
      </c>
      <c r="H129" s="11">
        <f>IF(A129="",0,SUMIFS('[1]资金台帐'!$G$4:$G$3003,'[1]资金台帐'!$D$4:$D$3003,$A129,'[1]资金台帐'!$M$4:$M$3003,"往来"))</f>
        <v>0</v>
      </c>
      <c r="I129" s="11">
        <f t="shared" si="0"/>
        <v>0</v>
      </c>
      <c r="J129" s="11">
        <f t="shared" si="1"/>
        <v>0</v>
      </c>
      <c r="K129" s="6">
        <f t="shared" si="2"/>
      </c>
    </row>
    <row r="130">
      <c r="A130" s="6">
        <f>IF('[1]基础资料'!$I$129="","",'[1]基础资料'!$I$129)</f>
      </c>
      <c r="B130" s="6">
        <f>IF(A130="","",'[1]基础资料'!$J$129&amp;IF('[1]基础资料'!$K$129="","","·"&amp;'[1]基础资料'!$K$129))</f>
      </c>
      <c r="C130" s="11">
        <f>IF(A130="",0,N('[1]基础资料'!$L$129))</f>
        <v>0</v>
      </c>
      <c r="D130" s="11">
        <f>IF(A130="",0,SUMIFS('[1]采购入库'!$V$4:$V$2003,'[1]采购入库'!$D$4:$D$2003,$A130))</f>
        <v>0</v>
      </c>
      <c r="E130" s="11">
        <f>IF(A130="",0,SUMIFS('[1]资金台帐'!$H$4:$H$3003,'[1]资金台帐'!$D$4:$D$3003,$A130,'[1]资金台帐'!$M$4:$M$3003,"往来"))</f>
        <v>0</v>
      </c>
      <c r="F130" s="11">
        <f>IF(A130="",0,N('[1]基础资料'!$M$129))</f>
        <v>0</v>
      </c>
      <c r="G130" s="11">
        <f>IF(OR(A130="",ISNUMBER(FIND("线上",B130))),0,SUMIFS('[1]销售出库'!$S$4:$S$2003,'[1]销售出库'!$B$4:$B$2003,$A130))</f>
        <v>0</v>
      </c>
      <c r="H130" s="11">
        <f>IF(A130="",0,SUMIFS('[1]资金台帐'!$G$4:$G$3003,'[1]资金台帐'!$D$4:$D$3003,$A130,'[1]资金台帐'!$M$4:$M$3003,"往来"))</f>
        <v>0</v>
      </c>
      <c r="I130" s="11">
        <f t="shared" si="0"/>
        <v>0</v>
      </c>
      <c r="J130" s="11">
        <f t="shared" si="1"/>
        <v>0</v>
      </c>
      <c r="K130" s="6">
        <f t="shared" si="2"/>
      </c>
    </row>
    <row r="131">
      <c r="A131" s="6">
        <f>IF('[1]基础资料'!$I$130="","",'[1]基础资料'!$I$130)</f>
      </c>
      <c r="B131" s="6">
        <f>IF(A131="","",'[1]基础资料'!$J$130&amp;IF('[1]基础资料'!$K$130="","","·"&amp;'[1]基础资料'!$K$130))</f>
      </c>
      <c r="C131" s="11">
        <f>IF(A131="",0,N('[1]基础资料'!$L$130))</f>
        <v>0</v>
      </c>
      <c r="D131" s="11">
        <f>IF(A131="",0,SUMIFS('[1]采购入库'!$V$4:$V$2003,'[1]采购入库'!$D$4:$D$2003,$A131))</f>
        <v>0</v>
      </c>
      <c r="E131" s="11">
        <f>IF(A131="",0,SUMIFS('[1]资金台帐'!$H$4:$H$3003,'[1]资金台帐'!$D$4:$D$3003,$A131,'[1]资金台帐'!$M$4:$M$3003,"往来"))</f>
        <v>0</v>
      </c>
      <c r="F131" s="11">
        <f>IF(A131="",0,N('[1]基础资料'!$M$130))</f>
        <v>0</v>
      </c>
      <c r="G131" s="11">
        <f>IF(OR(A131="",ISNUMBER(FIND("线上",B131))),0,SUMIFS('[1]销售出库'!$S$4:$S$2003,'[1]销售出库'!$B$4:$B$2003,$A131))</f>
        <v>0</v>
      </c>
      <c r="H131" s="11">
        <f>IF(A131="",0,SUMIFS('[1]资金台帐'!$G$4:$G$3003,'[1]资金台帐'!$D$4:$D$3003,$A131,'[1]资金台帐'!$M$4:$M$3003,"往来"))</f>
        <v>0</v>
      </c>
      <c r="I131" s="11">
        <f t="shared" si="0"/>
        <v>0</v>
      </c>
      <c r="J131" s="11">
        <f t="shared" si="1"/>
        <v>0</v>
      </c>
      <c r="K131" s="6">
        <f t="shared" si="2"/>
      </c>
    </row>
    <row r="132">
      <c r="A132" s="6">
        <f>IF('[1]基础资料'!$I$131="","",'[1]基础资料'!$I$131)</f>
      </c>
      <c r="B132" s="6">
        <f>IF(A132="","",'[1]基础资料'!$J$131&amp;IF('[1]基础资料'!$K$131="","","·"&amp;'[1]基础资料'!$K$131))</f>
      </c>
      <c r="C132" s="11">
        <f>IF(A132="",0,N('[1]基础资料'!$L$131))</f>
        <v>0</v>
      </c>
      <c r="D132" s="11">
        <f>IF(A132="",0,SUMIFS('[1]采购入库'!$V$4:$V$2003,'[1]采购入库'!$D$4:$D$2003,$A132))</f>
        <v>0</v>
      </c>
      <c r="E132" s="11">
        <f>IF(A132="",0,SUMIFS('[1]资金台帐'!$H$4:$H$3003,'[1]资金台帐'!$D$4:$D$3003,$A132,'[1]资金台帐'!$M$4:$M$3003,"往来"))</f>
        <v>0</v>
      </c>
      <c r="F132" s="11">
        <f>IF(A132="",0,N('[1]基础资料'!$M$131))</f>
        <v>0</v>
      </c>
      <c r="G132" s="11">
        <f>IF(OR(A132="",ISNUMBER(FIND("线上",B132))),0,SUMIFS('[1]销售出库'!$S$4:$S$2003,'[1]销售出库'!$B$4:$B$2003,$A132))</f>
        <v>0</v>
      </c>
      <c r="H132" s="11">
        <f>IF(A132="",0,SUMIFS('[1]资金台帐'!$G$4:$G$3003,'[1]资金台帐'!$D$4:$D$3003,$A132,'[1]资金台帐'!$M$4:$M$3003,"往来"))</f>
        <v>0</v>
      </c>
      <c r="I132" s="11">
        <f t="shared" si="0"/>
        <v>0</v>
      </c>
      <c r="J132" s="11">
        <f t="shared" si="1"/>
        <v>0</v>
      </c>
      <c r="K132" s="6">
        <f t="shared" si="2"/>
      </c>
    </row>
    <row r="133">
      <c r="A133" s="6">
        <f>IF('[1]基础资料'!$I$132="","",'[1]基础资料'!$I$132)</f>
      </c>
      <c r="B133" s="6">
        <f>IF(A133="","",'[1]基础资料'!$J$132&amp;IF('[1]基础资料'!$K$132="","","·"&amp;'[1]基础资料'!$K$132))</f>
      </c>
      <c r="C133" s="11">
        <f>IF(A133="",0,N('[1]基础资料'!$L$132))</f>
        <v>0</v>
      </c>
      <c r="D133" s="11">
        <f>IF(A133="",0,SUMIFS('[1]采购入库'!$V$4:$V$2003,'[1]采购入库'!$D$4:$D$2003,$A133))</f>
        <v>0</v>
      </c>
      <c r="E133" s="11">
        <f>IF(A133="",0,SUMIFS('[1]资金台帐'!$H$4:$H$3003,'[1]资金台帐'!$D$4:$D$3003,$A133,'[1]资金台帐'!$M$4:$M$3003,"往来"))</f>
        <v>0</v>
      </c>
      <c r="F133" s="11">
        <f>IF(A133="",0,N('[1]基础资料'!$M$132))</f>
        <v>0</v>
      </c>
      <c r="G133" s="11">
        <f>IF(OR(A133="",ISNUMBER(FIND("线上",B133))),0,SUMIFS('[1]销售出库'!$S$4:$S$2003,'[1]销售出库'!$B$4:$B$2003,$A133))</f>
        <v>0</v>
      </c>
      <c r="H133" s="11">
        <f>IF(A133="",0,SUMIFS('[1]资金台帐'!$G$4:$G$3003,'[1]资金台帐'!$D$4:$D$3003,$A133,'[1]资金台帐'!$M$4:$M$3003,"往来"))</f>
        <v>0</v>
      </c>
      <c r="I133" s="11">
        <f t="shared" si="0"/>
        <v>0</v>
      </c>
      <c r="J133" s="11">
        <f t="shared" si="1"/>
        <v>0</v>
      </c>
      <c r="K133" s="6">
        <f t="shared" si="2"/>
      </c>
    </row>
    <row r="134">
      <c r="A134" s="6">
        <f>IF('[1]基础资料'!$I$133="","",'[1]基础资料'!$I$133)</f>
      </c>
      <c r="B134" s="6">
        <f>IF(A134="","",'[1]基础资料'!$J$133&amp;IF('[1]基础资料'!$K$133="","","·"&amp;'[1]基础资料'!$K$133))</f>
      </c>
      <c r="C134" s="11">
        <f>IF(A134="",0,N('[1]基础资料'!$L$133))</f>
        <v>0</v>
      </c>
      <c r="D134" s="11">
        <f>IF(A134="",0,SUMIFS('[1]采购入库'!$V$4:$V$2003,'[1]采购入库'!$D$4:$D$2003,$A134))</f>
        <v>0</v>
      </c>
      <c r="E134" s="11">
        <f>IF(A134="",0,SUMIFS('[1]资金台帐'!$H$4:$H$3003,'[1]资金台帐'!$D$4:$D$3003,$A134,'[1]资金台帐'!$M$4:$M$3003,"往来"))</f>
        <v>0</v>
      </c>
      <c r="F134" s="11">
        <f>IF(A134="",0,N('[1]基础资料'!$M$133))</f>
        <v>0</v>
      </c>
      <c r="G134" s="11">
        <f>IF(OR(A134="",ISNUMBER(FIND("线上",B134))),0,SUMIFS('[1]销售出库'!$S$4:$S$2003,'[1]销售出库'!$B$4:$B$2003,$A134))</f>
        <v>0</v>
      </c>
      <c r="H134" s="11">
        <f>IF(A134="",0,SUMIFS('[1]资金台帐'!$G$4:$G$3003,'[1]资金台帐'!$D$4:$D$3003,$A134,'[1]资金台帐'!$M$4:$M$3003,"往来"))</f>
        <v>0</v>
      </c>
      <c r="I134" s="11">
        <f t="shared" si="0"/>
        <v>0</v>
      </c>
      <c r="J134" s="11">
        <f t="shared" si="1"/>
        <v>0</v>
      </c>
      <c r="K134" s="6">
        <f t="shared" si="2"/>
      </c>
    </row>
    <row r="135">
      <c r="A135" s="6">
        <f>IF('[1]基础资料'!$I$134="","",'[1]基础资料'!$I$134)</f>
      </c>
      <c r="B135" s="6">
        <f>IF(A135="","",'[1]基础资料'!$J$134&amp;IF('[1]基础资料'!$K$134="","","·"&amp;'[1]基础资料'!$K$134))</f>
      </c>
      <c r="C135" s="11">
        <f>IF(A135="",0,N('[1]基础资料'!$L$134))</f>
        <v>0</v>
      </c>
      <c r="D135" s="11">
        <f>IF(A135="",0,SUMIFS('[1]采购入库'!$V$4:$V$2003,'[1]采购入库'!$D$4:$D$2003,$A135))</f>
        <v>0</v>
      </c>
      <c r="E135" s="11">
        <f>IF(A135="",0,SUMIFS('[1]资金台帐'!$H$4:$H$3003,'[1]资金台帐'!$D$4:$D$3003,$A135,'[1]资金台帐'!$M$4:$M$3003,"往来"))</f>
        <v>0</v>
      </c>
      <c r="F135" s="11">
        <f>IF(A135="",0,N('[1]基础资料'!$M$134))</f>
        <v>0</v>
      </c>
      <c r="G135" s="11">
        <f>IF(OR(A135="",ISNUMBER(FIND("线上",B135))),0,SUMIFS('[1]销售出库'!$S$4:$S$2003,'[1]销售出库'!$B$4:$B$2003,$A135))</f>
        <v>0</v>
      </c>
      <c r="H135" s="11">
        <f>IF(A135="",0,SUMIFS('[1]资金台帐'!$G$4:$G$3003,'[1]资金台帐'!$D$4:$D$3003,$A135,'[1]资金台帐'!$M$4:$M$3003,"往来"))</f>
        <v>0</v>
      </c>
      <c r="I135" s="11">
        <f t="shared" si="0"/>
        <v>0</v>
      </c>
      <c r="J135" s="11">
        <f t="shared" si="1"/>
        <v>0</v>
      </c>
      <c r="K135" s="6">
        <f t="shared" si="2"/>
      </c>
    </row>
    <row r="136">
      <c r="A136" s="6">
        <f>IF('[1]基础资料'!$I$135="","",'[1]基础资料'!$I$135)</f>
      </c>
      <c r="B136" s="6">
        <f>IF(A136="","",'[1]基础资料'!$J$135&amp;IF('[1]基础资料'!$K$135="","","·"&amp;'[1]基础资料'!$K$135))</f>
      </c>
      <c r="C136" s="11">
        <f>IF(A136="",0,N('[1]基础资料'!$L$135))</f>
        <v>0</v>
      </c>
      <c r="D136" s="11">
        <f>IF(A136="",0,SUMIFS('[1]采购入库'!$V$4:$V$2003,'[1]采购入库'!$D$4:$D$2003,$A136))</f>
        <v>0</v>
      </c>
      <c r="E136" s="11">
        <f>IF(A136="",0,SUMIFS('[1]资金台帐'!$H$4:$H$3003,'[1]资金台帐'!$D$4:$D$3003,$A136,'[1]资金台帐'!$M$4:$M$3003,"往来"))</f>
        <v>0</v>
      </c>
      <c r="F136" s="11">
        <f>IF(A136="",0,N('[1]基础资料'!$M$135))</f>
        <v>0</v>
      </c>
      <c r="G136" s="11">
        <f>IF(OR(A136="",ISNUMBER(FIND("线上",B136))),0,SUMIFS('[1]销售出库'!$S$4:$S$2003,'[1]销售出库'!$B$4:$B$2003,$A136))</f>
        <v>0</v>
      </c>
      <c r="H136" s="11">
        <f>IF(A136="",0,SUMIFS('[1]资金台帐'!$G$4:$G$3003,'[1]资金台帐'!$D$4:$D$3003,$A136,'[1]资金台帐'!$M$4:$M$3003,"往来"))</f>
        <v>0</v>
      </c>
      <c r="I136" s="11">
        <f t="shared" si="0"/>
        <v>0</v>
      </c>
      <c r="J136" s="11">
        <f t="shared" si="1"/>
        <v>0</v>
      </c>
      <c r="K136" s="6">
        <f t="shared" si="2"/>
      </c>
    </row>
    <row r="137">
      <c r="A137" s="6">
        <f>IF('[1]基础资料'!$I$136="","",'[1]基础资料'!$I$136)</f>
      </c>
      <c r="B137" s="6">
        <f>IF(A137="","",'[1]基础资料'!$J$136&amp;IF('[1]基础资料'!$K$136="","","·"&amp;'[1]基础资料'!$K$136))</f>
      </c>
      <c r="C137" s="11">
        <f>IF(A137="",0,N('[1]基础资料'!$L$136))</f>
        <v>0</v>
      </c>
      <c r="D137" s="11">
        <f>IF(A137="",0,SUMIFS('[1]采购入库'!$V$4:$V$2003,'[1]采购入库'!$D$4:$D$2003,$A137))</f>
        <v>0</v>
      </c>
      <c r="E137" s="11">
        <f>IF(A137="",0,SUMIFS('[1]资金台帐'!$H$4:$H$3003,'[1]资金台帐'!$D$4:$D$3003,$A137,'[1]资金台帐'!$M$4:$M$3003,"往来"))</f>
        <v>0</v>
      </c>
      <c r="F137" s="11">
        <f>IF(A137="",0,N('[1]基础资料'!$M$136))</f>
        <v>0</v>
      </c>
      <c r="G137" s="11">
        <f>IF(OR(A137="",ISNUMBER(FIND("线上",B137))),0,SUMIFS('[1]销售出库'!$S$4:$S$2003,'[1]销售出库'!$B$4:$B$2003,$A137))</f>
        <v>0</v>
      </c>
      <c r="H137" s="11">
        <f>IF(A137="",0,SUMIFS('[1]资金台帐'!$G$4:$G$3003,'[1]资金台帐'!$D$4:$D$3003,$A137,'[1]资金台帐'!$M$4:$M$3003,"往来"))</f>
        <v>0</v>
      </c>
      <c r="I137" s="11">
        <f t="shared" si="0"/>
        <v>0</v>
      </c>
      <c r="J137" s="11">
        <f t="shared" si="1"/>
        <v>0</v>
      </c>
      <c r="K137" s="6">
        <f t="shared" si="2"/>
      </c>
    </row>
    <row r="138">
      <c r="A138" s="6">
        <f>IF('[1]基础资料'!$I$137="","",'[1]基础资料'!$I$137)</f>
      </c>
      <c r="B138" s="6">
        <f>IF(A138="","",'[1]基础资料'!$J$137&amp;IF('[1]基础资料'!$K$137="","","·"&amp;'[1]基础资料'!$K$137))</f>
      </c>
      <c r="C138" s="11">
        <f>IF(A138="",0,N('[1]基础资料'!$L$137))</f>
        <v>0</v>
      </c>
      <c r="D138" s="11">
        <f>IF(A138="",0,SUMIFS('[1]采购入库'!$V$4:$V$2003,'[1]采购入库'!$D$4:$D$2003,$A138))</f>
        <v>0</v>
      </c>
      <c r="E138" s="11">
        <f>IF(A138="",0,SUMIFS('[1]资金台帐'!$H$4:$H$3003,'[1]资金台帐'!$D$4:$D$3003,$A138,'[1]资金台帐'!$M$4:$M$3003,"往来"))</f>
        <v>0</v>
      </c>
      <c r="F138" s="11">
        <f>IF(A138="",0,N('[1]基础资料'!$M$137))</f>
        <v>0</v>
      </c>
      <c r="G138" s="11">
        <f>IF(OR(A138="",ISNUMBER(FIND("线上",B138))),0,SUMIFS('[1]销售出库'!$S$4:$S$2003,'[1]销售出库'!$B$4:$B$2003,$A138))</f>
        <v>0</v>
      </c>
      <c r="H138" s="11">
        <f>IF(A138="",0,SUMIFS('[1]资金台帐'!$G$4:$G$3003,'[1]资金台帐'!$D$4:$D$3003,$A138,'[1]资金台帐'!$M$4:$M$3003,"往来"))</f>
        <v>0</v>
      </c>
      <c r="I138" s="11">
        <f t="shared" si="0"/>
        <v>0</v>
      </c>
      <c r="J138" s="11">
        <f t="shared" si="1"/>
        <v>0</v>
      </c>
      <c r="K138" s="6">
        <f t="shared" si="2"/>
      </c>
    </row>
    <row r="139">
      <c r="A139" s="6">
        <f>IF('[1]基础资料'!$I$138="","",'[1]基础资料'!$I$138)</f>
      </c>
      <c r="B139" s="6">
        <f>IF(A139="","",'[1]基础资料'!$J$138&amp;IF('[1]基础资料'!$K$138="","","·"&amp;'[1]基础资料'!$K$138))</f>
      </c>
      <c r="C139" s="11">
        <f>IF(A139="",0,N('[1]基础资料'!$L$138))</f>
        <v>0</v>
      </c>
      <c r="D139" s="11">
        <f>IF(A139="",0,SUMIFS('[1]采购入库'!$V$4:$V$2003,'[1]采购入库'!$D$4:$D$2003,$A139))</f>
        <v>0</v>
      </c>
      <c r="E139" s="11">
        <f>IF(A139="",0,SUMIFS('[1]资金台帐'!$H$4:$H$3003,'[1]资金台帐'!$D$4:$D$3003,$A139,'[1]资金台帐'!$M$4:$M$3003,"往来"))</f>
        <v>0</v>
      </c>
      <c r="F139" s="11">
        <f>IF(A139="",0,N('[1]基础资料'!$M$138))</f>
        <v>0</v>
      </c>
      <c r="G139" s="11">
        <f>IF(OR(A139="",ISNUMBER(FIND("线上",B139))),0,SUMIFS('[1]销售出库'!$S$4:$S$2003,'[1]销售出库'!$B$4:$B$2003,$A139))</f>
        <v>0</v>
      </c>
      <c r="H139" s="11">
        <f>IF(A139="",0,SUMIFS('[1]资金台帐'!$G$4:$G$3003,'[1]资金台帐'!$D$4:$D$3003,$A139,'[1]资金台帐'!$M$4:$M$3003,"往来"))</f>
        <v>0</v>
      </c>
      <c r="I139" s="11">
        <f t="shared" si="0"/>
        <v>0</v>
      </c>
      <c r="J139" s="11">
        <f t="shared" si="1"/>
        <v>0</v>
      </c>
      <c r="K139" s="6">
        <f t="shared" si="2"/>
      </c>
    </row>
    <row r="140">
      <c r="A140" s="6">
        <f>IF('[1]基础资料'!$I$139="","",'[1]基础资料'!$I$139)</f>
      </c>
      <c r="B140" s="6">
        <f>IF(A140="","",'[1]基础资料'!$J$139&amp;IF('[1]基础资料'!$K$139="","","·"&amp;'[1]基础资料'!$K$139))</f>
      </c>
      <c r="C140" s="11">
        <f>IF(A140="",0,N('[1]基础资料'!$L$139))</f>
        <v>0</v>
      </c>
      <c r="D140" s="11">
        <f>IF(A140="",0,SUMIFS('[1]采购入库'!$V$4:$V$2003,'[1]采购入库'!$D$4:$D$2003,$A140))</f>
        <v>0</v>
      </c>
      <c r="E140" s="11">
        <f>IF(A140="",0,SUMIFS('[1]资金台帐'!$H$4:$H$3003,'[1]资金台帐'!$D$4:$D$3003,$A140,'[1]资金台帐'!$M$4:$M$3003,"往来"))</f>
        <v>0</v>
      </c>
      <c r="F140" s="11">
        <f>IF(A140="",0,N('[1]基础资料'!$M$139))</f>
        <v>0</v>
      </c>
      <c r="G140" s="11">
        <f>IF(OR(A140="",ISNUMBER(FIND("线上",B140))),0,SUMIFS('[1]销售出库'!$S$4:$S$2003,'[1]销售出库'!$B$4:$B$2003,$A140))</f>
        <v>0</v>
      </c>
      <c r="H140" s="11">
        <f>IF(A140="",0,SUMIFS('[1]资金台帐'!$G$4:$G$3003,'[1]资金台帐'!$D$4:$D$3003,$A140,'[1]资金台帐'!$M$4:$M$3003,"往来"))</f>
        <v>0</v>
      </c>
      <c r="I140" s="11">
        <f t="shared" si="0"/>
        <v>0</v>
      </c>
      <c r="J140" s="11">
        <f t="shared" si="1"/>
        <v>0</v>
      </c>
      <c r="K140" s="6">
        <f t="shared" si="2"/>
      </c>
    </row>
    <row r="141">
      <c r="A141" s="6">
        <f>IF('[1]基础资料'!$I$140="","",'[1]基础资料'!$I$140)</f>
      </c>
      <c r="B141" s="6">
        <f>IF(A141="","",'[1]基础资料'!$J$140&amp;IF('[1]基础资料'!$K$140="","","·"&amp;'[1]基础资料'!$K$140))</f>
      </c>
      <c r="C141" s="11">
        <f>IF(A141="",0,N('[1]基础资料'!$L$140))</f>
        <v>0</v>
      </c>
      <c r="D141" s="11">
        <f>IF(A141="",0,SUMIFS('[1]采购入库'!$V$4:$V$2003,'[1]采购入库'!$D$4:$D$2003,$A141))</f>
        <v>0</v>
      </c>
      <c r="E141" s="11">
        <f>IF(A141="",0,SUMIFS('[1]资金台帐'!$H$4:$H$3003,'[1]资金台帐'!$D$4:$D$3003,$A141,'[1]资金台帐'!$M$4:$M$3003,"往来"))</f>
        <v>0</v>
      </c>
      <c r="F141" s="11">
        <f>IF(A141="",0,N('[1]基础资料'!$M$140))</f>
        <v>0</v>
      </c>
      <c r="G141" s="11">
        <f>IF(OR(A141="",ISNUMBER(FIND("线上",B141))),0,SUMIFS('[1]销售出库'!$S$4:$S$2003,'[1]销售出库'!$B$4:$B$2003,$A141))</f>
        <v>0</v>
      </c>
      <c r="H141" s="11">
        <f>IF(A141="",0,SUMIFS('[1]资金台帐'!$G$4:$G$3003,'[1]资金台帐'!$D$4:$D$3003,$A141,'[1]资金台帐'!$M$4:$M$3003,"往来"))</f>
        <v>0</v>
      </c>
      <c r="I141" s="11">
        <f t="shared" si="0"/>
        <v>0</v>
      </c>
      <c r="J141" s="11">
        <f t="shared" si="1"/>
        <v>0</v>
      </c>
      <c r="K141" s="6">
        <f t="shared" si="2"/>
      </c>
    </row>
    <row r="142">
      <c r="A142" s="6">
        <f>IF('[1]基础资料'!$I$141="","",'[1]基础资料'!$I$141)</f>
      </c>
      <c r="B142" s="6">
        <f>IF(A142="","",'[1]基础资料'!$J$141&amp;IF('[1]基础资料'!$K$141="","","·"&amp;'[1]基础资料'!$K$141))</f>
      </c>
      <c r="C142" s="11">
        <f>IF(A142="",0,N('[1]基础资料'!$L$141))</f>
        <v>0</v>
      </c>
      <c r="D142" s="11">
        <f>IF(A142="",0,SUMIFS('[1]采购入库'!$V$4:$V$2003,'[1]采购入库'!$D$4:$D$2003,$A142))</f>
        <v>0</v>
      </c>
      <c r="E142" s="11">
        <f>IF(A142="",0,SUMIFS('[1]资金台帐'!$H$4:$H$3003,'[1]资金台帐'!$D$4:$D$3003,$A142,'[1]资金台帐'!$M$4:$M$3003,"往来"))</f>
        <v>0</v>
      </c>
      <c r="F142" s="11">
        <f>IF(A142="",0,N('[1]基础资料'!$M$141))</f>
        <v>0</v>
      </c>
      <c r="G142" s="11">
        <f>IF(OR(A142="",ISNUMBER(FIND("线上",B142))),0,SUMIFS('[1]销售出库'!$S$4:$S$2003,'[1]销售出库'!$B$4:$B$2003,$A142))</f>
        <v>0</v>
      </c>
      <c r="H142" s="11">
        <f>IF(A142="",0,SUMIFS('[1]资金台帐'!$G$4:$G$3003,'[1]资金台帐'!$D$4:$D$3003,$A142,'[1]资金台帐'!$M$4:$M$3003,"往来"))</f>
        <v>0</v>
      </c>
      <c r="I142" s="11">
        <f t="shared" si="0"/>
        <v>0</v>
      </c>
      <c r="J142" s="11">
        <f t="shared" si="1"/>
        <v>0</v>
      </c>
      <c r="K142" s="6">
        <f t="shared" si="2"/>
      </c>
    </row>
    <row r="143">
      <c r="A143" s="6">
        <f>IF('[1]基础资料'!$I$142="","",'[1]基础资料'!$I$142)</f>
      </c>
      <c r="B143" s="6">
        <f>IF(A143="","",'[1]基础资料'!$J$142&amp;IF('[1]基础资料'!$K$142="","","·"&amp;'[1]基础资料'!$K$142))</f>
      </c>
      <c r="C143" s="11">
        <f>IF(A143="",0,N('[1]基础资料'!$L$142))</f>
        <v>0</v>
      </c>
      <c r="D143" s="11">
        <f>IF(A143="",0,SUMIFS('[1]采购入库'!$V$4:$V$2003,'[1]采购入库'!$D$4:$D$2003,$A143))</f>
        <v>0</v>
      </c>
      <c r="E143" s="11">
        <f>IF(A143="",0,SUMIFS('[1]资金台帐'!$H$4:$H$3003,'[1]资金台帐'!$D$4:$D$3003,$A143,'[1]资金台帐'!$M$4:$M$3003,"往来"))</f>
        <v>0</v>
      </c>
      <c r="F143" s="11">
        <f>IF(A143="",0,N('[1]基础资料'!$M$142))</f>
        <v>0</v>
      </c>
      <c r="G143" s="11">
        <f>IF(OR(A143="",ISNUMBER(FIND("线上",B143))),0,SUMIFS('[1]销售出库'!$S$4:$S$2003,'[1]销售出库'!$B$4:$B$2003,$A143))</f>
        <v>0</v>
      </c>
      <c r="H143" s="11">
        <f>IF(A143="",0,SUMIFS('[1]资金台帐'!$G$4:$G$3003,'[1]资金台帐'!$D$4:$D$3003,$A143,'[1]资金台帐'!$M$4:$M$3003,"往来"))</f>
        <v>0</v>
      </c>
      <c r="I143" s="11">
        <f t="shared" si="0"/>
        <v>0</v>
      </c>
      <c r="J143" s="11">
        <f t="shared" si="1"/>
        <v>0</v>
      </c>
      <c r="K143" s="6">
        <f t="shared" si="2"/>
      </c>
    </row>
    <row r="144">
      <c r="A144" s="6">
        <f>IF('[1]基础资料'!$I$143="","",'[1]基础资料'!$I$143)</f>
      </c>
      <c r="B144" s="6">
        <f>IF(A144="","",'[1]基础资料'!$J$143&amp;IF('[1]基础资料'!$K$143="","","·"&amp;'[1]基础资料'!$K$143))</f>
      </c>
      <c r="C144" s="11">
        <f>IF(A144="",0,N('[1]基础资料'!$L$143))</f>
        <v>0</v>
      </c>
      <c r="D144" s="11">
        <f>IF(A144="",0,SUMIFS('[1]采购入库'!$V$4:$V$2003,'[1]采购入库'!$D$4:$D$2003,$A144))</f>
        <v>0</v>
      </c>
      <c r="E144" s="11">
        <f>IF(A144="",0,SUMIFS('[1]资金台帐'!$H$4:$H$3003,'[1]资金台帐'!$D$4:$D$3003,$A144,'[1]资金台帐'!$M$4:$M$3003,"往来"))</f>
        <v>0</v>
      </c>
      <c r="F144" s="11">
        <f>IF(A144="",0,N('[1]基础资料'!$M$143))</f>
        <v>0</v>
      </c>
      <c r="G144" s="11">
        <f>IF(OR(A144="",ISNUMBER(FIND("线上",B144))),0,SUMIFS('[1]销售出库'!$S$4:$S$2003,'[1]销售出库'!$B$4:$B$2003,$A144))</f>
        <v>0</v>
      </c>
      <c r="H144" s="11">
        <f>IF(A144="",0,SUMIFS('[1]资金台帐'!$G$4:$G$3003,'[1]资金台帐'!$D$4:$D$3003,$A144,'[1]资金台帐'!$M$4:$M$3003,"往来"))</f>
        <v>0</v>
      </c>
      <c r="I144" s="11">
        <f t="shared" si="0"/>
        <v>0</v>
      </c>
      <c r="J144" s="11">
        <f t="shared" si="1"/>
        <v>0</v>
      </c>
      <c r="K144" s="6">
        <f t="shared" si="2"/>
      </c>
    </row>
    <row r="145">
      <c r="A145" s="6">
        <f>IF('[1]基础资料'!$I$144="","",'[1]基础资料'!$I$144)</f>
      </c>
      <c r="B145" s="6">
        <f>IF(A145="","",'[1]基础资料'!$J$144&amp;IF('[1]基础资料'!$K$144="","","·"&amp;'[1]基础资料'!$K$144))</f>
      </c>
      <c r="C145" s="11">
        <f>IF(A145="",0,N('[1]基础资料'!$L$144))</f>
        <v>0</v>
      </c>
      <c r="D145" s="11">
        <f>IF(A145="",0,SUMIFS('[1]采购入库'!$V$4:$V$2003,'[1]采购入库'!$D$4:$D$2003,$A145))</f>
        <v>0</v>
      </c>
      <c r="E145" s="11">
        <f>IF(A145="",0,SUMIFS('[1]资金台帐'!$H$4:$H$3003,'[1]资金台帐'!$D$4:$D$3003,$A145,'[1]资金台帐'!$M$4:$M$3003,"往来"))</f>
        <v>0</v>
      </c>
      <c r="F145" s="11">
        <f>IF(A145="",0,N('[1]基础资料'!$M$144))</f>
        <v>0</v>
      </c>
      <c r="G145" s="11">
        <f>IF(OR(A145="",ISNUMBER(FIND("线上",B145))),0,SUMIFS('[1]销售出库'!$S$4:$S$2003,'[1]销售出库'!$B$4:$B$2003,$A145))</f>
        <v>0</v>
      </c>
      <c r="H145" s="11">
        <f>IF(A145="",0,SUMIFS('[1]资金台帐'!$G$4:$G$3003,'[1]资金台帐'!$D$4:$D$3003,$A145,'[1]资金台帐'!$M$4:$M$3003,"往来"))</f>
        <v>0</v>
      </c>
      <c r="I145" s="11">
        <f t="shared" si="0"/>
        <v>0</v>
      </c>
      <c r="J145" s="11">
        <f t="shared" si="1"/>
        <v>0</v>
      </c>
      <c r="K145" s="6">
        <f t="shared" si="2"/>
      </c>
    </row>
    <row r="146">
      <c r="A146" s="6">
        <f>IF('[1]基础资料'!$I$145="","",'[1]基础资料'!$I$145)</f>
      </c>
      <c r="B146" s="6">
        <f>IF(A146="","",'[1]基础资料'!$J$145&amp;IF('[1]基础资料'!$K$145="","","·"&amp;'[1]基础资料'!$K$145))</f>
      </c>
      <c r="C146" s="11">
        <f>IF(A146="",0,N('[1]基础资料'!$L$145))</f>
        <v>0</v>
      </c>
      <c r="D146" s="11">
        <f>IF(A146="",0,SUMIFS('[1]采购入库'!$V$4:$V$2003,'[1]采购入库'!$D$4:$D$2003,$A146))</f>
        <v>0</v>
      </c>
      <c r="E146" s="11">
        <f>IF(A146="",0,SUMIFS('[1]资金台帐'!$H$4:$H$3003,'[1]资金台帐'!$D$4:$D$3003,$A146,'[1]资金台帐'!$M$4:$M$3003,"往来"))</f>
        <v>0</v>
      </c>
      <c r="F146" s="11">
        <f>IF(A146="",0,N('[1]基础资料'!$M$145))</f>
        <v>0</v>
      </c>
      <c r="G146" s="11">
        <f>IF(OR(A146="",ISNUMBER(FIND("线上",B146))),0,SUMIFS('[1]销售出库'!$S$4:$S$2003,'[1]销售出库'!$B$4:$B$2003,$A146))</f>
        <v>0</v>
      </c>
      <c r="H146" s="11">
        <f>IF(A146="",0,SUMIFS('[1]资金台帐'!$G$4:$G$3003,'[1]资金台帐'!$D$4:$D$3003,$A146,'[1]资金台帐'!$M$4:$M$3003,"往来"))</f>
        <v>0</v>
      </c>
      <c r="I146" s="11">
        <f t="shared" si="0"/>
        <v>0</v>
      </c>
      <c r="J146" s="11">
        <f t="shared" si="1"/>
        <v>0</v>
      </c>
      <c r="K146" s="6">
        <f t="shared" si="2"/>
      </c>
    </row>
    <row r="147">
      <c r="A147" s="6">
        <f>IF('[1]基础资料'!$I$146="","",'[1]基础资料'!$I$146)</f>
      </c>
      <c r="B147" s="6">
        <f>IF(A147="","",'[1]基础资料'!$J$146&amp;IF('[1]基础资料'!$K$146="","","·"&amp;'[1]基础资料'!$K$146))</f>
      </c>
      <c r="C147" s="11">
        <f>IF(A147="",0,N('[1]基础资料'!$L$146))</f>
        <v>0</v>
      </c>
      <c r="D147" s="11">
        <f>IF(A147="",0,SUMIFS('[1]采购入库'!$V$4:$V$2003,'[1]采购入库'!$D$4:$D$2003,$A147))</f>
        <v>0</v>
      </c>
      <c r="E147" s="11">
        <f>IF(A147="",0,SUMIFS('[1]资金台帐'!$H$4:$H$3003,'[1]资金台帐'!$D$4:$D$3003,$A147,'[1]资金台帐'!$M$4:$M$3003,"往来"))</f>
        <v>0</v>
      </c>
      <c r="F147" s="11">
        <f>IF(A147="",0,N('[1]基础资料'!$M$146))</f>
        <v>0</v>
      </c>
      <c r="G147" s="11">
        <f>IF(OR(A147="",ISNUMBER(FIND("线上",B147))),0,SUMIFS('[1]销售出库'!$S$4:$S$2003,'[1]销售出库'!$B$4:$B$2003,$A147))</f>
        <v>0</v>
      </c>
      <c r="H147" s="11">
        <f>IF(A147="",0,SUMIFS('[1]资金台帐'!$G$4:$G$3003,'[1]资金台帐'!$D$4:$D$3003,$A147,'[1]资金台帐'!$M$4:$M$3003,"往来"))</f>
        <v>0</v>
      </c>
      <c r="I147" s="11">
        <f t="shared" si="0"/>
        <v>0</v>
      </c>
      <c r="J147" s="11">
        <f t="shared" si="1"/>
        <v>0</v>
      </c>
      <c r="K147" s="6">
        <f t="shared" si="2"/>
      </c>
    </row>
    <row r="148">
      <c r="A148" s="6">
        <f>IF('[1]基础资料'!$I$147="","",'[1]基础资料'!$I$147)</f>
      </c>
      <c r="B148" s="6">
        <f>IF(A148="","",'[1]基础资料'!$J$147&amp;IF('[1]基础资料'!$K$147="","","·"&amp;'[1]基础资料'!$K$147))</f>
      </c>
      <c r="C148" s="11">
        <f>IF(A148="",0,N('[1]基础资料'!$L$147))</f>
        <v>0</v>
      </c>
      <c r="D148" s="11">
        <f>IF(A148="",0,SUMIFS('[1]采购入库'!$V$4:$V$2003,'[1]采购入库'!$D$4:$D$2003,$A148))</f>
        <v>0</v>
      </c>
      <c r="E148" s="11">
        <f>IF(A148="",0,SUMIFS('[1]资金台帐'!$H$4:$H$3003,'[1]资金台帐'!$D$4:$D$3003,$A148,'[1]资金台帐'!$M$4:$M$3003,"往来"))</f>
        <v>0</v>
      </c>
      <c r="F148" s="11">
        <f>IF(A148="",0,N('[1]基础资料'!$M$147))</f>
        <v>0</v>
      </c>
      <c r="G148" s="11">
        <f>IF(OR(A148="",ISNUMBER(FIND("线上",B148))),0,SUMIFS('[1]销售出库'!$S$4:$S$2003,'[1]销售出库'!$B$4:$B$2003,$A148))</f>
        <v>0</v>
      </c>
      <c r="H148" s="11">
        <f>IF(A148="",0,SUMIFS('[1]资金台帐'!$G$4:$G$3003,'[1]资金台帐'!$D$4:$D$3003,$A148,'[1]资金台帐'!$M$4:$M$3003,"往来"))</f>
        <v>0</v>
      </c>
      <c r="I148" s="11">
        <f t="shared" si="0"/>
        <v>0</v>
      </c>
      <c r="J148" s="11">
        <f t="shared" si="1"/>
        <v>0</v>
      </c>
      <c r="K148" s="6">
        <f t="shared" si="2"/>
      </c>
    </row>
    <row r="149">
      <c r="A149" s="6">
        <f>IF('[1]基础资料'!$I$148="","",'[1]基础资料'!$I$148)</f>
      </c>
      <c r="B149" s="6">
        <f>IF(A149="","",'[1]基础资料'!$J$148&amp;IF('[1]基础资料'!$K$148="","","·"&amp;'[1]基础资料'!$K$148))</f>
      </c>
      <c r="C149" s="11">
        <f>IF(A149="",0,N('[1]基础资料'!$L$148))</f>
        <v>0</v>
      </c>
      <c r="D149" s="11">
        <f>IF(A149="",0,SUMIFS('[1]采购入库'!$V$4:$V$2003,'[1]采购入库'!$D$4:$D$2003,$A149))</f>
        <v>0</v>
      </c>
      <c r="E149" s="11">
        <f>IF(A149="",0,SUMIFS('[1]资金台帐'!$H$4:$H$3003,'[1]资金台帐'!$D$4:$D$3003,$A149,'[1]资金台帐'!$M$4:$M$3003,"往来"))</f>
        <v>0</v>
      </c>
      <c r="F149" s="11">
        <f>IF(A149="",0,N('[1]基础资料'!$M$148))</f>
        <v>0</v>
      </c>
      <c r="G149" s="11">
        <f>IF(OR(A149="",ISNUMBER(FIND("线上",B149))),0,SUMIFS('[1]销售出库'!$S$4:$S$2003,'[1]销售出库'!$B$4:$B$2003,$A149))</f>
        <v>0</v>
      </c>
      <c r="H149" s="11">
        <f>IF(A149="",0,SUMIFS('[1]资金台帐'!$G$4:$G$3003,'[1]资金台帐'!$D$4:$D$3003,$A149,'[1]资金台帐'!$M$4:$M$3003,"往来"))</f>
        <v>0</v>
      </c>
      <c r="I149" s="11">
        <f t="shared" si="0"/>
        <v>0</v>
      </c>
      <c r="J149" s="11">
        <f t="shared" si="1"/>
        <v>0</v>
      </c>
      <c r="K149" s="6">
        <f t="shared" si="2"/>
      </c>
    </row>
    <row r="150">
      <c r="A150" s="6">
        <f>IF('[1]基础资料'!$I$149="","",'[1]基础资料'!$I$149)</f>
      </c>
      <c r="B150" s="6">
        <f>IF(A150="","",'[1]基础资料'!$J$149&amp;IF('[1]基础资料'!$K$149="","","·"&amp;'[1]基础资料'!$K$149))</f>
      </c>
      <c r="C150" s="11">
        <f>IF(A150="",0,N('[1]基础资料'!$L$149))</f>
        <v>0</v>
      </c>
      <c r="D150" s="11">
        <f>IF(A150="",0,SUMIFS('[1]采购入库'!$V$4:$V$2003,'[1]采购入库'!$D$4:$D$2003,$A150))</f>
        <v>0</v>
      </c>
      <c r="E150" s="11">
        <f>IF(A150="",0,SUMIFS('[1]资金台帐'!$H$4:$H$3003,'[1]资金台帐'!$D$4:$D$3003,$A150,'[1]资金台帐'!$M$4:$M$3003,"往来"))</f>
        <v>0</v>
      </c>
      <c r="F150" s="11">
        <f>IF(A150="",0,N('[1]基础资料'!$M$149))</f>
        <v>0</v>
      </c>
      <c r="G150" s="11">
        <f>IF(OR(A150="",ISNUMBER(FIND("线上",B150))),0,SUMIFS('[1]销售出库'!$S$4:$S$2003,'[1]销售出库'!$B$4:$B$2003,$A150))</f>
        <v>0</v>
      </c>
      <c r="H150" s="11">
        <f>IF(A150="",0,SUMIFS('[1]资金台帐'!$G$4:$G$3003,'[1]资金台帐'!$D$4:$D$3003,$A150,'[1]资金台帐'!$M$4:$M$3003,"往来"))</f>
        <v>0</v>
      </c>
      <c r="I150" s="11">
        <f t="shared" si="0"/>
        <v>0</v>
      </c>
      <c r="J150" s="11">
        <f t="shared" si="1"/>
        <v>0</v>
      </c>
      <c r="K150" s="6">
        <f t="shared" si="2"/>
      </c>
    </row>
    <row r="151">
      <c r="A151" s="6">
        <f>IF('[1]基础资料'!$I$150="","",'[1]基础资料'!$I$150)</f>
      </c>
      <c r="B151" s="6">
        <f>IF(A151="","",'[1]基础资料'!$J$150&amp;IF('[1]基础资料'!$K$150="","","·"&amp;'[1]基础资料'!$K$150))</f>
      </c>
      <c r="C151" s="11">
        <f>IF(A151="",0,N('[1]基础资料'!$L$150))</f>
        <v>0</v>
      </c>
      <c r="D151" s="11">
        <f>IF(A151="",0,SUMIFS('[1]采购入库'!$V$4:$V$2003,'[1]采购入库'!$D$4:$D$2003,$A151))</f>
        <v>0</v>
      </c>
      <c r="E151" s="11">
        <f>IF(A151="",0,SUMIFS('[1]资金台帐'!$H$4:$H$3003,'[1]资金台帐'!$D$4:$D$3003,$A151,'[1]资金台帐'!$M$4:$M$3003,"往来"))</f>
        <v>0</v>
      </c>
      <c r="F151" s="11">
        <f>IF(A151="",0,N('[1]基础资料'!$M$150))</f>
        <v>0</v>
      </c>
      <c r="G151" s="11">
        <f>IF(OR(A151="",ISNUMBER(FIND("线上",B151))),0,SUMIFS('[1]销售出库'!$S$4:$S$2003,'[1]销售出库'!$B$4:$B$2003,$A151))</f>
        <v>0</v>
      </c>
      <c r="H151" s="11">
        <f>IF(A151="",0,SUMIFS('[1]资金台帐'!$G$4:$G$3003,'[1]资金台帐'!$D$4:$D$3003,$A151,'[1]资金台帐'!$M$4:$M$3003,"往来"))</f>
        <v>0</v>
      </c>
      <c r="I151" s="11">
        <f t="shared" si="0"/>
        <v>0</v>
      </c>
      <c r="J151" s="11">
        <f t="shared" si="1"/>
        <v>0</v>
      </c>
      <c r="K151" s="6">
        <f t="shared" si="2"/>
      </c>
    </row>
    <row r="152">
      <c r="A152" s="6">
        <f>IF('[1]基础资料'!$I$151="","",'[1]基础资料'!$I$151)</f>
      </c>
      <c r="B152" s="6">
        <f>IF(A152="","",'[1]基础资料'!$J$151&amp;IF('[1]基础资料'!$K$151="","","·"&amp;'[1]基础资料'!$K$151))</f>
      </c>
      <c r="C152" s="11">
        <f>IF(A152="",0,N('[1]基础资料'!$L$151))</f>
        <v>0</v>
      </c>
      <c r="D152" s="11">
        <f>IF(A152="",0,SUMIFS('[1]采购入库'!$V$4:$V$2003,'[1]采购入库'!$D$4:$D$2003,$A152))</f>
        <v>0</v>
      </c>
      <c r="E152" s="11">
        <f>IF(A152="",0,SUMIFS('[1]资金台帐'!$H$4:$H$3003,'[1]资金台帐'!$D$4:$D$3003,$A152,'[1]资金台帐'!$M$4:$M$3003,"往来"))</f>
        <v>0</v>
      </c>
      <c r="F152" s="11">
        <f>IF(A152="",0,N('[1]基础资料'!$M$151))</f>
        <v>0</v>
      </c>
      <c r="G152" s="11">
        <f>IF(OR(A152="",ISNUMBER(FIND("线上",B152))),0,SUMIFS('[1]销售出库'!$S$4:$S$2003,'[1]销售出库'!$B$4:$B$2003,$A152))</f>
        <v>0</v>
      </c>
      <c r="H152" s="11">
        <f>IF(A152="",0,SUMIFS('[1]资金台帐'!$G$4:$G$3003,'[1]资金台帐'!$D$4:$D$3003,$A152,'[1]资金台帐'!$M$4:$M$3003,"往来"))</f>
        <v>0</v>
      </c>
      <c r="I152" s="11">
        <f t="shared" si="0"/>
        <v>0</v>
      </c>
      <c r="J152" s="11">
        <f t="shared" si="1"/>
        <v>0</v>
      </c>
      <c r="K152" s="6">
        <f t="shared" si="2"/>
      </c>
    </row>
    <row r="153">
      <c r="A153" s="6">
        <f>IF('[1]基础资料'!$I$152="","",'[1]基础资料'!$I$152)</f>
      </c>
      <c r="B153" s="6">
        <f>IF(A153="","",'[1]基础资料'!$J$152&amp;IF('[1]基础资料'!$K$152="","","·"&amp;'[1]基础资料'!$K$152))</f>
      </c>
      <c r="C153" s="11">
        <f>IF(A153="",0,N('[1]基础资料'!$L$152))</f>
        <v>0</v>
      </c>
      <c r="D153" s="11">
        <f>IF(A153="",0,SUMIFS('[1]采购入库'!$V$4:$V$2003,'[1]采购入库'!$D$4:$D$2003,$A153))</f>
        <v>0</v>
      </c>
      <c r="E153" s="11">
        <f>IF(A153="",0,SUMIFS('[1]资金台帐'!$H$4:$H$3003,'[1]资金台帐'!$D$4:$D$3003,$A153,'[1]资金台帐'!$M$4:$M$3003,"往来"))</f>
        <v>0</v>
      </c>
      <c r="F153" s="11">
        <f>IF(A153="",0,N('[1]基础资料'!$M$152))</f>
        <v>0</v>
      </c>
      <c r="G153" s="11">
        <f>IF(OR(A153="",ISNUMBER(FIND("线上",B153))),0,SUMIFS('[1]销售出库'!$S$4:$S$2003,'[1]销售出库'!$B$4:$B$2003,$A153))</f>
        <v>0</v>
      </c>
      <c r="H153" s="11">
        <f>IF(A153="",0,SUMIFS('[1]资金台帐'!$G$4:$G$3003,'[1]资金台帐'!$D$4:$D$3003,$A153,'[1]资金台帐'!$M$4:$M$3003,"往来"))</f>
        <v>0</v>
      </c>
      <c r="I153" s="11">
        <f t="shared" si="0"/>
        <v>0</v>
      </c>
      <c r="J153" s="11">
        <f t="shared" si="1"/>
        <v>0</v>
      </c>
      <c r="K153" s="6">
        <f t="shared" si="2"/>
      </c>
    </row>
    <row r="154">
      <c r="A154" s="6">
        <f>IF('[1]基础资料'!$I$153="","",'[1]基础资料'!$I$153)</f>
      </c>
      <c r="B154" s="6">
        <f>IF(A154="","",'[1]基础资料'!$J$153&amp;IF('[1]基础资料'!$K$153="","","·"&amp;'[1]基础资料'!$K$153))</f>
      </c>
      <c r="C154" s="11">
        <f>IF(A154="",0,N('[1]基础资料'!$L$153))</f>
        <v>0</v>
      </c>
      <c r="D154" s="11">
        <f>IF(A154="",0,SUMIFS('[1]采购入库'!$V$4:$V$2003,'[1]采购入库'!$D$4:$D$2003,$A154))</f>
        <v>0</v>
      </c>
      <c r="E154" s="11">
        <f>IF(A154="",0,SUMIFS('[1]资金台帐'!$H$4:$H$3003,'[1]资金台帐'!$D$4:$D$3003,$A154,'[1]资金台帐'!$M$4:$M$3003,"往来"))</f>
        <v>0</v>
      </c>
      <c r="F154" s="11">
        <f>IF(A154="",0,N('[1]基础资料'!$M$153))</f>
        <v>0</v>
      </c>
      <c r="G154" s="11">
        <f>IF(OR(A154="",ISNUMBER(FIND("线上",B154))),0,SUMIFS('[1]销售出库'!$S$4:$S$2003,'[1]销售出库'!$B$4:$B$2003,$A154))</f>
        <v>0</v>
      </c>
      <c r="H154" s="11">
        <f>IF(A154="",0,SUMIFS('[1]资金台帐'!$G$4:$G$3003,'[1]资金台帐'!$D$4:$D$3003,$A154,'[1]资金台帐'!$M$4:$M$3003,"往来"))</f>
        <v>0</v>
      </c>
      <c r="I154" s="11">
        <f t="shared" si="0"/>
        <v>0</v>
      </c>
      <c r="J154" s="11">
        <f t="shared" si="1"/>
        <v>0</v>
      </c>
      <c r="K154" s="6">
        <f t="shared" si="2"/>
      </c>
    </row>
    <row r="155">
      <c r="A155" s="6">
        <f>IF('[1]基础资料'!$I$154="","",'[1]基础资料'!$I$154)</f>
      </c>
      <c r="B155" s="6">
        <f>IF(A155="","",'[1]基础资料'!$J$154&amp;IF('[1]基础资料'!$K$154="","","·"&amp;'[1]基础资料'!$K$154))</f>
      </c>
      <c r="C155" s="11">
        <f>IF(A155="",0,N('[1]基础资料'!$L$154))</f>
        <v>0</v>
      </c>
      <c r="D155" s="11">
        <f>IF(A155="",0,SUMIFS('[1]采购入库'!$V$4:$V$2003,'[1]采购入库'!$D$4:$D$2003,$A155))</f>
        <v>0</v>
      </c>
      <c r="E155" s="11">
        <f>IF(A155="",0,SUMIFS('[1]资金台帐'!$H$4:$H$3003,'[1]资金台帐'!$D$4:$D$3003,$A155,'[1]资金台帐'!$M$4:$M$3003,"往来"))</f>
        <v>0</v>
      </c>
      <c r="F155" s="11">
        <f>IF(A155="",0,N('[1]基础资料'!$M$154))</f>
        <v>0</v>
      </c>
      <c r="G155" s="11">
        <f>IF(OR(A155="",ISNUMBER(FIND("线上",B155))),0,SUMIFS('[1]销售出库'!$S$4:$S$2003,'[1]销售出库'!$B$4:$B$2003,$A155))</f>
        <v>0</v>
      </c>
      <c r="H155" s="11">
        <f>IF(A155="",0,SUMIFS('[1]资金台帐'!$G$4:$G$3003,'[1]资金台帐'!$D$4:$D$3003,$A155,'[1]资金台帐'!$M$4:$M$3003,"往来"))</f>
        <v>0</v>
      </c>
      <c r="I155" s="11">
        <f t="shared" si="0"/>
        <v>0</v>
      </c>
      <c r="J155" s="11">
        <f t="shared" si="1"/>
        <v>0</v>
      </c>
      <c r="K155" s="6">
        <f t="shared" si="2"/>
      </c>
    </row>
    <row r="156">
      <c r="A156" s="6">
        <f>IF('[1]基础资料'!$I$155="","",'[1]基础资料'!$I$155)</f>
      </c>
      <c r="B156" s="6">
        <f>IF(A156="","",'[1]基础资料'!$J$155&amp;IF('[1]基础资料'!$K$155="","","·"&amp;'[1]基础资料'!$K$155))</f>
      </c>
      <c r="C156" s="11">
        <f>IF(A156="",0,N('[1]基础资料'!$L$155))</f>
        <v>0</v>
      </c>
      <c r="D156" s="11">
        <f>IF(A156="",0,SUMIFS('[1]采购入库'!$V$4:$V$2003,'[1]采购入库'!$D$4:$D$2003,$A156))</f>
        <v>0</v>
      </c>
      <c r="E156" s="11">
        <f>IF(A156="",0,SUMIFS('[1]资金台帐'!$H$4:$H$3003,'[1]资金台帐'!$D$4:$D$3003,$A156,'[1]资金台帐'!$M$4:$M$3003,"往来"))</f>
        <v>0</v>
      </c>
      <c r="F156" s="11">
        <f>IF(A156="",0,N('[1]基础资料'!$M$155))</f>
        <v>0</v>
      </c>
      <c r="G156" s="11">
        <f>IF(OR(A156="",ISNUMBER(FIND("线上",B156))),0,SUMIFS('[1]销售出库'!$S$4:$S$2003,'[1]销售出库'!$B$4:$B$2003,$A156))</f>
        <v>0</v>
      </c>
      <c r="H156" s="11">
        <f>IF(A156="",0,SUMIFS('[1]资金台帐'!$G$4:$G$3003,'[1]资金台帐'!$D$4:$D$3003,$A156,'[1]资金台帐'!$M$4:$M$3003,"往来"))</f>
        <v>0</v>
      </c>
      <c r="I156" s="11">
        <f t="shared" si="0"/>
        <v>0</v>
      </c>
      <c r="J156" s="11">
        <f t="shared" si="1"/>
        <v>0</v>
      </c>
      <c r="K156" s="6">
        <f t="shared" si="2"/>
      </c>
    </row>
    <row r="157">
      <c r="A157" s="6">
        <f>IF('[1]基础资料'!$I$156="","",'[1]基础资料'!$I$156)</f>
      </c>
      <c r="B157" s="6">
        <f>IF(A157="","",'[1]基础资料'!$J$156&amp;IF('[1]基础资料'!$K$156="","","·"&amp;'[1]基础资料'!$K$156))</f>
      </c>
      <c r="C157" s="11">
        <f>IF(A157="",0,N('[1]基础资料'!$L$156))</f>
        <v>0</v>
      </c>
      <c r="D157" s="11">
        <f>IF(A157="",0,SUMIFS('[1]采购入库'!$V$4:$V$2003,'[1]采购入库'!$D$4:$D$2003,$A157))</f>
        <v>0</v>
      </c>
      <c r="E157" s="11">
        <f>IF(A157="",0,SUMIFS('[1]资金台帐'!$H$4:$H$3003,'[1]资金台帐'!$D$4:$D$3003,$A157,'[1]资金台帐'!$M$4:$M$3003,"往来"))</f>
        <v>0</v>
      </c>
      <c r="F157" s="11">
        <f>IF(A157="",0,N('[1]基础资料'!$M$156))</f>
        <v>0</v>
      </c>
      <c r="G157" s="11">
        <f>IF(OR(A157="",ISNUMBER(FIND("线上",B157))),0,SUMIFS('[1]销售出库'!$S$4:$S$2003,'[1]销售出库'!$B$4:$B$2003,$A157))</f>
        <v>0</v>
      </c>
      <c r="H157" s="11">
        <f>IF(A157="",0,SUMIFS('[1]资金台帐'!$G$4:$G$3003,'[1]资金台帐'!$D$4:$D$3003,$A157,'[1]资金台帐'!$M$4:$M$3003,"往来"))</f>
        <v>0</v>
      </c>
      <c r="I157" s="11">
        <f t="shared" si="0"/>
        <v>0</v>
      </c>
      <c r="J157" s="11">
        <f t="shared" si="1"/>
        <v>0</v>
      </c>
      <c r="K157" s="6">
        <f t="shared" si="2"/>
      </c>
    </row>
    <row r="158">
      <c r="A158" s="6">
        <f>IF('[1]基础资料'!$I$157="","",'[1]基础资料'!$I$157)</f>
      </c>
      <c r="B158" s="6">
        <f>IF(A158="","",'[1]基础资料'!$J$157&amp;IF('[1]基础资料'!$K$157="","","·"&amp;'[1]基础资料'!$K$157))</f>
      </c>
      <c r="C158" s="11">
        <f>IF(A158="",0,N('[1]基础资料'!$L$157))</f>
        <v>0</v>
      </c>
      <c r="D158" s="11">
        <f>IF(A158="",0,SUMIFS('[1]采购入库'!$V$4:$V$2003,'[1]采购入库'!$D$4:$D$2003,$A158))</f>
        <v>0</v>
      </c>
      <c r="E158" s="11">
        <f>IF(A158="",0,SUMIFS('[1]资金台帐'!$H$4:$H$3003,'[1]资金台帐'!$D$4:$D$3003,$A158,'[1]资金台帐'!$M$4:$M$3003,"往来"))</f>
        <v>0</v>
      </c>
      <c r="F158" s="11">
        <f>IF(A158="",0,N('[1]基础资料'!$M$157))</f>
        <v>0</v>
      </c>
      <c r="G158" s="11">
        <f>IF(OR(A158="",ISNUMBER(FIND("线上",B158))),0,SUMIFS('[1]销售出库'!$S$4:$S$2003,'[1]销售出库'!$B$4:$B$2003,$A158))</f>
        <v>0</v>
      </c>
      <c r="H158" s="11">
        <f>IF(A158="",0,SUMIFS('[1]资金台帐'!$G$4:$G$3003,'[1]资金台帐'!$D$4:$D$3003,$A158,'[1]资金台帐'!$M$4:$M$3003,"往来"))</f>
        <v>0</v>
      </c>
      <c r="I158" s="11">
        <f t="shared" si="0"/>
        <v>0</v>
      </c>
      <c r="J158" s="11">
        <f t="shared" si="1"/>
        <v>0</v>
      </c>
      <c r="K158" s="6">
        <f t="shared" si="2"/>
      </c>
    </row>
    <row r="159">
      <c r="A159" s="6">
        <f>IF('[1]基础资料'!$I$158="","",'[1]基础资料'!$I$158)</f>
      </c>
      <c r="B159" s="6">
        <f>IF(A159="","",'[1]基础资料'!$J$158&amp;IF('[1]基础资料'!$K$158="","","·"&amp;'[1]基础资料'!$K$158))</f>
      </c>
      <c r="C159" s="11">
        <f>IF(A159="",0,N('[1]基础资料'!$L$158))</f>
        <v>0</v>
      </c>
      <c r="D159" s="11">
        <f>IF(A159="",0,SUMIFS('[1]采购入库'!$V$4:$V$2003,'[1]采购入库'!$D$4:$D$2003,$A159))</f>
        <v>0</v>
      </c>
      <c r="E159" s="11">
        <f>IF(A159="",0,SUMIFS('[1]资金台帐'!$H$4:$H$3003,'[1]资金台帐'!$D$4:$D$3003,$A159,'[1]资金台帐'!$M$4:$M$3003,"往来"))</f>
        <v>0</v>
      </c>
      <c r="F159" s="11">
        <f>IF(A159="",0,N('[1]基础资料'!$M$158))</f>
        <v>0</v>
      </c>
      <c r="G159" s="11">
        <f>IF(OR(A159="",ISNUMBER(FIND("线上",B159))),0,SUMIFS('[1]销售出库'!$S$4:$S$2003,'[1]销售出库'!$B$4:$B$2003,$A159))</f>
        <v>0</v>
      </c>
      <c r="H159" s="11">
        <f>IF(A159="",0,SUMIFS('[1]资金台帐'!$G$4:$G$3003,'[1]资金台帐'!$D$4:$D$3003,$A159,'[1]资金台帐'!$M$4:$M$3003,"往来"))</f>
        <v>0</v>
      </c>
      <c r="I159" s="11">
        <f t="shared" si="0"/>
        <v>0</v>
      </c>
      <c r="J159" s="11">
        <f t="shared" si="1"/>
        <v>0</v>
      </c>
      <c r="K159" s="6">
        <f t="shared" si="2"/>
      </c>
    </row>
    <row r="160">
      <c r="A160" s="6">
        <f>IF('[1]基础资料'!$I$159="","",'[1]基础资料'!$I$159)</f>
      </c>
      <c r="B160" s="6">
        <f>IF(A160="","",'[1]基础资料'!$J$159&amp;IF('[1]基础资料'!$K$159="","","·"&amp;'[1]基础资料'!$K$159))</f>
      </c>
      <c r="C160" s="11">
        <f>IF(A160="",0,N('[1]基础资料'!$L$159))</f>
        <v>0</v>
      </c>
      <c r="D160" s="11">
        <f>IF(A160="",0,SUMIFS('[1]采购入库'!$V$4:$V$2003,'[1]采购入库'!$D$4:$D$2003,$A160))</f>
        <v>0</v>
      </c>
      <c r="E160" s="11">
        <f>IF(A160="",0,SUMIFS('[1]资金台帐'!$H$4:$H$3003,'[1]资金台帐'!$D$4:$D$3003,$A160,'[1]资金台帐'!$M$4:$M$3003,"往来"))</f>
        <v>0</v>
      </c>
      <c r="F160" s="11">
        <f>IF(A160="",0,N('[1]基础资料'!$M$159))</f>
        <v>0</v>
      </c>
      <c r="G160" s="11">
        <f>IF(OR(A160="",ISNUMBER(FIND("线上",B160))),0,SUMIFS('[1]销售出库'!$S$4:$S$2003,'[1]销售出库'!$B$4:$B$2003,$A160))</f>
        <v>0</v>
      </c>
      <c r="H160" s="11">
        <f>IF(A160="",0,SUMIFS('[1]资金台帐'!$G$4:$G$3003,'[1]资金台帐'!$D$4:$D$3003,$A160,'[1]资金台帐'!$M$4:$M$3003,"往来"))</f>
        <v>0</v>
      </c>
      <c r="I160" s="11">
        <f t="shared" si="0"/>
        <v>0</v>
      </c>
      <c r="J160" s="11">
        <f t="shared" si="1"/>
        <v>0</v>
      </c>
      <c r="K160" s="6">
        <f t="shared" si="2"/>
      </c>
    </row>
    <row r="161">
      <c r="A161" s="6">
        <f>IF('[1]基础资料'!$I$160="","",'[1]基础资料'!$I$160)</f>
      </c>
      <c r="B161" s="6">
        <f>IF(A161="","",'[1]基础资料'!$J$160&amp;IF('[1]基础资料'!$K$160="","","·"&amp;'[1]基础资料'!$K$160))</f>
      </c>
      <c r="C161" s="11">
        <f>IF(A161="",0,N('[1]基础资料'!$L$160))</f>
        <v>0</v>
      </c>
      <c r="D161" s="11">
        <f>IF(A161="",0,SUMIFS('[1]采购入库'!$V$4:$V$2003,'[1]采购入库'!$D$4:$D$2003,$A161))</f>
        <v>0</v>
      </c>
      <c r="E161" s="11">
        <f>IF(A161="",0,SUMIFS('[1]资金台帐'!$H$4:$H$3003,'[1]资金台帐'!$D$4:$D$3003,$A161,'[1]资金台帐'!$M$4:$M$3003,"往来"))</f>
        <v>0</v>
      </c>
      <c r="F161" s="11">
        <f>IF(A161="",0,N('[1]基础资料'!$M$160))</f>
        <v>0</v>
      </c>
      <c r="G161" s="11">
        <f>IF(OR(A161="",ISNUMBER(FIND("线上",B161))),0,SUMIFS('[1]销售出库'!$S$4:$S$2003,'[1]销售出库'!$B$4:$B$2003,$A161))</f>
        <v>0</v>
      </c>
      <c r="H161" s="11">
        <f>IF(A161="",0,SUMIFS('[1]资金台帐'!$G$4:$G$3003,'[1]资金台帐'!$D$4:$D$3003,$A161,'[1]资金台帐'!$M$4:$M$3003,"往来"))</f>
        <v>0</v>
      </c>
      <c r="I161" s="11">
        <f t="shared" si="0"/>
        <v>0</v>
      </c>
      <c r="J161" s="11">
        <f t="shared" si="1"/>
        <v>0</v>
      </c>
      <c r="K161" s="6">
        <f t="shared" si="2"/>
      </c>
    </row>
    <row r="162">
      <c r="A162" s="6">
        <f>IF('[1]基础资料'!$I$161="","",'[1]基础资料'!$I$161)</f>
      </c>
      <c r="B162" s="6">
        <f>IF(A162="","",'[1]基础资料'!$J$161&amp;IF('[1]基础资料'!$K$161="","","·"&amp;'[1]基础资料'!$K$161))</f>
      </c>
      <c r="C162" s="11">
        <f>IF(A162="",0,N('[1]基础资料'!$L$161))</f>
        <v>0</v>
      </c>
      <c r="D162" s="11">
        <f>IF(A162="",0,SUMIFS('[1]采购入库'!$V$4:$V$2003,'[1]采购入库'!$D$4:$D$2003,$A162))</f>
        <v>0</v>
      </c>
      <c r="E162" s="11">
        <f>IF(A162="",0,SUMIFS('[1]资金台帐'!$H$4:$H$3003,'[1]资金台帐'!$D$4:$D$3003,$A162,'[1]资金台帐'!$M$4:$M$3003,"往来"))</f>
        <v>0</v>
      </c>
      <c r="F162" s="11">
        <f>IF(A162="",0,N('[1]基础资料'!$M$161))</f>
        <v>0</v>
      </c>
      <c r="G162" s="11">
        <f>IF(OR(A162="",ISNUMBER(FIND("线上",B162))),0,SUMIFS('[1]销售出库'!$S$4:$S$2003,'[1]销售出库'!$B$4:$B$2003,$A162))</f>
        <v>0</v>
      </c>
      <c r="H162" s="11">
        <f>IF(A162="",0,SUMIFS('[1]资金台帐'!$G$4:$G$3003,'[1]资金台帐'!$D$4:$D$3003,$A162,'[1]资金台帐'!$M$4:$M$3003,"往来"))</f>
        <v>0</v>
      </c>
      <c r="I162" s="11">
        <f t="shared" si="0"/>
        <v>0</v>
      </c>
      <c r="J162" s="11">
        <f t="shared" si="1"/>
        <v>0</v>
      </c>
      <c r="K162" s="6">
        <f t="shared" si="2"/>
      </c>
    </row>
    <row r="163">
      <c r="A163" s="6">
        <f>IF('[1]基础资料'!$I$162="","",'[1]基础资料'!$I$162)</f>
      </c>
      <c r="B163" s="6">
        <f>IF(A163="","",'[1]基础资料'!$J$162&amp;IF('[1]基础资料'!$K$162="","","·"&amp;'[1]基础资料'!$K$162))</f>
      </c>
      <c r="C163" s="11">
        <f>IF(A163="",0,N('[1]基础资料'!$L$162))</f>
        <v>0</v>
      </c>
      <c r="D163" s="11">
        <f>IF(A163="",0,SUMIFS('[1]采购入库'!$V$4:$V$2003,'[1]采购入库'!$D$4:$D$2003,$A163))</f>
        <v>0</v>
      </c>
      <c r="E163" s="11">
        <f>IF(A163="",0,SUMIFS('[1]资金台帐'!$H$4:$H$3003,'[1]资金台帐'!$D$4:$D$3003,$A163,'[1]资金台帐'!$M$4:$M$3003,"往来"))</f>
        <v>0</v>
      </c>
      <c r="F163" s="11">
        <f>IF(A163="",0,N('[1]基础资料'!$M$162))</f>
        <v>0</v>
      </c>
      <c r="G163" s="11">
        <f>IF(OR(A163="",ISNUMBER(FIND("线上",B163))),0,SUMIFS('[1]销售出库'!$S$4:$S$2003,'[1]销售出库'!$B$4:$B$2003,$A163))</f>
        <v>0</v>
      </c>
      <c r="H163" s="11">
        <f>IF(A163="",0,SUMIFS('[1]资金台帐'!$G$4:$G$3003,'[1]资金台帐'!$D$4:$D$3003,$A163,'[1]资金台帐'!$M$4:$M$3003,"往来"))</f>
        <v>0</v>
      </c>
      <c r="I163" s="11">
        <f t="shared" si="0"/>
        <v>0</v>
      </c>
      <c r="J163" s="11">
        <f t="shared" si="1"/>
        <v>0</v>
      </c>
      <c r="K163" s="6">
        <f t="shared" si="2"/>
      </c>
    </row>
    <row r="164">
      <c r="A164" s="6">
        <f>IF('[1]基础资料'!$I$163="","",'[1]基础资料'!$I$163)</f>
      </c>
      <c r="B164" s="6">
        <f>IF(A164="","",'[1]基础资料'!$J$163&amp;IF('[1]基础资料'!$K$163="","","·"&amp;'[1]基础资料'!$K$163))</f>
      </c>
      <c r="C164" s="11">
        <f>IF(A164="",0,N('[1]基础资料'!$L$163))</f>
        <v>0</v>
      </c>
      <c r="D164" s="11">
        <f>IF(A164="",0,SUMIFS('[1]采购入库'!$V$4:$V$2003,'[1]采购入库'!$D$4:$D$2003,$A164))</f>
        <v>0</v>
      </c>
      <c r="E164" s="11">
        <f>IF(A164="",0,SUMIFS('[1]资金台帐'!$H$4:$H$3003,'[1]资金台帐'!$D$4:$D$3003,$A164,'[1]资金台帐'!$M$4:$M$3003,"往来"))</f>
        <v>0</v>
      </c>
      <c r="F164" s="11">
        <f>IF(A164="",0,N('[1]基础资料'!$M$163))</f>
        <v>0</v>
      </c>
      <c r="G164" s="11">
        <f>IF(OR(A164="",ISNUMBER(FIND("线上",B164))),0,SUMIFS('[1]销售出库'!$S$4:$S$2003,'[1]销售出库'!$B$4:$B$2003,$A164))</f>
        <v>0</v>
      </c>
      <c r="H164" s="11">
        <f>IF(A164="",0,SUMIFS('[1]资金台帐'!$G$4:$G$3003,'[1]资金台帐'!$D$4:$D$3003,$A164,'[1]资金台帐'!$M$4:$M$3003,"往来"))</f>
        <v>0</v>
      </c>
      <c r="I164" s="11">
        <f t="shared" si="0"/>
        <v>0</v>
      </c>
      <c r="J164" s="11">
        <f t="shared" si="1"/>
        <v>0</v>
      </c>
      <c r="K164" s="6">
        <f t="shared" si="2"/>
      </c>
    </row>
    <row r="165">
      <c r="A165" s="6">
        <f>IF('[1]基础资料'!$I$164="","",'[1]基础资料'!$I$164)</f>
      </c>
      <c r="B165" s="6">
        <f>IF(A165="","",'[1]基础资料'!$J$164&amp;IF('[1]基础资料'!$K$164="","","·"&amp;'[1]基础资料'!$K$164))</f>
      </c>
      <c r="C165" s="11">
        <f>IF(A165="",0,N('[1]基础资料'!$L$164))</f>
        <v>0</v>
      </c>
      <c r="D165" s="11">
        <f>IF(A165="",0,SUMIFS('[1]采购入库'!$V$4:$V$2003,'[1]采购入库'!$D$4:$D$2003,$A165))</f>
        <v>0</v>
      </c>
      <c r="E165" s="11">
        <f>IF(A165="",0,SUMIFS('[1]资金台帐'!$H$4:$H$3003,'[1]资金台帐'!$D$4:$D$3003,$A165,'[1]资金台帐'!$M$4:$M$3003,"往来"))</f>
        <v>0</v>
      </c>
      <c r="F165" s="11">
        <f>IF(A165="",0,N('[1]基础资料'!$M$164))</f>
        <v>0</v>
      </c>
      <c r="G165" s="11">
        <f>IF(OR(A165="",ISNUMBER(FIND("线上",B165))),0,SUMIFS('[1]销售出库'!$S$4:$S$2003,'[1]销售出库'!$B$4:$B$2003,$A165))</f>
        <v>0</v>
      </c>
      <c r="H165" s="11">
        <f>IF(A165="",0,SUMIFS('[1]资金台帐'!$G$4:$G$3003,'[1]资金台帐'!$D$4:$D$3003,$A165,'[1]资金台帐'!$M$4:$M$3003,"往来"))</f>
        <v>0</v>
      </c>
      <c r="I165" s="11">
        <f t="shared" si="0"/>
        <v>0</v>
      </c>
      <c r="J165" s="11">
        <f t="shared" si="1"/>
        <v>0</v>
      </c>
      <c r="K165" s="6">
        <f t="shared" si="2"/>
      </c>
    </row>
    <row r="166">
      <c r="A166" s="6">
        <f>IF('[1]基础资料'!$I$165="","",'[1]基础资料'!$I$165)</f>
      </c>
      <c r="B166" s="6">
        <f>IF(A166="","",'[1]基础资料'!$J$165&amp;IF('[1]基础资料'!$K$165="","","·"&amp;'[1]基础资料'!$K$165))</f>
      </c>
      <c r="C166" s="11">
        <f>IF(A166="",0,N('[1]基础资料'!$L$165))</f>
        <v>0</v>
      </c>
      <c r="D166" s="11">
        <f>IF(A166="",0,SUMIFS('[1]采购入库'!$V$4:$V$2003,'[1]采购入库'!$D$4:$D$2003,$A166))</f>
        <v>0</v>
      </c>
      <c r="E166" s="11">
        <f>IF(A166="",0,SUMIFS('[1]资金台帐'!$H$4:$H$3003,'[1]资金台帐'!$D$4:$D$3003,$A166,'[1]资金台帐'!$M$4:$M$3003,"往来"))</f>
        <v>0</v>
      </c>
      <c r="F166" s="11">
        <f>IF(A166="",0,N('[1]基础资料'!$M$165))</f>
        <v>0</v>
      </c>
      <c r="G166" s="11">
        <f>IF(OR(A166="",ISNUMBER(FIND("线上",B166))),0,SUMIFS('[1]销售出库'!$S$4:$S$2003,'[1]销售出库'!$B$4:$B$2003,$A166))</f>
        <v>0</v>
      </c>
      <c r="H166" s="11">
        <f>IF(A166="",0,SUMIFS('[1]资金台帐'!$G$4:$G$3003,'[1]资金台帐'!$D$4:$D$3003,$A166,'[1]资金台帐'!$M$4:$M$3003,"往来"))</f>
        <v>0</v>
      </c>
      <c r="I166" s="11">
        <f t="shared" si="0"/>
        <v>0</v>
      </c>
      <c r="J166" s="11">
        <f t="shared" si="1"/>
        <v>0</v>
      </c>
      <c r="K166" s="6">
        <f t="shared" si="2"/>
      </c>
    </row>
    <row r="167">
      <c r="A167" s="6">
        <f>IF('[1]基础资料'!$I$166="","",'[1]基础资料'!$I$166)</f>
      </c>
      <c r="B167" s="6">
        <f>IF(A167="","",'[1]基础资料'!$J$166&amp;IF('[1]基础资料'!$K$166="","","·"&amp;'[1]基础资料'!$K$166))</f>
      </c>
      <c r="C167" s="11">
        <f>IF(A167="",0,N('[1]基础资料'!$L$166))</f>
        <v>0</v>
      </c>
      <c r="D167" s="11">
        <f>IF(A167="",0,SUMIFS('[1]采购入库'!$V$4:$V$2003,'[1]采购入库'!$D$4:$D$2003,$A167))</f>
        <v>0</v>
      </c>
      <c r="E167" s="11">
        <f>IF(A167="",0,SUMIFS('[1]资金台帐'!$H$4:$H$3003,'[1]资金台帐'!$D$4:$D$3003,$A167,'[1]资金台帐'!$M$4:$M$3003,"往来"))</f>
        <v>0</v>
      </c>
      <c r="F167" s="11">
        <f>IF(A167="",0,N('[1]基础资料'!$M$166))</f>
        <v>0</v>
      </c>
      <c r="G167" s="11">
        <f>IF(OR(A167="",ISNUMBER(FIND("线上",B167))),0,SUMIFS('[1]销售出库'!$S$4:$S$2003,'[1]销售出库'!$B$4:$B$2003,$A167))</f>
        <v>0</v>
      </c>
      <c r="H167" s="11">
        <f>IF(A167="",0,SUMIFS('[1]资金台帐'!$G$4:$G$3003,'[1]资金台帐'!$D$4:$D$3003,$A167,'[1]资金台帐'!$M$4:$M$3003,"往来"))</f>
        <v>0</v>
      </c>
      <c r="I167" s="11">
        <f t="shared" si="0"/>
        <v>0</v>
      </c>
      <c r="J167" s="11">
        <f t="shared" si="1"/>
        <v>0</v>
      </c>
      <c r="K167" s="6">
        <f t="shared" si="2"/>
      </c>
    </row>
    <row r="168">
      <c r="A168" s="6">
        <f>IF('[1]基础资料'!$I$167="","",'[1]基础资料'!$I$167)</f>
      </c>
      <c r="B168" s="6">
        <f>IF(A168="","",'[1]基础资料'!$J$167&amp;IF('[1]基础资料'!$K$167="","","·"&amp;'[1]基础资料'!$K$167))</f>
      </c>
      <c r="C168" s="11">
        <f>IF(A168="",0,N('[1]基础资料'!$L$167))</f>
        <v>0</v>
      </c>
      <c r="D168" s="11">
        <f>IF(A168="",0,SUMIFS('[1]采购入库'!$V$4:$V$2003,'[1]采购入库'!$D$4:$D$2003,$A168))</f>
        <v>0</v>
      </c>
      <c r="E168" s="11">
        <f>IF(A168="",0,SUMIFS('[1]资金台帐'!$H$4:$H$3003,'[1]资金台帐'!$D$4:$D$3003,$A168,'[1]资金台帐'!$M$4:$M$3003,"往来"))</f>
        <v>0</v>
      </c>
      <c r="F168" s="11">
        <f>IF(A168="",0,N('[1]基础资料'!$M$167))</f>
        <v>0</v>
      </c>
      <c r="G168" s="11">
        <f>IF(OR(A168="",ISNUMBER(FIND("线上",B168))),0,SUMIFS('[1]销售出库'!$S$4:$S$2003,'[1]销售出库'!$B$4:$B$2003,$A168))</f>
        <v>0</v>
      </c>
      <c r="H168" s="11">
        <f>IF(A168="",0,SUMIFS('[1]资金台帐'!$G$4:$G$3003,'[1]资金台帐'!$D$4:$D$3003,$A168,'[1]资金台帐'!$M$4:$M$3003,"往来"))</f>
        <v>0</v>
      </c>
      <c r="I168" s="11">
        <f t="shared" si="0"/>
        <v>0</v>
      </c>
      <c r="J168" s="11">
        <f t="shared" si="1"/>
        <v>0</v>
      </c>
      <c r="K168" s="6">
        <f t="shared" si="2"/>
      </c>
    </row>
    <row r="169">
      <c r="A169" s="6">
        <f>IF('[1]基础资料'!$I$168="","",'[1]基础资料'!$I$168)</f>
      </c>
      <c r="B169" s="6">
        <f>IF(A169="","",'[1]基础资料'!$J$168&amp;IF('[1]基础资料'!$K$168="","","·"&amp;'[1]基础资料'!$K$168))</f>
      </c>
      <c r="C169" s="11">
        <f>IF(A169="",0,N('[1]基础资料'!$L$168))</f>
        <v>0</v>
      </c>
      <c r="D169" s="11">
        <f>IF(A169="",0,SUMIFS('[1]采购入库'!$V$4:$V$2003,'[1]采购入库'!$D$4:$D$2003,$A169))</f>
        <v>0</v>
      </c>
      <c r="E169" s="11">
        <f>IF(A169="",0,SUMIFS('[1]资金台帐'!$H$4:$H$3003,'[1]资金台帐'!$D$4:$D$3003,$A169,'[1]资金台帐'!$M$4:$M$3003,"往来"))</f>
        <v>0</v>
      </c>
      <c r="F169" s="11">
        <f>IF(A169="",0,N('[1]基础资料'!$M$168))</f>
        <v>0</v>
      </c>
      <c r="G169" s="11">
        <f>IF(OR(A169="",ISNUMBER(FIND("线上",B169))),0,SUMIFS('[1]销售出库'!$S$4:$S$2003,'[1]销售出库'!$B$4:$B$2003,$A169))</f>
        <v>0</v>
      </c>
      <c r="H169" s="11">
        <f>IF(A169="",0,SUMIFS('[1]资金台帐'!$G$4:$G$3003,'[1]资金台帐'!$D$4:$D$3003,$A169,'[1]资金台帐'!$M$4:$M$3003,"往来"))</f>
        <v>0</v>
      </c>
      <c r="I169" s="11">
        <f t="shared" si="0"/>
        <v>0</v>
      </c>
      <c r="J169" s="11">
        <f t="shared" si="1"/>
        <v>0</v>
      </c>
      <c r="K169" s="6">
        <f t="shared" si="2"/>
      </c>
    </row>
    <row r="170">
      <c r="A170" s="6">
        <f>IF('[1]基础资料'!$I$169="","",'[1]基础资料'!$I$169)</f>
      </c>
      <c r="B170" s="6">
        <f>IF(A170="","",'[1]基础资料'!$J$169&amp;IF('[1]基础资料'!$K$169="","","·"&amp;'[1]基础资料'!$K$169))</f>
      </c>
      <c r="C170" s="11">
        <f>IF(A170="",0,N('[1]基础资料'!$L$169))</f>
        <v>0</v>
      </c>
      <c r="D170" s="11">
        <f>IF(A170="",0,SUMIFS('[1]采购入库'!$V$4:$V$2003,'[1]采购入库'!$D$4:$D$2003,$A170))</f>
        <v>0</v>
      </c>
      <c r="E170" s="11">
        <f>IF(A170="",0,SUMIFS('[1]资金台帐'!$H$4:$H$3003,'[1]资金台帐'!$D$4:$D$3003,$A170,'[1]资金台帐'!$M$4:$M$3003,"往来"))</f>
        <v>0</v>
      </c>
      <c r="F170" s="11">
        <f>IF(A170="",0,N('[1]基础资料'!$M$169))</f>
        <v>0</v>
      </c>
      <c r="G170" s="11">
        <f>IF(OR(A170="",ISNUMBER(FIND("线上",B170))),0,SUMIFS('[1]销售出库'!$S$4:$S$2003,'[1]销售出库'!$B$4:$B$2003,$A170))</f>
        <v>0</v>
      </c>
      <c r="H170" s="11">
        <f>IF(A170="",0,SUMIFS('[1]资金台帐'!$G$4:$G$3003,'[1]资金台帐'!$D$4:$D$3003,$A170,'[1]资金台帐'!$M$4:$M$3003,"往来"))</f>
        <v>0</v>
      </c>
      <c r="I170" s="11">
        <f t="shared" si="0"/>
        <v>0</v>
      </c>
      <c r="J170" s="11">
        <f t="shared" si="1"/>
        <v>0</v>
      </c>
      <c r="K170" s="6">
        <f t="shared" si="2"/>
      </c>
    </row>
    <row r="171">
      <c r="A171" s="6">
        <f>IF('[1]基础资料'!$I$170="","",'[1]基础资料'!$I$170)</f>
      </c>
      <c r="B171" s="6">
        <f>IF(A171="","",'[1]基础资料'!$J$170&amp;IF('[1]基础资料'!$K$170="","","·"&amp;'[1]基础资料'!$K$170))</f>
      </c>
      <c r="C171" s="11">
        <f>IF(A171="",0,N('[1]基础资料'!$L$170))</f>
        <v>0</v>
      </c>
      <c r="D171" s="11">
        <f>IF(A171="",0,SUMIFS('[1]采购入库'!$V$4:$V$2003,'[1]采购入库'!$D$4:$D$2003,$A171))</f>
        <v>0</v>
      </c>
      <c r="E171" s="11">
        <f>IF(A171="",0,SUMIFS('[1]资金台帐'!$H$4:$H$3003,'[1]资金台帐'!$D$4:$D$3003,$A171,'[1]资金台帐'!$M$4:$M$3003,"往来"))</f>
        <v>0</v>
      </c>
      <c r="F171" s="11">
        <f>IF(A171="",0,N('[1]基础资料'!$M$170))</f>
        <v>0</v>
      </c>
      <c r="G171" s="11">
        <f>IF(OR(A171="",ISNUMBER(FIND("线上",B171))),0,SUMIFS('[1]销售出库'!$S$4:$S$2003,'[1]销售出库'!$B$4:$B$2003,$A171))</f>
        <v>0</v>
      </c>
      <c r="H171" s="11">
        <f>IF(A171="",0,SUMIFS('[1]资金台帐'!$G$4:$G$3003,'[1]资金台帐'!$D$4:$D$3003,$A171,'[1]资金台帐'!$M$4:$M$3003,"往来"))</f>
        <v>0</v>
      </c>
      <c r="I171" s="11">
        <f t="shared" si="0"/>
        <v>0</v>
      </c>
      <c r="J171" s="11">
        <f t="shared" si="1"/>
        <v>0</v>
      </c>
      <c r="K171" s="6">
        <f t="shared" si="2"/>
      </c>
    </row>
    <row r="172">
      <c r="A172" s="6">
        <f>IF('[1]基础资料'!$I$171="","",'[1]基础资料'!$I$171)</f>
      </c>
      <c r="B172" s="6">
        <f>IF(A172="","",'[1]基础资料'!$J$171&amp;IF('[1]基础资料'!$K$171="","","·"&amp;'[1]基础资料'!$K$171))</f>
      </c>
      <c r="C172" s="11">
        <f>IF(A172="",0,N('[1]基础资料'!$L$171))</f>
        <v>0</v>
      </c>
      <c r="D172" s="11">
        <f>IF(A172="",0,SUMIFS('[1]采购入库'!$V$4:$V$2003,'[1]采购入库'!$D$4:$D$2003,$A172))</f>
        <v>0</v>
      </c>
      <c r="E172" s="11">
        <f>IF(A172="",0,SUMIFS('[1]资金台帐'!$H$4:$H$3003,'[1]资金台帐'!$D$4:$D$3003,$A172,'[1]资金台帐'!$M$4:$M$3003,"往来"))</f>
        <v>0</v>
      </c>
      <c r="F172" s="11">
        <f>IF(A172="",0,N('[1]基础资料'!$M$171))</f>
        <v>0</v>
      </c>
      <c r="G172" s="11">
        <f>IF(OR(A172="",ISNUMBER(FIND("线上",B172))),0,SUMIFS('[1]销售出库'!$S$4:$S$2003,'[1]销售出库'!$B$4:$B$2003,$A172))</f>
        <v>0</v>
      </c>
      <c r="H172" s="11">
        <f>IF(A172="",0,SUMIFS('[1]资金台帐'!$G$4:$G$3003,'[1]资金台帐'!$D$4:$D$3003,$A172,'[1]资金台帐'!$M$4:$M$3003,"往来"))</f>
        <v>0</v>
      </c>
      <c r="I172" s="11">
        <f t="shared" si="0"/>
        <v>0</v>
      </c>
      <c r="J172" s="11">
        <f t="shared" si="1"/>
        <v>0</v>
      </c>
      <c r="K172" s="6">
        <f t="shared" si="2"/>
      </c>
    </row>
    <row r="173">
      <c r="A173" s="6">
        <f>IF('[1]基础资料'!$I$172="","",'[1]基础资料'!$I$172)</f>
      </c>
      <c r="B173" s="6">
        <f>IF(A173="","",'[1]基础资料'!$J$172&amp;IF('[1]基础资料'!$K$172="","","·"&amp;'[1]基础资料'!$K$172))</f>
      </c>
      <c r="C173" s="11">
        <f>IF(A173="",0,N('[1]基础资料'!$L$172))</f>
        <v>0</v>
      </c>
      <c r="D173" s="11">
        <f>IF(A173="",0,SUMIFS('[1]采购入库'!$V$4:$V$2003,'[1]采购入库'!$D$4:$D$2003,$A173))</f>
        <v>0</v>
      </c>
      <c r="E173" s="11">
        <f>IF(A173="",0,SUMIFS('[1]资金台帐'!$H$4:$H$3003,'[1]资金台帐'!$D$4:$D$3003,$A173,'[1]资金台帐'!$M$4:$M$3003,"往来"))</f>
        <v>0</v>
      </c>
      <c r="F173" s="11">
        <f>IF(A173="",0,N('[1]基础资料'!$M$172))</f>
        <v>0</v>
      </c>
      <c r="G173" s="11">
        <f>IF(OR(A173="",ISNUMBER(FIND("线上",B173))),0,SUMIFS('[1]销售出库'!$S$4:$S$2003,'[1]销售出库'!$B$4:$B$2003,$A173))</f>
        <v>0</v>
      </c>
      <c r="H173" s="11">
        <f>IF(A173="",0,SUMIFS('[1]资金台帐'!$G$4:$G$3003,'[1]资金台帐'!$D$4:$D$3003,$A173,'[1]资金台帐'!$M$4:$M$3003,"往来"))</f>
        <v>0</v>
      </c>
      <c r="I173" s="11">
        <f t="shared" si="0"/>
        <v>0</v>
      </c>
      <c r="J173" s="11">
        <f t="shared" si="1"/>
        <v>0</v>
      </c>
      <c r="K173" s="6">
        <f t="shared" si="2"/>
      </c>
    </row>
    <row r="174">
      <c r="A174" s="6">
        <f>IF('[1]基础资料'!$I$173="","",'[1]基础资料'!$I$173)</f>
      </c>
      <c r="B174" s="6">
        <f>IF(A174="","",'[1]基础资料'!$J$173&amp;IF('[1]基础资料'!$K$173="","","·"&amp;'[1]基础资料'!$K$173))</f>
      </c>
      <c r="C174" s="11">
        <f>IF(A174="",0,N('[1]基础资料'!$L$173))</f>
        <v>0</v>
      </c>
      <c r="D174" s="11">
        <f>IF(A174="",0,SUMIFS('[1]采购入库'!$V$4:$V$2003,'[1]采购入库'!$D$4:$D$2003,$A174))</f>
        <v>0</v>
      </c>
      <c r="E174" s="11">
        <f>IF(A174="",0,SUMIFS('[1]资金台帐'!$H$4:$H$3003,'[1]资金台帐'!$D$4:$D$3003,$A174,'[1]资金台帐'!$M$4:$M$3003,"往来"))</f>
        <v>0</v>
      </c>
      <c r="F174" s="11">
        <f>IF(A174="",0,N('[1]基础资料'!$M$173))</f>
        <v>0</v>
      </c>
      <c r="G174" s="11">
        <f>IF(OR(A174="",ISNUMBER(FIND("线上",B174))),0,SUMIFS('[1]销售出库'!$S$4:$S$2003,'[1]销售出库'!$B$4:$B$2003,$A174))</f>
        <v>0</v>
      </c>
      <c r="H174" s="11">
        <f>IF(A174="",0,SUMIFS('[1]资金台帐'!$G$4:$G$3003,'[1]资金台帐'!$D$4:$D$3003,$A174,'[1]资金台帐'!$M$4:$M$3003,"往来"))</f>
        <v>0</v>
      </c>
      <c r="I174" s="11">
        <f t="shared" si="0"/>
        <v>0</v>
      </c>
      <c r="J174" s="11">
        <f t="shared" si="1"/>
        <v>0</v>
      </c>
      <c r="K174" s="6">
        <f t="shared" si="2"/>
      </c>
    </row>
    <row r="175">
      <c r="A175" s="6">
        <f>IF('[1]基础资料'!$I$174="","",'[1]基础资料'!$I$174)</f>
      </c>
      <c r="B175" s="6">
        <f>IF(A175="","",'[1]基础资料'!$J$174&amp;IF('[1]基础资料'!$K$174="","","·"&amp;'[1]基础资料'!$K$174))</f>
      </c>
      <c r="C175" s="11">
        <f>IF(A175="",0,N('[1]基础资料'!$L$174))</f>
        <v>0</v>
      </c>
      <c r="D175" s="11">
        <f>IF(A175="",0,SUMIFS('[1]采购入库'!$V$4:$V$2003,'[1]采购入库'!$D$4:$D$2003,$A175))</f>
        <v>0</v>
      </c>
      <c r="E175" s="11">
        <f>IF(A175="",0,SUMIFS('[1]资金台帐'!$H$4:$H$3003,'[1]资金台帐'!$D$4:$D$3003,$A175,'[1]资金台帐'!$M$4:$M$3003,"往来"))</f>
        <v>0</v>
      </c>
      <c r="F175" s="11">
        <f>IF(A175="",0,N('[1]基础资料'!$M$174))</f>
        <v>0</v>
      </c>
      <c r="G175" s="11">
        <f>IF(OR(A175="",ISNUMBER(FIND("线上",B175))),0,SUMIFS('[1]销售出库'!$S$4:$S$2003,'[1]销售出库'!$B$4:$B$2003,$A175))</f>
        <v>0</v>
      </c>
      <c r="H175" s="11">
        <f>IF(A175="",0,SUMIFS('[1]资金台帐'!$G$4:$G$3003,'[1]资金台帐'!$D$4:$D$3003,$A175,'[1]资金台帐'!$M$4:$M$3003,"往来"))</f>
        <v>0</v>
      </c>
      <c r="I175" s="11">
        <f t="shared" si="0"/>
        <v>0</v>
      </c>
      <c r="J175" s="11">
        <f t="shared" si="1"/>
        <v>0</v>
      </c>
      <c r="K175" s="6">
        <f t="shared" si="2"/>
      </c>
    </row>
    <row r="176">
      <c r="A176" s="6">
        <f>IF('[1]基础资料'!$I$175="","",'[1]基础资料'!$I$175)</f>
      </c>
      <c r="B176" s="6">
        <f>IF(A176="","",'[1]基础资料'!$J$175&amp;IF('[1]基础资料'!$K$175="","","·"&amp;'[1]基础资料'!$K$175))</f>
      </c>
      <c r="C176" s="11">
        <f>IF(A176="",0,N('[1]基础资料'!$L$175))</f>
        <v>0</v>
      </c>
      <c r="D176" s="11">
        <f>IF(A176="",0,SUMIFS('[1]采购入库'!$V$4:$V$2003,'[1]采购入库'!$D$4:$D$2003,$A176))</f>
        <v>0</v>
      </c>
      <c r="E176" s="11">
        <f>IF(A176="",0,SUMIFS('[1]资金台帐'!$H$4:$H$3003,'[1]资金台帐'!$D$4:$D$3003,$A176,'[1]资金台帐'!$M$4:$M$3003,"往来"))</f>
        <v>0</v>
      </c>
      <c r="F176" s="11">
        <f>IF(A176="",0,N('[1]基础资料'!$M$175))</f>
        <v>0</v>
      </c>
      <c r="G176" s="11">
        <f>IF(OR(A176="",ISNUMBER(FIND("线上",B176))),0,SUMIFS('[1]销售出库'!$S$4:$S$2003,'[1]销售出库'!$B$4:$B$2003,$A176))</f>
        <v>0</v>
      </c>
      <c r="H176" s="11">
        <f>IF(A176="",0,SUMIFS('[1]资金台帐'!$G$4:$G$3003,'[1]资金台帐'!$D$4:$D$3003,$A176,'[1]资金台帐'!$M$4:$M$3003,"往来"))</f>
        <v>0</v>
      </c>
      <c r="I176" s="11">
        <f t="shared" si="0"/>
        <v>0</v>
      </c>
      <c r="J176" s="11">
        <f t="shared" si="1"/>
        <v>0</v>
      </c>
      <c r="K176" s="6">
        <f t="shared" si="2"/>
      </c>
    </row>
    <row r="177">
      <c r="A177" s="6">
        <f>IF('[1]基础资料'!$I$176="","",'[1]基础资料'!$I$176)</f>
      </c>
      <c r="B177" s="6">
        <f>IF(A177="","",'[1]基础资料'!$J$176&amp;IF('[1]基础资料'!$K$176="","","·"&amp;'[1]基础资料'!$K$176))</f>
      </c>
      <c r="C177" s="11">
        <f>IF(A177="",0,N('[1]基础资料'!$L$176))</f>
        <v>0</v>
      </c>
      <c r="D177" s="11">
        <f>IF(A177="",0,SUMIFS('[1]采购入库'!$V$4:$V$2003,'[1]采购入库'!$D$4:$D$2003,$A177))</f>
        <v>0</v>
      </c>
      <c r="E177" s="11">
        <f>IF(A177="",0,SUMIFS('[1]资金台帐'!$H$4:$H$3003,'[1]资金台帐'!$D$4:$D$3003,$A177,'[1]资金台帐'!$M$4:$M$3003,"往来"))</f>
        <v>0</v>
      </c>
      <c r="F177" s="11">
        <f>IF(A177="",0,N('[1]基础资料'!$M$176))</f>
        <v>0</v>
      </c>
      <c r="G177" s="11">
        <f>IF(OR(A177="",ISNUMBER(FIND("线上",B177))),0,SUMIFS('[1]销售出库'!$S$4:$S$2003,'[1]销售出库'!$B$4:$B$2003,$A177))</f>
        <v>0</v>
      </c>
      <c r="H177" s="11">
        <f>IF(A177="",0,SUMIFS('[1]资金台帐'!$G$4:$G$3003,'[1]资金台帐'!$D$4:$D$3003,$A177,'[1]资金台帐'!$M$4:$M$3003,"往来"))</f>
        <v>0</v>
      </c>
      <c r="I177" s="11">
        <f t="shared" si="0"/>
        <v>0</v>
      </c>
      <c r="J177" s="11">
        <f t="shared" si="1"/>
        <v>0</v>
      </c>
      <c r="K177" s="6">
        <f t="shared" si="2"/>
      </c>
    </row>
    <row r="178">
      <c r="A178" s="6">
        <f>IF('[1]基础资料'!$I$177="","",'[1]基础资料'!$I$177)</f>
      </c>
      <c r="B178" s="6">
        <f>IF(A178="","",'[1]基础资料'!$J$177&amp;IF('[1]基础资料'!$K$177="","","·"&amp;'[1]基础资料'!$K$177))</f>
      </c>
      <c r="C178" s="11">
        <f>IF(A178="",0,N('[1]基础资料'!$L$177))</f>
        <v>0</v>
      </c>
      <c r="D178" s="11">
        <f>IF(A178="",0,SUMIFS('[1]采购入库'!$V$4:$V$2003,'[1]采购入库'!$D$4:$D$2003,$A178))</f>
        <v>0</v>
      </c>
      <c r="E178" s="11">
        <f>IF(A178="",0,SUMIFS('[1]资金台帐'!$H$4:$H$3003,'[1]资金台帐'!$D$4:$D$3003,$A178,'[1]资金台帐'!$M$4:$M$3003,"往来"))</f>
        <v>0</v>
      </c>
      <c r="F178" s="11">
        <f>IF(A178="",0,N('[1]基础资料'!$M$177))</f>
        <v>0</v>
      </c>
      <c r="G178" s="11">
        <f>IF(OR(A178="",ISNUMBER(FIND("线上",B178))),0,SUMIFS('[1]销售出库'!$S$4:$S$2003,'[1]销售出库'!$B$4:$B$2003,$A178))</f>
        <v>0</v>
      </c>
      <c r="H178" s="11">
        <f>IF(A178="",0,SUMIFS('[1]资金台帐'!$G$4:$G$3003,'[1]资金台帐'!$D$4:$D$3003,$A178,'[1]资金台帐'!$M$4:$M$3003,"往来"))</f>
        <v>0</v>
      </c>
      <c r="I178" s="11">
        <f t="shared" si="0"/>
        <v>0</v>
      </c>
      <c r="J178" s="11">
        <f t="shared" si="1"/>
        <v>0</v>
      </c>
      <c r="K178" s="6">
        <f t="shared" si="2"/>
      </c>
    </row>
    <row r="179">
      <c r="A179" s="6">
        <f>IF('[1]基础资料'!$I$178="","",'[1]基础资料'!$I$178)</f>
      </c>
      <c r="B179" s="6">
        <f>IF(A179="","",'[1]基础资料'!$J$178&amp;IF('[1]基础资料'!$K$178="","","·"&amp;'[1]基础资料'!$K$178))</f>
      </c>
      <c r="C179" s="11">
        <f>IF(A179="",0,N('[1]基础资料'!$L$178))</f>
        <v>0</v>
      </c>
      <c r="D179" s="11">
        <f>IF(A179="",0,SUMIFS('[1]采购入库'!$V$4:$V$2003,'[1]采购入库'!$D$4:$D$2003,$A179))</f>
        <v>0</v>
      </c>
      <c r="E179" s="11">
        <f>IF(A179="",0,SUMIFS('[1]资金台帐'!$H$4:$H$3003,'[1]资金台帐'!$D$4:$D$3003,$A179,'[1]资金台帐'!$M$4:$M$3003,"往来"))</f>
        <v>0</v>
      </c>
      <c r="F179" s="11">
        <f>IF(A179="",0,N('[1]基础资料'!$M$178))</f>
        <v>0</v>
      </c>
      <c r="G179" s="11">
        <f>IF(OR(A179="",ISNUMBER(FIND("线上",B179))),0,SUMIFS('[1]销售出库'!$S$4:$S$2003,'[1]销售出库'!$B$4:$B$2003,$A179))</f>
        <v>0</v>
      </c>
      <c r="H179" s="11">
        <f>IF(A179="",0,SUMIFS('[1]资金台帐'!$G$4:$G$3003,'[1]资金台帐'!$D$4:$D$3003,$A179,'[1]资金台帐'!$M$4:$M$3003,"往来"))</f>
        <v>0</v>
      </c>
      <c r="I179" s="11">
        <f t="shared" si="0"/>
        <v>0</v>
      </c>
      <c r="J179" s="11">
        <f t="shared" si="1"/>
        <v>0</v>
      </c>
      <c r="K179" s="6">
        <f t="shared" si="2"/>
      </c>
    </row>
    <row r="180">
      <c r="A180" s="6">
        <f>IF('[1]基础资料'!$I$179="","",'[1]基础资料'!$I$179)</f>
      </c>
      <c r="B180" s="6">
        <f>IF(A180="","",'[1]基础资料'!$J$179&amp;IF('[1]基础资料'!$K$179="","","·"&amp;'[1]基础资料'!$K$179))</f>
      </c>
      <c r="C180" s="11">
        <f>IF(A180="",0,N('[1]基础资料'!$L$179))</f>
        <v>0</v>
      </c>
      <c r="D180" s="11">
        <f>IF(A180="",0,SUMIFS('[1]采购入库'!$V$4:$V$2003,'[1]采购入库'!$D$4:$D$2003,$A180))</f>
        <v>0</v>
      </c>
      <c r="E180" s="11">
        <f>IF(A180="",0,SUMIFS('[1]资金台帐'!$H$4:$H$3003,'[1]资金台帐'!$D$4:$D$3003,$A180,'[1]资金台帐'!$M$4:$M$3003,"往来"))</f>
        <v>0</v>
      </c>
      <c r="F180" s="11">
        <f>IF(A180="",0,N('[1]基础资料'!$M$179))</f>
        <v>0</v>
      </c>
      <c r="G180" s="11">
        <f>IF(OR(A180="",ISNUMBER(FIND("线上",B180))),0,SUMIFS('[1]销售出库'!$S$4:$S$2003,'[1]销售出库'!$B$4:$B$2003,$A180))</f>
        <v>0</v>
      </c>
      <c r="H180" s="11">
        <f>IF(A180="",0,SUMIFS('[1]资金台帐'!$G$4:$G$3003,'[1]资金台帐'!$D$4:$D$3003,$A180,'[1]资金台帐'!$M$4:$M$3003,"往来"))</f>
        <v>0</v>
      </c>
      <c r="I180" s="11">
        <f t="shared" si="0"/>
        <v>0</v>
      </c>
      <c r="J180" s="11">
        <f t="shared" si="1"/>
        <v>0</v>
      </c>
      <c r="K180" s="6">
        <f t="shared" si="2"/>
      </c>
    </row>
    <row r="181">
      <c r="A181" s="6">
        <f>IF('[1]基础资料'!$I$180="","",'[1]基础资料'!$I$180)</f>
      </c>
      <c r="B181" s="6">
        <f>IF(A181="","",'[1]基础资料'!$J$180&amp;IF('[1]基础资料'!$K$180="","","·"&amp;'[1]基础资料'!$K$180))</f>
      </c>
      <c r="C181" s="11">
        <f>IF(A181="",0,N('[1]基础资料'!$L$180))</f>
        <v>0</v>
      </c>
      <c r="D181" s="11">
        <f>IF(A181="",0,SUMIFS('[1]采购入库'!$V$4:$V$2003,'[1]采购入库'!$D$4:$D$2003,$A181))</f>
        <v>0</v>
      </c>
      <c r="E181" s="11">
        <f>IF(A181="",0,SUMIFS('[1]资金台帐'!$H$4:$H$3003,'[1]资金台帐'!$D$4:$D$3003,$A181,'[1]资金台帐'!$M$4:$M$3003,"往来"))</f>
        <v>0</v>
      </c>
      <c r="F181" s="11">
        <f>IF(A181="",0,N('[1]基础资料'!$M$180))</f>
        <v>0</v>
      </c>
      <c r="G181" s="11">
        <f>IF(OR(A181="",ISNUMBER(FIND("线上",B181))),0,SUMIFS('[1]销售出库'!$S$4:$S$2003,'[1]销售出库'!$B$4:$B$2003,$A181))</f>
        <v>0</v>
      </c>
      <c r="H181" s="11">
        <f>IF(A181="",0,SUMIFS('[1]资金台帐'!$G$4:$G$3003,'[1]资金台帐'!$D$4:$D$3003,$A181,'[1]资金台帐'!$M$4:$M$3003,"往来"))</f>
        <v>0</v>
      </c>
      <c r="I181" s="11">
        <f t="shared" si="0"/>
        <v>0</v>
      </c>
      <c r="J181" s="11">
        <f t="shared" si="1"/>
        <v>0</v>
      </c>
      <c r="K181" s="6">
        <f t="shared" si="2"/>
      </c>
    </row>
    <row r="182">
      <c r="A182" s="6">
        <f>IF('[1]基础资料'!$I$181="","",'[1]基础资料'!$I$181)</f>
      </c>
      <c r="B182" s="6">
        <f>IF(A182="","",'[1]基础资料'!$J$181&amp;IF('[1]基础资料'!$K$181="","","·"&amp;'[1]基础资料'!$K$181))</f>
      </c>
      <c r="C182" s="11">
        <f>IF(A182="",0,N('[1]基础资料'!$L$181))</f>
        <v>0</v>
      </c>
      <c r="D182" s="11">
        <f>IF(A182="",0,SUMIFS('[1]采购入库'!$V$4:$V$2003,'[1]采购入库'!$D$4:$D$2003,$A182))</f>
        <v>0</v>
      </c>
      <c r="E182" s="11">
        <f>IF(A182="",0,SUMIFS('[1]资金台帐'!$H$4:$H$3003,'[1]资金台帐'!$D$4:$D$3003,$A182,'[1]资金台帐'!$M$4:$M$3003,"往来"))</f>
        <v>0</v>
      </c>
      <c r="F182" s="11">
        <f>IF(A182="",0,N('[1]基础资料'!$M$181))</f>
        <v>0</v>
      </c>
      <c r="G182" s="11">
        <f>IF(OR(A182="",ISNUMBER(FIND("线上",B182))),0,SUMIFS('[1]销售出库'!$S$4:$S$2003,'[1]销售出库'!$B$4:$B$2003,$A182))</f>
        <v>0</v>
      </c>
      <c r="H182" s="11">
        <f>IF(A182="",0,SUMIFS('[1]资金台帐'!$G$4:$G$3003,'[1]资金台帐'!$D$4:$D$3003,$A182,'[1]资金台帐'!$M$4:$M$3003,"往来"))</f>
        <v>0</v>
      </c>
      <c r="I182" s="11">
        <f t="shared" si="0"/>
        <v>0</v>
      </c>
      <c r="J182" s="11">
        <f t="shared" si="1"/>
        <v>0</v>
      </c>
      <c r="K182" s="6">
        <f t="shared" si="2"/>
      </c>
    </row>
    <row r="183">
      <c r="A183" s="6">
        <f>IF('[1]基础资料'!$I$182="","",'[1]基础资料'!$I$182)</f>
      </c>
      <c r="B183" s="6">
        <f>IF(A183="","",'[1]基础资料'!$J$182&amp;IF('[1]基础资料'!$K$182="","","·"&amp;'[1]基础资料'!$K$182))</f>
      </c>
      <c r="C183" s="11">
        <f>IF(A183="",0,N('[1]基础资料'!$L$182))</f>
        <v>0</v>
      </c>
      <c r="D183" s="11">
        <f>IF(A183="",0,SUMIFS('[1]采购入库'!$V$4:$V$2003,'[1]采购入库'!$D$4:$D$2003,$A183))</f>
        <v>0</v>
      </c>
      <c r="E183" s="11">
        <f>IF(A183="",0,SUMIFS('[1]资金台帐'!$H$4:$H$3003,'[1]资金台帐'!$D$4:$D$3003,$A183,'[1]资金台帐'!$M$4:$M$3003,"往来"))</f>
        <v>0</v>
      </c>
      <c r="F183" s="11">
        <f>IF(A183="",0,N('[1]基础资料'!$M$182))</f>
        <v>0</v>
      </c>
      <c r="G183" s="11">
        <f>IF(OR(A183="",ISNUMBER(FIND("线上",B183))),0,SUMIFS('[1]销售出库'!$S$4:$S$2003,'[1]销售出库'!$B$4:$B$2003,$A183))</f>
        <v>0</v>
      </c>
      <c r="H183" s="11">
        <f>IF(A183="",0,SUMIFS('[1]资金台帐'!$G$4:$G$3003,'[1]资金台帐'!$D$4:$D$3003,$A183,'[1]资金台帐'!$M$4:$M$3003,"往来"))</f>
        <v>0</v>
      </c>
      <c r="I183" s="11">
        <f t="shared" si="0"/>
        <v>0</v>
      </c>
      <c r="J183" s="11">
        <f t="shared" si="1"/>
        <v>0</v>
      </c>
      <c r="K183" s="6">
        <f t="shared" si="2"/>
      </c>
    </row>
    <row r="184">
      <c r="A184" s="6">
        <f>IF('[1]基础资料'!$I$183="","",'[1]基础资料'!$I$183)</f>
      </c>
      <c r="B184" s="6">
        <f>IF(A184="","",'[1]基础资料'!$J$183&amp;IF('[1]基础资料'!$K$183="","","·"&amp;'[1]基础资料'!$K$183))</f>
      </c>
      <c r="C184" s="11">
        <f>IF(A184="",0,N('[1]基础资料'!$L$183))</f>
        <v>0</v>
      </c>
      <c r="D184" s="11">
        <f>IF(A184="",0,SUMIFS('[1]采购入库'!$V$4:$V$2003,'[1]采购入库'!$D$4:$D$2003,$A184))</f>
        <v>0</v>
      </c>
      <c r="E184" s="11">
        <f>IF(A184="",0,SUMIFS('[1]资金台帐'!$H$4:$H$3003,'[1]资金台帐'!$D$4:$D$3003,$A184,'[1]资金台帐'!$M$4:$M$3003,"往来"))</f>
        <v>0</v>
      </c>
      <c r="F184" s="11">
        <f>IF(A184="",0,N('[1]基础资料'!$M$183))</f>
        <v>0</v>
      </c>
      <c r="G184" s="11">
        <f>IF(OR(A184="",ISNUMBER(FIND("线上",B184))),0,SUMIFS('[1]销售出库'!$S$4:$S$2003,'[1]销售出库'!$B$4:$B$2003,$A184))</f>
        <v>0</v>
      </c>
      <c r="H184" s="11">
        <f>IF(A184="",0,SUMIFS('[1]资金台帐'!$G$4:$G$3003,'[1]资金台帐'!$D$4:$D$3003,$A184,'[1]资金台帐'!$M$4:$M$3003,"往来"))</f>
        <v>0</v>
      </c>
      <c r="I184" s="11">
        <f t="shared" si="0"/>
        <v>0</v>
      </c>
      <c r="J184" s="11">
        <f t="shared" si="1"/>
        <v>0</v>
      </c>
      <c r="K184" s="6">
        <f t="shared" si="2"/>
      </c>
    </row>
    <row r="185">
      <c r="A185" s="6">
        <f>IF('[1]基础资料'!$I$184="","",'[1]基础资料'!$I$184)</f>
      </c>
      <c r="B185" s="6">
        <f>IF(A185="","",'[1]基础资料'!$J$184&amp;IF('[1]基础资料'!$K$184="","","·"&amp;'[1]基础资料'!$K$184))</f>
      </c>
      <c r="C185" s="11">
        <f>IF(A185="",0,N('[1]基础资料'!$L$184))</f>
        <v>0</v>
      </c>
      <c r="D185" s="11">
        <f>IF(A185="",0,SUMIFS('[1]采购入库'!$V$4:$V$2003,'[1]采购入库'!$D$4:$D$2003,$A185))</f>
        <v>0</v>
      </c>
      <c r="E185" s="11">
        <f>IF(A185="",0,SUMIFS('[1]资金台帐'!$H$4:$H$3003,'[1]资金台帐'!$D$4:$D$3003,$A185,'[1]资金台帐'!$M$4:$M$3003,"往来"))</f>
        <v>0</v>
      </c>
      <c r="F185" s="11">
        <f>IF(A185="",0,N('[1]基础资料'!$M$184))</f>
        <v>0</v>
      </c>
      <c r="G185" s="11">
        <f>IF(OR(A185="",ISNUMBER(FIND("线上",B185))),0,SUMIFS('[1]销售出库'!$S$4:$S$2003,'[1]销售出库'!$B$4:$B$2003,$A185))</f>
        <v>0</v>
      </c>
      <c r="H185" s="11">
        <f>IF(A185="",0,SUMIFS('[1]资金台帐'!$G$4:$G$3003,'[1]资金台帐'!$D$4:$D$3003,$A185,'[1]资金台帐'!$M$4:$M$3003,"往来"))</f>
        <v>0</v>
      </c>
      <c r="I185" s="11">
        <f t="shared" si="0"/>
        <v>0</v>
      </c>
      <c r="J185" s="11">
        <f t="shared" si="1"/>
        <v>0</v>
      </c>
      <c r="K185" s="6">
        <f t="shared" si="2"/>
      </c>
    </row>
    <row r="186">
      <c r="A186" s="6">
        <f>IF('[1]基础资料'!$I$185="","",'[1]基础资料'!$I$185)</f>
      </c>
      <c r="B186" s="6">
        <f>IF(A186="","",'[1]基础资料'!$J$185&amp;IF('[1]基础资料'!$K$185="","","·"&amp;'[1]基础资料'!$K$185))</f>
      </c>
      <c r="C186" s="11">
        <f>IF(A186="",0,N('[1]基础资料'!$L$185))</f>
        <v>0</v>
      </c>
      <c r="D186" s="11">
        <f>IF(A186="",0,SUMIFS('[1]采购入库'!$V$4:$V$2003,'[1]采购入库'!$D$4:$D$2003,$A186))</f>
        <v>0</v>
      </c>
      <c r="E186" s="11">
        <f>IF(A186="",0,SUMIFS('[1]资金台帐'!$H$4:$H$3003,'[1]资金台帐'!$D$4:$D$3003,$A186,'[1]资金台帐'!$M$4:$M$3003,"往来"))</f>
        <v>0</v>
      </c>
      <c r="F186" s="11">
        <f>IF(A186="",0,N('[1]基础资料'!$M$185))</f>
        <v>0</v>
      </c>
      <c r="G186" s="11">
        <f>IF(OR(A186="",ISNUMBER(FIND("线上",B186))),0,SUMIFS('[1]销售出库'!$S$4:$S$2003,'[1]销售出库'!$B$4:$B$2003,$A186))</f>
        <v>0</v>
      </c>
      <c r="H186" s="11">
        <f>IF(A186="",0,SUMIFS('[1]资金台帐'!$G$4:$G$3003,'[1]资金台帐'!$D$4:$D$3003,$A186,'[1]资金台帐'!$M$4:$M$3003,"往来"))</f>
        <v>0</v>
      </c>
      <c r="I186" s="11">
        <f t="shared" si="0"/>
        <v>0</v>
      </c>
      <c r="J186" s="11">
        <f t="shared" si="1"/>
        <v>0</v>
      </c>
      <c r="K186" s="6">
        <f t="shared" si="2"/>
      </c>
    </row>
    <row r="187">
      <c r="A187" s="6">
        <f>IF('[1]基础资料'!$I$186="","",'[1]基础资料'!$I$186)</f>
      </c>
      <c r="B187" s="6">
        <f>IF(A187="","",'[1]基础资料'!$J$186&amp;IF('[1]基础资料'!$K$186="","","·"&amp;'[1]基础资料'!$K$186))</f>
      </c>
      <c r="C187" s="11">
        <f>IF(A187="",0,N('[1]基础资料'!$L$186))</f>
        <v>0</v>
      </c>
      <c r="D187" s="11">
        <f>IF(A187="",0,SUMIFS('[1]采购入库'!$V$4:$V$2003,'[1]采购入库'!$D$4:$D$2003,$A187))</f>
        <v>0</v>
      </c>
      <c r="E187" s="11">
        <f>IF(A187="",0,SUMIFS('[1]资金台帐'!$H$4:$H$3003,'[1]资金台帐'!$D$4:$D$3003,$A187,'[1]资金台帐'!$M$4:$M$3003,"往来"))</f>
        <v>0</v>
      </c>
      <c r="F187" s="11">
        <f>IF(A187="",0,N('[1]基础资料'!$M$186))</f>
        <v>0</v>
      </c>
      <c r="G187" s="11">
        <f>IF(OR(A187="",ISNUMBER(FIND("线上",B187))),0,SUMIFS('[1]销售出库'!$S$4:$S$2003,'[1]销售出库'!$B$4:$B$2003,$A187))</f>
        <v>0</v>
      </c>
      <c r="H187" s="11">
        <f>IF(A187="",0,SUMIFS('[1]资金台帐'!$G$4:$G$3003,'[1]资金台帐'!$D$4:$D$3003,$A187,'[1]资金台帐'!$M$4:$M$3003,"往来"))</f>
        <v>0</v>
      </c>
      <c r="I187" s="11">
        <f t="shared" si="0"/>
        <v>0</v>
      </c>
      <c r="J187" s="11">
        <f t="shared" si="1"/>
        <v>0</v>
      </c>
      <c r="K187" s="6">
        <f t="shared" si="2"/>
      </c>
    </row>
    <row r="188">
      <c r="A188" s="6">
        <f>IF('[1]基础资料'!$I$187="","",'[1]基础资料'!$I$187)</f>
      </c>
      <c r="B188" s="6">
        <f>IF(A188="","",'[1]基础资料'!$J$187&amp;IF('[1]基础资料'!$K$187="","","·"&amp;'[1]基础资料'!$K$187))</f>
      </c>
      <c r="C188" s="11">
        <f>IF(A188="",0,N('[1]基础资料'!$L$187))</f>
        <v>0</v>
      </c>
      <c r="D188" s="11">
        <f>IF(A188="",0,SUMIFS('[1]采购入库'!$V$4:$V$2003,'[1]采购入库'!$D$4:$D$2003,$A188))</f>
        <v>0</v>
      </c>
      <c r="E188" s="11">
        <f>IF(A188="",0,SUMIFS('[1]资金台帐'!$H$4:$H$3003,'[1]资金台帐'!$D$4:$D$3003,$A188,'[1]资金台帐'!$M$4:$M$3003,"往来"))</f>
        <v>0</v>
      </c>
      <c r="F188" s="11">
        <f>IF(A188="",0,N('[1]基础资料'!$M$187))</f>
        <v>0</v>
      </c>
      <c r="G188" s="11">
        <f>IF(OR(A188="",ISNUMBER(FIND("线上",B188))),0,SUMIFS('[1]销售出库'!$S$4:$S$2003,'[1]销售出库'!$B$4:$B$2003,$A188))</f>
        <v>0</v>
      </c>
      <c r="H188" s="11">
        <f>IF(A188="",0,SUMIFS('[1]资金台帐'!$G$4:$G$3003,'[1]资金台帐'!$D$4:$D$3003,$A188,'[1]资金台帐'!$M$4:$M$3003,"往来"))</f>
        <v>0</v>
      </c>
      <c r="I188" s="11">
        <f t="shared" si="0"/>
        <v>0</v>
      </c>
      <c r="J188" s="11">
        <f t="shared" si="1"/>
        <v>0</v>
      </c>
      <c r="K188" s="6">
        <f t="shared" si="2"/>
      </c>
    </row>
    <row r="189">
      <c r="A189" s="6">
        <f>IF('[1]基础资料'!$I$188="","",'[1]基础资料'!$I$188)</f>
      </c>
      <c r="B189" s="6">
        <f>IF(A189="","",'[1]基础资料'!$J$188&amp;IF('[1]基础资料'!$K$188="","","·"&amp;'[1]基础资料'!$K$188))</f>
      </c>
      <c r="C189" s="11">
        <f>IF(A189="",0,N('[1]基础资料'!$L$188))</f>
        <v>0</v>
      </c>
      <c r="D189" s="11">
        <f>IF(A189="",0,SUMIFS('[1]采购入库'!$V$4:$V$2003,'[1]采购入库'!$D$4:$D$2003,$A189))</f>
        <v>0</v>
      </c>
      <c r="E189" s="11">
        <f>IF(A189="",0,SUMIFS('[1]资金台帐'!$H$4:$H$3003,'[1]资金台帐'!$D$4:$D$3003,$A189,'[1]资金台帐'!$M$4:$M$3003,"往来"))</f>
        <v>0</v>
      </c>
      <c r="F189" s="11">
        <f>IF(A189="",0,N('[1]基础资料'!$M$188))</f>
        <v>0</v>
      </c>
      <c r="G189" s="11">
        <f>IF(OR(A189="",ISNUMBER(FIND("线上",B189))),0,SUMIFS('[1]销售出库'!$S$4:$S$2003,'[1]销售出库'!$B$4:$B$2003,$A189))</f>
        <v>0</v>
      </c>
      <c r="H189" s="11">
        <f>IF(A189="",0,SUMIFS('[1]资金台帐'!$G$4:$G$3003,'[1]资金台帐'!$D$4:$D$3003,$A189,'[1]资金台帐'!$M$4:$M$3003,"往来"))</f>
        <v>0</v>
      </c>
      <c r="I189" s="11">
        <f t="shared" si="0"/>
        <v>0</v>
      </c>
      <c r="J189" s="11">
        <f t="shared" si="1"/>
        <v>0</v>
      </c>
      <c r="K189" s="6">
        <f t="shared" si="2"/>
      </c>
    </row>
    <row r="190">
      <c r="A190" s="6">
        <f>IF('[1]基础资料'!$I$189="","",'[1]基础资料'!$I$189)</f>
      </c>
      <c r="B190" s="6">
        <f>IF(A190="","",'[1]基础资料'!$J$189&amp;IF('[1]基础资料'!$K$189="","","·"&amp;'[1]基础资料'!$K$189))</f>
      </c>
      <c r="C190" s="11">
        <f>IF(A190="",0,N('[1]基础资料'!$L$189))</f>
        <v>0</v>
      </c>
      <c r="D190" s="11">
        <f>IF(A190="",0,SUMIFS('[1]采购入库'!$V$4:$V$2003,'[1]采购入库'!$D$4:$D$2003,$A190))</f>
        <v>0</v>
      </c>
      <c r="E190" s="11">
        <f>IF(A190="",0,SUMIFS('[1]资金台帐'!$H$4:$H$3003,'[1]资金台帐'!$D$4:$D$3003,$A190,'[1]资金台帐'!$M$4:$M$3003,"往来"))</f>
        <v>0</v>
      </c>
      <c r="F190" s="11">
        <f>IF(A190="",0,N('[1]基础资料'!$M$189))</f>
        <v>0</v>
      </c>
      <c r="G190" s="11">
        <f>IF(OR(A190="",ISNUMBER(FIND("线上",B190))),0,SUMIFS('[1]销售出库'!$S$4:$S$2003,'[1]销售出库'!$B$4:$B$2003,$A190))</f>
        <v>0</v>
      </c>
      <c r="H190" s="11">
        <f>IF(A190="",0,SUMIFS('[1]资金台帐'!$G$4:$G$3003,'[1]资金台帐'!$D$4:$D$3003,$A190,'[1]资金台帐'!$M$4:$M$3003,"往来"))</f>
        <v>0</v>
      </c>
      <c r="I190" s="11">
        <f t="shared" si="0"/>
        <v>0</v>
      </c>
      <c r="J190" s="11">
        <f t="shared" si="1"/>
        <v>0</v>
      </c>
      <c r="K190" s="6">
        <f t="shared" si="2"/>
      </c>
    </row>
    <row r="191">
      <c r="A191" s="6">
        <f>IF('[1]基础资料'!$I$190="","",'[1]基础资料'!$I$190)</f>
      </c>
      <c r="B191" s="6">
        <f>IF(A191="","",'[1]基础资料'!$J$190&amp;IF('[1]基础资料'!$K$190="","","·"&amp;'[1]基础资料'!$K$190))</f>
      </c>
      <c r="C191" s="11">
        <f>IF(A191="",0,N('[1]基础资料'!$L$190))</f>
        <v>0</v>
      </c>
      <c r="D191" s="11">
        <f>IF(A191="",0,SUMIFS('[1]采购入库'!$V$4:$V$2003,'[1]采购入库'!$D$4:$D$2003,$A191))</f>
        <v>0</v>
      </c>
      <c r="E191" s="11">
        <f>IF(A191="",0,SUMIFS('[1]资金台帐'!$H$4:$H$3003,'[1]资金台帐'!$D$4:$D$3003,$A191,'[1]资金台帐'!$M$4:$M$3003,"往来"))</f>
        <v>0</v>
      </c>
      <c r="F191" s="11">
        <f>IF(A191="",0,N('[1]基础资料'!$M$190))</f>
        <v>0</v>
      </c>
      <c r="G191" s="11">
        <f>IF(OR(A191="",ISNUMBER(FIND("线上",B191))),0,SUMIFS('[1]销售出库'!$S$4:$S$2003,'[1]销售出库'!$B$4:$B$2003,$A191))</f>
        <v>0</v>
      </c>
      <c r="H191" s="11">
        <f>IF(A191="",0,SUMIFS('[1]资金台帐'!$G$4:$G$3003,'[1]资金台帐'!$D$4:$D$3003,$A191,'[1]资金台帐'!$M$4:$M$3003,"往来"))</f>
        <v>0</v>
      </c>
      <c r="I191" s="11">
        <f t="shared" si="0"/>
        <v>0</v>
      </c>
      <c r="J191" s="11">
        <f t="shared" si="1"/>
        <v>0</v>
      </c>
      <c r="K191" s="6">
        <f t="shared" si="2"/>
      </c>
    </row>
    <row r="192">
      <c r="A192" s="6">
        <f>IF('[1]基础资料'!$I$191="","",'[1]基础资料'!$I$191)</f>
      </c>
      <c r="B192" s="6">
        <f>IF(A192="","",'[1]基础资料'!$J$191&amp;IF('[1]基础资料'!$K$191="","","·"&amp;'[1]基础资料'!$K$191))</f>
      </c>
      <c r="C192" s="11">
        <f>IF(A192="",0,N('[1]基础资料'!$L$191))</f>
        <v>0</v>
      </c>
      <c r="D192" s="11">
        <f>IF(A192="",0,SUMIFS('[1]采购入库'!$V$4:$V$2003,'[1]采购入库'!$D$4:$D$2003,$A192))</f>
        <v>0</v>
      </c>
      <c r="E192" s="11">
        <f>IF(A192="",0,SUMIFS('[1]资金台帐'!$H$4:$H$3003,'[1]资金台帐'!$D$4:$D$3003,$A192,'[1]资金台帐'!$M$4:$M$3003,"往来"))</f>
        <v>0</v>
      </c>
      <c r="F192" s="11">
        <f>IF(A192="",0,N('[1]基础资料'!$M$191))</f>
        <v>0</v>
      </c>
      <c r="G192" s="11">
        <f>IF(OR(A192="",ISNUMBER(FIND("线上",B192))),0,SUMIFS('[1]销售出库'!$S$4:$S$2003,'[1]销售出库'!$B$4:$B$2003,$A192))</f>
        <v>0</v>
      </c>
      <c r="H192" s="11">
        <f>IF(A192="",0,SUMIFS('[1]资金台帐'!$G$4:$G$3003,'[1]资金台帐'!$D$4:$D$3003,$A192,'[1]资金台帐'!$M$4:$M$3003,"往来"))</f>
        <v>0</v>
      </c>
      <c r="I192" s="11">
        <f t="shared" si="0"/>
        <v>0</v>
      </c>
      <c r="J192" s="11">
        <f t="shared" si="1"/>
        <v>0</v>
      </c>
      <c r="K192" s="6">
        <f t="shared" si="2"/>
      </c>
    </row>
    <row r="193">
      <c r="A193" s="6">
        <f>IF('[1]基础资料'!$I$192="","",'[1]基础资料'!$I$192)</f>
      </c>
      <c r="B193" s="6">
        <f>IF(A193="","",'[1]基础资料'!$J$192&amp;IF('[1]基础资料'!$K$192="","","·"&amp;'[1]基础资料'!$K$192))</f>
      </c>
      <c r="C193" s="11">
        <f>IF(A193="",0,N('[1]基础资料'!$L$192))</f>
        <v>0</v>
      </c>
      <c r="D193" s="11">
        <f>IF(A193="",0,SUMIFS('[1]采购入库'!$V$4:$V$2003,'[1]采购入库'!$D$4:$D$2003,$A193))</f>
        <v>0</v>
      </c>
      <c r="E193" s="11">
        <f>IF(A193="",0,SUMIFS('[1]资金台帐'!$H$4:$H$3003,'[1]资金台帐'!$D$4:$D$3003,$A193,'[1]资金台帐'!$M$4:$M$3003,"往来"))</f>
        <v>0</v>
      </c>
      <c r="F193" s="11">
        <f>IF(A193="",0,N('[1]基础资料'!$M$192))</f>
        <v>0</v>
      </c>
      <c r="G193" s="11">
        <f>IF(OR(A193="",ISNUMBER(FIND("线上",B193))),0,SUMIFS('[1]销售出库'!$S$4:$S$2003,'[1]销售出库'!$B$4:$B$2003,$A193))</f>
        <v>0</v>
      </c>
      <c r="H193" s="11">
        <f>IF(A193="",0,SUMIFS('[1]资金台帐'!$G$4:$G$3003,'[1]资金台帐'!$D$4:$D$3003,$A193,'[1]资金台帐'!$M$4:$M$3003,"往来"))</f>
        <v>0</v>
      </c>
      <c r="I193" s="11">
        <f t="shared" si="0"/>
        <v>0</v>
      </c>
      <c r="J193" s="11">
        <f t="shared" si="1"/>
        <v>0</v>
      </c>
      <c r="K193" s="6">
        <f t="shared" si="2"/>
      </c>
    </row>
    <row r="194">
      <c r="A194" s="6">
        <f>IF('[1]基础资料'!$I$193="","",'[1]基础资料'!$I$193)</f>
      </c>
      <c r="B194" s="6">
        <f>IF(A194="","",'[1]基础资料'!$J$193&amp;IF('[1]基础资料'!$K$193="","","·"&amp;'[1]基础资料'!$K$193))</f>
      </c>
      <c r="C194" s="11">
        <f>IF(A194="",0,N('[1]基础资料'!$L$193))</f>
        <v>0</v>
      </c>
      <c r="D194" s="11">
        <f>IF(A194="",0,SUMIFS('[1]采购入库'!$V$4:$V$2003,'[1]采购入库'!$D$4:$D$2003,$A194))</f>
        <v>0</v>
      </c>
      <c r="E194" s="11">
        <f>IF(A194="",0,SUMIFS('[1]资金台帐'!$H$4:$H$3003,'[1]资金台帐'!$D$4:$D$3003,$A194,'[1]资金台帐'!$M$4:$M$3003,"往来"))</f>
        <v>0</v>
      </c>
      <c r="F194" s="11">
        <f>IF(A194="",0,N('[1]基础资料'!$M$193))</f>
        <v>0</v>
      </c>
      <c r="G194" s="11">
        <f>IF(OR(A194="",ISNUMBER(FIND("线上",B194))),0,SUMIFS('[1]销售出库'!$S$4:$S$2003,'[1]销售出库'!$B$4:$B$2003,$A194))</f>
        <v>0</v>
      </c>
      <c r="H194" s="11">
        <f>IF(A194="",0,SUMIFS('[1]资金台帐'!$G$4:$G$3003,'[1]资金台帐'!$D$4:$D$3003,$A194,'[1]资金台帐'!$M$4:$M$3003,"往来"))</f>
        <v>0</v>
      </c>
      <c r="I194" s="11">
        <f t="shared" si="0"/>
        <v>0</v>
      </c>
      <c r="J194" s="11">
        <f t="shared" si="1"/>
        <v>0</v>
      </c>
      <c r="K194" s="6">
        <f t="shared" si="2"/>
      </c>
    </row>
    <row r="195">
      <c r="A195" s="6">
        <f>IF('[1]基础资料'!$I$194="","",'[1]基础资料'!$I$194)</f>
      </c>
      <c r="B195" s="6">
        <f>IF(A195="","",'[1]基础资料'!$J$194&amp;IF('[1]基础资料'!$K$194="","","·"&amp;'[1]基础资料'!$K$194))</f>
      </c>
      <c r="C195" s="11">
        <f>IF(A195="",0,N('[1]基础资料'!$L$194))</f>
        <v>0</v>
      </c>
      <c r="D195" s="11">
        <f>IF(A195="",0,SUMIFS('[1]采购入库'!$V$4:$V$2003,'[1]采购入库'!$D$4:$D$2003,$A195))</f>
        <v>0</v>
      </c>
      <c r="E195" s="11">
        <f>IF(A195="",0,SUMIFS('[1]资金台帐'!$H$4:$H$3003,'[1]资金台帐'!$D$4:$D$3003,$A195,'[1]资金台帐'!$M$4:$M$3003,"往来"))</f>
        <v>0</v>
      </c>
      <c r="F195" s="11">
        <f>IF(A195="",0,N('[1]基础资料'!$M$194))</f>
        <v>0</v>
      </c>
      <c r="G195" s="11">
        <f>IF(OR(A195="",ISNUMBER(FIND("线上",B195))),0,SUMIFS('[1]销售出库'!$S$4:$S$2003,'[1]销售出库'!$B$4:$B$2003,$A195))</f>
        <v>0</v>
      </c>
      <c r="H195" s="11">
        <f>IF(A195="",0,SUMIFS('[1]资金台帐'!$G$4:$G$3003,'[1]资金台帐'!$D$4:$D$3003,$A195,'[1]资金台帐'!$M$4:$M$3003,"往来"))</f>
        <v>0</v>
      </c>
      <c r="I195" s="11">
        <f t="shared" si="0"/>
        <v>0</v>
      </c>
      <c r="J195" s="11">
        <f t="shared" si="1"/>
        <v>0</v>
      </c>
      <c r="K195" s="6">
        <f t="shared" si="2"/>
      </c>
    </row>
    <row r="196">
      <c r="A196" s="6">
        <f>IF('[1]基础资料'!$I$195="","",'[1]基础资料'!$I$195)</f>
      </c>
      <c r="B196" s="6">
        <f>IF(A196="","",'[1]基础资料'!$J$195&amp;IF('[1]基础资料'!$K$195="","","·"&amp;'[1]基础资料'!$K$195))</f>
      </c>
      <c r="C196" s="11">
        <f>IF(A196="",0,N('[1]基础资料'!$L$195))</f>
        <v>0</v>
      </c>
      <c r="D196" s="11">
        <f>IF(A196="",0,SUMIFS('[1]采购入库'!$V$4:$V$2003,'[1]采购入库'!$D$4:$D$2003,$A196))</f>
        <v>0</v>
      </c>
      <c r="E196" s="11">
        <f>IF(A196="",0,SUMIFS('[1]资金台帐'!$H$4:$H$3003,'[1]资金台帐'!$D$4:$D$3003,$A196,'[1]资金台帐'!$M$4:$M$3003,"往来"))</f>
        <v>0</v>
      </c>
      <c r="F196" s="11">
        <f>IF(A196="",0,N('[1]基础资料'!$M$195))</f>
        <v>0</v>
      </c>
      <c r="G196" s="11">
        <f>IF(OR(A196="",ISNUMBER(FIND("线上",B196))),0,SUMIFS('[1]销售出库'!$S$4:$S$2003,'[1]销售出库'!$B$4:$B$2003,$A196))</f>
        <v>0</v>
      </c>
      <c r="H196" s="11">
        <f>IF(A196="",0,SUMIFS('[1]资金台帐'!$G$4:$G$3003,'[1]资金台帐'!$D$4:$D$3003,$A196,'[1]资金台帐'!$M$4:$M$3003,"往来"))</f>
        <v>0</v>
      </c>
      <c r="I196" s="11">
        <f t="shared" si="0"/>
        <v>0</v>
      </c>
      <c r="J196" s="11">
        <f t="shared" si="1"/>
        <v>0</v>
      </c>
      <c r="K196" s="6">
        <f t="shared" si="2"/>
      </c>
    </row>
    <row r="197">
      <c r="A197" s="6">
        <f>IF('[1]基础资料'!$I$196="","",'[1]基础资料'!$I$196)</f>
      </c>
      <c r="B197" s="6">
        <f>IF(A197="","",'[1]基础资料'!$J$196&amp;IF('[1]基础资料'!$K$196="","","·"&amp;'[1]基础资料'!$K$196))</f>
      </c>
      <c r="C197" s="11">
        <f>IF(A197="",0,N('[1]基础资料'!$L$196))</f>
        <v>0</v>
      </c>
      <c r="D197" s="11">
        <f>IF(A197="",0,SUMIFS('[1]采购入库'!$V$4:$V$2003,'[1]采购入库'!$D$4:$D$2003,$A197))</f>
        <v>0</v>
      </c>
      <c r="E197" s="11">
        <f>IF(A197="",0,SUMIFS('[1]资金台帐'!$H$4:$H$3003,'[1]资金台帐'!$D$4:$D$3003,$A197,'[1]资金台帐'!$M$4:$M$3003,"往来"))</f>
        <v>0</v>
      </c>
      <c r="F197" s="11">
        <f>IF(A197="",0,N('[1]基础资料'!$M$196))</f>
        <v>0</v>
      </c>
      <c r="G197" s="11">
        <f>IF(OR(A197="",ISNUMBER(FIND("线上",B197))),0,SUMIFS('[1]销售出库'!$S$4:$S$2003,'[1]销售出库'!$B$4:$B$2003,$A197))</f>
        <v>0</v>
      </c>
      <c r="H197" s="11">
        <f>IF(A197="",0,SUMIFS('[1]资金台帐'!$G$4:$G$3003,'[1]资金台帐'!$D$4:$D$3003,$A197,'[1]资金台帐'!$M$4:$M$3003,"往来"))</f>
        <v>0</v>
      </c>
      <c r="I197" s="11">
        <f t="shared" si="0"/>
        <v>0</v>
      </c>
      <c r="J197" s="11">
        <f t="shared" si="1"/>
        <v>0</v>
      </c>
      <c r="K197" s="6">
        <f t="shared" si="2"/>
      </c>
    </row>
    <row r="198">
      <c r="A198" s="6">
        <f>IF('[1]基础资料'!$I$197="","",'[1]基础资料'!$I$197)</f>
      </c>
      <c r="B198" s="6">
        <f>IF(A198="","",'[1]基础资料'!$J$197&amp;IF('[1]基础资料'!$K$197="","","·"&amp;'[1]基础资料'!$K$197))</f>
      </c>
      <c r="C198" s="11">
        <f>IF(A198="",0,N('[1]基础资料'!$L$197))</f>
        <v>0</v>
      </c>
      <c r="D198" s="11">
        <f>IF(A198="",0,SUMIFS('[1]采购入库'!$V$4:$V$2003,'[1]采购入库'!$D$4:$D$2003,$A198))</f>
        <v>0</v>
      </c>
      <c r="E198" s="11">
        <f>IF(A198="",0,SUMIFS('[1]资金台帐'!$H$4:$H$3003,'[1]资金台帐'!$D$4:$D$3003,$A198,'[1]资金台帐'!$M$4:$M$3003,"往来"))</f>
        <v>0</v>
      </c>
      <c r="F198" s="11">
        <f>IF(A198="",0,N('[1]基础资料'!$M$197))</f>
        <v>0</v>
      </c>
      <c r="G198" s="11">
        <f>IF(OR(A198="",ISNUMBER(FIND("线上",B198))),0,SUMIFS('[1]销售出库'!$S$4:$S$2003,'[1]销售出库'!$B$4:$B$2003,$A198))</f>
        <v>0</v>
      </c>
      <c r="H198" s="11">
        <f>IF(A198="",0,SUMIFS('[1]资金台帐'!$G$4:$G$3003,'[1]资金台帐'!$D$4:$D$3003,$A198,'[1]资金台帐'!$M$4:$M$3003,"往来"))</f>
        <v>0</v>
      </c>
      <c r="I198" s="11">
        <f t="shared" si="0"/>
        <v>0</v>
      </c>
      <c r="J198" s="11">
        <f t="shared" si="1"/>
        <v>0</v>
      </c>
      <c r="K198" s="6">
        <f t="shared" si="2"/>
      </c>
    </row>
    <row r="199">
      <c r="A199" s="6">
        <f>IF('[1]基础资料'!$I$198="","",'[1]基础资料'!$I$198)</f>
      </c>
      <c r="B199" s="6">
        <f>IF(A199="","",'[1]基础资料'!$J$198&amp;IF('[1]基础资料'!$K$198="","","·"&amp;'[1]基础资料'!$K$198))</f>
      </c>
      <c r="C199" s="11">
        <f>IF(A199="",0,N('[1]基础资料'!$L$198))</f>
        <v>0</v>
      </c>
      <c r="D199" s="11">
        <f>IF(A199="",0,SUMIFS('[1]采购入库'!$V$4:$V$2003,'[1]采购入库'!$D$4:$D$2003,$A199))</f>
        <v>0</v>
      </c>
      <c r="E199" s="11">
        <f>IF(A199="",0,SUMIFS('[1]资金台帐'!$H$4:$H$3003,'[1]资金台帐'!$D$4:$D$3003,$A199,'[1]资金台帐'!$M$4:$M$3003,"往来"))</f>
        <v>0</v>
      </c>
      <c r="F199" s="11">
        <f>IF(A199="",0,N('[1]基础资料'!$M$198))</f>
        <v>0</v>
      </c>
      <c r="G199" s="11">
        <f>IF(OR(A199="",ISNUMBER(FIND("线上",B199))),0,SUMIFS('[1]销售出库'!$S$4:$S$2003,'[1]销售出库'!$B$4:$B$2003,$A199))</f>
        <v>0</v>
      </c>
      <c r="H199" s="11">
        <f>IF(A199="",0,SUMIFS('[1]资金台帐'!$G$4:$G$3003,'[1]资金台帐'!$D$4:$D$3003,$A199,'[1]资金台帐'!$M$4:$M$3003,"往来"))</f>
        <v>0</v>
      </c>
      <c r="I199" s="11">
        <f t="shared" si="0"/>
        <v>0</v>
      </c>
      <c r="J199" s="11">
        <f t="shared" si="1"/>
        <v>0</v>
      </c>
      <c r="K199" s="6">
        <f t="shared" si="2"/>
      </c>
    </row>
    <row r="200">
      <c r="A200" s="6">
        <f>IF('[1]基础资料'!$I$199="","",'[1]基础资料'!$I$199)</f>
      </c>
      <c r="B200" s="6">
        <f>IF(A200="","",'[1]基础资料'!$J$199&amp;IF('[1]基础资料'!$K$199="","","·"&amp;'[1]基础资料'!$K$199))</f>
      </c>
      <c r="C200" s="11">
        <f>IF(A200="",0,N('[1]基础资料'!$L$199))</f>
        <v>0</v>
      </c>
      <c r="D200" s="11">
        <f>IF(A200="",0,SUMIFS('[1]采购入库'!$V$4:$V$2003,'[1]采购入库'!$D$4:$D$2003,$A200))</f>
        <v>0</v>
      </c>
      <c r="E200" s="11">
        <f>IF(A200="",0,SUMIFS('[1]资金台帐'!$H$4:$H$3003,'[1]资金台帐'!$D$4:$D$3003,$A200,'[1]资金台帐'!$M$4:$M$3003,"往来"))</f>
        <v>0</v>
      </c>
      <c r="F200" s="11">
        <f>IF(A200="",0,N('[1]基础资料'!$M$199))</f>
        <v>0</v>
      </c>
      <c r="G200" s="11">
        <f>IF(OR(A200="",ISNUMBER(FIND("线上",B200))),0,SUMIFS('[1]销售出库'!$S$4:$S$2003,'[1]销售出库'!$B$4:$B$2003,$A200))</f>
        <v>0</v>
      </c>
      <c r="H200" s="11">
        <f>IF(A200="",0,SUMIFS('[1]资金台帐'!$G$4:$G$3003,'[1]资金台帐'!$D$4:$D$3003,$A200,'[1]资金台帐'!$M$4:$M$3003,"往来"))</f>
        <v>0</v>
      </c>
      <c r="I200" s="11">
        <f t="shared" si="0"/>
        <v>0</v>
      </c>
      <c r="J200" s="11">
        <f t="shared" si="1"/>
        <v>0</v>
      </c>
      <c r="K200" s="6">
        <f t="shared" si="2"/>
      </c>
    </row>
    <row r="201">
      <c r="A201" s="6">
        <f>IF('[1]基础资料'!$I$200="","",'[1]基础资料'!$I$200)</f>
      </c>
      <c r="B201" s="6">
        <f>IF(A201="","",'[1]基础资料'!$J$200&amp;IF('[1]基础资料'!$K$200="","","·"&amp;'[1]基础资料'!$K$200))</f>
      </c>
      <c r="C201" s="11">
        <f>IF(A201="",0,N('[1]基础资料'!$L$200))</f>
        <v>0</v>
      </c>
      <c r="D201" s="11">
        <f>IF(A201="",0,SUMIFS('[1]采购入库'!$V$4:$V$2003,'[1]采购入库'!$D$4:$D$2003,$A201))</f>
        <v>0</v>
      </c>
      <c r="E201" s="11">
        <f>IF(A201="",0,SUMIFS('[1]资金台帐'!$H$4:$H$3003,'[1]资金台帐'!$D$4:$D$3003,$A201,'[1]资金台帐'!$M$4:$M$3003,"往来"))</f>
        <v>0</v>
      </c>
      <c r="F201" s="11">
        <f>IF(A201="",0,N('[1]基础资料'!$M$200))</f>
        <v>0</v>
      </c>
      <c r="G201" s="11">
        <f>IF(OR(A201="",ISNUMBER(FIND("线上",B201))),0,SUMIFS('[1]销售出库'!$S$4:$S$2003,'[1]销售出库'!$B$4:$B$2003,$A201))</f>
        <v>0</v>
      </c>
      <c r="H201" s="11">
        <f>IF(A201="",0,SUMIFS('[1]资金台帐'!$G$4:$G$3003,'[1]资金台帐'!$D$4:$D$3003,$A201,'[1]资金台帐'!$M$4:$M$3003,"往来"))</f>
        <v>0</v>
      </c>
      <c r="I201" s="11">
        <f t="shared" si="0"/>
        <v>0</v>
      </c>
      <c r="J201" s="11">
        <f t="shared" si="1"/>
        <v>0</v>
      </c>
      <c r="K201" s="6">
        <f t="shared" si="2"/>
      </c>
    </row>
    <row r="202">
      <c r="A202" s="6">
        <f>IF('[1]基础资料'!$I$201="","",'[1]基础资料'!$I$201)</f>
      </c>
      <c r="B202" s="6">
        <f>IF(A202="","",'[1]基础资料'!$J$201&amp;IF('[1]基础资料'!$K$201="","","·"&amp;'[1]基础资料'!$K$201))</f>
      </c>
      <c r="C202" s="11">
        <f>IF(A202="",0,N('[1]基础资料'!$L$201))</f>
        <v>0</v>
      </c>
      <c r="D202" s="11">
        <f>IF(A202="",0,SUMIFS('[1]采购入库'!$V$4:$V$2003,'[1]采购入库'!$D$4:$D$2003,$A202))</f>
        <v>0</v>
      </c>
      <c r="E202" s="11">
        <f>IF(A202="",0,SUMIFS('[1]资金台帐'!$H$4:$H$3003,'[1]资金台帐'!$D$4:$D$3003,$A202,'[1]资金台帐'!$M$4:$M$3003,"往来"))</f>
        <v>0</v>
      </c>
      <c r="F202" s="11">
        <f>IF(A202="",0,N('[1]基础资料'!$M$201))</f>
        <v>0</v>
      </c>
      <c r="G202" s="11">
        <f>IF(OR(A202="",ISNUMBER(FIND("线上",B202))),0,SUMIFS('[1]销售出库'!$S$4:$S$2003,'[1]销售出库'!$B$4:$B$2003,$A202))</f>
        <v>0</v>
      </c>
      <c r="H202" s="11">
        <f>IF(A202="",0,SUMIFS('[1]资金台帐'!$G$4:$G$3003,'[1]资金台帐'!$D$4:$D$3003,$A202,'[1]资金台帐'!$M$4:$M$3003,"往来"))</f>
        <v>0</v>
      </c>
      <c r="I202" s="11">
        <f t="shared" si="0"/>
        <v>0</v>
      </c>
      <c r="J202" s="11">
        <f t="shared" si="1"/>
        <v>0</v>
      </c>
      <c r="K202" s="6">
        <f t="shared" si="2"/>
      </c>
    </row>
    <row r="203">
      <c r="A203" s="6">
        <f>IF('[1]基础资料'!$I$202="","",'[1]基础资料'!$I$202)</f>
      </c>
      <c r="B203" s="6">
        <f>IF(A203="","",'[1]基础资料'!$J$202&amp;IF('[1]基础资料'!$K$202="","","·"&amp;'[1]基础资料'!$K$202))</f>
      </c>
      <c r="C203" s="11">
        <f>IF(A203="",0,N('[1]基础资料'!$L$202))</f>
        <v>0</v>
      </c>
      <c r="D203" s="11">
        <f>IF(A203="",0,SUMIFS('[1]采购入库'!$V$4:$V$2003,'[1]采购入库'!$D$4:$D$2003,$A203))</f>
        <v>0</v>
      </c>
      <c r="E203" s="11">
        <f>IF(A203="",0,SUMIFS('[1]资金台帐'!$H$4:$H$3003,'[1]资金台帐'!$D$4:$D$3003,$A203,'[1]资金台帐'!$M$4:$M$3003,"往来"))</f>
        <v>0</v>
      </c>
      <c r="F203" s="11">
        <f>IF(A203="",0,N('[1]基础资料'!$M$202))</f>
        <v>0</v>
      </c>
      <c r="G203" s="11">
        <f>IF(OR(A203="",ISNUMBER(FIND("线上",B203))),0,SUMIFS('[1]销售出库'!$S$4:$S$2003,'[1]销售出库'!$B$4:$B$2003,$A203))</f>
        <v>0</v>
      </c>
      <c r="H203" s="11">
        <f>IF(A203="",0,SUMIFS('[1]资金台帐'!$G$4:$G$3003,'[1]资金台帐'!$D$4:$D$3003,$A203,'[1]资金台帐'!$M$4:$M$3003,"往来"))</f>
        <v>0</v>
      </c>
      <c r="I203" s="11">
        <f t="shared" si="0"/>
        <v>0</v>
      </c>
      <c r="J203" s="11">
        <f t="shared" si="1"/>
        <v>0</v>
      </c>
      <c r="K203" s="6">
        <f t="shared" si="2"/>
      </c>
    </row>
    <row r="204">
      <c r="A204" s="6">
        <f>IF('[1]基础资料'!$I$203="","",'[1]基础资料'!$I$203)</f>
      </c>
      <c r="B204" s="6">
        <f>IF(A204="","",'[1]基础资料'!$J$203&amp;IF('[1]基础资料'!$K$203="","","·"&amp;'[1]基础资料'!$K$203))</f>
      </c>
      <c r="C204" s="11">
        <f>IF(A204="",0,N('[1]基础资料'!$L$203))</f>
        <v>0</v>
      </c>
      <c r="D204" s="11">
        <f>IF(A204="",0,SUMIFS('[1]采购入库'!$V$4:$V$2003,'[1]采购入库'!$D$4:$D$2003,$A204))</f>
        <v>0</v>
      </c>
      <c r="E204" s="11">
        <f>IF(A204="",0,SUMIFS('[1]资金台帐'!$H$4:$H$3003,'[1]资金台帐'!$D$4:$D$3003,$A204,'[1]资金台帐'!$M$4:$M$3003,"往来"))</f>
        <v>0</v>
      </c>
      <c r="F204" s="11">
        <f>IF(A204="",0,N('[1]基础资料'!$M$203))</f>
        <v>0</v>
      </c>
      <c r="G204" s="11">
        <f>IF(OR(A204="",ISNUMBER(FIND("线上",B204))),0,SUMIFS('[1]销售出库'!$S$4:$S$2003,'[1]销售出库'!$B$4:$B$2003,$A204))</f>
        <v>0</v>
      </c>
      <c r="H204" s="11">
        <f>IF(A204="",0,SUMIFS('[1]资金台帐'!$G$4:$G$3003,'[1]资金台帐'!$D$4:$D$3003,$A204,'[1]资金台帐'!$M$4:$M$3003,"往来"))</f>
        <v>0</v>
      </c>
      <c r="I204" s="11">
        <f t="shared" si="0"/>
        <v>0</v>
      </c>
      <c r="J204" s="11">
        <f t="shared" si="1"/>
        <v>0</v>
      </c>
      <c r="K204" s="6">
        <f t="shared" si="2"/>
      </c>
    </row>
    <row r="205">
      <c r="A205" s="6">
        <f>IF('[1]基础资料'!$I$204="","",'[1]基础资料'!$I$204)</f>
      </c>
      <c r="B205" s="6">
        <f>IF(A205="","",'[1]基础资料'!$J$204&amp;IF('[1]基础资料'!$K$204="","","·"&amp;'[1]基础资料'!$K$204))</f>
      </c>
      <c r="C205" s="11">
        <f>IF(A205="",0,N('[1]基础资料'!$L$204))</f>
        <v>0</v>
      </c>
      <c r="D205" s="11">
        <f>IF(A205="",0,SUMIFS('[1]采购入库'!$V$4:$V$2003,'[1]采购入库'!$D$4:$D$2003,$A205))</f>
        <v>0</v>
      </c>
      <c r="E205" s="11">
        <f>IF(A205="",0,SUMIFS('[1]资金台帐'!$H$4:$H$3003,'[1]资金台帐'!$D$4:$D$3003,$A205,'[1]资金台帐'!$M$4:$M$3003,"往来"))</f>
        <v>0</v>
      </c>
      <c r="F205" s="11">
        <f>IF(A205="",0,N('[1]基础资料'!$M$204))</f>
        <v>0</v>
      </c>
      <c r="G205" s="11">
        <f>IF(OR(A205="",ISNUMBER(FIND("线上",B205))),0,SUMIFS('[1]销售出库'!$S$4:$S$2003,'[1]销售出库'!$B$4:$B$2003,$A205))</f>
        <v>0</v>
      </c>
      <c r="H205" s="11">
        <f>IF(A205="",0,SUMIFS('[1]资金台帐'!$G$4:$G$3003,'[1]资金台帐'!$D$4:$D$3003,$A205,'[1]资金台帐'!$M$4:$M$3003,"往来"))</f>
        <v>0</v>
      </c>
      <c r="I205" s="11">
        <f t="shared" si="0"/>
        <v>0</v>
      </c>
      <c r="J205" s="11">
        <f t="shared" si="1"/>
        <v>0</v>
      </c>
      <c r="K205" s="6">
        <f t="shared" si="2"/>
      </c>
    </row>
    <row r="206">
      <c r="A206" s="6">
        <f>IF('[1]基础资料'!$I$205="","",'[1]基础资料'!$I$205)</f>
      </c>
      <c r="B206" s="6">
        <f>IF(A206="","",'[1]基础资料'!$J$205&amp;IF('[1]基础资料'!$K$205="","","·"&amp;'[1]基础资料'!$K$205))</f>
      </c>
      <c r="C206" s="11">
        <f>IF(A206="",0,N('[1]基础资料'!$L$205))</f>
        <v>0</v>
      </c>
      <c r="D206" s="11">
        <f>IF(A206="",0,SUMIFS('[1]采购入库'!$V$4:$V$2003,'[1]采购入库'!$D$4:$D$2003,$A206))</f>
        <v>0</v>
      </c>
      <c r="E206" s="11">
        <f>IF(A206="",0,SUMIFS('[1]资金台帐'!$H$4:$H$3003,'[1]资金台帐'!$D$4:$D$3003,$A206,'[1]资金台帐'!$M$4:$M$3003,"往来"))</f>
        <v>0</v>
      </c>
      <c r="F206" s="11">
        <f>IF(A206="",0,N('[1]基础资料'!$M$205))</f>
        <v>0</v>
      </c>
      <c r="G206" s="11">
        <f>IF(OR(A206="",ISNUMBER(FIND("线上",B206))),0,SUMIFS('[1]销售出库'!$S$4:$S$2003,'[1]销售出库'!$B$4:$B$2003,$A206))</f>
        <v>0</v>
      </c>
      <c r="H206" s="11">
        <f>IF(A206="",0,SUMIFS('[1]资金台帐'!$G$4:$G$3003,'[1]资金台帐'!$D$4:$D$3003,$A206,'[1]资金台帐'!$M$4:$M$3003,"往来"))</f>
        <v>0</v>
      </c>
      <c r="I206" s="11">
        <f t="shared" si="0"/>
        <v>0</v>
      </c>
      <c r="J206" s="11">
        <f t="shared" si="1"/>
        <v>0</v>
      </c>
      <c r="K206" s="6">
        <f t="shared" si="2"/>
      </c>
    </row>
    <row r="207">
      <c r="A207" s="6">
        <f>IF('[1]基础资料'!$I$206="","",'[1]基础资料'!$I$206)</f>
      </c>
      <c r="B207" s="6">
        <f>IF(A207="","",'[1]基础资料'!$J$206&amp;IF('[1]基础资料'!$K$206="","","·"&amp;'[1]基础资料'!$K$206))</f>
      </c>
      <c r="C207" s="11">
        <f>IF(A207="",0,N('[1]基础资料'!$L$206))</f>
        <v>0</v>
      </c>
      <c r="D207" s="11">
        <f>IF(A207="",0,SUMIFS('[1]采购入库'!$V$4:$V$2003,'[1]采购入库'!$D$4:$D$2003,$A207))</f>
        <v>0</v>
      </c>
      <c r="E207" s="11">
        <f>IF(A207="",0,SUMIFS('[1]资金台帐'!$H$4:$H$3003,'[1]资金台帐'!$D$4:$D$3003,$A207,'[1]资金台帐'!$M$4:$M$3003,"往来"))</f>
        <v>0</v>
      </c>
      <c r="F207" s="11">
        <f>IF(A207="",0,N('[1]基础资料'!$M$206))</f>
        <v>0</v>
      </c>
      <c r="G207" s="11">
        <f>IF(OR(A207="",ISNUMBER(FIND("线上",B207))),0,SUMIFS('[1]销售出库'!$S$4:$S$2003,'[1]销售出库'!$B$4:$B$2003,$A207))</f>
        <v>0</v>
      </c>
      <c r="H207" s="11">
        <f>IF(A207="",0,SUMIFS('[1]资金台帐'!$G$4:$G$3003,'[1]资金台帐'!$D$4:$D$3003,$A207,'[1]资金台帐'!$M$4:$M$3003,"往来"))</f>
        <v>0</v>
      </c>
      <c r="I207" s="11">
        <f t="shared" si="0"/>
        <v>0</v>
      </c>
      <c r="J207" s="11">
        <f t="shared" si="1"/>
        <v>0</v>
      </c>
      <c r="K207" s="6">
        <f t="shared" si="2"/>
      </c>
    </row>
    <row r="208">
      <c r="A208" s="6">
        <f>IF('[1]基础资料'!$I$207="","",'[1]基础资料'!$I$207)</f>
      </c>
      <c r="B208" s="6">
        <f>IF(A208="","",'[1]基础资料'!$J$207&amp;IF('[1]基础资料'!$K$207="","","·"&amp;'[1]基础资料'!$K$207))</f>
      </c>
      <c r="C208" s="11">
        <f>IF(A208="",0,N('[1]基础资料'!$L$207))</f>
        <v>0</v>
      </c>
      <c r="D208" s="11">
        <f>IF(A208="",0,SUMIFS('[1]采购入库'!$V$4:$V$2003,'[1]采购入库'!$D$4:$D$2003,$A208))</f>
        <v>0</v>
      </c>
      <c r="E208" s="11">
        <f>IF(A208="",0,SUMIFS('[1]资金台帐'!$H$4:$H$3003,'[1]资金台帐'!$D$4:$D$3003,$A208,'[1]资金台帐'!$M$4:$M$3003,"往来"))</f>
        <v>0</v>
      </c>
      <c r="F208" s="11">
        <f>IF(A208="",0,N('[1]基础资料'!$M$207))</f>
        <v>0</v>
      </c>
      <c r="G208" s="11">
        <f>IF(OR(A208="",ISNUMBER(FIND("线上",B208))),0,SUMIFS('[1]销售出库'!$S$4:$S$2003,'[1]销售出库'!$B$4:$B$2003,$A208))</f>
        <v>0</v>
      </c>
      <c r="H208" s="11">
        <f>IF(A208="",0,SUMIFS('[1]资金台帐'!$G$4:$G$3003,'[1]资金台帐'!$D$4:$D$3003,$A208,'[1]资金台帐'!$M$4:$M$3003,"往来"))</f>
        <v>0</v>
      </c>
      <c r="I208" s="11">
        <f t="shared" si="0"/>
        <v>0</v>
      </c>
      <c r="J208" s="11">
        <f t="shared" si="1"/>
        <v>0</v>
      </c>
      <c r="K208" s="6">
        <f t="shared" si="2"/>
      </c>
    </row>
    <row r="209">
      <c r="A209" s="6">
        <f>IF('[1]基础资料'!$I$208="","",'[1]基础资料'!$I$208)</f>
      </c>
      <c r="B209" s="6">
        <f>IF(A209="","",'[1]基础资料'!$J$208&amp;IF('[1]基础资料'!$K$208="","","·"&amp;'[1]基础资料'!$K$208))</f>
      </c>
      <c r="C209" s="11">
        <f>IF(A209="",0,N('[1]基础资料'!$L$208))</f>
        <v>0</v>
      </c>
      <c r="D209" s="11">
        <f>IF(A209="",0,SUMIFS('[1]采购入库'!$V$4:$V$2003,'[1]采购入库'!$D$4:$D$2003,$A209))</f>
        <v>0</v>
      </c>
      <c r="E209" s="11">
        <f>IF(A209="",0,SUMIFS('[1]资金台帐'!$H$4:$H$3003,'[1]资金台帐'!$D$4:$D$3003,$A209,'[1]资金台帐'!$M$4:$M$3003,"往来"))</f>
        <v>0</v>
      </c>
      <c r="F209" s="11">
        <f>IF(A209="",0,N('[1]基础资料'!$M$208))</f>
        <v>0</v>
      </c>
      <c r="G209" s="11">
        <f>IF(OR(A209="",ISNUMBER(FIND("线上",B209))),0,SUMIFS('[1]销售出库'!$S$4:$S$2003,'[1]销售出库'!$B$4:$B$2003,$A209))</f>
        <v>0</v>
      </c>
      <c r="H209" s="11">
        <f>IF(A209="",0,SUMIFS('[1]资金台帐'!$G$4:$G$3003,'[1]资金台帐'!$D$4:$D$3003,$A209,'[1]资金台帐'!$M$4:$M$3003,"往来"))</f>
        <v>0</v>
      </c>
      <c r="I209" s="11">
        <f t="shared" si="0"/>
        <v>0</v>
      </c>
      <c r="J209" s="11">
        <f t="shared" si="1"/>
        <v>0</v>
      </c>
      <c r="K209" s="6">
        <f t="shared" si="2"/>
      </c>
    </row>
    <row r="210">
      <c r="A210" s="6">
        <f>IF('[1]基础资料'!$I$209="","",'[1]基础资料'!$I$209)</f>
      </c>
      <c r="B210" s="6">
        <f>IF(A210="","",'[1]基础资料'!$J$209&amp;IF('[1]基础资料'!$K$209="","","·"&amp;'[1]基础资料'!$K$209))</f>
      </c>
      <c r="C210" s="11">
        <f>IF(A210="",0,N('[1]基础资料'!$L$209))</f>
        <v>0</v>
      </c>
      <c r="D210" s="11">
        <f>IF(A210="",0,SUMIFS('[1]采购入库'!$V$4:$V$2003,'[1]采购入库'!$D$4:$D$2003,$A210))</f>
        <v>0</v>
      </c>
      <c r="E210" s="11">
        <f>IF(A210="",0,SUMIFS('[1]资金台帐'!$H$4:$H$3003,'[1]资金台帐'!$D$4:$D$3003,$A210,'[1]资金台帐'!$M$4:$M$3003,"往来"))</f>
        <v>0</v>
      </c>
      <c r="F210" s="11">
        <f>IF(A210="",0,N('[1]基础资料'!$M$209))</f>
        <v>0</v>
      </c>
      <c r="G210" s="11">
        <f>IF(OR(A210="",ISNUMBER(FIND("线上",B210))),0,SUMIFS('[1]销售出库'!$S$4:$S$2003,'[1]销售出库'!$B$4:$B$2003,$A210))</f>
        <v>0</v>
      </c>
      <c r="H210" s="11">
        <f>IF(A210="",0,SUMIFS('[1]资金台帐'!$G$4:$G$3003,'[1]资金台帐'!$D$4:$D$3003,$A210,'[1]资金台帐'!$M$4:$M$3003,"往来"))</f>
        <v>0</v>
      </c>
      <c r="I210" s="11">
        <f t="shared" si="0"/>
        <v>0</v>
      </c>
      <c r="J210" s="11">
        <f t="shared" si="1"/>
        <v>0</v>
      </c>
      <c r="K210" s="6">
        <f t="shared" si="2"/>
      </c>
    </row>
    <row r="211">
      <c r="A211" s="6">
        <f>IF('[1]基础资料'!$I$210="","",'[1]基础资料'!$I$210)</f>
      </c>
      <c r="B211" s="6">
        <f>IF(A211="","",'[1]基础资料'!$J$210&amp;IF('[1]基础资料'!$K$210="","","·"&amp;'[1]基础资料'!$K$210))</f>
      </c>
      <c r="C211" s="11">
        <f>IF(A211="",0,N('[1]基础资料'!$L$210))</f>
        <v>0</v>
      </c>
      <c r="D211" s="11">
        <f>IF(A211="",0,SUMIFS('[1]采购入库'!$V$4:$V$2003,'[1]采购入库'!$D$4:$D$2003,$A211))</f>
        <v>0</v>
      </c>
      <c r="E211" s="11">
        <f>IF(A211="",0,SUMIFS('[1]资金台帐'!$H$4:$H$3003,'[1]资金台帐'!$D$4:$D$3003,$A211,'[1]资金台帐'!$M$4:$M$3003,"往来"))</f>
        <v>0</v>
      </c>
      <c r="F211" s="11">
        <f>IF(A211="",0,N('[1]基础资料'!$M$210))</f>
        <v>0</v>
      </c>
      <c r="G211" s="11">
        <f>IF(OR(A211="",ISNUMBER(FIND("线上",B211))),0,SUMIFS('[1]销售出库'!$S$4:$S$2003,'[1]销售出库'!$B$4:$B$2003,$A211))</f>
        <v>0</v>
      </c>
      <c r="H211" s="11">
        <f>IF(A211="",0,SUMIFS('[1]资金台帐'!$G$4:$G$3003,'[1]资金台帐'!$D$4:$D$3003,$A211,'[1]资金台帐'!$M$4:$M$3003,"往来"))</f>
        <v>0</v>
      </c>
      <c r="I211" s="11">
        <f t="shared" si="0"/>
        <v>0</v>
      </c>
      <c r="J211" s="11">
        <f t="shared" si="1"/>
        <v>0</v>
      </c>
      <c r="K211" s="6">
        <f t="shared" si="2"/>
      </c>
    </row>
    <row r="212">
      <c r="A212" s="6">
        <f>IF('[1]基础资料'!$I$211="","",'[1]基础资料'!$I$211)</f>
      </c>
      <c r="B212" s="6">
        <f>IF(A212="","",'[1]基础资料'!$J$211&amp;IF('[1]基础资料'!$K$211="","","·"&amp;'[1]基础资料'!$K$211))</f>
      </c>
      <c r="C212" s="11">
        <f>IF(A212="",0,N('[1]基础资料'!$L$211))</f>
        <v>0</v>
      </c>
      <c r="D212" s="11">
        <f>IF(A212="",0,SUMIFS('[1]采购入库'!$V$4:$V$2003,'[1]采购入库'!$D$4:$D$2003,$A212))</f>
        <v>0</v>
      </c>
      <c r="E212" s="11">
        <f>IF(A212="",0,SUMIFS('[1]资金台帐'!$H$4:$H$3003,'[1]资金台帐'!$D$4:$D$3003,$A212,'[1]资金台帐'!$M$4:$M$3003,"往来"))</f>
        <v>0</v>
      </c>
      <c r="F212" s="11">
        <f>IF(A212="",0,N('[1]基础资料'!$M$211))</f>
        <v>0</v>
      </c>
      <c r="G212" s="11">
        <f>IF(OR(A212="",ISNUMBER(FIND("线上",B212))),0,SUMIFS('[1]销售出库'!$S$4:$S$2003,'[1]销售出库'!$B$4:$B$2003,$A212))</f>
        <v>0</v>
      </c>
      <c r="H212" s="11">
        <f>IF(A212="",0,SUMIFS('[1]资金台帐'!$G$4:$G$3003,'[1]资金台帐'!$D$4:$D$3003,$A212,'[1]资金台帐'!$M$4:$M$3003,"往来"))</f>
        <v>0</v>
      </c>
      <c r="I212" s="11">
        <f t="shared" si="0"/>
        <v>0</v>
      </c>
      <c r="J212" s="11">
        <f t="shared" si="1"/>
        <v>0</v>
      </c>
      <c r="K212" s="6">
        <f t="shared" si="2"/>
      </c>
    </row>
    <row r="213">
      <c r="A213" s="6">
        <f>IF('[1]基础资料'!$I$212="","",'[1]基础资料'!$I$212)</f>
      </c>
      <c r="B213" s="6">
        <f>IF(A213="","",'[1]基础资料'!$J$212&amp;IF('[1]基础资料'!$K$212="","","·"&amp;'[1]基础资料'!$K$212))</f>
      </c>
      <c r="C213" s="11">
        <f>IF(A213="",0,N('[1]基础资料'!$L$212))</f>
        <v>0</v>
      </c>
      <c r="D213" s="11">
        <f>IF(A213="",0,SUMIFS('[1]采购入库'!$V$4:$V$2003,'[1]采购入库'!$D$4:$D$2003,$A213))</f>
        <v>0</v>
      </c>
      <c r="E213" s="11">
        <f>IF(A213="",0,SUMIFS('[1]资金台帐'!$H$4:$H$3003,'[1]资金台帐'!$D$4:$D$3003,$A213,'[1]资金台帐'!$M$4:$M$3003,"往来"))</f>
        <v>0</v>
      </c>
      <c r="F213" s="11">
        <f>IF(A213="",0,N('[1]基础资料'!$M$212))</f>
        <v>0</v>
      </c>
      <c r="G213" s="11">
        <f>IF(OR(A213="",ISNUMBER(FIND("线上",B213))),0,SUMIFS('[1]销售出库'!$S$4:$S$2003,'[1]销售出库'!$B$4:$B$2003,$A213))</f>
        <v>0</v>
      </c>
      <c r="H213" s="11">
        <f>IF(A213="",0,SUMIFS('[1]资金台帐'!$G$4:$G$3003,'[1]资金台帐'!$D$4:$D$3003,$A213,'[1]资金台帐'!$M$4:$M$3003,"往来"))</f>
        <v>0</v>
      </c>
      <c r="I213" s="11">
        <f t="shared" si="0"/>
        <v>0</v>
      </c>
      <c r="J213" s="11">
        <f t="shared" si="1"/>
        <v>0</v>
      </c>
      <c r="K213" s="6">
        <f t="shared" si="2"/>
      </c>
    </row>
    <row r="214">
      <c r="A214" s="6">
        <f>IF('[1]基础资料'!$I$213="","",'[1]基础资料'!$I$213)</f>
      </c>
      <c r="B214" s="6">
        <f>IF(A214="","",'[1]基础资料'!$J$213&amp;IF('[1]基础资料'!$K$213="","","·"&amp;'[1]基础资料'!$K$213))</f>
      </c>
      <c r="C214" s="11">
        <f>IF(A214="",0,N('[1]基础资料'!$L$213))</f>
        <v>0</v>
      </c>
      <c r="D214" s="11">
        <f>IF(A214="",0,SUMIFS('[1]采购入库'!$V$4:$V$2003,'[1]采购入库'!$D$4:$D$2003,$A214))</f>
        <v>0</v>
      </c>
      <c r="E214" s="11">
        <f>IF(A214="",0,SUMIFS('[1]资金台帐'!$H$4:$H$3003,'[1]资金台帐'!$D$4:$D$3003,$A214,'[1]资金台帐'!$M$4:$M$3003,"往来"))</f>
        <v>0</v>
      </c>
      <c r="F214" s="11">
        <f>IF(A214="",0,N('[1]基础资料'!$M$213))</f>
        <v>0</v>
      </c>
      <c r="G214" s="11">
        <f>IF(OR(A214="",ISNUMBER(FIND("线上",B214))),0,SUMIFS('[1]销售出库'!$S$4:$S$2003,'[1]销售出库'!$B$4:$B$2003,$A214))</f>
        <v>0</v>
      </c>
      <c r="H214" s="11">
        <f>IF(A214="",0,SUMIFS('[1]资金台帐'!$G$4:$G$3003,'[1]资金台帐'!$D$4:$D$3003,$A214,'[1]资金台帐'!$M$4:$M$3003,"往来"))</f>
        <v>0</v>
      </c>
      <c r="I214" s="11">
        <f t="shared" si="0"/>
        <v>0</v>
      </c>
      <c r="J214" s="11">
        <f t="shared" si="1"/>
        <v>0</v>
      </c>
      <c r="K214" s="6">
        <f t="shared" si="2"/>
      </c>
    </row>
    <row r="215">
      <c r="A215" s="6">
        <f>IF('[1]基础资料'!$I$214="","",'[1]基础资料'!$I$214)</f>
      </c>
      <c r="B215" s="6">
        <f>IF(A215="","",'[1]基础资料'!$J$214&amp;IF('[1]基础资料'!$K$214="","","·"&amp;'[1]基础资料'!$K$214))</f>
      </c>
      <c r="C215" s="11">
        <f>IF(A215="",0,N('[1]基础资料'!$L$214))</f>
        <v>0</v>
      </c>
      <c r="D215" s="11">
        <f>IF(A215="",0,SUMIFS('[1]采购入库'!$V$4:$V$2003,'[1]采购入库'!$D$4:$D$2003,$A215))</f>
        <v>0</v>
      </c>
      <c r="E215" s="11">
        <f>IF(A215="",0,SUMIFS('[1]资金台帐'!$H$4:$H$3003,'[1]资金台帐'!$D$4:$D$3003,$A215,'[1]资金台帐'!$M$4:$M$3003,"往来"))</f>
        <v>0</v>
      </c>
      <c r="F215" s="11">
        <f>IF(A215="",0,N('[1]基础资料'!$M$214))</f>
        <v>0</v>
      </c>
      <c r="G215" s="11">
        <f>IF(OR(A215="",ISNUMBER(FIND("线上",B215))),0,SUMIFS('[1]销售出库'!$S$4:$S$2003,'[1]销售出库'!$B$4:$B$2003,$A215))</f>
        <v>0</v>
      </c>
      <c r="H215" s="11">
        <f>IF(A215="",0,SUMIFS('[1]资金台帐'!$G$4:$G$3003,'[1]资金台帐'!$D$4:$D$3003,$A215,'[1]资金台帐'!$M$4:$M$3003,"往来"))</f>
        <v>0</v>
      </c>
      <c r="I215" s="11">
        <f t="shared" si="0"/>
        <v>0</v>
      </c>
      <c r="J215" s="11">
        <f t="shared" si="1"/>
        <v>0</v>
      </c>
      <c r="K215" s="6">
        <f t="shared" si="2"/>
      </c>
    </row>
    <row r="216">
      <c r="A216" s="6">
        <f>IF('[1]基础资料'!$I$215="","",'[1]基础资料'!$I$215)</f>
      </c>
      <c r="B216" s="6">
        <f>IF(A216="","",'[1]基础资料'!$J$215&amp;IF('[1]基础资料'!$K$215="","","·"&amp;'[1]基础资料'!$K$215))</f>
      </c>
      <c r="C216" s="11">
        <f>IF(A216="",0,N('[1]基础资料'!$L$215))</f>
        <v>0</v>
      </c>
      <c r="D216" s="11">
        <f>IF(A216="",0,SUMIFS('[1]采购入库'!$V$4:$V$2003,'[1]采购入库'!$D$4:$D$2003,$A216))</f>
        <v>0</v>
      </c>
      <c r="E216" s="11">
        <f>IF(A216="",0,SUMIFS('[1]资金台帐'!$H$4:$H$3003,'[1]资金台帐'!$D$4:$D$3003,$A216,'[1]资金台帐'!$M$4:$M$3003,"往来"))</f>
        <v>0</v>
      </c>
      <c r="F216" s="11">
        <f>IF(A216="",0,N('[1]基础资料'!$M$215))</f>
        <v>0</v>
      </c>
      <c r="G216" s="11">
        <f>IF(OR(A216="",ISNUMBER(FIND("线上",B216))),0,SUMIFS('[1]销售出库'!$S$4:$S$2003,'[1]销售出库'!$B$4:$B$2003,$A216))</f>
        <v>0</v>
      </c>
      <c r="H216" s="11">
        <f>IF(A216="",0,SUMIFS('[1]资金台帐'!$G$4:$G$3003,'[1]资金台帐'!$D$4:$D$3003,$A216,'[1]资金台帐'!$M$4:$M$3003,"往来"))</f>
        <v>0</v>
      </c>
      <c r="I216" s="11">
        <f t="shared" si="0"/>
        <v>0</v>
      </c>
      <c r="J216" s="11">
        <f t="shared" si="1"/>
        <v>0</v>
      </c>
      <c r="K216" s="6">
        <f t="shared" si="2"/>
      </c>
    </row>
    <row r="217">
      <c r="A217" s="6">
        <f>IF('[1]基础资料'!$I$216="","",'[1]基础资料'!$I$216)</f>
      </c>
      <c r="B217" s="6">
        <f>IF(A217="","",'[1]基础资料'!$J$216&amp;IF('[1]基础资料'!$K$216="","","·"&amp;'[1]基础资料'!$K$216))</f>
      </c>
      <c r="C217" s="11">
        <f>IF(A217="",0,N('[1]基础资料'!$L$216))</f>
        <v>0</v>
      </c>
      <c r="D217" s="11">
        <f>IF(A217="",0,SUMIFS('[1]采购入库'!$V$4:$V$2003,'[1]采购入库'!$D$4:$D$2003,$A217))</f>
        <v>0</v>
      </c>
      <c r="E217" s="11">
        <f>IF(A217="",0,SUMIFS('[1]资金台帐'!$H$4:$H$3003,'[1]资金台帐'!$D$4:$D$3003,$A217,'[1]资金台帐'!$M$4:$M$3003,"往来"))</f>
        <v>0</v>
      </c>
      <c r="F217" s="11">
        <f>IF(A217="",0,N('[1]基础资料'!$M$216))</f>
        <v>0</v>
      </c>
      <c r="G217" s="11">
        <f>IF(OR(A217="",ISNUMBER(FIND("线上",B217))),0,SUMIFS('[1]销售出库'!$S$4:$S$2003,'[1]销售出库'!$B$4:$B$2003,$A217))</f>
        <v>0</v>
      </c>
      <c r="H217" s="11">
        <f>IF(A217="",0,SUMIFS('[1]资金台帐'!$G$4:$G$3003,'[1]资金台帐'!$D$4:$D$3003,$A217,'[1]资金台帐'!$M$4:$M$3003,"往来"))</f>
        <v>0</v>
      </c>
      <c r="I217" s="11">
        <f t="shared" si="0"/>
        <v>0</v>
      </c>
      <c r="J217" s="11">
        <f t="shared" si="1"/>
        <v>0</v>
      </c>
      <c r="K217" s="6">
        <f t="shared" si="2"/>
      </c>
    </row>
    <row r="218">
      <c r="A218" s="6">
        <f>IF('[1]基础资料'!$I$217="","",'[1]基础资料'!$I$217)</f>
      </c>
      <c r="B218" s="6">
        <f>IF(A218="","",'[1]基础资料'!$J$217&amp;IF('[1]基础资料'!$K$217="","","·"&amp;'[1]基础资料'!$K$217))</f>
      </c>
      <c r="C218" s="11">
        <f>IF(A218="",0,N('[1]基础资料'!$L$217))</f>
        <v>0</v>
      </c>
      <c r="D218" s="11">
        <f>IF(A218="",0,SUMIFS('[1]采购入库'!$V$4:$V$2003,'[1]采购入库'!$D$4:$D$2003,$A218))</f>
        <v>0</v>
      </c>
      <c r="E218" s="11">
        <f>IF(A218="",0,SUMIFS('[1]资金台帐'!$H$4:$H$3003,'[1]资金台帐'!$D$4:$D$3003,$A218,'[1]资金台帐'!$M$4:$M$3003,"往来"))</f>
        <v>0</v>
      </c>
      <c r="F218" s="11">
        <f>IF(A218="",0,N('[1]基础资料'!$M$217))</f>
        <v>0</v>
      </c>
      <c r="G218" s="11">
        <f>IF(OR(A218="",ISNUMBER(FIND("线上",B218))),0,SUMIFS('[1]销售出库'!$S$4:$S$2003,'[1]销售出库'!$B$4:$B$2003,$A218))</f>
        <v>0</v>
      </c>
      <c r="H218" s="11">
        <f>IF(A218="",0,SUMIFS('[1]资金台帐'!$G$4:$G$3003,'[1]资金台帐'!$D$4:$D$3003,$A218,'[1]资金台帐'!$M$4:$M$3003,"往来"))</f>
        <v>0</v>
      </c>
      <c r="I218" s="11">
        <f t="shared" si="0"/>
        <v>0</v>
      </c>
      <c r="J218" s="11">
        <f t="shared" si="1"/>
        <v>0</v>
      </c>
      <c r="K218" s="6">
        <f t="shared" si="2"/>
      </c>
    </row>
    <row r="219">
      <c r="A219" s="6">
        <f>IF('[1]基础资料'!$I$218="","",'[1]基础资料'!$I$218)</f>
      </c>
      <c r="B219" s="6">
        <f>IF(A219="","",'[1]基础资料'!$J$218&amp;IF('[1]基础资料'!$K$218="","","·"&amp;'[1]基础资料'!$K$218))</f>
      </c>
      <c r="C219" s="11">
        <f>IF(A219="",0,N('[1]基础资料'!$L$218))</f>
        <v>0</v>
      </c>
      <c r="D219" s="11">
        <f>IF(A219="",0,SUMIFS('[1]采购入库'!$V$4:$V$2003,'[1]采购入库'!$D$4:$D$2003,$A219))</f>
        <v>0</v>
      </c>
      <c r="E219" s="11">
        <f>IF(A219="",0,SUMIFS('[1]资金台帐'!$H$4:$H$3003,'[1]资金台帐'!$D$4:$D$3003,$A219,'[1]资金台帐'!$M$4:$M$3003,"往来"))</f>
        <v>0</v>
      </c>
      <c r="F219" s="11">
        <f>IF(A219="",0,N('[1]基础资料'!$M$218))</f>
        <v>0</v>
      </c>
      <c r="G219" s="11">
        <f>IF(OR(A219="",ISNUMBER(FIND("线上",B219))),0,SUMIFS('[1]销售出库'!$S$4:$S$2003,'[1]销售出库'!$B$4:$B$2003,$A219))</f>
        <v>0</v>
      </c>
      <c r="H219" s="11">
        <f>IF(A219="",0,SUMIFS('[1]资金台帐'!$G$4:$G$3003,'[1]资金台帐'!$D$4:$D$3003,$A219,'[1]资金台帐'!$M$4:$M$3003,"往来"))</f>
        <v>0</v>
      </c>
      <c r="I219" s="11">
        <f t="shared" si="0"/>
        <v>0</v>
      </c>
      <c r="J219" s="11">
        <f t="shared" si="1"/>
        <v>0</v>
      </c>
      <c r="K219" s="6">
        <f t="shared" si="2"/>
      </c>
    </row>
    <row r="220">
      <c r="A220" s="6">
        <f>IF('[1]基础资料'!$I$219="","",'[1]基础资料'!$I$219)</f>
      </c>
      <c r="B220" s="6">
        <f>IF(A220="","",'[1]基础资料'!$J$219&amp;IF('[1]基础资料'!$K$219="","","·"&amp;'[1]基础资料'!$K$219))</f>
      </c>
      <c r="C220" s="11">
        <f>IF(A220="",0,N('[1]基础资料'!$L$219))</f>
        <v>0</v>
      </c>
      <c r="D220" s="11">
        <f>IF(A220="",0,SUMIFS('[1]采购入库'!$V$4:$V$2003,'[1]采购入库'!$D$4:$D$2003,$A220))</f>
        <v>0</v>
      </c>
      <c r="E220" s="11">
        <f>IF(A220="",0,SUMIFS('[1]资金台帐'!$H$4:$H$3003,'[1]资金台帐'!$D$4:$D$3003,$A220,'[1]资金台帐'!$M$4:$M$3003,"往来"))</f>
        <v>0</v>
      </c>
      <c r="F220" s="11">
        <f>IF(A220="",0,N('[1]基础资料'!$M$219))</f>
        <v>0</v>
      </c>
      <c r="G220" s="11">
        <f>IF(OR(A220="",ISNUMBER(FIND("线上",B220))),0,SUMIFS('[1]销售出库'!$S$4:$S$2003,'[1]销售出库'!$B$4:$B$2003,$A220))</f>
        <v>0</v>
      </c>
      <c r="H220" s="11">
        <f>IF(A220="",0,SUMIFS('[1]资金台帐'!$G$4:$G$3003,'[1]资金台帐'!$D$4:$D$3003,$A220,'[1]资金台帐'!$M$4:$M$3003,"往来"))</f>
        <v>0</v>
      </c>
      <c r="I220" s="11">
        <f t="shared" si="0"/>
        <v>0</v>
      </c>
      <c r="J220" s="11">
        <f t="shared" si="1"/>
        <v>0</v>
      </c>
      <c r="K220" s="6">
        <f t="shared" si="2"/>
      </c>
    </row>
    <row r="221">
      <c r="A221" s="6">
        <f>IF('[1]基础资料'!$I$220="","",'[1]基础资料'!$I$220)</f>
      </c>
      <c r="B221" s="6">
        <f>IF(A221="","",'[1]基础资料'!$J$220&amp;IF('[1]基础资料'!$K$220="","","·"&amp;'[1]基础资料'!$K$220))</f>
      </c>
      <c r="C221" s="11">
        <f>IF(A221="",0,N('[1]基础资料'!$L$220))</f>
        <v>0</v>
      </c>
      <c r="D221" s="11">
        <f>IF(A221="",0,SUMIFS('[1]采购入库'!$V$4:$V$2003,'[1]采购入库'!$D$4:$D$2003,$A221))</f>
        <v>0</v>
      </c>
      <c r="E221" s="11">
        <f>IF(A221="",0,SUMIFS('[1]资金台帐'!$H$4:$H$3003,'[1]资金台帐'!$D$4:$D$3003,$A221,'[1]资金台帐'!$M$4:$M$3003,"往来"))</f>
        <v>0</v>
      </c>
      <c r="F221" s="11">
        <f>IF(A221="",0,N('[1]基础资料'!$M$220))</f>
        <v>0</v>
      </c>
      <c r="G221" s="11">
        <f>IF(OR(A221="",ISNUMBER(FIND("线上",B221))),0,SUMIFS('[1]销售出库'!$S$4:$S$2003,'[1]销售出库'!$B$4:$B$2003,$A221))</f>
        <v>0</v>
      </c>
      <c r="H221" s="11">
        <f>IF(A221="",0,SUMIFS('[1]资金台帐'!$G$4:$G$3003,'[1]资金台帐'!$D$4:$D$3003,$A221,'[1]资金台帐'!$M$4:$M$3003,"往来"))</f>
        <v>0</v>
      </c>
      <c r="I221" s="11">
        <f t="shared" si="0"/>
        <v>0</v>
      </c>
      <c r="J221" s="11">
        <f t="shared" si="1"/>
        <v>0</v>
      </c>
      <c r="K221" s="6">
        <f t="shared" si="2"/>
      </c>
    </row>
    <row r="222">
      <c r="A222" s="6">
        <f>IF('[1]基础资料'!$I$221="","",'[1]基础资料'!$I$221)</f>
      </c>
      <c r="B222" s="6">
        <f>IF(A222="","",'[1]基础资料'!$J$221&amp;IF('[1]基础资料'!$K$221="","","·"&amp;'[1]基础资料'!$K$221))</f>
      </c>
      <c r="C222" s="11">
        <f>IF(A222="",0,N('[1]基础资料'!$L$221))</f>
        <v>0</v>
      </c>
      <c r="D222" s="11">
        <f>IF(A222="",0,SUMIFS('[1]采购入库'!$V$4:$V$2003,'[1]采购入库'!$D$4:$D$2003,$A222))</f>
        <v>0</v>
      </c>
      <c r="E222" s="11">
        <f>IF(A222="",0,SUMIFS('[1]资金台帐'!$H$4:$H$3003,'[1]资金台帐'!$D$4:$D$3003,$A222,'[1]资金台帐'!$M$4:$M$3003,"往来"))</f>
        <v>0</v>
      </c>
      <c r="F222" s="11">
        <f>IF(A222="",0,N('[1]基础资料'!$M$221))</f>
        <v>0</v>
      </c>
      <c r="G222" s="11">
        <f>IF(OR(A222="",ISNUMBER(FIND("线上",B222))),0,SUMIFS('[1]销售出库'!$S$4:$S$2003,'[1]销售出库'!$B$4:$B$2003,$A222))</f>
        <v>0</v>
      </c>
      <c r="H222" s="11">
        <f>IF(A222="",0,SUMIFS('[1]资金台帐'!$G$4:$G$3003,'[1]资金台帐'!$D$4:$D$3003,$A222,'[1]资金台帐'!$M$4:$M$3003,"往来"))</f>
        <v>0</v>
      </c>
      <c r="I222" s="11">
        <f t="shared" si="0"/>
        <v>0</v>
      </c>
      <c r="J222" s="11">
        <f t="shared" si="1"/>
        <v>0</v>
      </c>
      <c r="K222" s="6">
        <f t="shared" si="2"/>
      </c>
    </row>
    <row r="223">
      <c r="A223" s="6">
        <f>IF('[1]基础资料'!$I$222="","",'[1]基础资料'!$I$222)</f>
      </c>
      <c r="B223" s="6">
        <f>IF(A223="","",'[1]基础资料'!$J$222&amp;IF('[1]基础资料'!$K$222="","","·"&amp;'[1]基础资料'!$K$222))</f>
      </c>
      <c r="C223" s="11">
        <f>IF(A223="",0,N('[1]基础资料'!$L$222))</f>
        <v>0</v>
      </c>
      <c r="D223" s="11">
        <f>IF(A223="",0,SUMIFS('[1]采购入库'!$V$4:$V$2003,'[1]采购入库'!$D$4:$D$2003,$A223))</f>
        <v>0</v>
      </c>
      <c r="E223" s="11">
        <f>IF(A223="",0,SUMIFS('[1]资金台帐'!$H$4:$H$3003,'[1]资金台帐'!$D$4:$D$3003,$A223,'[1]资金台帐'!$M$4:$M$3003,"往来"))</f>
        <v>0</v>
      </c>
      <c r="F223" s="11">
        <f>IF(A223="",0,N('[1]基础资料'!$M$222))</f>
        <v>0</v>
      </c>
      <c r="G223" s="11">
        <f>IF(OR(A223="",ISNUMBER(FIND("线上",B223))),0,SUMIFS('[1]销售出库'!$S$4:$S$2003,'[1]销售出库'!$B$4:$B$2003,$A223))</f>
        <v>0</v>
      </c>
      <c r="H223" s="11">
        <f>IF(A223="",0,SUMIFS('[1]资金台帐'!$G$4:$G$3003,'[1]资金台帐'!$D$4:$D$3003,$A223,'[1]资金台帐'!$M$4:$M$3003,"往来"))</f>
        <v>0</v>
      </c>
      <c r="I223" s="11">
        <f t="shared" si="0"/>
        <v>0</v>
      </c>
      <c r="J223" s="11">
        <f t="shared" si="1"/>
        <v>0</v>
      </c>
      <c r="K223" s="6">
        <f t="shared" si="2"/>
      </c>
    </row>
    <row r="224">
      <c r="A224" s="6">
        <f>IF('[1]基础资料'!$I$223="","",'[1]基础资料'!$I$223)</f>
      </c>
      <c r="B224" s="6">
        <f>IF(A224="","",'[1]基础资料'!$J$223&amp;IF('[1]基础资料'!$K$223="","","·"&amp;'[1]基础资料'!$K$223))</f>
      </c>
      <c r="C224" s="11">
        <f>IF(A224="",0,N('[1]基础资料'!$L$223))</f>
        <v>0</v>
      </c>
      <c r="D224" s="11">
        <f>IF(A224="",0,SUMIFS('[1]采购入库'!$V$4:$V$2003,'[1]采购入库'!$D$4:$D$2003,$A224))</f>
        <v>0</v>
      </c>
      <c r="E224" s="11">
        <f>IF(A224="",0,SUMIFS('[1]资金台帐'!$H$4:$H$3003,'[1]资金台帐'!$D$4:$D$3003,$A224,'[1]资金台帐'!$M$4:$M$3003,"往来"))</f>
        <v>0</v>
      </c>
      <c r="F224" s="11">
        <f>IF(A224="",0,N('[1]基础资料'!$M$223))</f>
        <v>0</v>
      </c>
      <c r="G224" s="11">
        <f>IF(OR(A224="",ISNUMBER(FIND("线上",B224))),0,SUMIFS('[1]销售出库'!$S$4:$S$2003,'[1]销售出库'!$B$4:$B$2003,$A224))</f>
        <v>0</v>
      </c>
      <c r="H224" s="11">
        <f>IF(A224="",0,SUMIFS('[1]资金台帐'!$G$4:$G$3003,'[1]资金台帐'!$D$4:$D$3003,$A224,'[1]资金台帐'!$M$4:$M$3003,"往来"))</f>
        <v>0</v>
      </c>
      <c r="I224" s="11">
        <f t="shared" si="0"/>
        <v>0</v>
      </c>
      <c r="J224" s="11">
        <f t="shared" si="1"/>
        <v>0</v>
      </c>
      <c r="K224" s="6">
        <f t="shared" si="2"/>
      </c>
    </row>
    <row r="225">
      <c r="A225" s="6">
        <f>IF('[1]基础资料'!$I$224="","",'[1]基础资料'!$I$224)</f>
      </c>
      <c r="B225" s="6">
        <f>IF(A225="","",'[1]基础资料'!$J$224&amp;IF('[1]基础资料'!$K$224="","","·"&amp;'[1]基础资料'!$K$224))</f>
      </c>
      <c r="C225" s="11">
        <f>IF(A225="",0,N('[1]基础资料'!$L$224))</f>
        <v>0</v>
      </c>
      <c r="D225" s="11">
        <f>IF(A225="",0,SUMIFS('[1]采购入库'!$V$4:$V$2003,'[1]采购入库'!$D$4:$D$2003,$A225))</f>
        <v>0</v>
      </c>
      <c r="E225" s="11">
        <f>IF(A225="",0,SUMIFS('[1]资金台帐'!$H$4:$H$3003,'[1]资金台帐'!$D$4:$D$3003,$A225,'[1]资金台帐'!$M$4:$M$3003,"往来"))</f>
        <v>0</v>
      </c>
      <c r="F225" s="11">
        <f>IF(A225="",0,N('[1]基础资料'!$M$224))</f>
        <v>0</v>
      </c>
      <c r="G225" s="11">
        <f>IF(OR(A225="",ISNUMBER(FIND("线上",B225))),0,SUMIFS('[1]销售出库'!$S$4:$S$2003,'[1]销售出库'!$B$4:$B$2003,$A225))</f>
        <v>0</v>
      </c>
      <c r="H225" s="11">
        <f>IF(A225="",0,SUMIFS('[1]资金台帐'!$G$4:$G$3003,'[1]资金台帐'!$D$4:$D$3003,$A225,'[1]资金台帐'!$M$4:$M$3003,"往来"))</f>
        <v>0</v>
      </c>
      <c r="I225" s="11">
        <f t="shared" si="0"/>
        <v>0</v>
      </c>
      <c r="J225" s="11">
        <f t="shared" si="1"/>
        <v>0</v>
      </c>
      <c r="K225" s="6">
        <f t="shared" si="2"/>
      </c>
    </row>
    <row r="226">
      <c r="A226" s="6">
        <f>IF('[1]基础资料'!$I$225="","",'[1]基础资料'!$I$225)</f>
      </c>
      <c r="B226" s="6">
        <f>IF(A226="","",'[1]基础资料'!$J$225&amp;IF('[1]基础资料'!$K$225="","","·"&amp;'[1]基础资料'!$K$225))</f>
      </c>
      <c r="C226" s="11">
        <f>IF(A226="",0,N('[1]基础资料'!$L$225))</f>
        <v>0</v>
      </c>
      <c r="D226" s="11">
        <f>IF(A226="",0,SUMIFS('[1]采购入库'!$V$4:$V$2003,'[1]采购入库'!$D$4:$D$2003,$A226))</f>
        <v>0</v>
      </c>
      <c r="E226" s="11">
        <f>IF(A226="",0,SUMIFS('[1]资金台帐'!$H$4:$H$3003,'[1]资金台帐'!$D$4:$D$3003,$A226,'[1]资金台帐'!$M$4:$M$3003,"往来"))</f>
        <v>0</v>
      </c>
      <c r="F226" s="11">
        <f>IF(A226="",0,N('[1]基础资料'!$M$225))</f>
        <v>0</v>
      </c>
      <c r="G226" s="11">
        <f>IF(OR(A226="",ISNUMBER(FIND("线上",B226))),0,SUMIFS('[1]销售出库'!$S$4:$S$2003,'[1]销售出库'!$B$4:$B$2003,$A226))</f>
        <v>0</v>
      </c>
      <c r="H226" s="11">
        <f>IF(A226="",0,SUMIFS('[1]资金台帐'!$G$4:$G$3003,'[1]资金台帐'!$D$4:$D$3003,$A226,'[1]资金台帐'!$M$4:$M$3003,"往来"))</f>
        <v>0</v>
      </c>
      <c r="I226" s="11">
        <f t="shared" si="0"/>
        <v>0</v>
      </c>
      <c r="J226" s="11">
        <f t="shared" si="1"/>
        <v>0</v>
      </c>
      <c r="K226" s="6">
        <f t="shared" si="2"/>
      </c>
    </row>
    <row r="227">
      <c r="A227" s="6">
        <f>IF('[1]基础资料'!$I$226="","",'[1]基础资料'!$I$226)</f>
      </c>
      <c r="B227" s="6">
        <f>IF(A227="","",'[1]基础资料'!$J$226&amp;IF('[1]基础资料'!$K$226="","","·"&amp;'[1]基础资料'!$K$226))</f>
      </c>
      <c r="C227" s="11">
        <f>IF(A227="",0,N('[1]基础资料'!$L$226))</f>
        <v>0</v>
      </c>
      <c r="D227" s="11">
        <f>IF(A227="",0,SUMIFS('[1]采购入库'!$V$4:$V$2003,'[1]采购入库'!$D$4:$D$2003,$A227))</f>
        <v>0</v>
      </c>
      <c r="E227" s="11">
        <f>IF(A227="",0,SUMIFS('[1]资金台帐'!$H$4:$H$3003,'[1]资金台帐'!$D$4:$D$3003,$A227,'[1]资金台帐'!$M$4:$M$3003,"往来"))</f>
        <v>0</v>
      </c>
      <c r="F227" s="11">
        <f>IF(A227="",0,N('[1]基础资料'!$M$226))</f>
        <v>0</v>
      </c>
      <c r="G227" s="11">
        <f>IF(OR(A227="",ISNUMBER(FIND("线上",B227))),0,SUMIFS('[1]销售出库'!$S$4:$S$2003,'[1]销售出库'!$B$4:$B$2003,$A227))</f>
        <v>0</v>
      </c>
      <c r="H227" s="11">
        <f>IF(A227="",0,SUMIFS('[1]资金台帐'!$G$4:$G$3003,'[1]资金台帐'!$D$4:$D$3003,$A227,'[1]资金台帐'!$M$4:$M$3003,"往来"))</f>
        <v>0</v>
      </c>
      <c r="I227" s="11">
        <f t="shared" si="0"/>
        <v>0</v>
      </c>
      <c r="J227" s="11">
        <f t="shared" si="1"/>
        <v>0</v>
      </c>
      <c r="K227" s="6">
        <f t="shared" si="2"/>
      </c>
    </row>
    <row r="228">
      <c r="A228" s="6">
        <f>IF('[1]基础资料'!$I$227="","",'[1]基础资料'!$I$227)</f>
      </c>
      <c r="B228" s="6">
        <f>IF(A228="","",'[1]基础资料'!$J$227&amp;IF('[1]基础资料'!$K$227="","","·"&amp;'[1]基础资料'!$K$227))</f>
      </c>
      <c r="C228" s="11">
        <f>IF(A228="",0,N('[1]基础资料'!$L$227))</f>
        <v>0</v>
      </c>
      <c r="D228" s="11">
        <f>IF(A228="",0,SUMIFS('[1]采购入库'!$V$4:$V$2003,'[1]采购入库'!$D$4:$D$2003,$A228))</f>
        <v>0</v>
      </c>
      <c r="E228" s="11">
        <f>IF(A228="",0,SUMIFS('[1]资金台帐'!$H$4:$H$3003,'[1]资金台帐'!$D$4:$D$3003,$A228,'[1]资金台帐'!$M$4:$M$3003,"往来"))</f>
        <v>0</v>
      </c>
      <c r="F228" s="11">
        <f>IF(A228="",0,N('[1]基础资料'!$M$227))</f>
        <v>0</v>
      </c>
      <c r="G228" s="11">
        <f>IF(OR(A228="",ISNUMBER(FIND("线上",B228))),0,SUMIFS('[1]销售出库'!$S$4:$S$2003,'[1]销售出库'!$B$4:$B$2003,$A228))</f>
        <v>0</v>
      </c>
      <c r="H228" s="11">
        <f>IF(A228="",0,SUMIFS('[1]资金台帐'!$G$4:$G$3003,'[1]资金台帐'!$D$4:$D$3003,$A228,'[1]资金台帐'!$M$4:$M$3003,"往来"))</f>
        <v>0</v>
      </c>
      <c r="I228" s="11">
        <f t="shared" si="0"/>
        <v>0</v>
      </c>
      <c r="J228" s="11">
        <f t="shared" si="1"/>
        <v>0</v>
      </c>
      <c r="K228" s="6">
        <f t="shared" si="2"/>
      </c>
    </row>
    <row r="229">
      <c r="A229" s="6">
        <f>IF('[1]基础资料'!$I$228="","",'[1]基础资料'!$I$228)</f>
      </c>
      <c r="B229" s="6">
        <f>IF(A229="","",'[1]基础资料'!$J$228&amp;IF('[1]基础资料'!$K$228="","","·"&amp;'[1]基础资料'!$K$228))</f>
      </c>
      <c r="C229" s="11">
        <f>IF(A229="",0,N('[1]基础资料'!$L$228))</f>
        <v>0</v>
      </c>
      <c r="D229" s="11">
        <f>IF(A229="",0,SUMIFS('[1]采购入库'!$V$4:$V$2003,'[1]采购入库'!$D$4:$D$2003,$A229))</f>
        <v>0</v>
      </c>
      <c r="E229" s="11">
        <f>IF(A229="",0,SUMIFS('[1]资金台帐'!$H$4:$H$3003,'[1]资金台帐'!$D$4:$D$3003,$A229,'[1]资金台帐'!$M$4:$M$3003,"往来"))</f>
        <v>0</v>
      </c>
      <c r="F229" s="11">
        <f>IF(A229="",0,N('[1]基础资料'!$M$228))</f>
        <v>0</v>
      </c>
      <c r="G229" s="11">
        <f>IF(OR(A229="",ISNUMBER(FIND("线上",B229))),0,SUMIFS('[1]销售出库'!$S$4:$S$2003,'[1]销售出库'!$B$4:$B$2003,$A229))</f>
        <v>0</v>
      </c>
      <c r="H229" s="11">
        <f>IF(A229="",0,SUMIFS('[1]资金台帐'!$G$4:$G$3003,'[1]资金台帐'!$D$4:$D$3003,$A229,'[1]资金台帐'!$M$4:$M$3003,"往来"))</f>
        <v>0</v>
      </c>
      <c r="I229" s="11">
        <f t="shared" si="0"/>
        <v>0</v>
      </c>
      <c r="J229" s="11">
        <f t="shared" si="1"/>
        <v>0</v>
      </c>
      <c r="K229" s="6">
        <f t="shared" si="2"/>
      </c>
    </row>
    <row r="230">
      <c r="A230" s="6">
        <f>IF('[1]基础资料'!$I$229="","",'[1]基础资料'!$I$229)</f>
      </c>
      <c r="B230" s="6">
        <f>IF(A230="","",'[1]基础资料'!$J$229&amp;IF('[1]基础资料'!$K$229="","","·"&amp;'[1]基础资料'!$K$229))</f>
      </c>
      <c r="C230" s="11">
        <f>IF(A230="",0,N('[1]基础资料'!$L$229))</f>
        <v>0</v>
      </c>
      <c r="D230" s="11">
        <f>IF(A230="",0,SUMIFS('[1]采购入库'!$V$4:$V$2003,'[1]采购入库'!$D$4:$D$2003,$A230))</f>
        <v>0</v>
      </c>
      <c r="E230" s="11">
        <f>IF(A230="",0,SUMIFS('[1]资金台帐'!$H$4:$H$3003,'[1]资金台帐'!$D$4:$D$3003,$A230,'[1]资金台帐'!$M$4:$M$3003,"往来"))</f>
        <v>0</v>
      </c>
      <c r="F230" s="11">
        <f>IF(A230="",0,N('[1]基础资料'!$M$229))</f>
        <v>0</v>
      </c>
      <c r="G230" s="11">
        <f>IF(OR(A230="",ISNUMBER(FIND("线上",B230))),0,SUMIFS('[1]销售出库'!$S$4:$S$2003,'[1]销售出库'!$B$4:$B$2003,$A230))</f>
        <v>0</v>
      </c>
      <c r="H230" s="11">
        <f>IF(A230="",0,SUMIFS('[1]资金台帐'!$G$4:$G$3003,'[1]资金台帐'!$D$4:$D$3003,$A230,'[1]资金台帐'!$M$4:$M$3003,"往来"))</f>
        <v>0</v>
      </c>
      <c r="I230" s="11">
        <f t="shared" si="0"/>
        <v>0</v>
      </c>
      <c r="J230" s="11">
        <f t="shared" si="1"/>
        <v>0</v>
      </c>
      <c r="K230" s="6">
        <f t="shared" si="2"/>
      </c>
    </row>
    <row r="231">
      <c r="A231" s="6">
        <f>IF('[1]基础资料'!$I$230="","",'[1]基础资料'!$I$230)</f>
      </c>
      <c r="B231" s="6">
        <f>IF(A231="","",'[1]基础资料'!$J$230&amp;IF('[1]基础资料'!$K$230="","","·"&amp;'[1]基础资料'!$K$230))</f>
      </c>
      <c r="C231" s="11">
        <f>IF(A231="",0,N('[1]基础资料'!$L$230))</f>
        <v>0</v>
      </c>
      <c r="D231" s="11">
        <f>IF(A231="",0,SUMIFS('[1]采购入库'!$V$4:$V$2003,'[1]采购入库'!$D$4:$D$2003,$A231))</f>
        <v>0</v>
      </c>
      <c r="E231" s="11">
        <f>IF(A231="",0,SUMIFS('[1]资金台帐'!$H$4:$H$3003,'[1]资金台帐'!$D$4:$D$3003,$A231,'[1]资金台帐'!$M$4:$M$3003,"往来"))</f>
        <v>0</v>
      </c>
      <c r="F231" s="11">
        <f>IF(A231="",0,N('[1]基础资料'!$M$230))</f>
        <v>0</v>
      </c>
      <c r="G231" s="11">
        <f>IF(OR(A231="",ISNUMBER(FIND("线上",B231))),0,SUMIFS('[1]销售出库'!$S$4:$S$2003,'[1]销售出库'!$B$4:$B$2003,$A231))</f>
        <v>0</v>
      </c>
      <c r="H231" s="11">
        <f>IF(A231="",0,SUMIFS('[1]资金台帐'!$G$4:$G$3003,'[1]资金台帐'!$D$4:$D$3003,$A231,'[1]资金台帐'!$M$4:$M$3003,"往来"))</f>
        <v>0</v>
      </c>
      <c r="I231" s="11">
        <f t="shared" si="0"/>
        <v>0</v>
      </c>
      <c r="J231" s="11">
        <f t="shared" si="1"/>
        <v>0</v>
      </c>
      <c r="K231" s="6">
        <f t="shared" si="2"/>
      </c>
    </row>
    <row r="232">
      <c r="A232" s="6">
        <f>IF('[1]基础资料'!$I$231="","",'[1]基础资料'!$I$231)</f>
      </c>
      <c r="B232" s="6">
        <f>IF(A232="","",'[1]基础资料'!$J$231&amp;IF('[1]基础资料'!$K$231="","","·"&amp;'[1]基础资料'!$K$231))</f>
      </c>
      <c r="C232" s="11">
        <f>IF(A232="",0,N('[1]基础资料'!$L$231))</f>
        <v>0</v>
      </c>
      <c r="D232" s="11">
        <f>IF(A232="",0,SUMIFS('[1]采购入库'!$V$4:$V$2003,'[1]采购入库'!$D$4:$D$2003,$A232))</f>
        <v>0</v>
      </c>
      <c r="E232" s="11">
        <f>IF(A232="",0,SUMIFS('[1]资金台帐'!$H$4:$H$3003,'[1]资金台帐'!$D$4:$D$3003,$A232,'[1]资金台帐'!$M$4:$M$3003,"往来"))</f>
        <v>0</v>
      </c>
      <c r="F232" s="11">
        <f>IF(A232="",0,N('[1]基础资料'!$M$231))</f>
        <v>0</v>
      </c>
      <c r="G232" s="11">
        <f>IF(OR(A232="",ISNUMBER(FIND("线上",B232))),0,SUMIFS('[1]销售出库'!$S$4:$S$2003,'[1]销售出库'!$B$4:$B$2003,$A232))</f>
        <v>0</v>
      </c>
      <c r="H232" s="11">
        <f>IF(A232="",0,SUMIFS('[1]资金台帐'!$G$4:$G$3003,'[1]资金台帐'!$D$4:$D$3003,$A232,'[1]资金台帐'!$M$4:$M$3003,"往来"))</f>
        <v>0</v>
      </c>
      <c r="I232" s="11">
        <f t="shared" si="0"/>
        <v>0</v>
      </c>
      <c r="J232" s="11">
        <f t="shared" si="1"/>
        <v>0</v>
      </c>
      <c r="K232" s="6">
        <f t="shared" si="2"/>
      </c>
    </row>
    <row r="233">
      <c r="A233" s="6">
        <f>IF('[1]基础资料'!$I$232="","",'[1]基础资料'!$I$232)</f>
      </c>
      <c r="B233" s="6">
        <f>IF(A233="","",'[1]基础资料'!$J$232&amp;IF('[1]基础资料'!$K$232="","","·"&amp;'[1]基础资料'!$K$232))</f>
      </c>
      <c r="C233" s="11">
        <f>IF(A233="",0,N('[1]基础资料'!$L$232))</f>
        <v>0</v>
      </c>
      <c r="D233" s="11">
        <f>IF(A233="",0,SUMIFS('[1]采购入库'!$V$4:$V$2003,'[1]采购入库'!$D$4:$D$2003,$A233))</f>
        <v>0</v>
      </c>
      <c r="E233" s="11">
        <f>IF(A233="",0,SUMIFS('[1]资金台帐'!$H$4:$H$3003,'[1]资金台帐'!$D$4:$D$3003,$A233,'[1]资金台帐'!$M$4:$M$3003,"往来"))</f>
        <v>0</v>
      </c>
      <c r="F233" s="11">
        <f>IF(A233="",0,N('[1]基础资料'!$M$232))</f>
        <v>0</v>
      </c>
      <c r="G233" s="11">
        <f>IF(OR(A233="",ISNUMBER(FIND("线上",B233))),0,SUMIFS('[1]销售出库'!$S$4:$S$2003,'[1]销售出库'!$B$4:$B$2003,$A233))</f>
        <v>0</v>
      </c>
      <c r="H233" s="11">
        <f>IF(A233="",0,SUMIFS('[1]资金台帐'!$G$4:$G$3003,'[1]资金台帐'!$D$4:$D$3003,$A233,'[1]资金台帐'!$M$4:$M$3003,"往来"))</f>
        <v>0</v>
      </c>
      <c r="I233" s="11">
        <f t="shared" si="0"/>
        <v>0</v>
      </c>
      <c r="J233" s="11">
        <f t="shared" si="1"/>
        <v>0</v>
      </c>
      <c r="K233" s="6">
        <f t="shared" si="2"/>
      </c>
    </row>
    <row r="234">
      <c r="A234" s="6">
        <f>IF('[1]基础资料'!$I$233="","",'[1]基础资料'!$I$233)</f>
      </c>
      <c r="B234" s="6">
        <f>IF(A234="","",'[1]基础资料'!$J$233&amp;IF('[1]基础资料'!$K$233="","","·"&amp;'[1]基础资料'!$K$233))</f>
      </c>
      <c r="C234" s="11">
        <f>IF(A234="",0,N('[1]基础资料'!$L$233))</f>
        <v>0</v>
      </c>
      <c r="D234" s="11">
        <f>IF(A234="",0,SUMIFS('[1]采购入库'!$V$4:$V$2003,'[1]采购入库'!$D$4:$D$2003,$A234))</f>
        <v>0</v>
      </c>
      <c r="E234" s="11">
        <f>IF(A234="",0,SUMIFS('[1]资金台帐'!$H$4:$H$3003,'[1]资金台帐'!$D$4:$D$3003,$A234,'[1]资金台帐'!$M$4:$M$3003,"往来"))</f>
        <v>0</v>
      </c>
      <c r="F234" s="11">
        <f>IF(A234="",0,N('[1]基础资料'!$M$233))</f>
        <v>0</v>
      </c>
      <c r="G234" s="11">
        <f>IF(OR(A234="",ISNUMBER(FIND("线上",B234))),0,SUMIFS('[1]销售出库'!$S$4:$S$2003,'[1]销售出库'!$B$4:$B$2003,$A234))</f>
        <v>0</v>
      </c>
      <c r="H234" s="11">
        <f>IF(A234="",0,SUMIFS('[1]资金台帐'!$G$4:$G$3003,'[1]资金台帐'!$D$4:$D$3003,$A234,'[1]资金台帐'!$M$4:$M$3003,"往来"))</f>
        <v>0</v>
      </c>
      <c r="I234" s="11">
        <f t="shared" si="0"/>
        <v>0</v>
      </c>
      <c r="J234" s="11">
        <f t="shared" si="1"/>
        <v>0</v>
      </c>
      <c r="K234" s="6">
        <f t="shared" si="2"/>
      </c>
    </row>
    <row r="235">
      <c r="A235" s="6">
        <f>IF('[1]基础资料'!$I$234="","",'[1]基础资料'!$I$234)</f>
      </c>
      <c r="B235" s="6">
        <f>IF(A235="","",'[1]基础资料'!$J$234&amp;IF('[1]基础资料'!$K$234="","","·"&amp;'[1]基础资料'!$K$234))</f>
      </c>
      <c r="C235" s="11">
        <f>IF(A235="",0,N('[1]基础资料'!$L$234))</f>
        <v>0</v>
      </c>
      <c r="D235" s="11">
        <f>IF(A235="",0,SUMIFS('[1]采购入库'!$V$4:$V$2003,'[1]采购入库'!$D$4:$D$2003,$A235))</f>
        <v>0</v>
      </c>
      <c r="E235" s="11">
        <f>IF(A235="",0,SUMIFS('[1]资金台帐'!$H$4:$H$3003,'[1]资金台帐'!$D$4:$D$3003,$A235,'[1]资金台帐'!$M$4:$M$3003,"往来"))</f>
        <v>0</v>
      </c>
      <c r="F235" s="11">
        <f>IF(A235="",0,N('[1]基础资料'!$M$234))</f>
        <v>0</v>
      </c>
      <c r="G235" s="11">
        <f>IF(OR(A235="",ISNUMBER(FIND("线上",B235))),0,SUMIFS('[1]销售出库'!$S$4:$S$2003,'[1]销售出库'!$B$4:$B$2003,$A235))</f>
        <v>0</v>
      </c>
      <c r="H235" s="11">
        <f>IF(A235="",0,SUMIFS('[1]资金台帐'!$G$4:$G$3003,'[1]资金台帐'!$D$4:$D$3003,$A235,'[1]资金台帐'!$M$4:$M$3003,"往来"))</f>
        <v>0</v>
      </c>
      <c r="I235" s="11">
        <f t="shared" si="0"/>
        <v>0</v>
      </c>
      <c r="J235" s="11">
        <f t="shared" si="1"/>
        <v>0</v>
      </c>
      <c r="K235" s="6">
        <f t="shared" si="2"/>
      </c>
    </row>
    <row r="236">
      <c r="A236" s="6">
        <f>IF('[1]基础资料'!$I$235="","",'[1]基础资料'!$I$235)</f>
      </c>
      <c r="B236" s="6">
        <f>IF(A236="","",'[1]基础资料'!$J$235&amp;IF('[1]基础资料'!$K$235="","","·"&amp;'[1]基础资料'!$K$235))</f>
      </c>
      <c r="C236" s="11">
        <f>IF(A236="",0,N('[1]基础资料'!$L$235))</f>
        <v>0</v>
      </c>
      <c r="D236" s="11">
        <f>IF(A236="",0,SUMIFS('[1]采购入库'!$V$4:$V$2003,'[1]采购入库'!$D$4:$D$2003,$A236))</f>
        <v>0</v>
      </c>
      <c r="E236" s="11">
        <f>IF(A236="",0,SUMIFS('[1]资金台帐'!$H$4:$H$3003,'[1]资金台帐'!$D$4:$D$3003,$A236,'[1]资金台帐'!$M$4:$M$3003,"往来"))</f>
        <v>0</v>
      </c>
      <c r="F236" s="11">
        <f>IF(A236="",0,N('[1]基础资料'!$M$235))</f>
        <v>0</v>
      </c>
      <c r="G236" s="11">
        <f>IF(OR(A236="",ISNUMBER(FIND("线上",B236))),0,SUMIFS('[1]销售出库'!$S$4:$S$2003,'[1]销售出库'!$B$4:$B$2003,$A236))</f>
        <v>0</v>
      </c>
      <c r="H236" s="11">
        <f>IF(A236="",0,SUMIFS('[1]资金台帐'!$G$4:$G$3003,'[1]资金台帐'!$D$4:$D$3003,$A236,'[1]资金台帐'!$M$4:$M$3003,"往来"))</f>
        <v>0</v>
      </c>
      <c r="I236" s="11">
        <f t="shared" si="0"/>
        <v>0</v>
      </c>
      <c r="J236" s="11">
        <f t="shared" si="1"/>
        <v>0</v>
      </c>
      <c r="K236" s="6">
        <f t="shared" si="2"/>
      </c>
    </row>
    <row r="237">
      <c r="A237" s="6">
        <f>IF('[1]基础资料'!$I$236="","",'[1]基础资料'!$I$236)</f>
      </c>
      <c r="B237" s="6">
        <f>IF(A237="","",'[1]基础资料'!$J$236&amp;IF('[1]基础资料'!$K$236="","","·"&amp;'[1]基础资料'!$K$236))</f>
      </c>
      <c r="C237" s="11">
        <f>IF(A237="",0,N('[1]基础资料'!$L$236))</f>
        <v>0</v>
      </c>
      <c r="D237" s="11">
        <f>IF(A237="",0,SUMIFS('[1]采购入库'!$V$4:$V$2003,'[1]采购入库'!$D$4:$D$2003,$A237))</f>
        <v>0</v>
      </c>
      <c r="E237" s="11">
        <f>IF(A237="",0,SUMIFS('[1]资金台帐'!$H$4:$H$3003,'[1]资金台帐'!$D$4:$D$3003,$A237,'[1]资金台帐'!$M$4:$M$3003,"往来"))</f>
        <v>0</v>
      </c>
      <c r="F237" s="11">
        <f>IF(A237="",0,N('[1]基础资料'!$M$236))</f>
        <v>0</v>
      </c>
      <c r="G237" s="11">
        <f>IF(OR(A237="",ISNUMBER(FIND("线上",B237))),0,SUMIFS('[1]销售出库'!$S$4:$S$2003,'[1]销售出库'!$B$4:$B$2003,$A237))</f>
        <v>0</v>
      </c>
      <c r="H237" s="11">
        <f>IF(A237="",0,SUMIFS('[1]资金台帐'!$G$4:$G$3003,'[1]资金台帐'!$D$4:$D$3003,$A237,'[1]资金台帐'!$M$4:$M$3003,"往来"))</f>
        <v>0</v>
      </c>
      <c r="I237" s="11">
        <f t="shared" si="0"/>
        <v>0</v>
      </c>
      <c r="J237" s="11">
        <f t="shared" si="1"/>
        <v>0</v>
      </c>
      <c r="K237" s="6">
        <f t="shared" si="2"/>
      </c>
    </row>
    <row r="238">
      <c r="A238" s="6">
        <f>IF('[1]基础资料'!$I$237="","",'[1]基础资料'!$I$237)</f>
      </c>
      <c r="B238" s="6">
        <f>IF(A238="","",'[1]基础资料'!$J$237&amp;IF('[1]基础资料'!$K$237="","","·"&amp;'[1]基础资料'!$K$237))</f>
      </c>
      <c r="C238" s="11">
        <f>IF(A238="",0,N('[1]基础资料'!$L$237))</f>
        <v>0</v>
      </c>
      <c r="D238" s="11">
        <f>IF(A238="",0,SUMIFS('[1]采购入库'!$V$4:$V$2003,'[1]采购入库'!$D$4:$D$2003,$A238))</f>
        <v>0</v>
      </c>
      <c r="E238" s="11">
        <f>IF(A238="",0,SUMIFS('[1]资金台帐'!$H$4:$H$3003,'[1]资金台帐'!$D$4:$D$3003,$A238,'[1]资金台帐'!$M$4:$M$3003,"往来"))</f>
        <v>0</v>
      </c>
      <c r="F238" s="11">
        <f>IF(A238="",0,N('[1]基础资料'!$M$237))</f>
        <v>0</v>
      </c>
      <c r="G238" s="11">
        <f>IF(OR(A238="",ISNUMBER(FIND("线上",B238))),0,SUMIFS('[1]销售出库'!$S$4:$S$2003,'[1]销售出库'!$B$4:$B$2003,$A238))</f>
        <v>0</v>
      </c>
      <c r="H238" s="11">
        <f>IF(A238="",0,SUMIFS('[1]资金台帐'!$G$4:$G$3003,'[1]资金台帐'!$D$4:$D$3003,$A238,'[1]资金台帐'!$M$4:$M$3003,"往来"))</f>
        <v>0</v>
      </c>
      <c r="I238" s="11">
        <f t="shared" si="0"/>
        <v>0</v>
      </c>
      <c r="J238" s="11">
        <f t="shared" si="1"/>
        <v>0</v>
      </c>
      <c r="K238" s="6">
        <f t="shared" si="2"/>
      </c>
    </row>
    <row r="239">
      <c r="A239" s="6">
        <f>IF('[1]基础资料'!$I$238="","",'[1]基础资料'!$I$238)</f>
      </c>
      <c r="B239" s="6">
        <f>IF(A239="","",'[1]基础资料'!$J$238&amp;IF('[1]基础资料'!$K$238="","","·"&amp;'[1]基础资料'!$K$238))</f>
      </c>
      <c r="C239" s="11">
        <f>IF(A239="",0,N('[1]基础资料'!$L$238))</f>
        <v>0</v>
      </c>
      <c r="D239" s="11">
        <f>IF(A239="",0,SUMIFS('[1]采购入库'!$V$4:$V$2003,'[1]采购入库'!$D$4:$D$2003,$A239))</f>
        <v>0</v>
      </c>
      <c r="E239" s="11">
        <f>IF(A239="",0,SUMIFS('[1]资金台帐'!$H$4:$H$3003,'[1]资金台帐'!$D$4:$D$3003,$A239,'[1]资金台帐'!$M$4:$M$3003,"往来"))</f>
        <v>0</v>
      </c>
      <c r="F239" s="11">
        <f>IF(A239="",0,N('[1]基础资料'!$M$238))</f>
        <v>0</v>
      </c>
      <c r="G239" s="11">
        <f>IF(OR(A239="",ISNUMBER(FIND("线上",B239))),0,SUMIFS('[1]销售出库'!$S$4:$S$2003,'[1]销售出库'!$B$4:$B$2003,$A239))</f>
        <v>0</v>
      </c>
      <c r="H239" s="11">
        <f>IF(A239="",0,SUMIFS('[1]资金台帐'!$G$4:$G$3003,'[1]资金台帐'!$D$4:$D$3003,$A239,'[1]资金台帐'!$M$4:$M$3003,"往来"))</f>
        <v>0</v>
      </c>
      <c r="I239" s="11">
        <f t="shared" si="0"/>
        <v>0</v>
      </c>
      <c r="J239" s="11">
        <f t="shared" si="1"/>
        <v>0</v>
      </c>
      <c r="K239" s="6">
        <f t="shared" si="2"/>
      </c>
    </row>
    <row r="240">
      <c r="A240" s="6">
        <f>IF('[1]基础资料'!$I$239="","",'[1]基础资料'!$I$239)</f>
      </c>
      <c r="B240" s="6">
        <f>IF(A240="","",'[1]基础资料'!$J$239&amp;IF('[1]基础资料'!$K$239="","","·"&amp;'[1]基础资料'!$K$239))</f>
      </c>
      <c r="C240" s="11">
        <f>IF(A240="",0,N('[1]基础资料'!$L$239))</f>
        <v>0</v>
      </c>
      <c r="D240" s="11">
        <f>IF(A240="",0,SUMIFS('[1]采购入库'!$V$4:$V$2003,'[1]采购入库'!$D$4:$D$2003,$A240))</f>
        <v>0</v>
      </c>
      <c r="E240" s="11">
        <f>IF(A240="",0,SUMIFS('[1]资金台帐'!$H$4:$H$3003,'[1]资金台帐'!$D$4:$D$3003,$A240,'[1]资金台帐'!$M$4:$M$3003,"往来"))</f>
        <v>0</v>
      </c>
      <c r="F240" s="11">
        <f>IF(A240="",0,N('[1]基础资料'!$M$239))</f>
        <v>0</v>
      </c>
      <c r="G240" s="11">
        <f>IF(OR(A240="",ISNUMBER(FIND("线上",B240))),0,SUMIFS('[1]销售出库'!$S$4:$S$2003,'[1]销售出库'!$B$4:$B$2003,$A240))</f>
        <v>0</v>
      </c>
      <c r="H240" s="11">
        <f>IF(A240="",0,SUMIFS('[1]资金台帐'!$G$4:$G$3003,'[1]资金台帐'!$D$4:$D$3003,$A240,'[1]资金台帐'!$M$4:$M$3003,"往来"))</f>
        <v>0</v>
      </c>
      <c r="I240" s="11">
        <f t="shared" si="0"/>
        <v>0</v>
      </c>
      <c r="J240" s="11">
        <f t="shared" si="1"/>
        <v>0</v>
      </c>
      <c r="K240" s="6">
        <f t="shared" si="2"/>
      </c>
    </row>
    <row r="241">
      <c r="A241" s="6">
        <f>IF('[1]基础资料'!$I$240="","",'[1]基础资料'!$I$240)</f>
      </c>
      <c r="B241" s="6">
        <f>IF(A241="","",'[1]基础资料'!$J$240&amp;IF('[1]基础资料'!$K$240="","","·"&amp;'[1]基础资料'!$K$240))</f>
      </c>
      <c r="C241" s="11">
        <f>IF(A241="",0,N('[1]基础资料'!$L$240))</f>
        <v>0</v>
      </c>
      <c r="D241" s="11">
        <f>IF(A241="",0,SUMIFS('[1]采购入库'!$V$4:$V$2003,'[1]采购入库'!$D$4:$D$2003,$A241))</f>
        <v>0</v>
      </c>
      <c r="E241" s="11">
        <f>IF(A241="",0,SUMIFS('[1]资金台帐'!$H$4:$H$3003,'[1]资金台帐'!$D$4:$D$3003,$A241,'[1]资金台帐'!$M$4:$M$3003,"往来"))</f>
        <v>0</v>
      </c>
      <c r="F241" s="11">
        <f>IF(A241="",0,N('[1]基础资料'!$M$240))</f>
        <v>0</v>
      </c>
      <c r="G241" s="11">
        <f>IF(OR(A241="",ISNUMBER(FIND("线上",B241))),0,SUMIFS('[1]销售出库'!$S$4:$S$2003,'[1]销售出库'!$B$4:$B$2003,$A241))</f>
        <v>0</v>
      </c>
      <c r="H241" s="11">
        <f>IF(A241="",0,SUMIFS('[1]资金台帐'!$G$4:$G$3003,'[1]资金台帐'!$D$4:$D$3003,$A241,'[1]资金台帐'!$M$4:$M$3003,"往来"))</f>
        <v>0</v>
      </c>
      <c r="I241" s="11">
        <f t="shared" si="0"/>
        <v>0</v>
      </c>
      <c r="J241" s="11">
        <f t="shared" si="1"/>
        <v>0</v>
      </c>
      <c r="K241" s="6">
        <f t="shared" si="2"/>
      </c>
    </row>
    <row r="242">
      <c r="A242" s="6">
        <f>IF('[1]基础资料'!$I$241="","",'[1]基础资料'!$I$241)</f>
      </c>
      <c r="B242" s="6">
        <f>IF(A242="","",'[1]基础资料'!$J$241&amp;IF('[1]基础资料'!$K$241="","","·"&amp;'[1]基础资料'!$K$241))</f>
      </c>
      <c r="C242" s="11">
        <f>IF(A242="",0,N('[1]基础资料'!$L$241))</f>
        <v>0</v>
      </c>
      <c r="D242" s="11">
        <f>IF(A242="",0,SUMIFS('[1]采购入库'!$V$4:$V$2003,'[1]采购入库'!$D$4:$D$2003,$A242))</f>
        <v>0</v>
      </c>
      <c r="E242" s="11">
        <f>IF(A242="",0,SUMIFS('[1]资金台帐'!$H$4:$H$3003,'[1]资金台帐'!$D$4:$D$3003,$A242,'[1]资金台帐'!$M$4:$M$3003,"往来"))</f>
        <v>0</v>
      </c>
      <c r="F242" s="11">
        <f>IF(A242="",0,N('[1]基础资料'!$M$241))</f>
        <v>0</v>
      </c>
      <c r="G242" s="11">
        <f>IF(OR(A242="",ISNUMBER(FIND("线上",B242))),0,SUMIFS('[1]销售出库'!$S$4:$S$2003,'[1]销售出库'!$B$4:$B$2003,$A242))</f>
        <v>0</v>
      </c>
      <c r="H242" s="11">
        <f>IF(A242="",0,SUMIFS('[1]资金台帐'!$G$4:$G$3003,'[1]资金台帐'!$D$4:$D$3003,$A242,'[1]资金台帐'!$M$4:$M$3003,"往来"))</f>
        <v>0</v>
      </c>
      <c r="I242" s="11">
        <f t="shared" si="0"/>
        <v>0</v>
      </c>
      <c r="J242" s="11">
        <f t="shared" si="1"/>
        <v>0</v>
      </c>
      <c r="K242" s="6">
        <f t="shared" si="2"/>
      </c>
    </row>
    <row r="243">
      <c r="A243" s="6">
        <f>IF('[1]基础资料'!$I$242="","",'[1]基础资料'!$I$242)</f>
      </c>
      <c r="B243" s="6">
        <f>IF(A243="","",'[1]基础资料'!$J$242&amp;IF('[1]基础资料'!$K$242="","","·"&amp;'[1]基础资料'!$K$242))</f>
      </c>
      <c r="C243" s="11">
        <f>IF(A243="",0,N('[1]基础资料'!$L$242))</f>
        <v>0</v>
      </c>
      <c r="D243" s="11">
        <f>IF(A243="",0,SUMIFS('[1]采购入库'!$V$4:$V$2003,'[1]采购入库'!$D$4:$D$2003,$A243))</f>
        <v>0</v>
      </c>
      <c r="E243" s="11">
        <f>IF(A243="",0,SUMIFS('[1]资金台帐'!$H$4:$H$3003,'[1]资金台帐'!$D$4:$D$3003,$A243,'[1]资金台帐'!$M$4:$M$3003,"往来"))</f>
        <v>0</v>
      </c>
      <c r="F243" s="11">
        <f>IF(A243="",0,N('[1]基础资料'!$M$242))</f>
        <v>0</v>
      </c>
      <c r="G243" s="11">
        <f>IF(OR(A243="",ISNUMBER(FIND("线上",B243))),0,SUMIFS('[1]销售出库'!$S$4:$S$2003,'[1]销售出库'!$B$4:$B$2003,$A243))</f>
        <v>0</v>
      </c>
      <c r="H243" s="11">
        <f>IF(A243="",0,SUMIFS('[1]资金台帐'!$G$4:$G$3003,'[1]资金台帐'!$D$4:$D$3003,$A243,'[1]资金台帐'!$M$4:$M$3003,"往来"))</f>
        <v>0</v>
      </c>
      <c r="I243" s="11">
        <f t="shared" si="0"/>
        <v>0</v>
      </c>
      <c r="J243" s="11">
        <f t="shared" si="1"/>
        <v>0</v>
      </c>
      <c r="K243" s="6">
        <f t="shared" si="2"/>
      </c>
    </row>
    <row r="244">
      <c r="A244" s="6">
        <f>IF('[1]基础资料'!$I$243="","",'[1]基础资料'!$I$243)</f>
      </c>
      <c r="B244" s="6">
        <f>IF(A244="","",'[1]基础资料'!$J$243&amp;IF('[1]基础资料'!$K$243="","","·"&amp;'[1]基础资料'!$K$243))</f>
      </c>
      <c r="C244" s="11">
        <f>IF(A244="",0,N('[1]基础资料'!$L$243))</f>
        <v>0</v>
      </c>
      <c r="D244" s="11">
        <f>IF(A244="",0,SUMIFS('[1]采购入库'!$V$4:$V$2003,'[1]采购入库'!$D$4:$D$2003,$A244))</f>
        <v>0</v>
      </c>
      <c r="E244" s="11">
        <f>IF(A244="",0,SUMIFS('[1]资金台帐'!$H$4:$H$3003,'[1]资金台帐'!$D$4:$D$3003,$A244,'[1]资金台帐'!$M$4:$M$3003,"往来"))</f>
        <v>0</v>
      </c>
      <c r="F244" s="11">
        <f>IF(A244="",0,N('[1]基础资料'!$M$243))</f>
        <v>0</v>
      </c>
      <c r="G244" s="11">
        <f>IF(OR(A244="",ISNUMBER(FIND("线上",B244))),0,SUMIFS('[1]销售出库'!$S$4:$S$2003,'[1]销售出库'!$B$4:$B$2003,$A244))</f>
        <v>0</v>
      </c>
      <c r="H244" s="11">
        <f>IF(A244="",0,SUMIFS('[1]资金台帐'!$G$4:$G$3003,'[1]资金台帐'!$D$4:$D$3003,$A244,'[1]资金台帐'!$M$4:$M$3003,"往来"))</f>
        <v>0</v>
      </c>
      <c r="I244" s="11">
        <f t="shared" si="0"/>
        <v>0</v>
      </c>
      <c r="J244" s="11">
        <f t="shared" si="1"/>
        <v>0</v>
      </c>
      <c r="K244" s="6">
        <f t="shared" si="2"/>
      </c>
    </row>
    <row r="245">
      <c r="A245" s="6">
        <f>IF('[1]基础资料'!$I$244="","",'[1]基础资料'!$I$244)</f>
      </c>
      <c r="B245" s="6">
        <f>IF(A245="","",'[1]基础资料'!$J$244&amp;IF('[1]基础资料'!$K$244="","","·"&amp;'[1]基础资料'!$K$244))</f>
      </c>
      <c r="C245" s="11">
        <f>IF(A245="",0,N('[1]基础资料'!$L$244))</f>
        <v>0</v>
      </c>
      <c r="D245" s="11">
        <f>IF(A245="",0,SUMIFS('[1]采购入库'!$V$4:$V$2003,'[1]采购入库'!$D$4:$D$2003,$A245))</f>
        <v>0</v>
      </c>
      <c r="E245" s="11">
        <f>IF(A245="",0,SUMIFS('[1]资金台帐'!$H$4:$H$3003,'[1]资金台帐'!$D$4:$D$3003,$A245,'[1]资金台帐'!$M$4:$M$3003,"往来"))</f>
        <v>0</v>
      </c>
      <c r="F245" s="11">
        <f>IF(A245="",0,N('[1]基础资料'!$M$244))</f>
        <v>0</v>
      </c>
      <c r="G245" s="11">
        <f>IF(OR(A245="",ISNUMBER(FIND("线上",B245))),0,SUMIFS('[1]销售出库'!$S$4:$S$2003,'[1]销售出库'!$B$4:$B$2003,$A245))</f>
        <v>0</v>
      </c>
      <c r="H245" s="11">
        <f>IF(A245="",0,SUMIFS('[1]资金台帐'!$G$4:$G$3003,'[1]资金台帐'!$D$4:$D$3003,$A245,'[1]资金台帐'!$M$4:$M$3003,"往来"))</f>
        <v>0</v>
      </c>
      <c r="I245" s="11">
        <f t="shared" si="0"/>
        <v>0</v>
      </c>
      <c r="J245" s="11">
        <f t="shared" si="1"/>
        <v>0</v>
      </c>
      <c r="K245" s="6">
        <f t="shared" si="2"/>
      </c>
    </row>
    <row r="246">
      <c r="A246" s="6">
        <f>IF('[1]基础资料'!$I$245="","",'[1]基础资料'!$I$245)</f>
      </c>
      <c r="B246" s="6">
        <f>IF(A246="","",'[1]基础资料'!$J$245&amp;IF('[1]基础资料'!$K$245="","","·"&amp;'[1]基础资料'!$K$245))</f>
      </c>
      <c r="C246" s="11">
        <f>IF(A246="",0,N('[1]基础资料'!$L$245))</f>
        <v>0</v>
      </c>
      <c r="D246" s="11">
        <f>IF(A246="",0,SUMIFS('[1]采购入库'!$V$4:$V$2003,'[1]采购入库'!$D$4:$D$2003,$A246))</f>
        <v>0</v>
      </c>
      <c r="E246" s="11">
        <f>IF(A246="",0,SUMIFS('[1]资金台帐'!$H$4:$H$3003,'[1]资金台帐'!$D$4:$D$3003,$A246,'[1]资金台帐'!$M$4:$M$3003,"往来"))</f>
        <v>0</v>
      </c>
      <c r="F246" s="11">
        <f>IF(A246="",0,N('[1]基础资料'!$M$245))</f>
        <v>0</v>
      </c>
      <c r="G246" s="11">
        <f>IF(OR(A246="",ISNUMBER(FIND("线上",B246))),0,SUMIFS('[1]销售出库'!$S$4:$S$2003,'[1]销售出库'!$B$4:$B$2003,$A246))</f>
        <v>0</v>
      </c>
      <c r="H246" s="11">
        <f>IF(A246="",0,SUMIFS('[1]资金台帐'!$G$4:$G$3003,'[1]资金台帐'!$D$4:$D$3003,$A246,'[1]资金台帐'!$M$4:$M$3003,"往来"))</f>
        <v>0</v>
      </c>
      <c r="I246" s="11">
        <f t="shared" si="0"/>
        <v>0</v>
      </c>
      <c r="J246" s="11">
        <f t="shared" si="1"/>
        <v>0</v>
      </c>
      <c r="K246" s="6">
        <f t="shared" si="2"/>
      </c>
    </row>
    <row r="247">
      <c r="A247" s="6">
        <f>IF('[1]基础资料'!$I$246="","",'[1]基础资料'!$I$246)</f>
      </c>
      <c r="B247" s="6">
        <f>IF(A247="","",'[1]基础资料'!$J$246&amp;IF('[1]基础资料'!$K$246="","","·"&amp;'[1]基础资料'!$K$246))</f>
      </c>
      <c r="C247" s="11">
        <f>IF(A247="",0,N('[1]基础资料'!$L$246))</f>
        <v>0</v>
      </c>
      <c r="D247" s="11">
        <f>IF(A247="",0,SUMIFS('[1]采购入库'!$V$4:$V$2003,'[1]采购入库'!$D$4:$D$2003,$A247))</f>
        <v>0</v>
      </c>
      <c r="E247" s="11">
        <f>IF(A247="",0,SUMIFS('[1]资金台帐'!$H$4:$H$3003,'[1]资金台帐'!$D$4:$D$3003,$A247,'[1]资金台帐'!$M$4:$M$3003,"往来"))</f>
        <v>0</v>
      </c>
      <c r="F247" s="11">
        <f>IF(A247="",0,N('[1]基础资料'!$M$246))</f>
        <v>0</v>
      </c>
      <c r="G247" s="11">
        <f>IF(OR(A247="",ISNUMBER(FIND("线上",B247))),0,SUMIFS('[1]销售出库'!$S$4:$S$2003,'[1]销售出库'!$B$4:$B$2003,$A247))</f>
        <v>0</v>
      </c>
      <c r="H247" s="11">
        <f>IF(A247="",0,SUMIFS('[1]资金台帐'!$G$4:$G$3003,'[1]资金台帐'!$D$4:$D$3003,$A247,'[1]资金台帐'!$M$4:$M$3003,"往来"))</f>
        <v>0</v>
      </c>
      <c r="I247" s="11">
        <f t="shared" si="0"/>
        <v>0</v>
      </c>
      <c r="J247" s="11">
        <f t="shared" si="1"/>
        <v>0</v>
      </c>
      <c r="K247" s="6">
        <f t="shared" si="2"/>
      </c>
    </row>
    <row r="248">
      <c r="A248" s="6">
        <f>IF('[1]基础资料'!$I$247="","",'[1]基础资料'!$I$247)</f>
      </c>
      <c r="B248" s="6">
        <f>IF(A248="","",'[1]基础资料'!$J$247&amp;IF('[1]基础资料'!$K$247="","","·"&amp;'[1]基础资料'!$K$247))</f>
      </c>
      <c r="C248" s="11">
        <f>IF(A248="",0,N('[1]基础资料'!$L$247))</f>
        <v>0</v>
      </c>
      <c r="D248" s="11">
        <f>IF(A248="",0,SUMIFS('[1]采购入库'!$V$4:$V$2003,'[1]采购入库'!$D$4:$D$2003,$A248))</f>
        <v>0</v>
      </c>
      <c r="E248" s="11">
        <f>IF(A248="",0,SUMIFS('[1]资金台帐'!$H$4:$H$3003,'[1]资金台帐'!$D$4:$D$3003,$A248,'[1]资金台帐'!$M$4:$M$3003,"往来"))</f>
        <v>0</v>
      </c>
      <c r="F248" s="11">
        <f>IF(A248="",0,N('[1]基础资料'!$M$247))</f>
        <v>0</v>
      </c>
      <c r="G248" s="11">
        <f>IF(OR(A248="",ISNUMBER(FIND("线上",B248))),0,SUMIFS('[1]销售出库'!$S$4:$S$2003,'[1]销售出库'!$B$4:$B$2003,$A248))</f>
        <v>0</v>
      </c>
      <c r="H248" s="11">
        <f>IF(A248="",0,SUMIFS('[1]资金台帐'!$G$4:$G$3003,'[1]资金台帐'!$D$4:$D$3003,$A248,'[1]资金台帐'!$M$4:$M$3003,"往来"))</f>
        <v>0</v>
      </c>
      <c r="I248" s="11">
        <f t="shared" si="0"/>
        <v>0</v>
      </c>
      <c r="J248" s="11">
        <f t="shared" si="1"/>
        <v>0</v>
      </c>
      <c r="K248" s="6">
        <f t="shared" si="2"/>
      </c>
    </row>
    <row r="249">
      <c r="A249" s="6">
        <f>IF('[1]基础资料'!$I$248="","",'[1]基础资料'!$I$248)</f>
      </c>
      <c r="B249" s="6">
        <f>IF(A249="","",'[1]基础资料'!$J$248&amp;IF('[1]基础资料'!$K$248="","","·"&amp;'[1]基础资料'!$K$248))</f>
      </c>
      <c r="C249" s="11">
        <f>IF(A249="",0,N('[1]基础资料'!$L$248))</f>
        <v>0</v>
      </c>
      <c r="D249" s="11">
        <f>IF(A249="",0,SUMIFS('[1]采购入库'!$V$4:$V$2003,'[1]采购入库'!$D$4:$D$2003,$A249))</f>
        <v>0</v>
      </c>
      <c r="E249" s="11">
        <f>IF(A249="",0,SUMIFS('[1]资金台帐'!$H$4:$H$3003,'[1]资金台帐'!$D$4:$D$3003,$A249,'[1]资金台帐'!$M$4:$M$3003,"往来"))</f>
        <v>0</v>
      </c>
      <c r="F249" s="11">
        <f>IF(A249="",0,N('[1]基础资料'!$M$248))</f>
        <v>0</v>
      </c>
      <c r="G249" s="11">
        <f>IF(OR(A249="",ISNUMBER(FIND("线上",B249))),0,SUMIFS('[1]销售出库'!$S$4:$S$2003,'[1]销售出库'!$B$4:$B$2003,$A249))</f>
        <v>0</v>
      </c>
      <c r="H249" s="11">
        <f>IF(A249="",0,SUMIFS('[1]资金台帐'!$G$4:$G$3003,'[1]资金台帐'!$D$4:$D$3003,$A249,'[1]资金台帐'!$M$4:$M$3003,"往来"))</f>
        <v>0</v>
      </c>
      <c r="I249" s="11">
        <f t="shared" si="0"/>
        <v>0</v>
      </c>
      <c r="J249" s="11">
        <f t="shared" si="1"/>
        <v>0</v>
      </c>
      <c r="K249" s="6">
        <f t="shared" si="2"/>
      </c>
    </row>
    <row r="250">
      <c r="A250" s="6">
        <f>IF('[1]基础资料'!$I$249="","",'[1]基础资料'!$I$249)</f>
      </c>
      <c r="B250" s="6">
        <f>IF(A250="","",'[1]基础资料'!$J$249&amp;IF('[1]基础资料'!$K$249="","","·"&amp;'[1]基础资料'!$K$249))</f>
      </c>
      <c r="C250" s="11">
        <f>IF(A250="",0,N('[1]基础资料'!$L$249))</f>
        <v>0</v>
      </c>
      <c r="D250" s="11">
        <f>IF(A250="",0,SUMIFS('[1]采购入库'!$V$4:$V$2003,'[1]采购入库'!$D$4:$D$2003,$A250))</f>
        <v>0</v>
      </c>
      <c r="E250" s="11">
        <f>IF(A250="",0,SUMIFS('[1]资金台帐'!$H$4:$H$3003,'[1]资金台帐'!$D$4:$D$3003,$A250,'[1]资金台帐'!$M$4:$M$3003,"往来"))</f>
        <v>0</v>
      </c>
      <c r="F250" s="11">
        <f>IF(A250="",0,N('[1]基础资料'!$M$249))</f>
        <v>0</v>
      </c>
      <c r="G250" s="11">
        <f>IF(OR(A250="",ISNUMBER(FIND("线上",B250))),0,SUMIFS('[1]销售出库'!$S$4:$S$2003,'[1]销售出库'!$B$4:$B$2003,$A250))</f>
        <v>0</v>
      </c>
      <c r="H250" s="11">
        <f>IF(A250="",0,SUMIFS('[1]资金台帐'!$G$4:$G$3003,'[1]资金台帐'!$D$4:$D$3003,$A250,'[1]资金台帐'!$M$4:$M$3003,"往来"))</f>
        <v>0</v>
      </c>
      <c r="I250" s="11">
        <f t="shared" si="0"/>
        <v>0</v>
      </c>
      <c r="J250" s="11">
        <f t="shared" si="1"/>
        <v>0</v>
      </c>
      <c r="K250" s="6">
        <f t="shared" si="2"/>
      </c>
    </row>
    <row r="251">
      <c r="A251" s="6">
        <f>IF('[1]基础资料'!$I$250="","",'[1]基础资料'!$I$250)</f>
      </c>
      <c r="B251" s="6">
        <f>IF(A251="","",'[1]基础资料'!$J$250&amp;IF('[1]基础资料'!$K$250="","","·"&amp;'[1]基础资料'!$K$250))</f>
      </c>
      <c r="C251" s="11">
        <f>IF(A251="",0,N('[1]基础资料'!$L$250))</f>
        <v>0</v>
      </c>
      <c r="D251" s="11">
        <f>IF(A251="",0,SUMIFS('[1]采购入库'!$V$4:$V$2003,'[1]采购入库'!$D$4:$D$2003,$A251))</f>
        <v>0</v>
      </c>
      <c r="E251" s="11">
        <f>IF(A251="",0,SUMIFS('[1]资金台帐'!$H$4:$H$3003,'[1]资金台帐'!$D$4:$D$3003,$A251,'[1]资金台帐'!$M$4:$M$3003,"往来"))</f>
        <v>0</v>
      </c>
      <c r="F251" s="11">
        <f>IF(A251="",0,N('[1]基础资料'!$M$250))</f>
        <v>0</v>
      </c>
      <c r="G251" s="11">
        <f>IF(OR(A251="",ISNUMBER(FIND("线上",B251))),0,SUMIFS('[1]销售出库'!$S$4:$S$2003,'[1]销售出库'!$B$4:$B$2003,$A251))</f>
        <v>0</v>
      </c>
      <c r="H251" s="11">
        <f>IF(A251="",0,SUMIFS('[1]资金台帐'!$G$4:$G$3003,'[1]资金台帐'!$D$4:$D$3003,$A251,'[1]资金台帐'!$M$4:$M$3003,"往来"))</f>
        <v>0</v>
      </c>
      <c r="I251" s="11">
        <f t="shared" si="0"/>
        <v>0</v>
      </c>
      <c r="J251" s="11">
        <f t="shared" si="1"/>
        <v>0</v>
      </c>
      <c r="K251" s="6">
        <f t="shared" si="2"/>
      </c>
    </row>
    <row r="252">
      <c r="A252" s="6">
        <f>IF('[1]基础资料'!$I$251="","",'[1]基础资料'!$I$251)</f>
      </c>
      <c r="B252" s="6">
        <f>IF(A252="","",'[1]基础资料'!$J$251&amp;IF('[1]基础资料'!$K$251="","","·"&amp;'[1]基础资料'!$K$251))</f>
      </c>
      <c r="C252" s="11">
        <f>IF(A252="",0,N('[1]基础资料'!$L$251))</f>
        <v>0</v>
      </c>
      <c r="D252" s="11">
        <f>IF(A252="",0,SUMIFS('[1]采购入库'!$V$4:$V$2003,'[1]采购入库'!$D$4:$D$2003,$A252))</f>
        <v>0</v>
      </c>
      <c r="E252" s="11">
        <f>IF(A252="",0,SUMIFS('[1]资金台帐'!$H$4:$H$3003,'[1]资金台帐'!$D$4:$D$3003,$A252,'[1]资金台帐'!$M$4:$M$3003,"往来"))</f>
        <v>0</v>
      </c>
      <c r="F252" s="11">
        <f>IF(A252="",0,N('[1]基础资料'!$M$251))</f>
        <v>0</v>
      </c>
      <c r="G252" s="11">
        <f>IF(OR(A252="",ISNUMBER(FIND("线上",B252))),0,SUMIFS('[1]销售出库'!$S$4:$S$2003,'[1]销售出库'!$B$4:$B$2003,$A252))</f>
        <v>0</v>
      </c>
      <c r="H252" s="11">
        <f>IF(A252="",0,SUMIFS('[1]资金台帐'!$G$4:$G$3003,'[1]资金台帐'!$D$4:$D$3003,$A252,'[1]资金台帐'!$M$4:$M$3003,"往来"))</f>
        <v>0</v>
      </c>
      <c r="I252" s="11">
        <f t="shared" si="0"/>
        <v>0</v>
      </c>
      <c r="J252" s="11">
        <f t="shared" si="1"/>
        <v>0</v>
      </c>
      <c r="K252" s="6">
        <f t="shared" si="2"/>
      </c>
    </row>
    <row r="253">
      <c r="A253" s="6">
        <f>IF('[1]基础资料'!$I$252="","",'[1]基础资料'!$I$252)</f>
      </c>
      <c r="B253" s="6">
        <f>IF(A253="","",'[1]基础资料'!$J$252&amp;IF('[1]基础资料'!$K$252="","","·"&amp;'[1]基础资料'!$K$252))</f>
      </c>
      <c r="C253" s="11">
        <f>IF(A253="",0,N('[1]基础资料'!$L$252))</f>
        <v>0</v>
      </c>
      <c r="D253" s="11">
        <f>IF(A253="",0,SUMIFS('[1]采购入库'!$V$4:$V$2003,'[1]采购入库'!$D$4:$D$2003,$A253))</f>
        <v>0</v>
      </c>
      <c r="E253" s="11">
        <f>IF(A253="",0,SUMIFS('[1]资金台帐'!$H$4:$H$3003,'[1]资金台帐'!$D$4:$D$3003,$A253,'[1]资金台帐'!$M$4:$M$3003,"往来"))</f>
        <v>0</v>
      </c>
      <c r="F253" s="11">
        <f>IF(A253="",0,N('[1]基础资料'!$M$252))</f>
        <v>0</v>
      </c>
      <c r="G253" s="11">
        <f>IF(OR(A253="",ISNUMBER(FIND("线上",B253))),0,SUMIFS('[1]销售出库'!$S$4:$S$2003,'[1]销售出库'!$B$4:$B$2003,$A253))</f>
        <v>0</v>
      </c>
      <c r="H253" s="11">
        <f>IF(A253="",0,SUMIFS('[1]资金台帐'!$G$4:$G$3003,'[1]资金台帐'!$D$4:$D$3003,$A253,'[1]资金台帐'!$M$4:$M$3003,"往来"))</f>
        <v>0</v>
      </c>
      <c r="I253" s="11">
        <f t="shared" si="0"/>
        <v>0</v>
      </c>
      <c r="J253" s="11">
        <f t="shared" si="1"/>
        <v>0</v>
      </c>
      <c r="K253" s="6">
        <f t="shared" si="2"/>
      </c>
    </row>
    <row r="254">
      <c r="A254" s="6">
        <f>IF('[1]基础资料'!$I$253="","",'[1]基础资料'!$I$253)</f>
      </c>
      <c r="B254" s="6">
        <f>IF(A254="","",'[1]基础资料'!$J$253&amp;IF('[1]基础资料'!$K$253="","","·"&amp;'[1]基础资料'!$K$253))</f>
      </c>
      <c r="C254" s="11">
        <f>IF(A254="",0,N('[1]基础资料'!$L$253))</f>
        <v>0</v>
      </c>
      <c r="D254" s="11">
        <f>IF(A254="",0,SUMIFS('[1]采购入库'!$V$4:$V$2003,'[1]采购入库'!$D$4:$D$2003,$A254))</f>
        <v>0</v>
      </c>
      <c r="E254" s="11">
        <f>IF(A254="",0,SUMIFS('[1]资金台帐'!$H$4:$H$3003,'[1]资金台帐'!$D$4:$D$3003,$A254,'[1]资金台帐'!$M$4:$M$3003,"往来"))</f>
        <v>0</v>
      </c>
      <c r="F254" s="11">
        <f>IF(A254="",0,N('[1]基础资料'!$M$253))</f>
        <v>0</v>
      </c>
      <c r="G254" s="11">
        <f>IF(OR(A254="",ISNUMBER(FIND("线上",B254))),0,SUMIFS('[1]销售出库'!$S$4:$S$2003,'[1]销售出库'!$B$4:$B$2003,$A254))</f>
        <v>0</v>
      </c>
      <c r="H254" s="11">
        <f>IF(A254="",0,SUMIFS('[1]资金台帐'!$G$4:$G$3003,'[1]资金台帐'!$D$4:$D$3003,$A254,'[1]资金台帐'!$M$4:$M$3003,"往来"))</f>
        <v>0</v>
      </c>
      <c r="I254" s="11">
        <f t="shared" si="0"/>
        <v>0</v>
      </c>
      <c r="J254" s="11">
        <f t="shared" si="1"/>
        <v>0</v>
      </c>
      <c r="K254" s="6">
        <f t="shared" si="2"/>
      </c>
    </row>
    <row r="255">
      <c r="A255" s="6">
        <f>IF('[1]基础资料'!$I$254="","",'[1]基础资料'!$I$254)</f>
      </c>
      <c r="B255" s="6">
        <f>IF(A255="","",'[1]基础资料'!$J$254&amp;IF('[1]基础资料'!$K$254="","","·"&amp;'[1]基础资料'!$K$254))</f>
      </c>
      <c r="C255" s="11">
        <f>IF(A255="",0,N('[1]基础资料'!$L$254))</f>
        <v>0</v>
      </c>
      <c r="D255" s="11">
        <f>IF(A255="",0,SUMIFS('[1]采购入库'!$V$4:$V$2003,'[1]采购入库'!$D$4:$D$2003,$A255))</f>
        <v>0</v>
      </c>
      <c r="E255" s="11">
        <f>IF(A255="",0,SUMIFS('[1]资金台帐'!$H$4:$H$3003,'[1]资金台帐'!$D$4:$D$3003,$A255,'[1]资金台帐'!$M$4:$M$3003,"往来"))</f>
        <v>0</v>
      </c>
      <c r="F255" s="11">
        <f>IF(A255="",0,N('[1]基础资料'!$M$254))</f>
        <v>0</v>
      </c>
      <c r="G255" s="11">
        <f>IF(OR(A255="",ISNUMBER(FIND("线上",B255))),0,SUMIFS('[1]销售出库'!$S$4:$S$2003,'[1]销售出库'!$B$4:$B$2003,$A255))</f>
        <v>0</v>
      </c>
      <c r="H255" s="11">
        <f>IF(A255="",0,SUMIFS('[1]资金台帐'!$G$4:$G$3003,'[1]资金台帐'!$D$4:$D$3003,$A255,'[1]资金台帐'!$M$4:$M$3003,"往来"))</f>
        <v>0</v>
      </c>
      <c r="I255" s="11">
        <f t="shared" si="0"/>
        <v>0</v>
      </c>
      <c r="J255" s="11">
        <f t="shared" si="1"/>
        <v>0</v>
      </c>
      <c r="K255" s="6">
        <f t="shared" si="2"/>
      </c>
    </row>
    <row r="256">
      <c r="A256" s="6">
        <f>IF('[1]基础资料'!$I$255="","",'[1]基础资料'!$I$255)</f>
      </c>
      <c r="B256" s="6">
        <f>IF(A256="","",'[1]基础资料'!$J$255&amp;IF('[1]基础资料'!$K$255="","","·"&amp;'[1]基础资料'!$K$255))</f>
      </c>
      <c r="C256" s="11">
        <f>IF(A256="",0,N('[1]基础资料'!$L$255))</f>
        <v>0</v>
      </c>
      <c r="D256" s="11">
        <f>IF(A256="",0,SUMIFS('[1]采购入库'!$V$4:$V$2003,'[1]采购入库'!$D$4:$D$2003,$A256))</f>
        <v>0</v>
      </c>
      <c r="E256" s="11">
        <f>IF(A256="",0,SUMIFS('[1]资金台帐'!$H$4:$H$3003,'[1]资金台帐'!$D$4:$D$3003,$A256,'[1]资金台帐'!$M$4:$M$3003,"往来"))</f>
        <v>0</v>
      </c>
      <c r="F256" s="11">
        <f>IF(A256="",0,N('[1]基础资料'!$M$255))</f>
        <v>0</v>
      </c>
      <c r="G256" s="11">
        <f>IF(OR(A256="",ISNUMBER(FIND("线上",B256))),0,SUMIFS('[1]销售出库'!$S$4:$S$2003,'[1]销售出库'!$B$4:$B$2003,$A256))</f>
        <v>0</v>
      </c>
      <c r="H256" s="11">
        <f>IF(A256="",0,SUMIFS('[1]资金台帐'!$G$4:$G$3003,'[1]资金台帐'!$D$4:$D$3003,$A256,'[1]资金台帐'!$M$4:$M$3003,"往来"))</f>
        <v>0</v>
      </c>
      <c r="I256" s="11">
        <f t="shared" si="0"/>
        <v>0</v>
      </c>
      <c r="J256" s="11">
        <f t="shared" si="1"/>
        <v>0</v>
      </c>
      <c r="K256" s="6">
        <f t="shared" si="2"/>
      </c>
    </row>
    <row r="257">
      <c r="A257" s="6">
        <f>IF('[1]基础资料'!$I$256="","",'[1]基础资料'!$I$256)</f>
      </c>
      <c r="B257" s="6">
        <f>IF(A257="","",'[1]基础资料'!$J$256&amp;IF('[1]基础资料'!$K$256="","","·"&amp;'[1]基础资料'!$K$256))</f>
      </c>
      <c r="C257" s="11">
        <f>IF(A257="",0,N('[1]基础资料'!$L$256))</f>
        <v>0</v>
      </c>
      <c r="D257" s="11">
        <f>IF(A257="",0,SUMIFS('[1]采购入库'!$V$4:$V$2003,'[1]采购入库'!$D$4:$D$2003,$A257))</f>
        <v>0</v>
      </c>
      <c r="E257" s="11">
        <f>IF(A257="",0,SUMIFS('[1]资金台帐'!$H$4:$H$3003,'[1]资金台帐'!$D$4:$D$3003,$A257,'[1]资金台帐'!$M$4:$M$3003,"往来"))</f>
        <v>0</v>
      </c>
      <c r="F257" s="11">
        <f>IF(A257="",0,N('[1]基础资料'!$M$256))</f>
        <v>0</v>
      </c>
      <c r="G257" s="11">
        <f>IF(OR(A257="",ISNUMBER(FIND("线上",B257))),0,SUMIFS('[1]销售出库'!$S$4:$S$2003,'[1]销售出库'!$B$4:$B$2003,$A257))</f>
        <v>0</v>
      </c>
      <c r="H257" s="11">
        <f>IF(A257="",0,SUMIFS('[1]资金台帐'!$G$4:$G$3003,'[1]资金台帐'!$D$4:$D$3003,$A257,'[1]资金台帐'!$M$4:$M$3003,"往来"))</f>
        <v>0</v>
      </c>
      <c r="I257" s="11">
        <f t="shared" si="0"/>
        <v>0</v>
      </c>
      <c r="J257" s="11">
        <f t="shared" si="1"/>
        <v>0</v>
      </c>
      <c r="K257" s="6">
        <f t="shared" si="2"/>
      </c>
    </row>
    <row r="258">
      <c r="A258" s="6">
        <f>IF('[1]基础资料'!$I$257="","",'[1]基础资料'!$I$257)</f>
      </c>
      <c r="B258" s="6">
        <f>IF(A258="","",'[1]基础资料'!$J$257&amp;IF('[1]基础资料'!$K$257="","","·"&amp;'[1]基础资料'!$K$257))</f>
      </c>
      <c r="C258" s="11">
        <f>IF(A258="",0,N('[1]基础资料'!$L$257))</f>
        <v>0</v>
      </c>
      <c r="D258" s="11">
        <f>IF(A258="",0,SUMIFS('[1]采购入库'!$V$4:$V$2003,'[1]采购入库'!$D$4:$D$2003,$A258))</f>
        <v>0</v>
      </c>
      <c r="E258" s="11">
        <f>IF(A258="",0,SUMIFS('[1]资金台帐'!$H$4:$H$3003,'[1]资金台帐'!$D$4:$D$3003,$A258,'[1]资金台帐'!$M$4:$M$3003,"往来"))</f>
        <v>0</v>
      </c>
      <c r="F258" s="11">
        <f>IF(A258="",0,N('[1]基础资料'!$M$257))</f>
        <v>0</v>
      </c>
      <c r="G258" s="11">
        <f>IF(OR(A258="",ISNUMBER(FIND("线上",B258))),0,SUMIFS('[1]销售出库'!$S$4:$S$2003,'[1]销售出库'!$B$4:$B$2003,$A258))</f>
        <v>0</v>
      </c>
      <c r="H258" s="11">
        <f>IF(A258="",0,SUMIFS('[1]资金台帐'!$G$4:$G$3003,'[1]资金台帐'!$D$4:$D$3003,$A258,'[1]资金台帐'!$M$4:$M$3003,"往来"))</f>
        <v>0</v>
      </c>
      <c r="I258" s="11">
        <f t="shared" si="0"/>
        <v>0</v>
      </c>
      <c r="J258" s="11">
        <f t="shared" si="1"/>
        <v>0</v>
      </c>
      <c r="K258" s="6">
        <f t="shared" si="2"/>
      </c>
    </row>
    <row r="259">
      <c r="A259" s="6">
        <f>IF('[1]基础资料'!$I$258="","",'[1]基础资料'!$I$258)</f>
      </c>
      <c r="B259" s="6">
        <f>IF(A259="","",'[1]基础资料'!$J$258&amp;IF('[1]基础资料'!$K$258="","","·"&amp;'[1]基础资料'!$K$258))</f>
      </c>
      <c r="C259" s="11">
        <f>IF(A259="",0,N('[1]基础资料'!$L$258))</f>
        <v>0</v>
      </c>
      <c r="D259" s="11">
        <f>IF(A259="",0,SUMIFS('[1]采购入库'!$V$4:$V$2003,'[1]采购入库'!$D$4:$D$2003,$A259))</f>
        <v>0</v>
      </c>
      <c r="E259" s="11">
        <f>IF(A259="",0,SUMIFS('[1]资金台帐'!$H$4:$H$3003,'[1]资金台帐'!$D$4:$D$3003,$A259,'[1]资金台帐'!$M$4:$M$3003,"往来"))</f>
        <v>0</v>
      </c>
      <c r="F259" s="11">
        <f>IF(A259="",0,N('[1]基础资料'!$M$258))</f>
        <v>0</v>
      </c>
      <c r="G259" s="11">
        <f>IF(OR(A259="",ISNUMBER(FIND("线上",B259))),0,SUMIFS('[1]销售出库'!$S$4:$S$2003,'[1]销售出库'!$B$4:$B$2003,$A259))</f>
        <v>0</v>
      </c>
      <c r="H259" s="11">
        <f>IF(A259="",0,SUMIFS('[1]资金台帐'!$G$4:$G$3003,'[1]资金台帐'!$D$4:$D$3003,$A259,'[1]资金台帐'!$M$4:$M$3003,"往来"))</f>
        <v>0</v>
      </c>
      <c r="I259" s="11">
        <f t="shared" si="0"/>
        <v>0</v>
      </c>
      <c r="J259" s="11">
        <f t="shared" si="1"/>
        <v>0</v>
      </c>
      <c r="K259" s="6">
        <f t="shared" si="2"/>
      </c>
    </row>
    <row r="260">
      <c r="A260" s="6">
        <f>IF('[1]基础资料'!$I$259="","",'[1]基础资料'!$I$259)</f>
      </c>
      <c r="B260" s="6">
        <f>IF(A260="","",'[1]基础资料'!$J$259&amp;IF('[1]基础资料'!$K$259="","","·"&amp;'[1]基础资料'!$K$259))</f>
      </c>
      <c r="C260" s="11">
        <f>IF(A260="",0,N('[1]基础资料'!$L$259))</f>
        <v>0</v>
      </c>
      <c r="D260" s="11">
        <f>IF(A260="",0,SUMIFS('[1]采购入库'!$V$4:$V$2003,'[1]采购入库'!$D$4:$D$2003,$A260))</f>
        <v>0</v>
      </c>
      <c r="E260" s="11">
        <f>IF(A260="",0,SUMIFS('[1]资金台帐'!$H$4:$H$3003,'[1]资金台帐'!$D$4:$D$3003,$A260,'[1]资金台帐'!$M$4:$M$3003,"往来"))</f>
        <v>0</v>
      </c>
      <c r="F260" s="11">
        <f>IF(A260="",0,N('[1]基础资料'!$M$259))</f>
        <v>0</v>
      </c>
      <c r="G260" s="11">
        <f>IF(OR(A260="",ISNUMBER(FIND("线上",B260))),0,SUMIFS('[1]销售出库'!$S$4:$S$2003,'[1]销售出库'!$B$4:$B$2003,$A260))</f>
        <v>0</v>
      </c>
      <c r="H260" s="11">
        <f>IF(A260="",0,SUMIFS('[1]资金台帐'!$G$4:$G$3003,'[1]资金台帐'!$D$4:$D$3003,$A260,'[1]资金台帐'!$M$4:$M$3003,"往来"))</f>
        <v>0</v>
      </c>
      <c r="I260" s="11">
        <f t="shared" si="0"/>
        <v>0</v>
      </c>
      <c r="J260" s="11">
        <f t="shared" si="1"/>
        <v>0</v>
      </c>
      <c r="K260" s="6">
        <f t="shared" si="2"/>
      </c>
    </row>
    <row r="261">
      <c r="A261" s="6">
        <f>IF('[1]基础资料'!$I$260="","",'[1]基础资料'!$I$260)</f>
      </c>
      <c r="B261" s="6">
        <f>IF(A261="","",'[1]基础资料'!$J$260&amp;IF('[1]基础资料'!$K$260="","","·"&amp;'[1]基础资料'!$K$260))</f>
      </c>
      <c r="C261" s="11">
        <f>IF(A261="",0,N('[1]基础资料'!$L$260))</f>
        <v>0</v>
      </c>
      <c r="D261" s="11">
        <f>IF(A261="",0,SUMIFS('[1]采购入库'!$V$4:$V$2003,'[1]采购入库'!$D$4:$D$2003,$A261))</f>
        <v>0</v>
      </c>
      <c r="E261" s="11">
        <f>IF(A261="",0,SUMIFS('[1]资金台帐'!$H$4:$H$3003,'[1]资金台帐'!$D$4:$D$3003,$A261,'[1]资金台帐'!$M$4:$M$3003,"往来"))</f>
        <v>0</v>
      </c>
      <c r="F261" s="11">
        <f>IF(A261="",0,N('[1]基础资料'!$M$260))</f>
        <v>0</v>
      </c>
      <c r="G261" s="11">
        <f>IF(OR(A261="",ISNUMBER(FIND("线上",B261))),0,SUMIFS('[1]销售出库'!$S$4:$S$2003,'[1]销售出库'!$B$4:$B$2003,$A261))</f>
        <v>0</v>
      </c>
      <c r="H261" s="11">
        <f>IF(A261="",0,SUMIFS('[1]资金台帐'!$G$4:$G$3003,'[1]资金台帐'!$D$4:$D$3003,$A261,'[1]资金台帐'!$M$4:$M$3003,"往来"))</f>
        <v>0</v>
      </c>
      <c r="I261" s="11">
        <f t="shared" si="0"/>
        <v>0</v>
      </c>
      <c r="J261" s="11">
        <f t="shared" si="1"/>
        <v>0</v>
      </c>
      <c r="K261" s="6">
        <f t="shared" si="2"/>
      </c>
    </row>
    <row r="262">
      <c r="A262" s="6">
        <f>IF('[1]基础资料'!$I$261="","",'[1]基础资料'!$I$261)</f>
      </c>
      <c r="B262" s="6">
        <f>IF(A262="","",'[1]基础资料'!$J$261&amp;IF('[1]基础资料'!$K$261="","","·"&amp;'[1]基础资料'!$K$261))</f>
      </c>
      <c r="C262" s="11">
        <f>IF(A262="",0,N('[1]基础资料'!$L$261))</f>
        <v>0</v>
      </c>
      <c r="D262" s="11">
        <f>IF(A262="",0,SUMIFS('[1]采购入库'!$V$4:$V$2003,'[1]采购入库'!$D$4:$D$2003,$A262))</f>
        <v>0</v>
      </c>
      <c r="E262" s="11">
        <f>IF(A262="",0,SUMIFS('[1]资金台帐'!$H$4:$H$3003,'[1]资金台帐'!$D$4:$D$3003,$A262,'[1]资金台帐'!$M$4:$M$3003,"往来"))</f>
        <v>0</v>
      </c>
      <c r="F262" s="11">
        <f>IF(A262="",0,N('[1]基础资料'!$M$261))</f>
        <v>0</v>
      </c>
      <c r="G262" s="11">
        <f>IF(OR(A262="",ISNUMBER(FIND("线上",B262))),0,SUMIFS('[1]销售出库'!$S$4:$S$2003,'[1]销售出库'!$B$4:$B$2003,$A262))</f>
        <v>0</v>
      </c>
      <c r="H262" s="11">
        <f>IF(A262="",0,SUMIFS('[1]资金台帐'!$G$4:$G$3003,'[1]资金台帐'!$D$4:$D$3003,$A262,'[1]资金台帐'!$M$4:$M$3003,"往来"))</f>
        <v>0</v>
      </c>
      <c r="I262" s="11">
        <f t="shared" si="0"/>
        <v>0</v>
      </c>
      <c r="J262" s="11">
        <f t="shared" si="1"/>
        <v>0</v>
      </c>
      <c r="K262" s="6">
        <f t="shared" si="2"/>
      </c>
    </row>
    <row r="263">
      <c r="A263" s="6">
        <f>IF('[1]基础资料'!$I$262="","",'[1]基础资料'!$I$262)</f>
      </c>
      <c r="B263" s="6">
        <f>IF(A263="","",'[1]基础资料'!$J$262&amp;IF('[1]基础资料'!$K$262="","","·"&amp;'[1]基础资料'!$K$262))</f>
      </c>
      <c r="C263" s="11">
        <f>IF(A263="",0,N('[1]基础资料'!$L$262))</f>
        <v>0</v>
      </c>
      <c r="D263" s="11">
        <f>IF(A263="",0,SUMIFS('[1]采购入库'!$V$4:$V$2003,'[1]采购入库'!$D$4:$D$2003,$A263))</f>
        <v>0</v>
      </c>
      <c r="E263" s="11">
        <f>IF(A263="",0,SUMIFS('[1]资金台帐'!$H$4:$H$3003,'[1]资金台帐'!$D$4:$D$3003,$A263,'[1]资金台帐'!$M$4:$M$3003,"往来"))</f>
        <v>0</v>
      </c>
      <c r="F263" s="11">
        <f>IF(A263="",0,N('[1]基础资料'!$M$262))</f>
        <v>0</v>
      </c>
      <c r="G263" s="11">
        <f>IF(OR(A263="",ISNUMBER(FIND("线上",B263))),0,SUMIFS('[1]销售出库'!$S$4:$S$2003,'[1]销售出库'!$B$4:$B$2003,$A263))</f>
        <v>0</v>
      </c>
      <c r="H263" s="11">
        <f>IF(A263="",0,SUMIFS('[1]资金台帐'!$G$4:$G$3003,'[1]资金台帐'!$D$4:$D$3003,$A263,'[1]资金台帐'!$M$4:$M$3003,"往来"))</f>
        <v>0</v>
      </c>
      <c r="I263" s="11">
        <f t="shared" si="0"/>
        <v>0</v>
      </c>
      <c r="J263" s="11">
        <f t="shared" si="1"/>
        <v>0</v>
      </c>
      <c r="K263" s="6">
        <f t="shared" si="2"/>
      </c>
    </row>
    <row r="264">
      <c r="A264" s="6">
        <f>IF('[1]基础资料'!$I$263="","",'[1]基础资料'!$I$263)</f>
      </c>
      <c r="B264" s="6">
        <f>IF(A264="","",'[1]基础资料'!$J$263&amp;IF('[1]基础资料'!$K$263="","","·"&amp;'[1]基础资料'!$K$263))</f>
      </c>
      <c r="C264" s="11">
        <f>IF(A264="",0,N('[1]基础资料'!$L$263))</f>
        <v>0</v>
      </c>
      <c r="D264" s="11">
        <f>IF(A264="",0,SUMIFS('[1]采购入库'!$V$4:$V$2003,'[1]采购入库'!$D$4:$D$2003,$A264))</f>
        <v>0</v>
      </c>
      <c r="E264" s="11">
        <f>IF(A264="",0,SUMIFS('[1]资金台帐'!$H$4:$H$3003,'[1]资金台帐'!$D$4:$D$3003,$A264,'[1]资金台帐'!$M$4:$M$3003,"往来"))</f>
        <v>0</v>
      </c>
      <c r="F264" s="11">
        <f>IF(A264="",0,N('[1]基础资料'!$M$263))</f>
        <v>0</v>
      </c>
      <c r="G264" s="11">
        <f>IF(OR(A264="",ISNUMBER(FIND("线上",B264))),0,SUMIFS('[1]销售出库'!$S$4:$S$2003,'[1]销售出库'!$B$4:$B$2003,$A264))</f>
        <v>0</v>
      </c>
      <c r="H264" s="11">
        <f>IF(A264="",0,SUMIFS('[1]资金台帐'!$G$4:$G$3003,'[1]资金台帐'!$D$4:$D$3003,$A264,'[1]资金台帐'!$M$4:$M$3003,"往来"))</f>
        <v>0</v>
      </c>
      <c r="I264" s="11">
        <f t="shared" si="0"/>
        <v>0</v>
      </c>
      <c r="J264" s="11">
        <f t="shared" si="1"/>
        <v>0</v>
      </c>
      <c r="K264" s="6">
        <f t="shared" si="2"/>
      </c>
    </row>
    <row r="265">
      <c r="A265" s="6">
        <f>IF('[1]基础资料'!$I$264="","",'[1]基础资料'!$I$264)</f>
      </c>
      <c r="B265" s="6">
        <f>IF(A265="","",'[1]基础资料'!$J$264&amp;IF('[1]基础资料'!$K$264="","","·"&amp;'[1]基础资料'!$K$264))</f>
      </c>
      <c r="C265" s="11">
        <f>IF(A265="",0,N('[1]基础资料'!$L$264))</f>
        <v>0</v>
      </c>
      <c r="D265" s="11">
        <f>IF(A265="",0,SUMIFS('[1]采购入库'!$V$4:$V$2003,'[1]采购入库'!$D$4:$D$2003,$A265))</f>
        <v>0</v>
      </c>
      <c r="E265" s="11">
        <f>IF(A265="",0,SUMIFS('[1]资金台帐'!$H$4:$H$3003,'[1]资金台帐'!$D$4:$D$3003,$A265,'[1]资金台帐'!$M$4:$M$3003,"往来"))</f>
        <v>0</v>
      </c>
      <c r="F265" s="11">
        <f>IF(A265="",0,N('[1]基础资料'!$M$264))</f>
        <v>0</v>
      </c>
      <c r="G265" s="11">
        <f>IF(OR(A265="",ISNUMBER(FIND("线上",B265))),0,SUMIFS('[1]销售出库'!$S$4:$S$2003,'[1]销售出库'!$B$4:$B$2003,$A265))</f>
        <v>0</v>
      </c>
      <c r="H265" s="11">
        <f>IF(A265="",0,SUMIFS('[1]资金台帐'!$G$4:$G$3003,'[1]资金台帐'!$D$4:$D$3003,$A265,'[1]资金台帐'!$M$4:$M$3003,"往来"))</f>
        <v>0</v>
      </c>
      <c r="I265" s="11">
        <f t="shared" si="0"/>
        <v>0</v>
      </c>
      <c r="J265" s="11">
        <f t="shared" si="1"/>
        <v>0</v>
      </c>
      <c r="K265" s="6">
        <f t="shared" si="2"/>
      </c>
    </row>
    <row r="266">
      <c r="A266" s="6">
        <f>IF('[1]基础资料'!$I$265="","",'[1]基础资料'!$I$265)</f>
      </c>
      <c r="B266" s="6">
        <f>IF(A266="","",'[1]基础资料'!$J$265&amp;IF('[1]基础资料'!$K$265="","","·"&amp;'[1]基础资料'!$K$265))</f>
      </c>
      <c r="C266" s="11">
        <f>IF(A266="",0,N('[1]基础资料'!$L$265))</f>
        <v>0</v>
      </c>
      <c r="D266" s="11">
        <f>IF(A266="",0,SUMIFS('[1]采购入库'!$V$4:$V$2003,'[1]采购入库'!$D$4:$D$2003,$A266))</f>
        <v>0</v>
      </c>
      <c r="E266" s="11">
        <f>IF(A266="",0,SUMIFS('[1]资金台帐'!$H$4:$H$3003,'[1]资金台帐'!$D$4:$D$3003,$A266,'[1]资金台帐'!$M$4:$M$3003,"往来"))</f>
        <v>0</v>
      </c>
      <c r="F266" s="11">
        <f>IF(A266="",0,N('[1]基础资料'!$M$265))</f>
        <v>0</v>
      </c>
      <c r="G266" s="11">
        <f>IF(OR(A266="",ISNUMBER(FIND("线上",B266))),0,SUMIFS('[1]销售出库'!$S$4:$S$2003,'[1]销售出库'!$B$4:$B$2003,$A266))</f>
        <v>0</v>
      </c>
      <c r="H266" s="11">
        <f>IF(A266="",0,SUMIFS('[1]资金台帐'!$G$4:$G$3003,'[1]资金台帐'!$D$4:$D$3003,$A266,'[1]资金台帐'!$M$4:$M$3003,"往来"))</f>
        <v>0</v>
      </c>
      <c r="I266" s="11">
        <f t="shared" si="0"/>
        <v>0</v>
      </c>
      <c r="J266" s="11">
        <f t="shared" si="1"/>
        <v>0</v>
      </c>
      <c r="K266" s="6">
        <f t="shared" si="2"/>
      </c>
    </row>
    <row r="267">
      <c r="A267" s="6">
        <f>IF('[1]基础资料'!$I$266="","",'[1]基础资料'!$I$266)</f>
      </c>
      <c r="B267" s="6">
        <f>IF(A267="","",'[1]基础资料'!$J$266&amp;IF('[1]基础资料'!$K$266="","","·"&amp;'[1]基础资料'!$K$266))</f>
      </c>
      <c r="C267" s="11">
        <f>IF(A267="",0,N('[1]基础资料'!$L$266))</f>
        <v>0</v>
      </c>
      <c r="D267" s="11">
        <f>IF(A267="",0,SUMIFS('[1]采购入库'!$V$4:$V$2003,'[1]采购入库'!$D$4:$D$2003,$A267))</f>
        <v>0</v>
      </c>
      <c r="E267" s="11">
        <f>IF(A267="",0,SUMIFS('[1]资金台帐'!$H$4:$H$3003,'[1]资金台帐'!$D$4:$D$3003,$A267,'[1]资金台帐'!$M$4:$M$3003,"往来"))</f>
        <v>0</v>
      </c>
      <c r="F267" s="11">
        <f>IF(A267="",0,N('[1]基础资料'!$M$266))</f>
        <v>0</v>
      </c>
      <c r="G267" s="11">
        <f>IF(OR(A267="",ISNUMBER(FIND("线上",B267))),0,SUMIFS('[1]销售出库'!$S$4:$S$2003,'[1]销售出库'!$B$4:$B$2003,$A267))</f>
        <v>0</v>
      </c>
      <c r="H267" s="11">
        <f>IF(A267="",0,SUMIFS('[1]资金台帐'!$G$4:$G$3003,'[1]资金台帐'!$D$4:$D$3003,$A267,'[1]资金台帐'!$M$4:$M$3003,"往来"))</f>
        <v>0</v>
      </c>
      <c r="I267" s="11">
        <f t="shared" si="0"/>
        <v>0</v>
      </c>
      <c r="J267" s="11">
        <f t="shared" si="1"/>
        <v>0</v>
      </c>
      <c r="K267" s="6">
        <f t="shared" si="2"/>
      </c>
    </row>
    <row r="268">
      <c r="A268" s="6">
        <f>IF('[1]基础资料'!$I$267="","",'[1]基础资料'!$I$267)</f>
      </c>
      <c r="B268" s="6">
        <f>IF(A268="","",'[1]基础资料'!$J$267&amp;IF('[1]基础资料'!$K$267="","","·"&amp;'[1]基础资料'!$K$267))</f>
      </c>
      <c r="C268" s="11">
        <f>IF(A268="",0,N('[1]基础资料'!$L$267))</f>
        <v>0</v>
      </c>
      <c r="D268" s="11">
        <f>IF(A268="",0,SUMIFS('[1]采购入库'!$V$4:$V$2003,'[1]采购入库'!$D$4:$D$2003,$A268))</f>
        <v>0</v>
      </c>
      <c r="E268" s="11">
        <f>IF(A268="",0,SUMIFS('[1]资金台帐'!$H$4:$H$3003,'[1]资金台帐'!$D$4:$D$3003,$A268,'[1]资金台帐'!$M$4:$M$3003,"往来"))</f>
        <v>0</v>
      </c>
      <c r="F268" s="11">
        <f>IF(A268="",0,N('[1]基础资料'!$M$267))</f>
        <v>0</v>
      </c>
      <c r="G268" s="11">
        <f>IF(OR(A268="",ISNUMBER(FIND("线上",B268))),0,SUMIFS('[1]销售出库'!$S$4:$S$2003,'[1]销售出库'!$B$4:$B$2003,$A268))</f>
        <v>0</v>
      </c>
      <c r="H268" s="11">
        <f>IF(A268="",0,SUMIFS('[1]资金台帐'!$G$4:$G$3003,'[1]资金台帐'!$D$4:$D$3003,$A268,'[1]资金台帐'!$M$4:$M$3003,"往来"))</f>
        <v>0</v>
      </c>
      <c r="I268" s="11">
        <f t="shared" si="0"/>
        <v>0</v>
      </c>
      <c r="J268" s="11">
        <f t="shared" si="1"/>
        <v>0</v>
      </c>
      <c r="K268" s="6">
        <f t="shared" si="2"/>
      </c>
    </row>
    <row r="269">
      <c r="A269" s="6">
        <f>IF('[1]基础资料'!$I$268="","",'[1]基础资料'!$I$268)</f>
      </c>
      <c r="B269" s="6">
        <f>IF(A269="","",'[1]基础资料'!$J$268&amp;IF('[1]基础资料'!$K$268="","","·"&amp;'[1]基础资料'!$K$268))</f>
      </c>
      <c r="C269" s="11">
        <f>IF(A269="",0,N('[1]基础资料'!$L$268))</f>
        <v>0</v>
      </c>
      <c r="D269" s="11">
        <f>IF(A269="",0,SUMIFS('[1]采购入库'!$V$4:$V$2003,'[1]采购入库'!$D$4:$D$2003,$A269))</f>
        <v>0</v>
      </c>
      <c r="E269" s="11">
        <f>IF(A269="",0,SUMIFS('[1]资金台帐'!$H$4:$H$3003,'[1]资金台帐'!$D$4:$D$3003,$A269,'[1]资金台帐'!$M$4:$M$3003,"往来"))</f>
        <v>0</v>
      </c>
      <c r="F269" s="11">
        <f>IF(A269="",0,N('[1]基础资料'!$M$268))</f>
        <v>0</v>
      </c>
      <c r="G269" s="11">
        <f>IF(OR(A269="",ISNUMBER(FIND("线上",B269))),0,SUMIFS('[1]销售出库'!$S$4:$S$2003,'[1]销售出库'!$B$4:$B$2003,$A269))</f>
        <v>0</v>
      </c>
      <c r="H269" s="11">
        <f>IF(A269="",0,SUMIFS('[1]资金台帐'!$G$4:$G$3003,'[1]资金台帐'!$D$4:$D$3003,$A269,'[1]资金台帐'!$M$4:$M$3003,"往来"))</f>
        <v>0</v>
      </c>
      <c r="I269" s="11">
        <f t="shared" si="0"/>
        <v>0</v>
      </c>
      <c r="J269" s="11">
        <f t="shared" si="1"/>
        <v>0</v>
      </c>
      <c r="K269" s="6">
        <f t="shared" si="2"/>
      </c>
    </row>
    <row r="270">
      <c r="A270" s="6">
        <f>IF('[1]基础资料'!$I$269="","",'[1]基础资料'!$I$269)</f>
      </c>
      <c r="B270" s="6">
        <f>IF(A270="","",'[1]基础资料'!$J$269&amp;IF('[1]基础资料'!$K$269="","","·"&amp;'[1]基础资料'!$K$269))</f>
      </c>
      <c r="C270" s="11">
        <f>IF(A270="",0,N('[1]基础资料'!$L$269))</f>
        <v>0</v>
      </c>
      <c r="D270" s="11">
        <f>IF(A270="",0,SUMIFS('[1]采购入库'!$V$4:$V$2003,'[1]采购入库'!$D$4:$D$2003,$A270))</f>
        <v>0</v>
      </c>
      <c r="E270" s="11">
        <f>IF(A270="",0,SUMIFS('[1]资金台帐'!$H$4:$H$3003,'[1]资金台帐'!$D$4:$D$3003,$A270,'[1]资金台帐'!$M$4:$M$3003,"往来"))</f>
        <v>0</v>
      </c>
      <c r="F270" s="11">
        <f>IF(A270="",0,N('[1]基础资料'!$M$269))</f>
        <v>0</v>
      </c>
      <c r="G270" s="11">
        <f>IF(OR(A270="",ISNUMBER(FIND("线上",B270))),0,SUMIFS('[1]销售出库'!$S$4:$S$2003,'[1]销售出库'!$B$4:$B$2003,$A270))</f>
        <v>0</v>
      </c>
      <c r="H270" s="11">
        <f>IF(A270="",0,SUMIFS('[1]资金台帐'!$G$4:$G$3003,'[1]资金台帐'!$D$4:$D$3003,$A270,'[1]资金台帐'!$M$4:$M$3003,"往来"))</f>
        <v>0</v>
      </c>
      <c r="I270" s="11">
        <f t="shared" si="0"/>
        <v>0</v>
      </c>
      <c r="J270" s="11">
        <f t="shared" si="1"/>
        <v>0</v>
      </c>
      <c r="K270" s="6">
        <f t="shared" si="2"/>
      </c>
    </row>
    <row r="271">
      <c r="A271" s="6">
        <f>IF('[1]基础资料'!$I$270="","",'[1]基础资料'!$I$270)</f>
      </c>
      <c r="B271" s="6">
        <f>IF(A271="","",'[1]基础资料'!$J$270&amp;IF('[1]基础资料'!$K$270="","","·"&amp;'[1]基础资料'!$K$270))</f>
      </c>
      <c r="C271" s="11">
        <f>IF(A271="",0,N('[1]基础资料'!$L$270))</f>
        <v>0</v>
      </c>
      <c r="D271" s="11">
        <f>IF(A271="",0,SUMIFS('[1]采购入库'!$V$4:$V$2003,'[1]采购入库'!$D$4:$D$2003,$A271))</f>
        <v>0</v>
      </c>
      <c r="E271" s="11">
        <f>IF(A271="",0,SUMIFS('[1]资金台帐'!$H$4:$H$3003,'[1]资金台帐'!$D$4:$D$3003,$A271,'[1]资金台帐'!$M$4:$M$3003,"往来"))</f>
        <v>0</v>
      </c>
      <c r="F271" s="11">
        <f>IF(A271="",0,N('[1]基础资料'!$M$270))</f>
        <v>0</v>
      </c>
      <c r="G271" s="11">
        <f>IF(OR(A271="",ISNUMBER(FIND("线上",B271))),0,SUMIFS('[1]销售出库'!$S$4:$S$2003,'[1]销售出库'!$B$4:$B$2003,$A271))</f>
        <v>0</v>
      </c>
      <c r="H271" s="11">
        <f>IF(A271="",0,SUMIFS('[1]资金台帐'!$G$4:$G$3003,'[1]资金台帐'!$D$4:$D$3003,$A271,'[1]资金台帐'!$M$4:$M$3003,"往来"))</f>
        <v>0</v>
      </c>
      <c r="I271" s="11">
        <f t="shared" si="0"/>
        <v>0</v>
      </c>
      <c r="J271" s="11">
        <f t="shared" si="1"/>
        <v>0</v>
      </c>
      <c r="K271" s="6">
        <f t="shared" si="2"/>
      </c>
    </row>
    <row r="272">
      <c r="A272" s="6">
        <f>IF('[1]基础资料'!$I$271="","",'[1]基础资料'!$I$271)</f>
      </c>
      <c r="B272" s="6">
        <f>IF(A272="","",'[1]基础资料'!$J$271&amp;IF('[1]基础资料'!$K$271="","","·"&amp;'[1]基础资料'!$K$271))</f>
      </c>
      <c r="C272" s="11">
        <f>IF(A272="",0,N('[1]基础资料'!$L$271))</f>
        <v>0</v>
      </c>
      <c r="D272" s="11">
        <f>IF(A272="",0,SUMIFS('[1]采购入库'!$V$4:$V$2003,'[1]采购入库'!$D$4:$D$2003,$A272))</f>
        <v>0</v>
      </c>
      <c r="E272" s="11">
        <f>IF(A272="",0,SUMIFS('[1]资金台帐'!$H$4:$H$3003,'[1]资金台帐'!$D$4:$D$3003,$A272,'[1]资金台帐'!$M$4:$M$3003,"往来"))</f>
        <v>0</v>
      </c>
      <c r="F272" s="11">
        <f>IF(A272="",0,N('[1]基础资料'!$M$271))</f>
        <v>0</v>
      </c>
      <c r="G272" s="11">
        <f>IF(OR(A272="",ISNUMBER(FIND("线上",B272))),0,SUMIFS('[1]销售出库'!$S$4:$S$2003,'[1]销售出库'!$B$4:$B$2003,$A272))</f>
        <v>0</v>
      </c>
      <c r="H272" s="11">
        <f>IF(A272="",0,SUMIFS('[1]资金台帐'!$G$4:$G$3003,'[1]资金台帐'!$D$4:$D$3003,$A272,'[1]资金台帐'!$M$4:$M$3003,"往来"))</f>
        <v>0</v>
      </c>
      <c r="I272" s="11">
        <f t="shared" si="0"/>
        <v>0</v>
      </c>
      <c r="J272" s="11">
        <f t="shared" si="1"/>
        <v>0</v>
      </c>
      <c r="K272" s="6">
        <f t="shared" si="2"/>
      </c>
    </row>
    <row r="273">
      <c r="A273" s="6">
        <f>IF('[1]基础资料'!$I$272="","",'[1]基础资料'!$I$272)</f>
      </c>
      <c r="B273" s="6">
        <f>IF(A273="","",'[1]基础资料'!$J$272&amp;IF('[1]基础资料'!$K$272="","","·"&amp;'[1]基础资料'!$K$272))</f>
      </c>
      <c r="C273" s="11">
        <f>IF(A273="",0,N('[1]基础资料'!$L$272))</f>
        <v>0</v>
      </c>
      <c r="D273" s="11">
        <f>IF(A273="",0,SUMIFS('[1]采购入库'!$V$4:$V$2003,'[1]采购入库'!$D$4:$D$2003,$A273))</f>
        <v>0</v>
      </c>
      <c r="E273" s="11">
        <f>IF(A273="",0,SUMIFS('[1]资金台帐'!$H$4:$H$3003,'[1]资金台帐'!$D$4:$D$3003,$A273,'[1]资金台帐'!$M$4:$M$3003,"往来"))</f>
        <v>0</v>
      </c>
      <c r="F273" s="11">
        <f>IF(A273="",0,N('[1]基础资料'!$M$272))</f>
        <v>0</v>
      </c>
      <c r="G273" s="11">
        <f>IF(OR(A273="",ISNUMBER(FIND("线上",B273))),0,SUMIFS('[1]销售出库'!$S$4:$S$2003,'[1]销售出库'!$B$4:$B$2003,$A273))</f>
        <v>0</v>
      </c>
      <c r="H273" s="11">
        <f>IF(A273="",0,SUMIFS('[1]资金台帐'!$G$4:$G$3003,'[1]资金台帐'!$D$4:$D$3003,$A273,'[1]资金台帐'!$M$4:$M$3003,"往来"))</f>
        <v>0</v>
      </c>
      <c r="I273" s="11">
        <f t="shared" si="0"/>
        <v>0</v>
      </c>
      <c r="J273" s="11">
        <f t="shared" si="1"/>
        <v>0</v>
      </c>
      <c r="K273" s="6">
        <f t="shared" si="2"/>
      </c>
    </row>
    <row r="274">
      <c r="A274" s="6">
        <f>IF('[1]基础资料'!$I$273="","",'[1]基础资料'!$I$273)</f>
      </c>
      <c r="B274" s="6">
        <f>IF(A274="","",'[1]基础资料'!$J$273&amp;IF('[1]基础资料'!$K$273="","","·"&amp;'[1]基础资料'!$K$273))</f>
      </c>
      <c r="C274" s="11">
        <f>IF(A274="",0,N('[1]基础资料'!$L$273))</f>
        <v>0</v>
      </c>
      <c r="D274" s="11">
        <f>IF(A274="",0,SUMIFS('[1]采购入库'!$V$4:$V$2003,'[1]采购入库'!$D$4:$D$2003,$A274))</f>
        <v>0</v>
      </c>
      <c r="E274" s="11">
        <f>IF(A274="",0,SUMIFS('[1]资金台帐'!$H$4:$H$3003,'[1]资金台帐'!$D$4:$D$3003,$A274,'[1]资金台帐'!$M$4:$M$3003,"往来"))</f>
        <v>0</v>
      </c>
      <c r="F274" s="11">
        <f>IF(A274="",0,N('[1]基础资料'!$M$273))</f>
        <v>0</v>
      </c>
      <c r="G274" s="11">
        <f>IF(OR(A274="",ISNUMBER(FIND("线上",B274))),0,SUMIFS('[1]销售出库'!$S$4:$S$2003,'[1]销售出库'!$B$4:$B$2003,$A274))</f>
        <v>0</v>
      </c>
      <c r="H274" s="11">
        <f>IF(A274="",0,SUMIFS('[1]资金台帐'!$G$4:$G$3003,'[1]资金台帐'!$D$4:$D$3003,$A274,'[1]资金台帐'!$M$4:$M$3003,"往来"))</f>
        <v>0</v>
      </c>
      <c r="I274" s="11">
        <f t="shared" si="0"/>
        <v>0</v>
      </c>
      <c r="J274" s="11">
        <f t="shared" si="1"/>
        <v>0</v>
      </c>
      <c r="K274" s="6">
        <f t="shared" si="2"/>
      </c>
    </row>
    <row r="275">
      <c r="A275" s="6">
        <f>IF('[1]基础资料'!$I$274="","",'[1]基础资料'!$I$274)</f>
      </c>
      <c r="B275" s="6">
        <f>IF(A275="","",'[1]基础资料'!$J$274&amp;IF('[1]基础资料'!$K$274="","","·"&amp;'[1]基础资料'!$K$274))</f>
      </c>
      <c r="C275" s="11">
        <f>IF(A275="",0,N('[1]基础资料'!$L$274))</f>
        <v>0</v>
      </c>
      <c r="D275" s="11">
        <f>IF(A275="",0,SUMIFS('[1]采购入库'!$V$4:$V$2003,'[1]采购入库'!$D$4:$D$2003,$A275))</f>
        <v>0</v>
      </c>
      <c r="E275" s="11">
        <f>IF(A275="",0,SUMIFS('[1]资金台帐'!$H$4:$H$3003,'[1]资金台帐'!$D$4:$D$3003,$A275,'[1]资金台帐'!$M$4:$M$3003,"往来"))</f>
        <v>0</v>
      </c>
      <c r="F275" s="11">
        <f>IF(A275="",0,N('[1]基础资料'!$M$274))</f>
        <v>0</v>
      </c>
      <c r="G275" s="11">
        <f>IF(OR(A275="",ISNUMBER(FIND("线上",B275))),0,SUMIFS('[1]销售出库'!$S$4:$S$2003,'[1]销售出库'!$B$4:$B$2003,$A275))</f>
        <v>0</v>
      </c>
      <c r="H275" s="11">
        <f>IF(A275="",0,SUMIFS('[1]资金台帐'!$G$4:$G$3003,'[1]资金台帐'!$D$4:$D$3003,$A275,'[1]资金台帐'!$M$4:$M$3003,"往来"))</f>
        <v>0</v>
      </c>
      <c r="I275" s="11">
        <f t="shared" si="0"/>
        <v>0</v>
      </c>
      <c r="J275" s="11">
        <f t="shared" si="1"/>
        <v>0</v>
      </c>
      <c r="K275" s="6">
        <f t="shared" si="2"/>
      </c>
    </row>
    <row r="276">
      <c r="A276" s="6">
        <f>IF('[1]基础资料'!$I$275="","",'[1]基础资料'!$I$275)</f>
      </c>
      <c r="B276" s="6">
        <f>IF(A276="","",'[1]基础资料'!$J$275&amp;IF('[1]基础资料'!$K$275="","","·"&amp;'[1]基础资料'!$K$275))</f>
      </c>
      <c r="C276" s="11">
        <f>IF(A276="",0,N('[1]基础资料'!$L$275))</f>
        <v>0</v>
      </c>
      <c r="D276" s="11">
        <f>IF(A276="",0,SUMIFS('[1]采购入库'!$V$4:$V$2003,'[1]采购入库'!$D$4:$D$2003,$A276))</f>
        <v>0</v>
      </c>
      <c r="E276" s="11">
        <f>IF(A276="",0,SUMIFS('[1]资金台帐'!$H$4:$H$3003,'[1]资金台帐'!$D$4:$D$3003,$A276,'[1]资金台帐'!$M$4:$M$3003,"往来"))</f>
        <v>0</v>
      </c>
      <c r="F276" s="11">
        <f>IF(A276="",0,N('[1]基础资料'!$M$275))</f>
        <v>0</v>
      </c>
      <c r="G276" s="11">
        <f>IF(OR(A276="",ISNUMBER(FIND("线上",B276))),0,SUMIFS('[1]销售出库'!$S$4:$S$2003,'[1]销售出库'!$B$4:$B$2003,$A276))</f>
        <v>0</v>
      </c>
      <c r="H276" s="11">
        <f>IF(A276="",0,SUMIFS('[1]资金台帐'!$G$4:$G$3003,'[1]资金台帐'!$D$4:$D$3003,$A276,'[1]资金台帐'!$M$4:$M$3003,"往来"))</f>
        <v>0</v>
      </c>
      <c r="I276" s="11">
        <f t="shared" si="0"/>
        <v>0</v>
      </c>
      <c r="J276" s="11">
        <f t="shared" si="1"/>
        <v>0</v>
      </c>
      <c r="K276" s="6">
        <f t="shared" si="2"/>
      </c>
    </row>
    <row r="277">
      <c r="A277" s="6">
        <f>IF('[1]基础资料'!$I$276="","",'[1]基础资料'!$I$276)</f>
      </c>
      <c r="B277" s="6">
        <f>IF(A277="","",'[1]基础资料'!$J$276&amp;IF('[1]基础资料'!$K$276="","","·"&amp;'[1]基础资料'!$K$276))</f>
      </c>
      <c r="C277" s="11">
        <f>IF(A277="",0,N('[1]基础资料'!$L$276))</f>
        <v>0</v>
      </c>
      <c r="D277" s="11">
        <f>IF(A277="",0,SUMIFS('[1]采购入库'!$V$4:$V$2003,'[1]采购入库'!$D$4:$D$2003,$A277))</f>
        <v>0</v>
      </c>
      <c r="E277" s="11">
        <f>IF(A277="",0,SUMIFS('[1]资金台帐'!$H$4:$H$3003,'[1]资金台帐'!$D$4:$D$3003,$A277,'[1]资金台帐'!$M$4:$M$3003,"往来"))</f>
        <v>0</v>
      </c>
      <c r="F277" s="11">
        <f>IF(A277="",0,N('[1]基础资料'!$M$276))</f>
        <v>0</v>
      </c>
      <c r="G277" s="11">
        <f>IF(OR(A277="",ISNUMBER(FIND("线上",B277))),0,SUMIFS('[1]销售出库'!$S$4:$S$2003,'[1]销售出库'!$B$4:$B$2003,$A277))</f>
        <v>0</v>
      </c>
      <c r="H277" s="11">
        <f>IF(A277="",0,SUMIFS('[1]资金台帐'!$G$4:$G$3003,'[1]资金台帐'!$D$4:$D$3003,$A277,'[1]资金台帐'!$M$4:$M$3003,"往来"))</f>
        <v>0</v>
      </c>
      <c r="I277" s="11">
        <f t="shared" si="0"/>
        <v>0</v>
      </c>
      <c r="J277" s="11">
        <f t="shared" si="1"/>
        <v>0</v>
      </c>
      <c r="K277" s="6">
        <f t="shared" si="2"/>
      </c>
    </row>
    <row r="278">
      <c r="A278" s="6">
        <f>IF('[1]基础资料'!$I$277="","",'[1]基础资料'!$I$277)</f>
      </c>
      <c r="B278" s="6">
        <f>IF(A278="","",'[1]基础资料'!$J$277&amp;IF('[1]基础资料'!$K$277="","","·"&amp;'[1]基础资料'!$K$277))</f>
      </c>
      <c r="C278" s="11">
        <f>IF(A278="",0,N('[1]基础资料'!$L$277))</f>
        <v>0</v>
      </c>
      <c r="D278" s="11">
        <f>IF(A278="",0,SUMIFS('[1]采购入库'!$V$4:$V$2003,'[1]采购入库'!$D$4:$D$2003,$A278))</f>
        <v>0</v>
      </c>
      <c r="E278" s="11">
        <f>IF(A278="",0,SUMIFS('[1]资金台帐'!$H$4:$H$3003,'[1]资金台帐'!$D$4:$D$3003,$A278,'[1]资金台帐'!$M$4:$M$3003,"往来"))</f>
        <v>0</v>
      </c>
      <c r="F278" s="11">
        <f>IF(A278="",0,N('[1]基础资料'!$M$277))</f>
        <v>0</v>
      </c>
      <c r="G278" s="11">
        <f>IF(OR(A278="",ISNUMBER(FIND("线上",B278))),0,SUMIFS('[1]销售出库'!$S$4:$S$2003,'[1]销售出库'!$B$4:$B$2003,$A278))</f>
        <v>0</v>
      </c>
      <c r="H278" s="11">
        <f>IF(A278="",0,SUMIFS('[1]资金台帐'!$G$4:$G$3003,'[1]资金台帐'!$D$4:$D$3003,$A278,'[1]资金台帐'!$M$4:$M$3003,"往来"))</f>
        <v>0</v>
      </c>
      <c r="I278" s="11">
        <f t="shared" si="0"/>
        <v>0</v>
      </c>
      <c r="J278" s="11">
        <f t="shared" si="1"/>
        <v>0</v>
      </c>
      <c r="K278" s="6">
        <f t="shared" si="2"/>
      </c>
    </row>
    <row r="279">
      <c r="A279" s="6">
        <f>IF('[1]基础资料'!$I$278="","",'[1]基础资料'!$I$278)</f>
      </c>
      <c r="B279" s="6">
        <f>IF(A279="","",'[1]基础资料'!$J$278&amp;IF('[1]基础资料'!$K$278="","","·"&amp;'[1]基础资料'!$K$278))</f>
      </c>
      <c r="C279" s="11">
        <f>IF(A279="",0,N('[1]基础资料'!$L$278))</f>
        <v>0</v>
      </c>
      <c r="D279" s="11">
        <f>IF(A279="",0,SUMIFS('[1]采购入库'!$V$4:$V$2003,'[1]采购入库'!$D$4:$D$2003,$A279))</f>
        <v>0</v>
      </c>
      <c r="E279" s="11">
        <f>IF(A279="",0,SUMIFS('[1]资金台帐'!$H$4:$H$3003,'[1]资金台帐'!$D$4:$D$3003,$A279,'[1]资金台帐'!$M$4:$M$3003,"往来"))</f>
        <v>0</v>
      </c>
      <c r="F279" s="11">
        <f>IF(A279="",0,N('[1]基础资料'!$M$278))</f>
        <v>0</v>
      </c>
      <c r="G279" s="11">
        <f>IF(OR(A279="",ISNUMBER(FIND("线上",B279))),0,SUMIFS('[1]销售出库'!$S$4:$S$2003,'[1]销售出库'!$B$4:$B$2003,$A279))</f>
        <v>0</v>
      </c>
      <c r="H279" s="11">
        <f>IF(A279="",0,SUMIFS('[1]资金台帐'!$G$4:$G$3003,'[1]资金台帐'!$D$4:$D$3003,$A279,'[1]资金台帐'!$M$4:$M$3003,"往来"))</f>
        <v>0</v>
      </c>
      <c r="I279" s="11">
        <f t="shared" si="0"/>
        <v>0</v>
      </c>
      <c r="J279" s="11">
        <f t="shared" si="1"/>
        <v>0</v>
      </c>
      <c r="K279" s="6">
        <f t="shared" si="2"/>
      </c>
    </row>
    <row r="280">
      <c r="A280" s="6">
        <f>IF('[1]基础资料'!$I$279="","",'[1]基础资料'!$I$279)</f>
      </c>
      <c r="B280" s="6">
        <f>IF(A280="","",'[1]基础资料'!$J$279&amp;IF('[1]基础资料'!$K$279="","","·"&amp;'[1]基础资料'!$K$279))</f>
      </c>
      <c r="C280" s="11">
        <f>IF(A280="",0,N('[1]基础资料'!$L$279))</f>
        <v>0</v>
      </c>
      <c r="D280" s="11">
        <f>IF(A280="",0,SUMIFS('[1]采购入库'!$V$4:$V$2003,'[1]采购入库'!$D$4:$D$2003,$A280))</f>
        <v>0</v>
      </c>
      <c r="E280" s="11">
        <f>IF(A280="",0,SUMIFS('[1]资金台帐'!$H$4:$H$3003,'[1]资金台帐'!$D$4:$D$3003,$A280,'[1]资金台帐'!$M$4:$M$3003,"往来"))</f>
        <v>0</v>
      </c>
      <c r="F280" s="11">
        <f>IF(A280="",0,N('[1]基础资料'!$M$279))</f>
        <v>0</v>
      </c>
      <c r="G280" s="11">
        <f>IF(OR(A280="",ISNUMBER(FIND("线上",B280))),0,SUMIFS('[1]销售出库'!$S$4:$S$2003,'[1]销售出库'!$B$4:$B$2003,$A280))</f>
        <v>0</v>
      </c>
      <c r="H280" s="11">
        <f>IF(A280="",0,SUMIFS('[1]资金台帐'!$G$4:$G$3003,'[1]资金台帐'!$D$4:$D$3003,$A280,'[1]资金台帐'!$M$4:$M$3003,"往来"))</f>
        <v>0</v>
      </c>
      <c r="I280" s="11">
        <f t="shared" si="0"/>
        <v>0</v>
      </c>
      <c r="J280" s="11">
        <f t="shared" si="1"/>
        <v>0</v>
      </c>
      <c r="K280" s="6">
        <f t="shared" si="2"/>
      </c>
    </row>
    <row r="281">
      <c r="A281" s="6">
        <f>IF('[1]基础资料'!$I$280="","",'[1]基础资料'!$I$280)</f>
      </c>
      <c r="B281" s="6">
        <f>IF(A281="","",'[1]基础资料'!$J$280&amp;IF('[1]基础资料'!$K$280="","","·"&amp;'[1]基础资料'!$K$280))</f>
      </c>
      <c r="C281" s="11">
        <f>IF(A281="",0,N('[1]基础资料'!$L$280))</f>
        <v>0</v>
      </c>
      <c r="D281" s="11">
        <f>IF(A281="",0,SUMIFS('[1]采购入库'!$V$4:$V$2003,'[1]采购入库'!$D$4:$D$2003,$A281))</f>
        <v>0</v>
      </c>
      <c r="E281" s="11">
        <f>IF(A281="",0,SUMIFS('[1]资金台帐'!$H$4:$H$3003,'[1]资金台帐'!$D$4:$D$3003,$A281,'[1]资金台帐'!$M$4:$M$3003,"往来"))</f>
        <v>0</v>
      </c>
      <c r="F281" s="11">
        <f>IF(A281="",0,N('[1]基础资料'!$M$280))</f>
        <v>0</v>
      </c>
      <c r="G281" s="11">
        <f>IF(OR(A281="",ISNUMBER(FIND("线上",B281))),0,SUMIFS('[1]销售出库'!$S$4:$S$2003,'[1]销售出库'!$B$4:$B$2003,$A281))</f>
        <v>0</v>
      </c>
      <c r="H281" s="11">
        <f>IF(A281="",0,SUMIFS('[1]资金台帐'!$G$4:$G$3003,'[1]资金台帐'!$D$4:$D$3003,$A281,'[1]资金台帐'!$M$4:$M$3003,"往来"))</f>
        <v>0</v>
      </c>
      <c r="I281" s="11">
        <f t="shared" si="0"/>
        <v>0</v>
      </c>
      <c r="J281" s="11">
        <f t="shared" si="1"/>
        <v>0</v>
      </c>
      <c r="K281" s="6">
        <f t="shared" si="2"/>
      </c>
    </row>
    <row r="282">
      <c r="A282" s="6">
        <f>IF('[1]基础资料'!$I$281="","",'[1]基础资料'!$I$281)</f>
      </c>
      <c r="B282" s="6">
        <f>IF(A282="","",'[1]基础资料'!$J$281&amp;IF('[1]基础资料'!$K$281="","","·"&amp;'[1]基础资料'!$K$281))</f>
      </c>
      <c r="C282" s="11">
        <f>IF(A282="",0,N('[1]基础资料'!$L$281))</f>
        <v>0</v>
      </c>
      <c r="D282" s="11">
        <f>IF(A282="",0,SUMIFS('[1]采购入库'!$V$4:$V$2003,'[1]采购入库'!$D$4:$D$2003,$A282))</f>
        <v>0</v>
      </c>
      <c r="E282" s="11">
        <f>IF(A282="",0,SUMIFS('[1]资金台帐'!$H$4:$H$3003,'[1]资金台帐'!$D$4:$D$3003,$A282,'[1]资金台帐'!$M$4:$M$3003,"往来"))</f>
        <v>0</v>
      </c>
      <c r="F282" s="11">
        <f>IF(A282="",0,N('[1]基础资料'!$M$281))</f>
        <v>0</v>
      </c>
      <c r="G282" s="11">
        <f>IF(OR(A282="",ISNUMBER(FIND("线上",B282))),0,SUMIFS('[1]销售出库'!$S$4:$S$2003,'[1]销售出库'!$B$4:$B$2003,$A282))</f>
        <v>0</v>
      </c>
      <c r="H282" s="11">
        <f>IF(A282="",0,SUMIFS('[1]资金台帐'!$G$4:$G$3003,'[1]资金台帐'!$D$4:$D$3003,$A282,'[1]资金台帐'!$M$4:$M$3003,"往来"))</f>
        <v>0</v>
      </c>
      <c r="I282" s="11">
        <f t="shared" si="0"/>
        <v>0</v>
      </c>
      <c r="J282" s="11">
        <f t="shared" si="1"/>
        <v>0</v>
      </c>
      <c r="K282" s="6">
        <f t="shared" si="2"/>
      </c>
    </row>
    <row r="283">
      <c r="A283" s="6">
        <f>IF('[1]基础资料'!$I$282="","",'[1]基础资料'!$I$282)</f>
      </c>
      <c r="B283" s="6">
        <f>IF(A283="","",'[1]基础资料'!$J$282&amp;IF('[1]基础资料'!$K$282="","","·"&amp;'[1]基础资料'!$K$282))</f>
      </c>
      <c r="C283" s="11">
        <f>IF(A283="",0,N('[1]基础资料'!$L$282))</f>
        <v>0</v>
      </c>
      <c r="D283" s="11">
        <f>IF(A283="",0,SUMIFS('[1]采购入库'!$V$4:$V$2003,'[1]采购入库'!$D$4:$D$2003,$A283))</f>
        <v>0</v>
      </c>
      <c r="E283" s="11">
        <f>IF(A283="",0,SUMIFS('[1]资金台帐'!$H$4:$H$3003,'[1]资金台帐'!$D$4:$D$3003,$A283,'[1]资金台帐'!$M$4:$M$3003,"往来"))</f>
        <v>0</v>
      </c>
      <c r="F283" s="11">
        <f>IF(A283="",0,N('[1]基础资料'!$M$282))</f>
        <v>0</v>
      </c>
      <c r="G283" s="11">
        <f>IF(OR(A283="",ISNUMBER(FIND("线上",B283))),0,SUMIFS('[1]销售出库'!$S$4:$S$2003,'[1]销售出库'!$B$4:$B$2003,$A283))</f>
        <v>0</v>
      </c>
      <c r="H283" s="11">
        <f>IF(A283="",0,SUMIFS('[1]资金台帐'!$G$4:$G$3003,'[1]资金台帐'!$D$4:$D$3003,$A283,'[1]资金台帐'!$M$4:$M$3003,"往来"))</f>
        <v>0</v>
      </c>
      <c r="I283" s="11">
        <f t="shared" si="0"/>
        <v>0</v>
      </c>
      <c r="J283" s="11">
        <f t="shared" si="1"/>
        <v>0</v>
      </c>
      <c r="K283" s="6">
        <f t="shared" si="2"/>
      </c>
    </row>
    <row r="284">
      <c r="A284" s="6">
        <f>IF('[1]基础资料'!$I$283="","",'[1]基础资料'!$I$283)</f>
      </c>
      <c r="B284" s="6">
        <f>IF(A284="","",'[1]基础资料'!$J$283&amp;IF('[1]基础资料'!$K$283="","","·"&amp;'[1]基础资料'!$K$283))</f>
      </c>
      <c r="C284" s="11">
        <f>IF(A284="",0,N('[1]基础资料'!$L$283))</f>
        <v>0</v>
      </c>
      <c r="D284" s="11">
        <f>IF(A284="",0,SUMIFS('[1]采购入库'!$V$4:$V$2003,'[1]采购入库'!$D$4:$D$2003,$A284))</f>
        <v>0</v>
      </c>
      <c r="E284" s="11">
        <f>IF(A284="",0,SUMIFS('[1]资金台帐'!$H$4:$H$3003,'[1]资金台帐'!$D$4:$D$3003,$A284,'[1]资金台帐'!$M$4:$M$3003,"往来"))</f>
        <v>0</v>
      </c>
      <c r="F284" s="11">
        <f>IF(A284="",0,N('[1]基础资料'!$M$283))</f>
        <v>0</v>
      </c>
      <c r="G284" s="11">
        <f>IF(OR(A284="",ISNUMBER(FIND("线上",B284))),0,SUMIFS('[1]销售出库'!$S$4:$S$2003,'[1]销售出库'!$B$4:$B$2003,$A284))</f>
        <v>0</v>
      </c>
      <c r="H284" s="11">
        <f>IF(A284="",0,SUMIFS('[1]资金台帐'!$G$4:$G$3003,'[1]资金台帐'!$D$4:$D$3003,$A284,'[1]资金台帐'!$M$4:$M$3003,"往来"))</f>
        <v>0</v>
      </c>
      <c r="I284" s="11">
        <f t="shared" si="0"/>
        <v>0</v>
      </c>
      <c r="J284" s="11">
        <f t="shared" si="1"/>
        <v>0</v>
      </c>
      <c r="K284" s="6">
        <f t="shared" si="2"/>
      </c>
    </row>
    <row r="285">
      <c r="A285" s="6">
        <f>IF('[1]基础资料'!$I$284="","",'[1]基础资料'!$I$284)</f>
      </c>
      <c r="B285" s="6">
        <f>IF(A285="","",'[1]基础资料'!$J$284&amp;IF('[1]基础资料'!$K$284="","","·"&amp;'[1]基础资料'!$K$284))</f>
      </c>
      <c r="C285" s="11">
        <f>IF(A285="",0,N('[1]基础资料'!$L$284))</f>
        <v>0</v>
      </c>
      <c r="D285" s="11">
        <f>IF(A285="",0,SUMIFS('[1]采购入库'!$V$4:$V$2003,'[1]采购入库'!$D$4:$D$2003,$A285))</f>
        <v>0</v>
      </c>
      <c r="E285" s="11">
        <f>IF(A285="",0,SUMIFS('[1]资金台帐'!$H$4:$H$3003,'[1]资金台帐'!$D$4:$D$3003,$A285,'[1]资金台帐'!$M$4:$M$3003,"往来"))</f>
        <v>0</v>
      </c>
      <c r="F285" s="11">
        <f>IF(A285="",0,N('[1]基础资料'!$M$284))</f>
        <v>0</v>
      </c>
      <c r="G285" s="11">
        <f>IF(OR(A285="",ISNUMBER(FIND("线上",B285))),0,SUMIFS('[1]销售出库'!$S$4:$S$2003,'[1]销售出库'!$B$4:$B$2003,$A285))</f>
        <v>0</v>
      </c>
      <c r="H285" s="11">
        <f>IF(A285="",0,SUMIFS('[1]资金台帐'!$G$4:$G$3003,'[1]资金台帐'!$D$4:$D$3003,$A285,'[1]资金台帐'!$M$4:$M$3003,"往来"))</f>
        <v>0</v>
      </c>
      <c r="I285" s="11">
        <f t="shared" si="0"/>
        <v>0</v>
      </c>
      <c r="J285" s="11">
        <f t="shared" si="1"/>
        <v>0</v>
      </c>
      <c r="K285" s="6">
        <f t="shared" si="2"/>
      </c>
    </row>
    <row r="286">
      <c r="A286" s="6">
        <f>IF('[1]基础资料'!$I$285="","",'[1]基础资料'!$I$285)</f>
      </c>
      <c r="B286" s="6">
        <f>IF(A286="","",'[1]基础资料'!$J$285&amp;IF('[1]基础资料'!$K$285="","","·"&amp;'[1]基础资料'!$K$285))</f>
      </c>
      <c r="C286" s="11">
        <f>IF(A286="",0,N('[1]基础资料'!$L$285))</f>
        <v>0</v>
      </c>
      <c r="D286" s="11">
        <f>IF(A286="",0,SUMIFS('[1]采购入库'!$V$4:$V$2003,'[1]采购入库'!$D$4:$D$2003,$A286))</f>
        <v>0</v>
      </c>
      <c r="E286" s="11">
        <f>IF(A286="",0,SUMIFS('[1]资金台帐'!$H$4:$H$3003,'[1]资金台帐'!$D$4:$D$3003,$A286,'[1]资金台帐'!$M$4:$M$3003,"往来"))</f>
        <v>0</v>
      </c>
      <c r="F286" s="11">
        <f>IF(A286="",0,N('[1]基础资料'!$M$285))</f>
        <v>0</v>
      </c>
      <c r="G286" s="11">
        <f>IF(OR(A286="",ISNUMBER(FIND("线上",B286))),0,SUMIFS('[1]销售出库'!$S$4:$S$2003,'[1]销售出库'!$B$4:$B$2003,$A286))</f>
        <v>0</v>
      </c>
      <c r="H286" s="11">
        <f>IF(A286="",0,SUMIFS('[1]资金台帐'!$G$4:$G$3003,'[1]资金台帐'!$D$4:$D$3003,$A286,'[1]资金台帐'!$M$4:$M$3003,"往来"))</f>
        <v>0</v>
      </c>
      <c r="I286" s="11">
        <f t="shared" si="0"/>
        <v>0</v>
      </c>
      <c r="J286" s="11">
        <f t="shared" si="1"/>
        <v>0</v>
      </c>
      <c r="K286" s="6">
        <f t="shared" si="2"/>
      </c>
    </row>
    <row r="287">
      <c r="A287" s="6">
        <f>IF('[1]基础资料'!$I$286="","",'[1]基础资料'!$I$286)</f>
      </c>
      <c r="B287" s="6">
        <f>IF(A287="","",'[1]基础资料'!$J$286&amp;IF('[1]基础资料'!$K$286="","","·"&amp;'[1]基础资料'!$K$286))</f>
      </c>
      <c r="C287" s="11">
        <f>IF(A287="",0,N('[1]基础资料'!$L$286))</f>
        <v>0</v>
      </c>
      <c r="D287" s="11">
        <f>IF(A287="",0,SUMIFS('[1]采购入库'!$V$4:$V$2003,'[1]采购入库'!$D$4:$D$2003,$A287))</f>
        <v>0</v>
      </c>
      <c r="E287" s="11">
        <f>IF(A287="",0,SUMIFS('[1]资金台帐'!$H$4:$H$3003,'[1]资金台帐'!$D$4:$D$3003,$A287,'[1]资金台帐'!$M$4:$M$3003,"往来"))</f>
        <v>0</v>
      </c>
      <c r="F287" s="11">
        <f>IF(A287="",0,N('[1]基础资料'!$M$286))</f>
        <v>0</v>
      </c>
      <c r="G287" s="11">
        <f>IF(OR(A287="",ISNUMBER(FIND("线上",B287))),0,SUMIFS('[1]销售出库'!$S$4:$S$2003,'[1]销售出库'!$B$4:$B$2003,$A287))</f>
        <v>0</v>
      </c>
      <c r="H287" s="11">
        <f>IF(A287="",0,SUMIFS('[1]资金台帐'!$G$4:$G$3003,'[1]资金台帐'!$D$4:$D$3003,$A287,'[1]资金台帐'!$M$4:$M$3003,"往来"))</f>
        <v>0</v>
      </c>
      <c r="I287" s="11">
        <f t="shared" si="0"/>
        <v>0</v>
      </c>
      <c r="J287" s="11">
        <f t="shared" si="1"/>
        <v>0</v>
      </c>
      <c r="K287" s="6">
        <f t="shared" si="2"/>
      </c>
    </row>
    <row r="288">
      <c r="A288" s="6">
        <f>IF('[1]基础资料'!$I$287="","",'[1]基础资料'!$I$287)</f>
      </c>
      <c r="B288" s="6">
        <f>IF(A288="","",'[1]基础资料'!$J$287&amp;IF('[1]基础资料'!$K$287="","","·"&amp;'[1]基础资料'!$K$287))</f>
      </c>
      <c r="C288" s="11">
        <f>IF(A288="",0,N('[1]基础资料'!$L$287))</f>
        <v>0</v>
      </c>
      <c r="D288" s="11">
        <f>IF(A288="",0,SUMIFS('[1]采购入库'!$V$4:$V$2003,'[1]采购入库'!$D$4:$D$2003,$A288))</f>
        <v>0</v>
      </c>
      <c r="E288" s="11">
        <f>IF(A288="",0,SUMIFS('[1]资金台帐'!$H$4:$H$3003,'[1]资金台帐'!$D$4:$D$3003,$A288,'[1]资金台帐'!$M$4:$M$3003,"往来"))</f>
        <v>0</v>
      </c>
      <c r="F288" s="11">
        <f>IF(A288="",0,N('[1]基础资料'!$M$287))</f>
        <v>0</v>
      </c>
      <c r="G288" s="11">
        <f>IF(OR(A288="",ISNUMBER(FIND("线上",B288))),0,SUMIFS('[1]销售出库'!$S$4:$S$2003,'[1]销售出库'!$B$4:$B$2003,$A288))</f>
        <v>0</v>
      </c>
      <c r="H288" s="11">
        <f>IF(A288="",0,SUMIFS('[1]资金台帐'!$G$4:$G$3003,'[1]资金台帐'!$D$4:$D$3003,$A288,'[1]资金台帐'!$M$4:$M$3003,"往来"))</f>
        <v>0</v>
      </c>
      <c r="I288" s="11">
        <f t="shared" si="0"/>
        <v>0</v>
      </c>
      <c r="J288" s="11">
        <f t="shared" si="1"/>
        <v>0</v>
      </c>
      <c r="K288" s="6">
        <f t="shared" si="2"/>
      </c>
    </row>
    <row r="289">
      <c r="A289" s="6">
        <f>IF('[1]基础资料'!$I$288="","",'[1]基础资料'!$I$288)</f>
      </c>
      <c r="B289" s="6">
        <f>IF(A289="","",'[1]基础资料'!$J$288&amp;IF('[1]基础资料'!$K$288="","","·"&amp;'[1]基础资料'!$K$288))</f>
      </c>
      <c r="C289" s="11">
        <f>IF(A289="",0,N('[1]基础资料'!$L$288))</f>
        <v>0</v>
      </c>
      <c r="D289" s="11">
        <f>IF(A289="",0,SUMIFS('[1]采购入库'!$V$4:$V$2003,'[1]采购入库'!$D$4:$D$2003,$A289))</f>
        <v>0</v>
      </c>
      <c r="E289" s="11">
        <f>IF(A289="",0,SUMIFS('[1]资金台帐'!$H$4:$H$3003,'[1]资金台帐'!$D$4:$D$3003,$A289,'[1]资金台帐'!$M$4:$M$3003,"往来"))</f>
        <v>0</v>
      </c>
      <c r="F289" s="11">
        <f>IF(A289="",0,N('[1]基础资料'!$M$288))</f>
        <v>0</v>
      </c>
      <c r="G289" s="11">
        <f>IF(OR(A289="",ISNUMBER(FIND("线上",B289))),0,SUMIFS('[1]销售出库'!$S$4:$S$2003,'[1]销售出库'!$B$4:$B$2003,$A289))</f>
        <v>0</v>
      </c>
      <c r="H289" s="11">
        <f>IF(A289="",0,SUMIFS('[1]资金台帐'!$G$4:$G$3003,'[1]资金台帐'!$D$4:$D$3003,$A289,'[1]资金台帐'!$M$4:$M$3003,"往来"))</f>
        <v>0</v>
      </c>
      <c r="I289" s="11">
        <f t="shared" si="0"/>
        <v>0</v>
      </c>
      <c r="J289" s="11">
        <f t="shared" si="1"/>
        <v>0</v>
      </c>
      <c r="K289" s="6">
        <f t="shared" si="2"/>
      </c>
    </row>
    <row r="290">
      <c r="A290" s="6">
        <f>IF('[1]基础资料'!$I$289="","",'[1]基础资料'!$I$289)</f>
      </c>
      <c r="B290" s="6">
        <f>IF(A290="","",'[1]基础资料'!$J$289&amp;IF('[1]基础资料'!$K$289="","","·"&amp;'[1]基础资料'!$K$289))</f>
      </c>
      <c r="C290" s="11">
        <f>IF(A290="",0,N('[1]基础资料'!$L$289))</f>
        <v>0</v>
      </c>
      <c r="D290" s="11">
        <f>IF(A290="",0,SUMIFS('[1]采购入库'!$V$4:$V$2003,'[1]采购入库'!$D$4:$D$2003,$A290))</f>
        <v>0</v>
      </c>
      <c r="E290" s="11">
        <f>IF(A290="",0,SUMIFS('[1]资金台帐'!$H$4:$H$3003,'[1]资金台帐'!$D$4:$D$3003,$A290,'[1]资金台帐'!$M$4:$M$3003,"往来"))</f>
        <v>0</v>
      </c>
      <c r="F290" s="11">
        <f>IF(A290="",0,N('[1]基础资料'!$M$289))</f>
        <v>0</v>
      </c>
      <c r="G290" s="11">
        <f>IF(OR(A290="",ISNUMBER(FIND("线上",B290))),0,SUMIFS('[1]销售出库'!$S$4:$S$2003,'[1]销售出库'!$B$4:$B$2003,$A290))</f>
        <v>0</v>
      </c>
      <c r="H290" s="11">
        <f>IF(A290="",0,SUMIFS('[1]资金台帐'!$G$4:$G$3003,'[1]资金台帐'!$D$4:$D$3003,$A290,'[1]资金台帐'!$M$4:$M$3003,"往来"))</f>
        <v>0</v>
      </c>
      <c r="I290" s="11">
        <f t="shared" si="0"/>
        <v>0</v>
      </c>
      <c r="J290" s="11">
        <f t="shared" si="1"/>
        <v>0</v>
      </c>
      <c r="K290" s="6">
        <f t="shared" si="2"/>
      </c>
    </row>
    <row r="291">
      <c r="A291" s="6">
        <f>IF('[1]基础资料'!$I$290="","",'[1]基础资料'!$I$290)</f>
      </c>
      <c r="B291" s="6">
        <f>IF(A291="","",'[1]基础资料'!$J$290&amp;IF('[1]基础资料'!$K$290="","","·"&amp;'[1]基础资料'!$K$290))</f>
      </c>
      <c r="C291" s="11">
        <f>IF(A291="",0,N('[1]基础资料'!$L$290))</f>
        <v>0</v>
      </c>
      <c r="D291" s="11">
        <f>IF(A291="",0,SUMIFS('[1]采购入库'!$V$4:$V$2003,'[1]采购入库'!$D$4:$D$2003,$A291))</f>
        <v>0</v>
      </c>
      <c r="E291" s="11">
        <f>IF(A291="",0,SUMIFS('[1]资金台帐'!$H$4:$H$3003,'[1]资金台帐'!$D$4:$D$3003,$A291,'[1]资金台帐'!$M$4:$M$3003,"往来"))</f>
        <v>0</v>
      </c>
      <c r="F291" s="11">
        <f>IF(A291="",0,N('[1]基础资料'!$M$290))</f>
        <v>0</v>
      </c>
      <c r="G291" s="11">
        <f>IF(OR(A291="",ISNUMBER(FIND("线上",B291))),0,SUMIFS('[1]销售出库'!$S$4:$S$2003,'[1]销售出库'!$B$4:$B$2003,$A291))</f>
        <v>0</v>
      </c>
      <c r="H291" s="11">
        <f>IF(A291="",0,SUMIFS('[1]资金台帐'!$G$4:$G$3003,'[1]资金台帐'!$D$4:$D$3003,$A291,'[1]资金台帐'!$M$4:$M$3003,"往来"))</f>
        <v>0</v>
      </c>
      <c r="I291" s="11">
        <f t="shared" si="0"/>
        <v>0</v>
      </c>
      <c r="J291" s="11">
        <f t="shared" si="1"/>
        <v>0</v>
      </c>
      <c r="K291" s="6">
        <f t="shared" si="2"/>
      </c>
    </row>
    <row r="292">
      <c r="A292" s="6">
        <f>IF('[1]基础资料'!$I$291="","",'[1]基础资料'!$I$291)</f>
      </c>
      <c r="B292" s="6">
        <f>IF(A292="","",'[1]基础资料'!$J$291&amp;IF('[1]基础资料'!$K$291="","","·"&amp;'[1]基础资料'!$K$291))</f>
      </c>
      <c r="C292" s="11">
        <f>IF(A292="",0,N('[1]基础资料'!$L$291))</f>
        <v>0</v>
      </c>
      <c r="D292" s="11">
        <f>IF(A292="",0,SUMIFS('[1]采购入库'!$V$4:$V$2003,'[1]采购入库'!$D$4:$D$2003,$A292))</f>
        <v>0</v>
      </c>
      <c r="E292" s="11">
        <f>IF(A292="",0,SUMIFS('[1]资金台帐'!$H$4:$H$3003,'[1]资金台帐'!$D$4:$D$3003,$A292,'[1]资金台帐'!$M$4:$M$3003,"往来"))</f>
        <v>0</v>
      </c>
      <c r="F292" s="11">
        <f>IF(A292="",0,N('[1]基础资料'!$M$291))</f>
        <v>0</v>
      </c>
      <c r="G292" s="11">
        <f>IF(OR(A292="",ISNUMBER(FIND("线上",B292))),0,SUMIFS('[1]销售出库'!$S$4:$S$2003,'[1]销售出库'!$B$4:$B$2003,$A292))</f>
        <v>0</v>
      </c>
      <c r="H292" s="11">
        <f>IF(A292="",0,SUMIFS('[1]资金台帐'!$G$4:$G$3003,'[1]资金台帐'!$D$4:$D$3003,$A292,'[1]资金台帐'!$M$4:$M$3003,"往来"))</f>
        <v>0</v>
      </c>
      <c r="I292" s="11">
        <f t="shared" si="0"/>
        <v>0</v>
      </c>
      <c r="J292" s="11">
        <f t="shared" si="1"/>
        <v>0</v>
      </c>
      <c r="K292" s="6">
        <f t="shared" si="2"/>
      </c>
    </row>
    <row r="293">
      <c r="A293" s="6">
        <f>IF('[1]基础资料'!$I$292="","",'[1]基础资料'!$I$292)</f>
      </c>
      <c r="B293" s="6">
        <f>IF(A293="","",'[1]基础资料'!$J$292&amp;IF('[1]基础资料'!$K$292="","","·"&amp;'[1]基础资料'!$K$292))</f>
      </c>
      <c r="C293" s="11">
        <f>IF(A293="",0,N('[1]基础资料'!$L$292))</f>
        <v>0</v>
      </c>
      <c r="D293" s="11">
        <f>IF(A293="",0,SUMIFS('[1]采购入库'!$V$4:$V$2003,'[1]采购入库'!$D$4:$D$2003,$A293))</f>
        <v>0</v>
      </c>
      <c r="E293" s="11">
        <f>IF(A293="",0,SUMIFS('[1]资金台帐'!$H$4:$H$3003,'[1]资金台帐'!$D$4:$D$3003,$A293,'[1]资金台帐'!$M$4:$M$3003,"往来"))</f>
        <v>0</v>
      </c>
      <c r="F293" s="11">
        <f>IF(A293="",0,N('[1]基础资料'!$M$292))</f>
        <v>0</v>
      </c>
      <c r="G293" s="11">
        <f>IF(OR(A293="",ISNUMBER(FIND("线上",B293))),0,SUMIFS('[1]销售出库'!$S$4:$S$2003,'[1]销售出库'!$B$4:$B$2003,$A293))</f>
        <v>0</v>
      </c>
      <c r="H293" s="11">
        <f>IF(A293="",0,SUMIFS('[1]资金台帐'!$G$4:$G$3003,'[1]资金台帐'!$D$4:$D$3003,$A293,'[1]资金台帐'!$M$4:$M$3003,"往来"))</f>
        <v>0</v>
      </c>
      <c r="I293" s="11">
        <f t="shared" si="0"/>
        <v>0</v>
      </c>
      <c r="J293" s="11">
        <f t="shared" si="1"/>
        <v>0</v>
      </c>
      <c r="K293" s="6">
        <f t="shared" si="2"/>
      </c>
    </row>
    <row r="294">
      <c r="A294" s="6">
        <f>IF('[1]基础资料'!$I$293="","",'[1]基础资料'!$I$293)</f>
      </c>
      <c r="B294" s="6">
        <f>IF(A294="","",'[1]基础资料'!$J$293&amp;IF('[1]基础资料'!$K$293="","","·"&amp;'[1]基础资料'!$K$293))</f>
      </c>
      <c r="C294" s="11">
        <f>IF(A294="",0,N('[1]基础资料'!$L$293))</f>
        <v>0</v>
      </c>
      <c r="D294" s="11">
        <f>IF(A294="",0,SUMIFS('[1]采购入库'!$V$4:$V$2003,'[1]采购入库'!$D$4:$D$2003,$A294))</f>
        <v>0</v>
      </c>
      <c r="E294" s="11">
        <f>IF(A294="",0,SUMIFS('[1]资金台帐'!$H$4:$H$3003,'[1]资金台帐'!$D$4:$D$3003,$A294,'[1]资金台帐'!$M$4:$M$3003,"往来"))</f>
        <v>0</v>
      </c>
      <c r="F294" s="11">
        <f>IF(A294="",0,N('[1]基础资料'!$M$293))</f>
        <v>0</v>
      </c>
      <c r="G294" s="11">
        <f>IF(OR(A294="",ISNUMBER(FIND("线上",B294))),0,SUMIFS('[1]销售出库'!$S$4:$S$2003,'[1]销售出库'!$B$4:$B$2003,$A294))</f>
        <v>0</v>
      </c>
      <c r="H294" s="11">
        <f>IF(A294="",0,SUMIFS('[1]资金台帐'!$G$4:$G$3003,'[1]资金台帐'!$D$4:$D$3003,$A294,'[1]资金台帐'!$M$4:$M$3003,"往来"))</f>
        <v>0</v>
      </c>
      <c r="I294" s="11">
        <f t="shared" si="0"/>
        <v>0</v>
      </c>
      <c r="J294" s="11">
        <f t="shared" si="1"/>
        <v>0</v>
      </c>
      <c r="K294" s="6">
        <f t="shared" si="2"/>
      </c>
    </row>
    <row r="295">
      <c r="A295" s="6">
        <f>IF('[1]基础资料'!$I$294="","",'[1]基础资料'!$I$294)</f>
      </c>
      <c r="B295" s="6">
        <f>IF(A295="","",'[1]基础资料'!$J$294&amp;IF('[1]基础资料'!$K$294="","","·"&amp;'[1]基础资料'!$K$294))</f>
      </c>
      <c r="C295" s="11">
        <f>IF(A295="",0,N('[1]基础资料'!$L$294))</f>
        <v>0</v>
      </c>
      <c r="D295" s="11">
        <f>IF(A295="",0,SUMIFS('[1]采购入库'!$V$4:$V$2003,'[1]采购入库'!$D$4:$D$2003,$A295))</f>
        <v>0</v>
      </c>
      <c r="E295" s="11">
        <f>IF(A295="",0,SUMIFS('[1]资金台帐'!$H$4:$H$3003,'[1]资金台帐'!$D$4:$D$3003,$A295,'[1]资金台帐'!$M$4:$M$3003,"往来"))</f>
        <v>0</v>
      </c>
      <c r="F295" s="11">
        <f>IF(A295="",0,N('[1]基础资料'!$M$294))</f>
        <v>0</v>
      </c>
      <c r="G295" s="11">
        <f>IF(OR(A295="",ISNUMBER(FIND("线上",B295))),0,SUMIFS('[1]销售出库'!$S$4:$S$2003,'[1]销售出库'!$B$4:$B$2003,$A295))</f>
        <v>0</v>
      </c>
      <c r="H295" s="11">
        <f>IF(A295="",0,SUMIFS('[1]资金台帐'!$G$4:$G$3003,'[1]资金台帐'!$D$4:$D$3003,$A295,'[1]资金台帐'!$M$4:$M$3003,"往来"))</f>
        <v>0</v>
      </c>
      <c r="I295" s="11">
        <f t="shared" si="0"/>
        <v>0</v>
      </c>
      <c r="J295" s="11">
        <f t="shared" si="1"/>
        <v>0</v>
      </c>
      <c r="K295" s="6">
        <f t="shared" si="2"/>
      </c>
    </row>
    <row r="296">
      <c r="A296" s="6">
        <f>IF('[1]基础资料'!$I$295="","",'[1]基础资料'!$I$295)</f>
      </c>
      <c r="B296" s="6">
        <f>IF(A296="","",'[1]基础资料'!$J$295&amp;IF('[1]基础资料'!$K$295="","","·"&amp;'[1]基础资料'!$K$295))</f>
      </c>
      <c r="C296" s="11">
        <f>IF(A296="",0,N('[1]基础资料'!$L$295))</f>
        <v>0</v>
      </c>
      <c r="D296" s="11">
        <f>IF(A296="",0,SUMIFS('[1]采购入库'!$V$4:$V$2003,'[1]采购入库'!$D$4:$D$2003,$A296))</f>
        <v>0</v>
      </c>
      <c r="E296" s="11">
        <f>IF(A296="",0,SUMIFS('[1]资金台帐'!$H$4:$H$3003,'[1]资金台帐'!$D$4:$D$3003,$A296,'[1]资金台帐'!$M$4:$M$3003,"往来"))</f>
        <v>0</v>
      </c>
      <c r="F296" s="11">
        <f>IF(A296="",0,N('[1]基础资料'!$M$295))</f>
        <v>0</v>
      </c>
      <c r="G296" s="11">
        <f>IF(OR(A296="",ISNUMBER(FIND("线上",B296))),0,SUMIFS('[1]销售出库'!$S$4:$S$2003,'[1]销售出库'!$B$4:$B$2003,$A296))</f>
        <v>0</v>
      </c>
      <c r="H296" s="11">
        <f>IF(A296="",0,SUMIFS('[1]资金台帐'!$G$4:$G$3003,'[1]资金台帐'!$D$4:$D$3003,$A296,'[1]资金台帐'!$M$4:$M$3003,"往来"))</f>
        <v>0</v>
      </c>
      <c r="I296" s="11">
        <f t="shared" si="0"/>
        <v>0</v>
      </c>
      <c r="J296" s="11">
        <f t="shared" si="1"/>
        <v>0</v>
      </c>
      <c r="K296" s="6">
        <f t="shared" si="2"/>
      </c>
    </row>
    <row r="297">
      <c r="A297" s="6">
        <f>IF('[1]基础资料'!$I$296="","",'[1]基础资料'!$I$296)</f>
      </c>
      <c r="B297" s="6">
        <f>IF(A297="","",'[1]基础资料'!$J$296&amp;IF('[1]基础资料'!$K$296="","","·"&amp;'[1]基础资料'!$K$296))</f>
      </c>
      <c r="C297" s="11">
        <f>IF(A297="",0,N('[1]基础资料'!$L$296))</f>
        <v>0</v>
      </c>
      <c r="D297" s="11">
        <f>IF(A297="",0,SUMIFS('[1]采购入库'!$V$4:$V$2003,'[1]采购入库'!$D$4:$D$2003,$A297))</f>
        <v>0</v>
      </c>
      <c r="E297" s="11">
        <f>IF(A297="",0,SUMIFS('[1]资金台帐'!$H$4:$H$3003,'[1]资金台帐'!$D$4:$D$3003,$A297,'[1]资金台帐'!$M$4:$M$3003,"往来"))</f>
        <v>0</v>
      </c>
      <c r="F297" s="11">
        <f>IF(A297="",0,N('[1]基础资料'!$M$296))</f>
        <v>0</v>
      </c>
      <c r="G297" s="11">
        <f>IF(OR(A297="",ISNUMBER(FIND("线上",B297))),0,SUMIFS('[1]销售出库'!$S$4:$S$2003,'[1]销售出库'!$B$4:$B$2003,$A297))</f>
        <v>0</v>
      </c>
      <c r="H297" s="11">
        <f>IF(A297="",0,SUMIFS('[1]资金台帐'!$G$4:$G$3003,'[1]资金台帐'!$D$4:$D$3003,$A297,'[1]资金台帐'!$M$4:$M$3003,"往来"))</f>
        <v>0</v>
      </c>
      <c r="I297" s="11">
        <f t="shared" si="0"/>
        <v>0</v>
      </c>
      <c r="J297" s="11">
        <f t="shared" si="1"/>
        <v>0</v>
      </c>
      <c r="K297" s="6">
        <f t="shared" si="2"/>
      </c>
    </row>
    <row r="298">
      <c r="A298" s="6">
        <f>IF('[1]基础资料'!$I$297="","",'[1]基础资料'!$I$297)</f>
      </c>
      <c r="B298" s="6">
        <f>IF(A298="","",'[1]基础资料'!$J$297&amp;IF('[1]基础资料'!$K$297="","","·"&amp;'[1]基础资料'!$K$297))</f>
      </c>
      <c r="C298" s="11">
        <f>IF(A298="",0,N('[1]基础资料'!$L$297))</f>
        <v>0</v>
      </c>
      <c r="D298" s="11">
        <f>IF(A298="",0,SUMIFS('[1]采购入库'!$V$4:$V$2003,'[1]采购入库'!$D$4:$D$2003,$A298))</f>
        <v>0</v>
      </c>
      <c r="E298" s="11">
        <f>IF(A298="",0,SUMIFS('[1]资金台帐'!$H$4:$H$3003,'[1]资金台帐'!$D$4:$D$3003,$A298,'[1]资金台帐'!$M$4:$M$3003,"往来"))</f>
        <v>0</v>
      </c>
      <c r="F298" s="11">
        <f>IF(A298="",0,N('[1]基础资料'!$M$297))</f>
        <v>0</v>
      </c>
      <c r="G298" s="11">
        <f>IF(OR(A298="",ISNUMBER(FIND("线上",B298))),0,SUMIFS('[1]销售出库'!$S$4:$S$2003,'[1]销售出库'!$B$4:$B$2003,$A298))</f>
        <v>0</v>
      </c>
      <c r="H298" s="11">
        <f>IF(A298="",0,SUMIFS('[1]资金台帐'!$G$4:$G$3003,'[1]资金台帐'!$D$4:$D$3003,$A298,'[1]资金台帐'!$M$4:$M$3003,"往来"))</f>
        <v>0</v>
      </c>
      <c r="I298" s="11">
        <f t="shared" si="0"/>
        <v>0</v>
      </c>
      <c r="J298" s="11">
        <f t="shared" si="1"/>
        <v>0</v>
      </c>
      <c r="K298" s="6">
        <f t="shared" si="2"/>
      </c>
    </row>
    <row r="299">
      <c r="A299" s="6">
        <f>IF('[1]基础资料'!$I$298="","",'[1]基础资料'!$I$298)</f>
      </c>
      <c r="B299" s="6">
        <f>IF(A299="","",'[1]基础资料'!$J$298&amp;IF('[1]基础资料'!$K$298="","","·"&amp;'[1]基础资料'!$K$298))</f>
      </c>
      <c r="C299" s="11">
        <f>IF(A299="",0,N('[1]基础资料'!$L$298))</f>
        <v>0</v>
      </c>
      <c r="D299" s="11">
        <f>IF(A299="",0,SUMIFS('[1]采购入库'!$V$4:$V$2003,'[1]采购入库'!$D$4:$D$2003,$A299))</f>
        <v>0</v>
      </c>
      <c r="E299" s="11">
        <f>IF(A299="",0,SUMIFS('[1]资金台帐'!$H$4:$H$3003,'[1]资金台帐'!$D$4:$D$3003,$A299,'[1]资金台帐'!$M$4:$M$3003,"往来"))</f>
        <v>0</v>
      </c>
      <c r="F299" s="11">
        <f>IF(A299="",0,N('[1]基础资料'!$M$298))</f>
        <v>0</v>
      </c>
      <c r="G299" s="11">
        <f>IF(OR(A299="",ISNUMBER(FIND("线上",B299))),0,SUMIFS('[1]销售出库'!$S$4:$S$2003,'[1]销售出库'!$B$4:$B$2003,$A299))</f>
        <v>0</v>
      </c>
      <c r="H299" s="11">
        <f>IF(A299="",0,SUMIFS('[1]资金台帐'!$G$4:$G$3003,'[1]资金台帐'!$D$4:$D$3003,$A299,'[1]资金台帐'!$M$4:$M$3003,"往来"))</f>
        <v>0</v>
      </c>
      <c r="I299" s="11">
        <f t="shared" si="0"/>
        <v>0</v>
      </c>
      <c r="J299" s="11">
        <f t="shared" si="1"/>
        <v>0</v>
      </c>
      <c r="K299" s="6">
        <f t="shared" si="2"/>
      </c>
    </row>
    <row r="300">
      <c r="A300" s="6">
        <f>IF('[1]基础资料'!$I$299="","",'[1]基础资料'!$I$299)</f>
      </c>
      <c r="B300" s="6">
        <f>IF(A300="","",'[1]基础资料'!$J$299&amp;IF('[1]基础资料'!$K$299="","","·"&amp;'[1]基础资料'!$K$299))</f>
      </c>
      <c r="C300" s="11">
        <f>IF(A300="",0,N('[1]基础资料'!$L$299))</f>
        <v>0</v>
      </c>
      <c r="D300" s="11">
        <f>IF(A300="",0,SUMIFS('[1]采购入库'!$V$4:$V$2003,'[1]采购入库'!$D$4:$D$2003,$A300))</f>
        <v>0</v>
      </c>
      <c r="E300" s="11">
        <f>IF(A300="",0,SUMIFS('[1]资金台帐'!$H$4:$H$3003,'[1]资金台帐'!$D$4:$D$3003,$A300,'[1]资金台帐'!$M$4:$M$3003,"往来"))</f>
        <v>0</v>
      </c>
      <c r="F300" s="11">
        <f>IF(A300="",0,N('[1]基础资料'!$M$299))</f>
        <v>0</v>
      </c>
      <c r="G300" s="11">
        <f>IF(OR(A300="",ISNUMBER(FIND("线上",B300))),0,SUMIFS('[1]销售出库'!$S$4:$S$2003,'[1]销售出库'!$B$4:$B$2003,$A300))</f>
        <v>0</v>
      </c>
      <c r="H300" s="11">
        <f>IF(A300="",0,SUMIFS('[1]资金台帐'!$G$4:$G$3003,'[1]资金台帐'!$D$4:$D$3003,$A300,'[1]资金台帐'!$M$4:$M$3003,"往来"))</f>
        <v>0</v>
      </c>
      <c r="I300" s="11">
        <f t="shared" si="0"/>
        <v>0</v>
      </c>
      <c r="J300" s="11">
        <f t="shared" si="1"/>
        <v>0</v>
      </c>
      <c r="K300" s="6">
        <f t="shared" si="2"/>
      </c>
    </row>
    <row r="301">
      <c r="A301" s="6">
        <f>IF('[1]基础资料'!$I$300="","",'[1]基础资料'!$I$300)</f>
      </c>
      <c r="B301" s="6">
        <f>IF(A301="","",'[1]基础资料'!$J$300&amp;IF('[1]基础资料'!$K$300="","","·"&amp;'[1]基础资料'!$K$300))</f>
      </c>
      <c r="C301" s="11">
        <f>IF(A301="",0,N('[1]基础资料'!$L$300))</f>
        <v>0</v>
      </c>
      <c r="D301" s="11">
        <f>IF(A301="",0,SUMIFS('[1]采购入库'!$V$4:$V$2003,'[1]采购入库'!$D$4:$D$2003,$A301))</f>
        <v>0</v>
      </c>
      <c r="E301" s="11">
        <f>IF(A301="",0,SUMIFS('[1]资金台帐'!$H$4:$H$3003,'[1]资金台帐'!$D$4:$D$3003,$A301,'[1]资金台帐'!$M$4:$M$3003,"往来"))</f>
        <v>0</v>
      </c>
      <c r="F301" s="11">
        <f>IF(A301="",0,N('[1]基础资料'!$M$300))</f>
        <v>0</v>
      </c>
      <c r="G301" s="11">
        <f>IF(OR(A301="",ISNUMBER(FIND("线上",B301))),0,SUMIFS('[1]销售出库'!$S$4:$S$2003,'[1]销售出库'!$B$4:$B$2003,$A301))</f>
        <v>0</v>
      </c>
      <c r="H301" s="11">
        <f>IF(A301="",0,SUMIFS('[1]资金台帐'!$G$4:$G$3003,'[1]资金台帐'!$D$4:$D$3003,$A301,'[1]资金台帐'!$M$4:$M$3003,"往来"))</f>
        <v>0</v>
      </c>
      <c r="I301" s="11">
        <f t="shared" si="0"/>
        <v>0</v>
      </c>
      <c r="J301" s="11">
        <f t="shared" si="1"/>
        <v>0</v>
      </c>
      <c r="K301" s="6">
        <f t="shared" si="2"/>
      </c>
    </row>
    <row r="302">
      <c r="A302" s="6">
        <f>IF('[1]基础资料'!$I$301="","",'[1]基础资料'!$I$301)</f>
      </c>
      <c r="B302" s="6">
        <f>IF(A302="","",'[1]基础资料'!$J$301&amp;IF('[1]基础资料'!$K$301="","","·"&amp;'[1]基础资料'!$K$301))</f>
      </c>
      <c r="C302" s="11">
        <f>IF(A302="",0,N('[1]基础资料'!$L$301))</f>
        <v>0</v>
      </c>
      <c r="D302" s="11">
        <f>IF(A302="",0,SUMIFS('[1]采购入库'!$V$4:$V$2003,'[1]采购入库'!$D$4:$D$2003,$A302))</f>
        <v>0</v>
      </c>
      <c r="E302" s="11">
        <f>IF(A302="",0,SUMIFS('[1]资金台帐'!$H$4:$H$3003,'[1]资金台帐'!$D$4:$D$3003,$A302,'[1]资金台帐'!$M$4:$M$3003,"往来"))</f>
        <v>0</v>
      </c>
      <c r="F302" s="11">
        <f>IF(A302="",0,N('[1]基础资料'!$M$301))</f>
        <v>0</v>
      </c>
      <c r="G302" s="11">
        <f>IF(OR(A302="",ISNUMBER(FIND("线上",B302))),0,SUMIFS('[1]销售出库'!$S$4:$S$2003,'[1]销售出库'!$B$4:$B$2003,$A302))</f>
        <v>0</v>
      </c>
      <c r="H302" s="11">
        <f>IF(A302="",0,SUMIFS('[1]资金台帐'!$G$4:$G$3003,'[1]资金台帐'!$D$4:$D$3003,$A302,'[1]资金台帐'!$M$4:$M$3003,"往来"))</f>
        <v>0</v>
      </c>
      <c r="I302" s="11">
        <f t="shared" si="0"/>
        <v>0</v>
      </c>
      <c r="J302" s="11">
        <f t="shared" si="1"/>
        <v>0</v>
      </c>
      <c r="K302" s="6">
        <f t="shared" si="2"/>
      </c>
    </row>
    <row r="303">
      <c r="A303" s="6">
        <f>IF('[1]基础资料'!$I$302="","",'[1]基础资料'!$I$302)</f>
      </c>
      <c r="B303" s="6">
        <f>IF(A303="","",'[1]基础资料'!$J$302&amp;IF('[1]基础资料'!$K$302="","","·"&amp;'[1]基础资料'!$K$302))</f>
      </c>
      <c r="C303" s="11">
        <f>IF(A303="",0,N('[1]基础资料'!$L$302))</f>
        <v>0</v>
      </c>
      <c r="D303" s="11">
        <f>IF(A303="",0,SUMIFS('[1]采购入库'!$V$4:$V$2003,'[1]采购入库'!$D$4:$D$2003,$A303))</f>
        <v>0</v>
      </c>
      <c r="E303" s="11">
        <f>IF(A303="",0,SUMIFS('[1]资金台帐'!$H$4:$H$3003,'[1]资金台帐'!$D$4:$D$3003,$A303,'[1]资金台帐'!$M$4:$M$3003,"往来"))</f>
        <v>0</v>
      </c>
      <c r="F303" s="11">
        <f>IF(A303="",0,N('[1]基础资料'!$M$302))</f>
        <v>0</v>
      </c>
      <c r="G303" s="11">
        <f>IF(OR(A303="",ISNUMBER(FIND("线上",B303))),0,SUMIFS('[1]销售出库'!$S$4:$S$2003,'[1]销售出库'!$B$4:$B$2003,$A303))</f>
        <v>0</v>
      </c>
      <c r="H303" s="11">
        <f>IF(A303="",0,SUMIFS('[1]资金台帐'!$G$4:$G$3003,'[1]资金台帐'!$D$4:$D$3003,$A303,'[1]资金台帐'!$M$4:$M$3003,"往来"))</f>
        <v>0</v>
      </c>
      <c r="I303" s="11">
        <f t="shared" si="0"/>
        <v>0</v>
      </c>
      <c r="J303" s="11">
        <f t="shared" si="1"/>
        <v>0</v>
      </c>
      <c r="K303" s="6">
        <f t="shared" si="2"/>
      </c>
    </row>
    <row r="304">
      <c r="A304" s="6">
        <f>IF('[1]基础资料'!$I$303="","",'[1]基础资料'!$I$303)</f>
      </c>
      <c r="B304" s="6">
        <f>IF(A304="","",'[1]基础资料'!$J$303&amp;IF('[1]基础资料'!$K$303="","","·"&amp;'[1]基础资料'!$K$303))</f>
      </c>
      <c r="C304" s="11">
        <f>IF(A304="",0,N('[1]基础资料'!$L$303))</f>
        <v>0</v>
      </c>
      <c r="D304" s="11">
        <f>IF(A304="",0,SUMIFS('[1]采购入库'!$V$4:$V$2003,'[1]采购入库'!$D$4:$D$2003,$A304))</f>
        <v>0</v>
      </c>
      <c r="E304" s="11">
        <f>IF(A304="",0,SUMIFS('[1]资金台帐'!$H$4:$H$3003,'[1]资金台帐'!$D$4:$D$3003,$A304,'[1]资金台帐'!$M$4:$M$3003,"往来"))</f>
        <v>0</v>
      </c>
      <c r="F304" s="11">
        <f>IF(A304="",0,N('[1]基础资料'!$M$303))</f>
        <v>0</v>
      </c>
      <c r="G304" s="11">
        <f>IF(OR(A304="",ISNUMBER(FIND("线上",B304))),0,SUMIFS('[1]销售出库'!$S$4:$S$2003,'[1]销售出库'!$B$4:$B$2003,$A304))</f>
        <v>0</v>
      </c>
      <c r="H304" s="11">
        <f>IF(A304="",0,SUMIFS('[1]资金台帐'!$G$4:$G$3003,'[1]资金台帐'!$D$4:$D$3003,$A304,'[1]资金台帐'!$M$4:$M$3003,"往来"))</f>
        <v>0</v>
      </c>
      <c r="I304" s="11">
        <f t="shared" si="0"/>
        <v>0</v>
      </c>
      <c r="J304" s="11">
        <f t="shared" si="1"/>
        <v>0</v>
      </c>
      <c r="K304" s="6">
        <f t="shared" si="2"/>
      </c>
    </row>
    <row r="305">
      <c r="A305" s="6">
        <f>IF('[1]基础资料'!$I$304="","",'[1]基础资料'!$I$304)</f>
      </c>
      <c r="B305" s="6">
        <f>IF(A305="","",'[1]基础资料'!$J$304&amp;IF('[1]基础资料'!$K$304="","","·"&amp;'[1]基础资料'!$K$304))</f>
      </c>
      <c r="C305" s="11">
        <f>IF(A305="",0,N('[1]基础资料'!$L$304))</f>
        <v>0</v>
      </c>
      <c r="D305" s="11">
        <f>IF(A305="",0,SUMIFS('[1]采购入库'!$V$4:$V$2003,'[1]采购入库'!$D$4:$D$2003,$A305))</f>
        <v>0</v>
      </c>
      <c r="E305" s="11">
        <f>IF(A305="",0,SUMIFS('[1]资金台帐'!$H$4:$H$3003,'[1]资金台帐'!$D$4:$D$3003,$A305,'[1]资金台帐'!$M$4:$M$3003,"往来"))</f>
        <v>0</v>
      </c>
      <c r="F305" s="11">
        <f>IF(A305="",0,N('[1]基础资料'!$M$304))</f>
        <v>0</v>
      </c>
      <c r="G305" s="11">
        <f>IF(OR(A305="",ISNUMBER(FIND("线上",B305))),0,SUMIFS('[1]销售出库'!$S$4:$S$2003,'[1]销售出库'!$B$4:$B$2003,$A305))</f>
        <v>0</v>
      </c>
      <c r="H305" s="11">
        <f>IF(A305="",0,SUMIFS('[1]资金台帐'!$G$4:$G$3003,'[1]资金台帐'!$D$4:$D$3003,$A305,'[1]资金台帐'!$M$4:$M$3003,"往来"))</f>
        <v>0</v>
      </c>
      <c r="I305" s="11">
        <f t="shared" si="0"/>
        <v>0</v>
      </c>
      <c r="J305" s="11">
        <f t="shared" si="1"/>
        <v>0</v>
      </c>
      <c r="K305" s="6">
        <f t="shared" si="2"/>
      </c>
    </row>
    <row r="306">
      <c r="A306" s="6">
        <f>IF('[1]基础资料'!$I$305="","",'[1]基础资料'!$I$305)</f>
      </c>
      <c r="B306" s="6">
        <f>IF(A306="","",'[1]基础资料'!$J$305&amp;IF('[1]基础资料'!$K$305="","","·"&amp;'[1]基础资料'!$K$305))</f>
      </c>
      <c r="C306" s="11">
        <f>IF(A306="",0,N('[1]基础资料'!$L$305))</f>
        <v>0</v>
      </c>
      <c r="D306" s="11">
        <f>IF(A306="",0,SUMIFS('[1]采购入库'!$V$4:$V$2003,'[1]采购入库'!$D$4:$D$2003,$A306))</f>
        <v>0</v>
      </c>
      <c r="E306" s="11">
        <f>IF(A306="",0,SUMIFS('[1]资金台帐'!$H$4:$H$3003,'[1]资金台帐'!$D$4:$D$3003,$A306,'[1]资金台帐'!$M$4:$M$3003,"往来"))</f>
        <v>0</v>
      </c>
      <c r="F306" s="11">
        <f>IF(A306="",0,N('[1]基础资料'!$M$305))</f>
        <v>0</v>
      </c>
      <c r="G306" s="11">
        <f>IF(OR(A306="",ISNUMBER(FIND("线上",B306))),0,SUMIFS('[1]销售出库'!$S$4:$S$2003,'[1]销售出库'!$B$4:$B$2003,$A306))</f>
        <v>0</v>
      </c>
      <c r="H306" s="11">
        <f>IF(A306="",0,SUMIFS('[1]资金台帐'!$G$4:$G$3003,'[1]资金台帐'!$D$4:$D$3003,$A306,'[1]资金台帐'!$M$4:$M$3003,"往来"))</f>
        <v>0</v>
      </c>
      <c r="I306" s="11">
        <f t="shared" si="0"/>
        <v>0</v>
      </c>
      <c r="J306" s="11">
        <f t="shared" si="1"/>
        <v>0</v>
      </c>
      <c r="K306" s="6">
        <f t="shared" si="2"/>
      </c>
    </row>
    <row r="307">
      <c r="A307" s="6">
        <f>IF('[1]基础资料'!$I$306="","",'[1]基础资料'!$I$306)</f>
      </c>
      <c r="B307" s="6">
        <f>IF(A307="","",'[1]基础资料'!$J$306&amp;IF('[1]基础资料'!$K$306="","","·"&amp;'[1]基础资料'!$K$306))</f>
      </c>
      <c r="C307" s="11">
        <f>IF(A307="",0,N('[1]基础资料'!$L$306))</f>
        <v>0</v>
      </c>
      <c r="D307" s="11">
        <f>IF(A307="",0,SUMIFS('[1]采购入库'!$V$4:$V$2003,'[1]采购入库'!$D$4:$D$2003,$A307))</f>
        <v>0</v>
      </c>
      <c r="E307" s="11">
        <f>IF(A307="",0,SUMIFS('[1]资金台帐'!$H$4:$H$3003,'[1]资金台帐'!$D$4:$D$3003,$A307,'[1]资金台帐'!$M$4:$M$3003,"往来"))</f>
        <v>0</v>
      </c>
      <c r="F307" s="11">
        <f>IF(A307="",0,N('[1]基础资料'!$M$306))</f>
        <v>0</v>
      </c>
      <c r="G307" s="11">
        <f>IF(OR(A307="",ISNUMBER(FIND("线上",B307))),0,SUMIFS('[1]销售出库'!$S$4:$S$2003,'[1]销售出库'!$B$4:$B$2003,$A307))</f>
        <v>0</v>
      </c>
      <c r="H307" s="11">
        <f>IF(A307="",0,SUMIFS('[1]资金台帐'!$G$4:$G$3003,'[1]资金台帐'!$D$4:$D$3003,$A307,'[1]资金台帐'!$M$4:$M$3003,"往来"))</f>
        <v>0</v>
      </c>
      <c r="I307" s="11">
        <f t="shared" si="0"/>
        <v>0</v>
      </c>
      <c r="J307" s="11">
        <f t="shared" si="1"/>
        <v>0</v>
      </c>
      <c r="K307" s="6">
        <f t="shared" si="2"/>
      </c>
    </row>
    <row r="308">
      <c r="A308" s="6">
        <f>IF('[1]基础资料'!$I$307="","",'[1]基础资料'!$I$307)</f>
      </c>
      <c r="B308" s="6">
        <f>IF(A308="","",'[1]基础资料'!$J$307&amp;IF('[1]基础资料'!$K$307="","","·"&amp;'[1]基础资料'!$K$307))</f>
      </c>
      <c r="C308" s="11">
        <f>IF(A308="",0,N('[1]基础资料'!$L$307))</f>
        <v>0</v>
      </c>
      <c r="D308" s="11">
        <f>IF(A308="",0,SUMIFS('[1]采购入库'!$V$4:$V$2003,'[1]采购入库'!$D$4:$D$2003,$A308))</f>
        <v>0</v>
      </c>
      <c r="E308" s="11">
        <f>IF(A308="",0,SUMIFS('[1]资金台帐'!$H$4:$H$3003,'[1]资金台帐'!$D$4:$D$3003,$A308,'[1]资金台帐'!$M$4:$M$3003,"往来"))</f>
        <v>0</v>
      </c>
      <c r="F308" s="11">
        <f>IF(A308="",0,N('[1]基础资料'!$M$307))</f>
        <v>0</v>
      </c>
      <c r="G308" s="11">
        <f>IF(OR(A308="",ISNUMBER(FIND("线上",B308))),0,SUMIFS('[1]销售出库'!$S$4:$S$2003,'[1]销售出库'!$B$4:$B$2003,$A308))</f>
        <v>0</v>
      </c>
      <c r="H308" s="11">
        <f>IF(A308="",0,SUMIFS('[1]资金台帐'!$G$4:$G$3003,'[1]资金台帐'!$D$4:$D$3003,$A308,'[1]资金台帐'!$M$4:$M$3003,"往来"))</f>
        <v>0</v>
      </c>
      <c r="I308" s="11">
        <f t="shared" si="0"/>
        <v>0</v>
      </c>
      <c r="J308" s="11">
        <f t="shared" si="1"/>
        <v>0</v>
      </c>
      <c r="K308" s="6">
        <f t="shared" si="2"/>
      </c>
    </row>
    <row r="309">
      <c r="A309" s="6">
        <f>IF('[1]基础资料'!$I$308="","",'[1]基础资料'!$I$308)</f>
      </c>
      <c r="B309" s="6">
        <f>IF(A309="","",'[1]基础资料'!$J$308&amp;IF('[1]基础资料'!$K$308="","","·"&amp;'[1]基础资料'!$K$308))</f>
      </c>
      <c r="C309" s="11">
        <f>IF(A309="",0,N('[1]基础资料'!$L$308))</f>
        <v>0</v>
      </c>
      <c r="D309" s="11">
        <f>IF(A309="",0,SUMIFS('[1]采购入库'!$V$4:$V$2003,'[1]采购入库'!$D$4:$D$2003,$A309))</f>
        <v>0</v>
      </c>
      <c r="E309" s="11">
        <f>IF(A309="",0,SUMIFS('[1]资金台帐'!$H$4:$H$3003,'[1]资金台帐'!$D$4:$D$3003,$A309,'[1]资金台帐'!$M$4:$M$3003,"往来"))</f>
        <v>0</v>
      </c>
      <c r="F309" s="11">
        <f>IF(A309="",0,N('[1]基础资料'!$M$308))</f>
        <v>0</v>
      </c>
      <c r="G309" s="11">
        <f>IF(OR(A309="",ISNUMBER(FIND("线上",B309))),0,SUMIFS('[1]销售出库'!$S$4:$S$2003,'[1]销售出库'!$B$4:$B$2003,$A309))</f>
        <v>0</v>
      </c>
      <c r="H309" s="11">
        <f>IF(A309="",0,SUMIFS('[1]资金台帐'!$G$4:$G$3003,'[1]资金台帐'!$D$4:$D$3003,$A309,'[1]资金台帐'!$M$4:$M$3003,"往来"))</f>
        <v>0</v>
      </c>
      <c r="I309" s="11">
        <f t="shared" si="0"/>
        <v>0</v>
      </c>
      <c r="J309" s="11">
        <f t="shared" si="1"/>
        <v>0</v>
      </c>
      <c r="K309" s="6">
        <f t="shared" si="2"/>
      </c>
    </row>
    <row r="310">
      <c r="A310" s="6">
        <f>IF('[1]基础资料'!$I$309="","",'[1]基础资料'!$I$309)</f>
      </c>
      <c r="B310" s="6">
        <f>IF(A310="","",'[1]基础资料'!$J$309&amp;IF('[1]基础资料'!$K$309="","","·"&amp;'[1]基础资料'!$K$309))</f>
      </c>
      <c r="C310" s="11">
        <f>IF(A310="",0,N('[1]基础资料'!$L$309))</f>
        <v>0</v>
      </c>
      <c r="D310" s="11">
        <f>IF(A310="",0,SUMIFS('[1]采购入库'!$V$4:$V$2003,'[1]采购入库'!$D$4:$D$2003,$A310))</f>
        <v>0</v>
      </c>
      <c r="E310" s="11">
        <f>IF(A310="",0,SUMIFS('[1]资金台帐'!$H$4:$H$3003,'[1]资金台帐'!$D$4:$D$3003,$A310,'[1]资金台帐'!$M$4:$M$3003,"往来"))</f>
        <v>0</v>
      </c>
      <c r="F310" s="11">
        <f>IF(A310="",0,N('[1]基础资料'!$M$309))</f>
        <v>0</v>
      </c>
      <c r="G310" s="11">
        <f>IF(OR(A310="",ISNUMBER(FIND("线上",B310))),0,SUMIFS('[1]销售出库'!$S$4:$S$2003,'[1]销售出库'!$B$4:$B$2003,$A310))</f>
        <v>0</v>
      </c>
      <c r="H310" s="11">
        <f>IF(A310="",0,SUMIFS('[1]资金台帐'!$G$4:$G$3003,'[1]资金台帐'!$D$4:$D$3003,$A310,'[1]资金台帐'!$M$4:$M$3003,"往来"))</f>
        <v>0</v>
      </c>
      <c r="I310" s="11">
        <f t="shared" si="0"/>
        <v>0</v>
      </c>
      <c r="J310" s="11">
        <f t="shared" si="1"/>
        <v>0</v>
      </c>
      <c r="K310" s="6">
        <f t="shared" si="2"/>
      </c>
    </row>
    <row r="311">
      <c r="A311" s="6">
        <f>IF('[1]基础资料'!$I$310="","",'[1]基础资料'!$I$310)</f>
      </c>
      <c r="B311" s="6">
        <f>IF(A311="","",'[1]基础资料'!$J$310&amp;IF('[1]基础资料'!$K$310="","","·"&amp;'[1]基础资料'!$K$310))</f>
      </c>
      <c r="C311" s="11">
        <f>IF(A311="",0,N('[1]基础资料'!$L$310))</f>
        <v>0</v>
      </c>
      <c r="D311" s="11">
        <f>IF(A311="",0,SUMIFS('[1]采购入库'!$V$4:$V$2003,'[1]采购入库'!$D$4:$D$2003,$A311))</f>
        <v>0</v>
      </c>
      <c r="E311" s="11">
        <f>IF(A311="",0,SUMIFS('[1]资金台帐'!$H$4:$H$3003,'[1]资金台帐'!$D$4:$D$3003,$A311,'[1]资金台帐'!$M$4:$M$3003,"往来"))</f>
        <v>0</v>
      </c>
      <c r="F311" s="11">
        <f>IF(A311="",0,N('[1]基础资料'!$M$310))</f>
        <v>0</v>
      </c>
      <c r="G311" s="11">
        <f>IF(OR(A311="",ISNUMBER(FIND("线上",B311))),0,SUMIFS('[1]销售出库'!$S$4:$S$2003,'[1]销售出库'!$B$4:$B$2003,$A311))</f>
        <v>0</v>
      </c>
      <c r="H311" s="11">
        <f>IF(A311="",0,SUMIFS('[1]资金台帐'!$G$4:$G$3003,'[1]资金台帐'!$D$4:$D$3003,$A311,'[1]资金台帐'!$M$4:$M$3003,"往来"))</f>
        <v>0</v>
      </c>
      <c r="I311" s="11">
        <f t="shared" si="0"/>
        <v>0</v>
      </c>
      <c r="J311" s="11">
        <f t="shared" si="1"/>
        <v>0</v>
      </c>
      <c r="K311" s="6">
        <f t="shared" si="2"/>
      </c>
    </row>
    <row r="312">
      <c r="A312" s="6">
        <f>IF('[1]基础资料'!$I$311="","",'[1]基础资料'!$I$311)</f>
      </c>
      <c r="B312" s="6">
        <f>IF(A312="","",'[1]基础资料'!$J$311&amp;IF('[1]基础资料'!$K$311="","","·"&amp;'[1]基础资料'!$K$311))</f>
      </c>
      <c r="C312" s="11">
        <f>IF(A312="",0,N('[1]基础资料'!$L$311))</f>
        <v>0</v>
      </c>
      <c r="D312" s="11">
        <f>IF(A312="",0,SUMIFS('[1]采购入库'!$V$4:$V$2003,'[1]采购入库'!$D$4:$D$2003,$A312))</f>
        <v>0</v>
      </c>
      <c r="E312" s="11">
        <f>IF(A312="",0,SUMIFS('[1]资金台帐'!$H$4:$H$3003,'[1]资金台帐'!$D$4:$D$3003,$A312,'[1]资金台帐'!$M$4:$M$3003,"往来"))</f>
        <v>0</v>
      </c>
      <c r="F312" s="11">
        <f>IF(A312="",0,N('[1]基础资料'!$M$311))</f>
        <v>0</v>
      </c>
      <c r="G312" s="11">
        <f>IF(OR(A312="",ISNUMBER(FIND("线上",B312))),0,SUMIFS('[1]销售出库'!$S$4:$S$2003,'[1]销售出库'!$B$4:$B$2003,$A312))</f>
        <v>0</v>
      </c>
      <c r="H312" s="11">
        <f>IF(A312="",0,SUMIFS('[1]资金台帐'!$G$4:$G$3003,'[1]资金台帐'!$D$4:$D$3003,$A312,'[1]资金台帐'!$M$4:$M$3003,"往来"))</f>
        <v>0</v>
      </c>
      <c r="I312" s="11">
        <f t="shared" si="0"/>
        <v>0</v>
      </c>
      <c r="J312" s="11">
        <f t="shared" si="1"/>
        <v>0</v>
      </c>
      <c r="K312" s="6">
        <f t="shared" si="2"/>
      </c>
    </row>
    <row r="313">
      <c r="A313" s="6">
        <f>IF('[1]基础资料'!$I$312="","",'[1]基础资料'!$I$312)</f>
      </c>
      <c r="B313" s="6">
        <f>IF(A313="","",'[1]基础资料'!$J$312&amp;IF('[1]基础资料'!$K$312="","","·"&amp;'[1]基础资料'!$K$312))</f>
      </c>
      <c r="C313" s="11">
        <f>IF(A313="",0,N('[1]基础资料'!$L$312))</f>
        <v>0</v>
      </c>
      <c r="D313" s="11">
        <f>IF(A313="",0,SUMIFS('[1]采购入库'!$V$4:$V$2003,'[1]采购入库'!$D$4:$D$2003,$A313))</f>
        <v>0</v>
      </c>
      <c r="E313" s="11">
        <f>IF(A313="",0,SUMIFS('[1]资金台帐'!$H$4:$H$3003,'[1]资金台帐'!$D$4:$D$3003,$A313,'[1]资金台帐'!$M$4:$M$3003,"往来"))</f>
        <v>0</v>
      </c>
      <c r="F313" s="11">
        <f>IF(A313="",0,N('[1]基础资料'!$M$312))</f>
        <v>0</v>
      </c>
      <c r="G313" s="11">
        <f>IF(OR(A313="",ISNUMBER(FIND("线上",B313))),0,SUMIFS('[1]销售出库'!$S$4:$S$2003,'[1]销售出库'!$B$4:$B$2003,$A313))</f>
        <v>0</v>
      </c>
      <c r="H313" s="11">
        <f>IF(A313="",0,SUMIFS('[1]资金台帐'!$G$4:$G$3003,'[1]资金台帐'!$D$4:$D$3003,$A313,'[1]资金台帐'!$M$4:$M$3003,"往来"))</f>
        <v>0</v>
      </c>
      <c r="I313" s="11">
        <f t="shared" si="0"/>
        <v>0</v>
      </c>
      <c r="J313" s="11">
        <f t="shared" si="1"/>
        <v>0</v>
      </c>
      <c r="K313" s="6">
        <f t="shared" si="2"/>
      </c>
    </row>
    <row r="314">
      <c r="A314" s="6">
        <f>IF('[1]基础资料'!$I$313="","",'[1]基础资料'!$I$313)</f>
      </c>
      <c r="B314" s="6">
        <f>IF(A314="","",'[1]基础资料'!$J$313&amp;IF('[1]基础资料'!$K$313="","","·"&amp;'[1]基础资料'!$K$313))</f>
      </c>
      <c r="C314" s="11">
        <f>IF(A314="",0,N('[1]基础资料'!$L$313))</f>
        <v>0</v>
      </c>
      <c r="D314" s="11">
        <f>IF(A314="",0,SUMIFS('[1]采购入库'!$V$4:$V$2003,'[1]采购入库'!$D$4:$D$2003,$A314))</f>
        <v>0</v>
      </c>
      <c r="E314" s="11">
        <f>IF(A314="",0,SUMIFS('[1]资金台帐'!$H$4:$H$3003,'[1]资金台帐'!$D$4:$D$3003,$A314,'[1]资金台帐'!$M$4:$M$3003,"往来"))</f>
        <v>0</v>
      </c>
      <c r="F314" s="11">
        <f>IF(A314="",0,N('[1]基础资料'!$M$313))</f>
        <v>0</v>
      </c>
      <c r="G314" s="11">
        <f>IF(OR(A314="",ISNUMBER(FIND("线上",B314))),0,SUMIFS('[1]销售出库'!$S$4:$S$2003,'[1]销售出库'!$B$4:$B$2003,$A314))</f>
        <v>0</v>
      </c>
      <c r="H314" s="11">
        <f>IF(A314="",0,SUMIFS('[1]资金台帐'!$G$4:$G$3003,'[1]资金台帐'!$D$4:$D$3003,$A314,'[1]资金台帐'!$M$4:$M$3003,"往来"))</f>
        <v>0</v>
      </c>
      <c r="I314" s="11">
        <f t="shared" si="0"/>
        <v>0</v>
      </c>
      <c r="J314" s="11">
        <f t="shared" si="1"/>
        <v>0</v>
      </c>
      <c r="K314" s="6">
        <f t="shared" si="2"/>
      </c>
    </row>
    <row r="315">
      <c r="A315" s="6">
        <f>IF('[1]基础资料'!$I$314="","",'[1]基础资料'!$I$314)</f>
      </c>
      <c r="B315" s="6">
        <f>IF(A315="","",'[1]基础资料'!$J$314&amp;IF('[1]基础资料'!$K$314="","","·"&amp;'[1]基础资料'!$K$314))</f>
      </c>
      <c r="C315" s="11">
        <f>IF(A315="",0,N('[1]基础资料'!$L$314))</f>
        <v>0</v>
      </c>
      <c r="D315" s="11">
        <f>IF(A315="",0,SUMIFS('[1]采购入库'!$V$4:$V$2003,'[1]采购入库'!$D$4:$D$2003,$A315))</f>
        <v>0</v>
      </c>
      <c r="E315" s="11">
        <f>IF(A315="",0,SUMIFS('[1]资金台帐'!$H$4:$H$3003,'[1]资金台帐'!$D$4:$D$3003,$A315,'[1]资金台帐'!$M$4:$M$3003,"往来"))</f>
        <v>0</v>
      </c>
      <c r="F315" s="11">
        <f>IF(A315="",0,N('[1]基础资料'!$M$314))</f>
        <v>0</v>
      </c>
      <c r="G315" s="11">
        <f>IF(OR(A315="",ISNUMBER(FIND("线上",B315))),0,SUMIFS('[1]销售出库'!$S$4:$S$2003,'[1]销售出库'!$B$4:$B$2003,$A315))</f>
        <v>0</v>
      </c>
      <c r="H315" s="11">
        <f>IF(A315="",0,SUMIFS('[1]资金台帐'!$G$4:$G$3003,'[1]资金台帐'!$D$4:$D$3003,$A315,'[1]资金台帐'!$M$4:$M$3003,"往来"))</f>
        <v>0</v>
      </c>
      <c r="I315" s="11">
        <f t="shared" si="0"/>
        <v>0</v>
      </c>
      <c r="J315" s="11">
        <f t="shared" si="1"/>
        <v>0</v>
      </c>
      <c r="K315" s="6">
        <f t="shared" si="2"/>
      </c>
    </row>
    <row r="316">
      <c r="A316" s="6">
        <f>IF('[1]基础资料'!$I$315="","",'[1]基础资料'!$I$315)</f>
      </c>
      <c r="B316" s="6">
        <f>IF(A316="","",'[1]基础资料'!$J$315&amp;IF('[1]基础资料'!$K$315="","","·"&amp;'[1]基础资料'!$K$315))</f>
      </c>
      <c r="C316" s="11">
        <f>IF(A316="",0,N('[1]基础资料'!$L$315))</f>
        <v>0</v>
      </c>
      <c r="D316" s="11">
        <f>IF(A316="",0,SUMIFS('[1]采购入库'!$V$4:$V$2003,'[1]采购入库'!$D$4:$D$2003,$A316))</f>
        <v>0</v>
      </c>
      <c r="E316" s="11">
        <f>IF(A316="",0,SUMIFS('[1]资金台帐'!$H$4:$H$3003,'[1]资金台帐'!$D$4:$D$3003,$A316,'[1]资金台帐'!$M$4:$M$3003,"往来"))</f>
        <v>0</v>
      </c>
      <c r="F316" s="11">
        <f>IF(A316="",0,N('[1]基础资料'!$M$315))</f>
        <v>0</v>
      </c>
      <c r="G316" s="11">
        <f>IF(OR(A316="",ISNUMBER(FIND("线上",B316))),0,SUMIFS('[1]销售出库'!$S$4:$S$2003,'[1]销售出库'!$B$4:$B$2003,$A316))</f>
        <v>0</v>
      </c>
      <c r="H316" s="11">
        <f>IF(A316="",0,SUMIFS('[1]资金台帐'!$G$4:$G$3003,'[1]资金台帐'!$D$4:$D$3003,$A316,'[1]资金台帐'!$M$4:$M$3003,"往来"))</f>
        <v>0</v>
      </c>
      <c r="I316" s="11">
        <f t="shared" si="0"/>
        <v>0</v>
      </c>
      <c r="J316" s="11">
        <f t="shared" si="1"/>
        <v>0</v>
      </c>
      <c r="K316" s="6">
        <f t="shared" si="2"/>
      </c>
    </row>
    <row r="317">
      <c r="A317" s="6">
        <f>IF('[1]基础资料'!$I$316="","",'[1]基础资料'!$I$316)</f>
      </c>
      <c r="B317" s="6">
        <f>IF(A317="","",'[1]基础资料'!$J$316&amp;IF('[1]基础资料'!$K$316="","","·"&amp;'[1]基础资料'!$K$316))</f>
      </c>
      <c r="C317" s="11">
        <f>IF(A317="",0,N('[1]基础资料'!$L$316))</f>
        <v>0</v>
      </c>
      <c r="D317" s="11">
        <f>IF(A317="",0,SUMIFS('[1]采购入库'!$V$4:$V$2003,'[1]采购入库'!$D$4:$D$2003,$A317))</f>
        <v>0</v>
      </c>
      <c r="E317" s="11">
        <f>IF(A317="",0,SUMIFS('[1]资金台帐'!$H$4:$H$3003,'[1]资金台帐'!$D$4:$D$3003,$A317,'[1]资金台帐'!$M$4:$M$3003,"往来"))</f>
        <v>0</v>
      </c>
      <c r="F317" s="11">
        <f>IF(A317="",0,N('[1]基础资料'!$M$316))</f>
        <v>0</v>
      </c>
      <c r="G317" s="11">
        <f>IF(OR(A317="",ISNUMBER(FIND("线上",B317))),0,SUMIFS('[1]销售出库'!$S$4:$S$2003,'[1]销售出库'!$B$4:$B$2003,$A317))</f>
        <v>0</v>
      </c>
      <c r="H317" s="11">
        <f>IF(A317="",0,SUMIFS('[1]资金台帐'!$G$4:$G$3003,'[1]资金台帐'!$D$4:$D$3003,$A317,'[1]资金台帐'!$M$4:$M$3003,"往来"))</f>
        <v>0</v>
      </c>
      <c r="I317" s="11">
        <f t="shared" si="0"/>
        <v>0</v>
      </c>
      <c r="J317" s="11">
        <f t="shared" si="1"/>
        <v>0</v>
      </c>
      <c r="K317" s="6">
        <f t="shared" si="2"/>
      </c>
    </row>
    <row r="318">
      <c r="A318" s="6">
        <f>IF('[1]基础资料'!$I$317="","",'[1]基础资料'!$I$317)</f>
      </c>
      <c r="B318" s="6">
        <f>IF(A318="","",'[1]基础资料'!$J$317&amp;IF('[1]基础资料'!$K$317="","","·"&amp;'[1]基础资料'!$K$317))</f>
      </c>
      <c r="C318" s="11">
        <f>IF(A318="",0,N('[1]基础资料'!$L$317))</f>
        <v>0</v>
      </c>
      <c r="D318" s="11">
        <f>IF(A318="",0,SUMIFS('[1]采购入库'!$V$4:$V$2003,'[1]采购入库'!$D$4:$D$2003,$A318))</f>
        <v>0</v>
      </c>
      <c r="E318" s="11">
        <f>IF(A318="",0,SUMIFS('[1]资金台帐'!$H$4:$H$3003,'[1]资金台帐'!$D$4:$D$3003,$A318,'[1]资金台帐'!$M$4:$M$3003,"往来"))</f>
        <v>0</v>
      </c>
      <c r="F318" s="11">
        <f>IF(A318="",0,N('[1]基础资料'!$M$317))</f>
        <v>0</v>
      </c>
      <c r="G318" s="11">
        <f>IF(OR(A318="",ISNUMBER(FIND("线上",B318))),0,SUMIFS('[1]销售出库'!$S$4:$S$2003,'[1]销售出库'!$B$4:$B$2003,$A318))</f>
        <v>0</v>
      </c>
      <c r="H318" s="11">
        <f>IF(A318="",0,SUMIFS('[1]资金台帐'!$G$4:$G$3003,'[1]资金台帐'!$D$4:$D$3003,$A318,'[1]资金台帐'!$M$4:$M$3003,"往来"))</f>
        <v>0</v>
      </c>
      <c r="I318" s="11">
        <f t="shared" si="0"/>
        <v>0</v>
      </c>
      <c r="J318" s="11">
        <f t="shared" si="1"/>
        <v>0</v>
      </c>
      <c r="K318" s="6">
        <f t="shared" si="2"/>
      </c>
    </row>
    <row r="319">
      <c r="A319" s="6">
        <f>IF('[1]基础资料'!$I$318="","",'[1]基础资料'!$I$318)</f>
      </c>
      <c r="B319" s="6">
        <f>IF(A319="","",'[1]基础资料'!$J$318&amp;IF('[1]基础资料'!$K$318="","","·"&amp;'[1]基础资料'!$K$318))</f>
      </c>
      <c r="C319" s="11">
        <f>IF(A319="",0,N('[1]基础资料'!$L$318))</f>
        <v>0</v>
      </c>
      <c r="D319" s="11">
        <f>IF(A319="",0,SUMIFS('[1]采购入库'!$V$4:$V$2003,'[1]采购入库'!$D$4:$D$2003,$A319))</f>
        <v>0</v>
      </c>
      <c r="E319" s="11">
        <f>IF(A319="",0,SUMIFS('[1]资金台帐'!$H$4:$H$3003,'[1]资金台帐'!$D$4:$D$3003,$A319,'[1]资金台帐'!$M$4:$M$3003,"往来"))</f>
        <v>0</v>
      </c>
      <c r="F319" s="11">
        <f>IF(A319="",0,N('[1]基础资料'!$M$318))</f>
        <v>0</v>
      </c>
      <c r="G319" s="11">
        <f>IF(OR(A319="",ISNUMBER(FIND("线上",B319))),0,SUMIFS('[1]销售出库'!$S$4:$S$2003,'[1]销售出库'!$B$4:$B$2003,$A319))</f>
        <v>0</v>
      </c>
      <c r="H319" s="11">
        <f>IF(A319="",0,SUMIFS('[1]资金台帐'!$G$4:$G$3003,'[1]资金台帐'!$D$4:$D$3003,$A319,'[1]资金台帐'!$M$4:$M$3003,"往来"))</f>
        <v>0</v>
      </c>
      <c r="I319" s="11">
        <f t="shared" si="0"/>
        <v>0</v>
      </c>
      <c r="J319" s="11">
        <f t="shared" si="1"/>
        <v>0</v>
      </c>
      <c r="K319" s="6">
        <f t="shared" si="2"/>
      </c>
    </row>
    <row r="320">
      <c r="A320" s="6">
        <f>IF('[1]基础资料'!$I$319="","",'[1]基础资料'!$I$319)</f>
      </c>
      <c r="B320" s="6">
        <f>IF(A320="","",'[1]基础资料'!$J$319&amp;IF('[1]基础资料'!$K$319="","","·"&amp;'[1]基础资料'!$K$319))</f>
      </c>
      <c r="C320" s="11">
        <f>IF(A320="",0,N('[1]基础资料'!$L$319))</f>
        <v>0</v>
      </c>
      <c r="D320" s="11">
        <f>IF(A320="",0,SUMIFS('[1]采购入库'!$V$4:$V$2003,'[1]采购入库'!$D$4:$D$2003,$A320))</f>
        <v>0</v>
      </c>
      <c r="E320" s="11">
        <f>IF(A320="",0,SUMIFS('[1]资金台帐'!$H$4:$H$3003,'[1]资金台帐'!$D$4:$D$3003,$A320,'[1]资金台帐'!$M$4:$M$3003,"往来"))</f>
        <v>0</v>
      </c>
      <c r="F320" s="11">
        <f>IF(A320="",0,N('[1]基础资料'!$M$319))</f>
        <v>0</v>
      </c>
      <c r="G320" s="11">
        <f>IF(OR(A320="",ISNUMBER(FIND("线上",B320))),0,SUMIFS('[1]销售出库'!$S$4:$S$2003,'[1]销售出库'!$B$4:$B$2003,$A320))</f>
        <v>0</v>
      </c>
      <c r="H320" s="11">
        <f>IF(A320="",0,SUMIFS('[1]资金台帐'!$G$4:$G$3003,'[1]资金台帐'!$D$4:$D$3003,$A320,'[1]资金台帐'!$M$4:$M$3003,"往来"))</f>
        <v>0</v>
      </c>
      <c r="I320" s="11">
        <f t="shared" si="0"/>
        <v>0</v>
      </c>
      <c r="J320" s="11">
        <f t="shared" si="1"/>
        <v>0</v>
      </c>
      <c r="K320" s="6">
        <f t="shared" si="2"/>
      </c>
    </row>
    <row r="321">
      <c r="A321" s="6">
        <f>IF('[1]基础资料'!$I$320="","",'[1]基础资料'!$I$320)</f>
      </c>
      <c r="B321" s="6">
        <f>IF(A321="","",'[1]基础资料'!$J$320&amp;IF('[1]基础资料'!$K$320="","","·"&amp;'[1]基础资料'!$K$320))</f>
      </c>
      <c r="C321" s="11">
        <f>IF(A321="",0,N('[1]基础资料'!$L$320))</f>
        <v>0</v>
      </c>
      <c r="D321" s="11">
        <f>IF(A321="",0,SUMIFS('[1]采购入库'!$V$4:$V$2003,'[1]采购入库'!$D$4:$D$2003,$A321))</f>
        <v>0</v>
      </c>
      <c r="E321" s="11">
        <f>IF(A321="",0,SUMIFS('[1]资金台帐'!$H$4:$H$3003,'[1]资金台帐'!$D$4:$D$3003,$A321,'[1]资金台帐'!$M$4:$M$3003,"往来"))</f>
        <v>0</v>
      </c>
      <c r="F321" s="11">
        <f>IF(A321="",0,N('[1]基础资料'!$M$320))</f>
        <v>0</v>
      </c>
      <c r="G321" s="11">
        <f>IF(OR(A321="",ISNUMBER(FIND("线上",B321))),0,SUMIFS('[1]销售出库'!$S$4:$S$2003,'[1]销售出库'!$B$4:$B$2003,$A321))</f>
        <v>0</v>
      </c>
      <c r="H321" s="11">
        <f>IF(A321="",0,SUMIFS('[1]资金台帐'!$G$4:$G$3003,'[1]资金台帐'!$D$4:$D$3003,$A321,'[1]资金台帐'!$M$4:$M$3003,"往来"))</f>
        <v>0</v>
      </c>
      <c r="I321" s="11">
        <f t="shared" si="0"/>
        <v>0</v>
      </c>
      <c r="J321" s="11">
        <f t="shared" si="1"/>
        <v>0</v>
      </c>
      <c r="K321" s="6">
        <f t="shared" si="2"/>
      </c>
    </row>
    <row r="322">
      <c r="A322" s="6">
        <f>IF('[1]基础资料'!$I$321="","",'[1]基础资料'!$I$321)</f>
      </c>
      <c r="B322" s="6">
        <f>IF(A322="","",'[1]基础资料'!$J$321&amp;IF('[1]基础资料'!$K$321="","","·"&amp;'[1]基础资料'!$K$321))</f>
      </c>
      <c r="C322" s="11">
        <f>IF(A322="",0,N('[1]基础资料'!$L$321))</f>
        <v>0</v>
      </c>
      <c r="D322" s="11">
        <f>IF(A322="",0,SUMIFS('[1]采购入库'!$V$4:$V$2003,'[1]采购入库'!$D$4:$D$2003,$A322))</f>
        <v>0</v>
      </c>
      <c r="E322" s="11">
        <f>IF(A322="",0,SUMIFS('[1]资金台帐'!$H$4:$H$3003,'[1]资金台帐'!$D$4:$D$3003,$A322,'[1]资金台帐'!$M$4:$M$3003,"往来"))</f>
        <v>0</v>
      </c>
      <c r="F322" s="11">
        <f>IF(A322="",0,N('[1]基础资料'!$M$321))</f>
        <v>0</v>
      </c>
      <c r="G322" s="11">
        <f>IF(OR(A322="",ISNUMBER(FIND("线上",B322))),0,SUMIFS('[1]销售出库'!$S$4:$S$2003,'[1]销售出库'!$B$4:$B$2003,$A322))</f>
        <v>0</v>
      </c>
      <c r="H322" s="11">
        <f>IF(A322="",0,SUMIFS('[1]资金台帐'!$G$4:$G$3003,'[1]资金台帐'!$D$4:$D$3003,$A322,'[1]资金台帐'!$M$4:$M$3003,"往来"))</f>
        <v>0</v>
      </c>
      <c r="I322" s="11">
        <f t="shared" si="0"/>
        <v>0</v>
      </c>
      <c r="J322" s="11">
        <f t="shared" si="1"/>
        <v>0</v>
      </c>
      <c r="K322" s="6">
        <f t="shared" si="2"/>
      </c>
    </row>
    <row r="323">
      <c r="A323" s="6">
        <f>IF('[1]基础资料'!$I$322="","",'[1]基础资料'!$I$322)</f>
      </c>
      <c r="B323" s="6">
        <f>IF(A323="","",'[1]基础资料'!$J$322&amp;IF('[1]基础资料'!$K$322="","","·"&amp;'[1]基础资料'!$K$322))</f>
      </c>
      <c r="C323" s="11">
        <f>IF(A323="",0,N('[1]基础资料'!$L$322))</f>
        <v>0</v>
      </c>
      <c r="D323" s="11">
        <f>IF(A323="",0,SUMIFS('[1]采购入库'!$V$4:$V$2003,'[1]采购入库'!$D$4:$D$2003,$A323))</f>
        <v>0</v>
      </c>
      <c r="E323" s="11">
        <f>IF(A323="",0,SUMIFS('[1]资金台帐'!$H$4:$H$3003,'[1]资金台帐'!$D$4:$D$3003,$A323,'[1]资金台帐'!$M$4:$M$3003,"往来"))</f>
        <v>0</v>
      </c>
      <c r="F323" s="11">
        <f>IF(A323="",0,N('[1]基础资料'!$M$322))</f>
        <v>0</v>
      </c>
      <c r="G323" s="11">
        <f>IF(OR(A323="",ISNUMBER(FIND("线上",B323))),0,SUMIFS('[1]销售出库'!$S$4:$S$2003,'[1]销售出库'!$B$4:$B$2003,$A323))</f>
        <v>0</v>
      </c>
      <c r="H323" s="11">
        <f>IF(A323="",0,SUMIFS('[1]资金台帐'!$G$4:$G$3003,'[1]资金台帐'!$D$4:$D$3003,$A323,'[1]资金台帐'!$M$4:$M$3003,"往来"))</f>
        <v>0</v>
      </c>
      <c r="I323" s="11">
        <f t="shared" si="0"/>
        <v>0</v>
      </c>
      <c r="J323" s="11">
        <f t="shared" si="1"/>
        <v>0</v>
      </c>
      <c r="K323" s="6">
        <f t="shared" si="2"/>
      </c>
    </row>
    <row r="324">
      <c r="A324" s="6">
        <f>IF('[1]基础资料'!$I$323="","",'[1]基础资料'!$I$323)</f>
      </c>
      <c r="B324" s="6">
        <f>IF(A324="","",'[1]基础资料'!$J$323&amp;IF('[1]基础资料'!$K$323="","","·"&amp;'[1]基础资料'!$K$323))</f>
      </c>
      <c r="C324" s="11">
        <f>IF(A324="",0,N('[1]基础资料'!$L$323))</f>
        <v>0</v>
      </c>
      <c r="D324" s="11">
        <f>IF(A324="",0,SUMIFS('[1]采购入库'!$V$4:$V$2003,'[1]采购入库'!$D$4:$D$2003,$A324))</f>
        <v>0</v>
      </c>
      <c r="E324" s="11">
        <f>IF(A324="",0,SUMIFS('[1]资金台帐'!$H$4:$H$3003,'[1]资金台帐'!$D$4:$D$3003,$A324,'[1]资金台帐'!$M$4:$M$3003,"往来"))</f>
        <v>0</v>
      </c>
      <c r="F324" s="11">
        <f>IF(A324="",0,N('[1]基础资料'!$M$323))</f>
        <v>0</v>
      </c>
      <c r="G324" s="11">
        <f>IF(OR(A324="",ISNUMBER(FIND("线上",B324))),0,SUMIFS('[1]销售出库'!$S$4:$S$2003,'[1]销售出库'!$B$4:$B$2003,$A324))</f>
        <v>0</v>
      </c>
      <c r="H324" s="11">
        <f>IF(A324="",0,SUMIFS('[1]资金台帐'!$G$4:$G$3003,'[1]资金台帐'!$D$4:$D$3003,$A324,'[1]资金台帐'!$M$4:$M$3003,"往来"))</f>
        <v>0</v>
      </c>
      <c r="I324" s="11">
        <f t="shared" si="0"/>
        <v>0</v>
      </c>
      <c r="J324" s="11">
        <f t="shared" si="1"/>
        <v>0</v>
      </c>
      <c r="K324" s="6">
        <f t="shared" si="2"/>
      </c>
    </row>
    <row r="325">
      <c r="A325" s="6">
        <f>IF('[1]基础资料'!$I$324="","",'[1]基础资料'!$I$324)</f>
      </c>
      <c r="B325" s="6">
        <f>IF(A325="","",'[1]基础资料'!$J$324&amp;IF('[1]基础资料'!$K$324="","","·"&amp;'[1]基础资料'!$K$324))</f>
      </c>
      <c r="C325" s="11">
        <f>IF(A325="",0,N('[1]基础资料'!$L$324))</f>
        <v>0</v>
      </c>
      <c r="D325" s="11">
        <f>IF(A325="",0,SUMIFS('[1]采购入库'!$V$4:$V$2003,'[1]采购入库'!$D$4:$D$2003,$A325))</f>
        <v>0</v>
      </c>
      <c r="E325" s="11">
        <f>IF(A325="",0,SUMIFS('[1]资金台帐'!$H$4:$H$3003,'[1]资金台帐'!$D$4:$D$3003,$A325,'[1]资金台帐'!$M$4:$M$3003,"往来"))</f>
        <v>0</v>
      </c>
      <c r="F325" s="11">
        <f>IF(A325="",0,N('[1]基础资料'!$M$324))</f>
        <v>0</v>
      </c>
      <c r="G325" s="11">
        <f>IF(OR(A325="",ISNUMBER(FIND("线上",B325))),0,SUMIFS('[1]销售出库'!$S$4:$S$2003,'[1]销售出库'!$B$4:$B$2003,$A325))</f>
        <v>0</v>
      </c>
      <c r="H325" s="11">
        <f>IF(A325="",0,SUMIFS('[1]资金台帐'!$G$4:$G$3003,'[1]资金台帐'!$D$4:$D$3003,$A325,'[1]资金台帐'!$M$4:$M$3003,"往来"))</f>
        <v>0</v>
      </c>
      <c r="I325" s="11">
        <f t="shared" si="0"/>
        <v>0</v>
      </c>
      <c r="J325" s="11">
        <f t="shared" si="1"/>
        <v>0</v>
      </c>
      <c r="K325" s="6">
        <f t="shared" si="2"/>
      </c>
    </row>
    <row r="326">
      <c r="A326" s="6">
        <f>IF('[1]基础资料'!$I$325="","",'[1]基础资料'!$I$325)</f>
      </c>
      <c r="B326" s="6">
        <f>IF(A326="","",'[1]基础资料'!$J$325&amp;IF('[1]基础资料'!$K$325="","","·"&amp;'[1]基础资料'!$K$325))</f>
      </c>
      <c r="C326" s="11">
        <f>IF(A326="",0,N('[1]基础资料'!$L$325))</f>
        <v>0</v>
      </c>
      <c r="D326" s="11">
        <f>IF(A326="",0,SUMIFS('[1]采购入库'!$V$4:$V$2003,'[1]采购入库'!$D$4:$D$2003,$A326))</f>
        <v>0</v>
      </c>
      <c r="E326" s="11">
        <f>IF(A326="",0,SUMIFS('[1]资金台帐'!$H$4:$H$3003,'[1]资金台帐'!$D$4:$D$3003,$A326,'[1]资金台帐'!$M$4:$M$3003,"往来"))</f>
        <v>0</v>
      </c>
      <c r="F326" s="11">
        <f>IF(A326="",0,N('[1]基础资料'!$M$325))</f>
        <v>0</v>
      </c>
      <c r="G326" s="11">
        <f>IF(OR(A326="",ISNUMBER(FIND("线上",B326))),0,SUMIFS('[1]销售出库'!$S$4:$S$2003,'[1]销售出库'!$B$4:$B$2003,$A326))</f>
        <v>0</v>
      </c>
      <c r="H326" s="11">
        <f>IF(A326="",0,SUMIFS('[1]资金台帐'!$G$4:$G$3003,'[1]资金台帐'!$D$4:$D$3003,$A326,'[1]资金台帐'!$M$4:$M$3003,"往来"))</f>
        <v>0</v>
      </c>
      <c r="I326" s="11">
        <f t="shared" si="0"/>
        <v>0</v>
      </c>
      <c r="J326" s="11">
        <f t="shared" si="1"/>
        <v>0</v>
      </c>
      <c r="K326" s="6">
        <f t="shared" si="2"/>
      </c>
    </row>
    <row r="327">
      <c r="A327" s="6">
        <f>IF('[1]基础资料'!$I$326="","",'[1]基础资料'!$I$326)</f>
      </c>
      <c r="B327" s="6">
        <f>IF(A327="","",'[1]基础资料'!$J$326&amp;IF('[1]基础资料'!$K$326="","","·"&amp;'[1]基础资料'!$K$326))</f>
      </c>
      <c r="C327" s="11">
        <f>IF(A327="",0,N('[1]基础资料'!$L$326))</f>
        <v>0</v>
      </c>
      <c r="D327" s="11">
        <f>IF(A327="",0,SUMIFS('[1]采购入库'!$V$4:$V$2003,'[1]采购入库'!$D$4:$D$2003,$A327))</f>
        <v>0</v>
      </c>
      <c r="E327" s="11">
        <f>IF(A327="",0,SUMIFS('[1]资金台帐'!$H$4:$H$3003,'[1]资金台帐'!$D$4:$D$3003,$A327,'[1]资金台帐'!$M$4:$M$3003,"往来"))</f>
        <v>0</v>
      </c>
      <c r="F327" s="11">
        <f>IF(A327="",0,N('[1]基础资料'!$M$326))</f>
        <v>0</v>
      </c>
      <c r="G327" s="11">
        <f>IF(OR(A327="",ISNUMBER(FIND("线上",B327))),0,SUMIFS('[1]销售出库'!$S$4:$S$2003,'[1]销售出库'!$B$4:$B$2003,$A327))</f>
        <v>0</v>
      </c>
      <c r="H327" s="11">
        <f>IF(A327="",0,SUMIFS('[1]资金台帐'!$G$4:$G$3003,'[1]资金台帐'!$D$4:$D$3003,$A327,'[1]资金台帐'!$M$4:$M$3003,"往来"))</f>
        <v>0</v>
      </c>
      <c r="I327" s="11">
        <f t="shared" si="0"/>
        <v>0</v>
      </c>
      <c r="J327" s="11">
        <f t="shared" si="1"/>
        <v>0</v>
      </c>
      <c r="K327" s="6">
        <f t="shared" si="2"/>
      </c>
    </row>
    <row r="328">
      <c r="A328" s="6">
        <f>IF('[1]基础资料'!$I$327="","",'[1]基础资料'!$I$327)</f>
      </c>
      <c r="B328" s="6">
        <f>IF(A328="","",'[1]基础资料'!$J$327&amp;IF('[1]基础资料'!$K$327="","","·"&amp;'[1]基础资料'!$K$327))</f>
      </c>
      <c r="C328" s="11">
        <f>IF(A328="",0,N('[1]基础资料'!$L$327))</f>
        <v>0</v>
      </c>
      <c r="D328" s="11">
        <f>IF(A328="",0,SUMIFS('[1]采购入库'!$V$4:$V$2003,'[1]采购入库'!$D$4:$D$2003,$A328))</f>
        <v>0</v>
      </c>
      <c r="E328" s="11">
        <f>IF(A328="",0,SUMIFS('[1]资金台帐'!$H$4:$H$3003,'[1]资金台帐'!$D$4:$D$3003,$A328,'[1]资金台帐'!$M$4:$M$3003,"往来"))</f>
        <v>0</v>
      </c>
      <c r="F328" s="11">
        <f>IF(A328="",0,N('[1]基础资料'!$M$327))</f>
        <v>0</v>
      </c>
      <c r="G328" s="11">
        <f>IF(OR(A328="",ISNUMBER(FIND("线上",B328))),0,SUMIFS('[1]销售出库'!$S$4:$S$2003,'[1]销售出库'!$B$4:$B$2003,$A328))</f>
        <v>0</v>
      </c>
      <c r="H328" s="11">
        <f>IF(A328="",0,SUMIFS('[1]资金台帐'!$G$4:$G$3003,'[1]资金台帐'!$D$4:$D$3003,$A328,'[1]资金台帐'!$M$4:$M$3003,"往来"))</f>
        <v>0</v>
      </c>
      <c r="I328" s="11">
        <f t="shared" si="0"/>
        <v>0</v>
      </c>
      <c r="J328" s="11">
        <f t="shared" si="1"/>
        <v>0</v>
      </c>
      <c r="K328" s="6">
        <f t="shared" si="2"/>
      </c>
    </row>
    <row r="329">
      <c r="A329" s="6">
        <f>IF('[1]基础资料'!$I$328="","",'[1]基础资料'!$I$328)</f>
      </c>
      <c r="B329" s="6">
        <f>IF(A329="","",'[1]基础资料'!$J$328&amp;IF('[1]基础资料'!$K$328="","","·"&amp;'[1]基础资料'!$K$328))</f>
      </c>
      <c r="C329" s="11">
        <f>IF(A329="",0,N('[1]基础资料'!$L$328))</f>
        <v>0</v>
      </c>
      <c r="D329" s="11">
        <f>IF(A329="",0,SUMIFS('[1]采购入库'!$V$4:$V$2003,'[1]采购入库'!$D$4:$D$2003,$A329))</f>
        <v>0</v>
      </c>
      <c r="E329" s="11">
        <f>IF(A329="",0,SUMIFS('[1]资金台帐'!$H$4:$H$3003,'[1]资金台帐'!$D$4:$D$3003,$A329,'[1]资金台帐'!$M$4:$M$3003,"往来"))</f>
        <v>0</v>
      </c>
      <c r="F329" s="11">
        <f>IF(A329="",0,N('[1]基础资料'!$M$328))</f>
        <v>0</v>
      </c>
      <c r="G329" s="11">
        <f>IF(OR(A329="",ISNUMBER(FIND("线上",B329))),0,SUMIFS('[1]销售出库'!$S$4:$S$2003,'[1]销售出库'!$B$4:$B$2003,$A329))</f>
        <v>0</v>
      </c>
      <c r="H329" s="11">
        <f>IF(A329="",0,SUMIFS('[1]资金台帐'!$G$4:$G$3003,'[1]资金台帐'!$D$4:$D$3003,$A329,'[1]资金台帐'!$M$4:$M$3003,"往来"))</f>
        <v>0</v>
      </c>
      <c r="I329" s="11">
        <f t="shared" si="0"/>
        <v>0</v>
      </c>
      <c r="J329" s="11">
        <f t="shared" si="1"/>
        <v>0</v>
      </c>
      <c r="K329" s="6">
        <f t="shared" si="2"/>
      </c>
    </row>
    <row r="330">
      <c r="A330" s="6">
        <f>IF('[1]基础资料'!$I$329="","",'[1]基础资料'!$I$329)</f>
      </c>
      <c r="B330" s="6">
        <f>IF(A330="","",'[1]基础资料'!$J$329&amp;IF('[1]基础资料'!$K$329="","","·"&amp;'[1]基础资料'!$K$329))</f>
      </c>
      <c r="C330" s="11">
        <f>IF(A330="",0,N('[1]基础资料'!$L$329))</f>
        <v>0</v>
      </c>
      <c r="D330" s="11">
        <f>IF(A330="",0,SUMIFS('[1]采购入库'!$V$4:$V$2003,'[1]采购入库'!$D$4:$D$2003,$A330))</f>
        <v>0</v>
      </c>
      <c r="E330" s="11">
        <f>IF(A330="",0,SUMIFS('[1]资金台帐'!$H$4:$H$3003,'[1]资金台帐'!$D$4:$D$3003,$A330,'[1]资金台帐'!$M$4:$M$3003,"往来"))</f>
        <v>0</v>
      </c>
      <c r="F330" s="11">
        <f>IF(A330="",0,N('[1]基础资料'!$M$329))</f>
        <v>0</v>
      </c>
      <c r="G330" s="11">
        <f>IF(OR(A330="",ISNUMBER(FIND("线上",B330))),0,SUMIFS('[1]销售出库'!$S$4:$S$2003,'[1]销售出库'!$B$4:$B$2003,$A330))</f>
        <v>0</v>
      </c>
      <c r="H330" s="11">
        <f>IF(A330="",0,SUMIFS('[1]资金台帐'!$G$4:$G$3003,'[1]资金台帐'!$D$4:$D$3003,$A330,'[1]资金台帐'!$M$4:$M$3003,"往来"))</f>
        <v>0</v>
      </c>
      <c r="I330" s="11">
        <f t="shared" si="0"/>
        <v>0</v>
      </c>
      <c r="J330" s="11">
        <f t="shared" si="1"/>
        <v>0</v>
      </c>
      <c r="K330" s="6">
        <f t="shared" si="2"/>
      </c>
    </row>
    <row r="331">
      <c r="A331" s="6">
        <f>IF('[1]基础资料'!$I$330="","",'[1]基础资料'!$I$330)</f>
      </c>
      <c r="B331" s="6">
        <f>IF(A331="","",'[1]基础资料'!$J$330&amp;IF('[1]基础资料'!$K$330="","","·"&amp;'[1]基础资料'!$K$330))</f>
      </c>
      <c r="C331" s="11">
        <f>IF(A331="",0,N('[1]基础资料'!$L$330))</f>
        <v>0</v>
      </c>
      <c r="D331" s="11">
        <f>IF(A331="",0,SUMIFS('[1]采购入库'!$V$4:$V$2003,'[1]采购入库'!$D$4:$D$2003,$A331))</f>
        <v>0</v>
      </c>
      <c r="E331" s="11">
        <f>IF(A331="",0,SUMIFS('[1]资金台帐'!$H$4:$H$3003,'[1]资金台帐'!$D$4:$D$3003,$A331,'[1]资金台帐'!$M$4:$M$3003,"往来"))</f>
        <v>0</v>
      </c>
      <c r="F331" s="11">
        <f>IF(A331="",0,N('[1]基础资料'!$M$330))</f>
        <v>0</v>
      </c>
      <c r="G331" s="11">
        <f>IF(OR(A331="",ISNUMBER(FIND("线上",B331))),0,SUMIFS('[1]销售出库'!$S$4:$S$2003,'[1]销售出库'!$B$4:$B$2003,$A331))</f>
        <v>0</v>
      </c>
      <c r="H331" s="11">
        <f>IF(A331="",0,SUMIFS('[1]资金台帐'!$G$4:$G$3003,'[1]资金台帐'!$D$4:$D$3003,$A331,'[1]资金台帐'!$M$4:$M$3003,"往来"))</f>
        <v>0</v>
      </c>
      <c r="I331" s="11">
        <f t="shared" si="0"/>
        <v>0</v>
      </c>
      <c r="J331" s="11">
        <f t="shared" si="1"/>
        <v>0</v>
      </c>
      <c r="K331" s="6">
        <f t="shared" si="2"/>
      </c>
    </row>
    <row r="332">
      <c r="A332" s="6">
        <f>IF('[1]基础资料'!$I$331="","",'[1]基础资料'!$I$331)</f>
      </c>
      <c r="B332" s="6">
        <f>IF(A332="","",'[1]基础资料'!$J$331&amp;IF('[1]基础资料'!$K$331="","","·"&amp;'[1]基础资料'!$K$331))</f>
      </c>
      <c r="C332" s="11">
        <f>IF(A332="",0,N('[1]基础资料'!$L$331))</f>
        <v>0</v>
      </c>
      <c r="D332" s="11">
        <f>IF(A332="",0,SUMIFS('[1]采购入库'!$V$4:$V$2003,'[1]采购入库'!$D$4:$D$2003,$A332))</f>
        <v>0</v>
      </c>
      <c r="E332" s="11">
        <f>IF(A332="",0,SUMIFS('[1]资金台帐'!$H$4:$H$3003,'[1]资金台帐'!$D$4:$D$3003,$A332,'[1]资金台帐'!$M$4:$M$3003,"往来"))</f>
        <v>0</v>
      </c>
      <c r="F332" s="11">
        <f>IF(A332="",0,N('[1]基础资料'!$M$331))</f>
        <v>0</v>
      </c>
      <c r="G332" s="11">
        <f>IF(OR(A332="",ISNUMBER(FIND("线上",B332))),0,SUMIFS('[1]销售出库'!$S$4:$S$2003,'[1]销售出库'!$B$4:$B$2003,$A332))</f>
        <v>0</v>
      </c>
      <c r="H332" s="11">
        <f>IF(A332="",0,SUMIFS('[1]资金台帐'!$G$4:$G$3003,'[1]资金台帐'!$D$4:$D$3003,$A332,'[1]资金台帐'!$M$4:$M$3003,"往来"))</f>
        <v>0</v>
      </c>
      <c r="I332" s="11">
        <f t="shared" si="0"/>
        <v>0</v>
      </c>
      <c r="J332" s="11">
        <f t="shared" si="1"/>
        <v>0</v>
      </c>
      <c r="K332" s="6">
        <f t="shared" si="2"/>
      </c>
    </row>
    <row r="333">
      <c r="A333" s="6">
        <f>IF('[1]基础资料'!$I$332="","",'[1]基础资料'!$I$332)</f>
      </c>
      <c r="B333" s="6">
        <f>IF(A333="","",'[1]基础资料'!$J$332&amp;IF('[1]基础资料'!$K$332="","","·"&amp;'[1]基础资料'!$K$332))</f>
      </c>
      <c r="C333" s="11">
        <f>IF(A333="",0,N('[1]基础资料'!$L$332))</f>
        <v>0</v>
      </c>
      <c r="D333" s="11">
        <f>IF(A333="",0,SUMIFS('[1]采购入库'!$V$4:$V$2003,'[1]采购入库'!$D$4:$D$2003,$A333))</f>
        <v>0</v>
      </c>
      <c r="E333" s="11">
        <f>IF(A333="",0,SUMIFS('[1]资金台帐'!$H$4:$H$3003,'[1]资金台帐'!$D$4:$D$3003,$A333,'[1]资金台帐'!$M$4:$M$3003,"往来"))</f>
        <v>0</v>
      </c>
      <c r="F333" s="11">
        <f>IF(A333="",0,N('[1]基础资料'!$M$332))</f>
        <v>0</v>
      </c>
      <c r="G333" s="11">
        <f>IF(OR(A333="",ISNUMBER(FIND("线上",B333))),0,SUMIFS('[1]销售出库'!$S$4:$S$2003,'[1]销售出库'!$B$4:$B$2003,$A333))</f>
        <v>0</v>
      </c>
      <c r="H333" s="11">
        <f>IF(A333="",0,SUMIFS('[1]资金台帐'!$G$4:$G$3003,'[1]资金台帐'!$D$4:$D$3003,$A333,'[1]资金台帐'!$M$4:$M$3003,"往来"))</f>
        <v>0</v>
      </c>
      <c r="I333" s="11">
        <f t="shared" si="0"/>
        <v>0</v>
      </c>
      <c r="J333" s="11">
        <f t="shared" si="1"/>
        <v>0</v>
      </c>
      <c r="K333" s="6">
        <f t="shared" si="2"/>
      </c>
    </row>
    <row r="334">
      <c r="A334" s="6">
        <f>IF('[1]基础资料'!$I$333="","",'[1]基础资料'!$I$333)</f>
      </c>
      <c r="B334" s="6">
        <f>IF(A334="","",'[1]基础资料'!$J$333&amp;IF('[1]基础资料'!$K$333="","","·"&amp;'[1]基础资料'!$K$333))</f>
      </c>
      <c r="C334" s="11">
        <f>IF(A334="",0,N('[1]基础资料'!$L$333))</f>
        <v>0</v>
      </c>
      <c r="D334" s="11">
        <f>IF(A334="",0,SUMIFS('[1]采购入库'!$V$4:$V$2003,'[1]采购入库'!$D$4:$D$2003,$A334))</f>
        <v>0</v>
      </c>
      <c r="E334" s="11">
        <f>IF(A334="",0,SUMIFS('[1]资金台帐'!$H$4:$H$3003,'[1]资金台帐'!$D$4:$D$3003,$A334,'[1]资金台帐'!$M$4:$M$3003,"往来"))</f>
        <v>0</v>
      </c>
      <c r="F334" s="11">
        <f>IF(A334="",0,N('[1]基础资料'!$M$333))</f>
        <v>0</v>
      </c>
      <c r="G334" s="11">
        <f>IF(OR(A334="",ISNUMBER(FIND("线上",B334))),0,SUMIFS('[1]销售出库'!$S$4:$S$2003,'[1]销售出库'!$B$4:$B$2003,$A334))</f>
        <v>0</v>
      </c>
      <c r="H334" s="11">
        <f>IF(A334="",0,SUMIFS('[1]资金台帐'!$G$4:$G$3003,'[1]资金台帐'!$D$4:$D$3003,$A334,'[1]资金台帐'!$M$4:$M$3003,"往来"))</f>
        <v>0</v>
      </c>
      <c r="I334" s="11">
        <f t="shared" si="0"/>
        <v>0</v>
      </c>
      <c r="J334" s="11">
        <f t="shared" si="1"/>
        <v>0</v>
      </c>
      <c r="K334" s="6">
        <f t="shared" si="2"/>
      </c>
    </row>
    <row r="335">
      <c r="A335" s="6">
        <f>IF('[1]基础资料'!$I$334="","",'[1]基础资料'!$I$334)</f>
      </c>
      <c r="B335" s="6">
        <f>IF(A335="","",'[1]基础资料'!$J$334&amp;IF('[1]基础资料'!$K$334="","","·"&amp;'[1]基础资料'!$K$334))</f>
      </c>
      <c r="C335" s="11">
        <f>IF(A335="",0,N('[1]基础资料'!$L$334))</f>
        <v>0</v>
      </c>
      <c r="D335" s="11">
        <f>IF(A335="",0,SUMIFS('[1]采购入库'!$V$4:$V$2003,'[1]采购入库'!$D$4:$D$2003,$A335))</f>
        <v>0</v>
      </c>
      <c r="E335" s="11">
        <f>IF(A335="",0,SUMIFS('[1]资金台帐'!$H$4:$H$3003,'[1]资金台帐'!$D$4:$D$3003,$A335,'[1]资金台帐'!$M$4:$M$3003,"往来"))</f>
        <v>0</v>
      </c>
      <c r="F335" s="11">
        <f>IF(A335="",0,N('[1]基础资料'!$M$334))</f>
        <v>0</v>
      </c>
      <c r="G335" s="11">
        <f>IF(OR(A335="",ISNUMBER(FIND("线上",B335))),0,SUMIFS('[1]销售出库'!$S$4:$S$2003,'[1]销售出库'!$B$4:$B$2003,$A335))</f>
        <v>0</v>
      </c>
      <c r="H335" s="11">
        <f>IF(A335="",0,SUMIFS('[1]资金台帐'!$G$4:$G$3003,'[1]资金台帐'!$D$4:$D$3003,$A335,'[1]资金台帐'!$M$4:$M$3003,"往来"))</f>
        <v>0</v>
      </c>
      <c r="I335" s="11">
        <f t="shared" si="0"/>
        <v>0</v>
      </c>
      <c r="J335" s="11">
        <f t="shared" si="1"/>
        <v>0</v>
      </c>
      <c r="K335" s="6">
        <f t="shared" si="2"/>
      </c>
    </row>
    <row r="336">
      <c r="A336" s="6">
        <f>IF('[1]基础资料'!$I$335="","",'[1]基础资料'!$I$335)</f>
      </c>
      <c r="B336" s="6">
        <f>IF(A336="","",'[1]基础资料'!$J$335&amp;IF('[1]基础资料'!$K$335="","","·"&amp;'[1]基础资料'!$K$335))</f>
      </c>
      <c r="C336" s="11">
        <f>IF(A336="",0,N('[1]基础资料'!$L$335))</f>
        <v>0</v>
      </c>
      <c r="D336" s="11">
        <f>IF(A336="",0,SUMIFS('[1]采购入库'!$V$4:$V$2003,'[1]采购入库'!$D$4:$D$2003,$A336))</f>
        <v>0</v>
      </c>
      <c r="E336" s="11">
        <f>IF(A336="",0,SUMIFS('[1]资金台帐'!$H$4:$H$3003,'[1]资金台帐'!$D$4:$D$3003,$A336,'[1]资金台帐'!$M$4:$M$3003,"往来"))</f>
        <v>0</v>
      </c>
      <c r="F336" s="11">
        <f>IF(A336="",0,N('[1]基础资料'!$M$335))</f>
        <v>0</v>
      </c>
      <c r="G336" s="11">
        <f>IF(OR(A336="",ISNUMBER(FIND("线上",B336))),0,SUMIFS('[1]销售出库'!$S$4:$S$2003,'[1]销售出库'!$B$4:$B$2003,$A336))</f>
        <v>0</v>
      </c>
      <c r="H336" s="11">
        <f>IF(A336="",0,SUMIFS('[1]资金台帐'!$G$4:$G$3003,'[1]资金台帐'!$D$4:$D$3003,$A336,'[1]资金台帐'!$M$4:$M$3003,"往来"))</f>
        <v>0</v>
      </c>
      <c r="I336" s="11">
        <f t="shared" si="0"/>
        <v>0</v>
      </c>
      <c r="J336" s="11">
        <f t="shared" si="1"/>
        <v>0</v>
      </c>
      <c r="K336" s="6">
        <f t="shared" si="2"/>
      </c>
    </row>
    <row r="337">
      <c r="A337" s="6">
        <f>IF('[1]基础资料'!$I$336="","",'[1]基础资料'!$I$336)</f>
      </c>
      <c r="B337" s="6">
        <f>IF(A337="","",'[1]基础资料'!$J$336&amp;IF('[1]基础资料'!$K$336="","","·"&amp;'[1]基础资料'!$K$336))</f>
      </c>
      <c r="C337" s="11">
        <f>IF(A337="",0,N('[1]基础资料'!$L$336))</f>
        <v>0</v>
      </c>
      <c r="D337" s="11">
        <f>IF(A337="",0,SUMIFS('[1]采购入库'!$V$4:$V$2003,'[1]采购入库'!$D$4:$D$2003,$A337))</f>
        <v>0</v>
      </c>
      <c r="E337" s="11">
        <f>IF(A337="",0,SUMIFS('[1]资金台帐'!$H$4:$H$3003,'[1]资金台帐'!$D$4:$D$3003,$A337,'[1]资金台帐'!$M$4:$M$3003,"往来"))</f>
        <v>0</v>
      </c>
      <c r="F337" s="11">
        <f>IF(A337="",0,N('[1]基础资料'!$M$336))</f>
        <v>0</v>
      </c>
      <c r="G337" s="11">
        <f>IF(OR(A337="",ISNUMBER(FIND("线上",B337))),0,SUMIFS('[1]销售出库'!$S$4:$S$2003,'[1]销售出库'!$B$4:$B$2003,$A337))</f>
        <v>0</v>
      </c>
      <c r="H337" s="11">
        <f>IF(A337="",0,SUMIFS('[1]资金台帐'!$G$4:$G$3003,'[1]资金台帐'!$D$4:$D$3003,$A337,'[1]资金台帐'!$M$4:$M$3003,"往来"))</f>
        <v>0</v>
      </c>
      <c r="I337" s="11">
        <f t="shared" si="0"/>
        <v>0</v>
      </c>
      <c r="J337" s="11">
        <f t="shared" si="1"/>
        <v>0</v>
      </c>
      <c r="K337" s="6">
        <f t="shared" si="2"/>
      </c>
    </row>
    <row r="338">
      <c r="A338" s="6">
        <f>IF('[1]基础资料'!$I$337="","",'[1]基础资料'!$I$337)</f>
      </c>
      <c r="B338" s="6">
        <f>IF(A338="","",'[1]基础资料'!$J$337&amp;IF('[1]基础资料'!$K$337="","","·"&amp;'[1]基础资料'!$K$337))</f>
      </c>
      <c r="C338" s="11">
        <f>IF(A338="",0,N('[1]基础资料'!$L$337))</f>
        <v>0</v>
      </c>
      <c r="D338" s="11">
        <f>IF(A338="",0,SUMIFS('[1]采购入库'!$V$4:$V$2003,'[1]采购入库'!$D$4:$D$2003,$A338))</f>
        <v>0</v>
      </c>
      <c r="E338" s="11">
        <f>IF(A338="",0,SUMIFS('[1]资金台帐'!$H$4:$H$3003,'[1]资金台帐'!$D$4:$D$3003,$A338,'[1]资金台帐'!$M$4:$M$3003,"往来"))</f>
        <v>0</v>
      </c>
      <c r="F338" s="11">
        <f>IF(A338="",0,N('[1]基础资料'!$M$337))</f>
        <v>0</v>
      </c>
      <c r="G338" s="11">
        <f>IF(OR(A338="",ISNUMBER(FIND("线上",B338))),0,SUMIFS('[1]销售出库'!$S$4:$S$2003,'[1]销售出库'!$B$4:$B$2003,$A338))</f>
        <v>0</v>
      </c>
      <c r="H338" s="11">
        <f>IF(A338="",0,SUMIFS('[1]资金台帐'!$G$4:$G$3003,'[1]资金台帐'!$D$4:$D$3003,$A338,'[1]资金台帐'!$M$4:$M$3003,"往来"))</f>
        <v>0</v>
      </c>
      <c r="I338" s="11">
        <f t="shared" si="0"/>
        <v>0</v>
      </c>
      <c r="J338" s="11">
        <f t="shared" si="1"/>
        <v>0</v>
      </c>
      <c r="K338" s="6">
        <f t="shared" si="2"/>
      </c>
    </row>
    <row r="339">
      <c r="A339" s="6">
        <f>IF('[1]基础资料'!$I$338="","",'[1]基础资料'!$I$338)</f>
      </c>
      <c r="B339" s="6">
        <f>IF(A339="","",'[1]基础资料'!$J$338&amp;IF('[1]基础资料'!$K$338="","","·"&amp;'[1]基础资料'!$K$338))</f>
      </c>
      <c r="C339" s="11">
        <f>IF(A339="",0,N('[1]基础资料'!$L$338))</f>
        <v>0</v>
      </c>
      <c r="D339" s="11">
        <f>IF(A339="",0,SUMIFS('[1]采购入库'!$V$4:$V$2003,'[1]采购入库'!$D$4:$D$2003,$A339))</f>
        <v>0</v>
      </c>
      <c r="E339" s="11">
        <f>IF(A339="",0,SUMIFS('[1]资金台帐'!$H$4:$H$3003,'[1]资金台帐'!$D$4:$D$3003,$A339,'[1]资金台帐'!$M$4:$M$3003,"往来"))</f>
        <v>0</v>
      </c>
      <c r="F339" s="11">
        <f>IF(A339="",0,N('[1]基础资料'!$M$338))</f>
        <v>0</v>
      </c>
      <c r="G339" s="11">
        <f>IF(OR(A339="",ISNUMBER(FIND("线上",B339))),0,SUMIFS('[1]销售出库'!$S$4:$S$2003,'[1]销售出库'!$B$4:$B$2003,$A339))</f>
        <v>0</v>
      </c>
      <c r="H339" s="11">
        <f>IF(A339="",0,SUMIFS('[1]资金台帐'!$G$4:$G$3003,'[1]资金台帐'!$D$4:$D$3003,$A339,'[1]资金台帐'!$M$4:$M$3003,"往来"))</f>
        <v>0</v>
      </c>
      <c r="I339" s="11">
        <f t="shared" si="0"/>
        <v>0</v>
      </c>
      <c r="J339" s="11">
        <f t="shared" si="1"/>
        <v>0</v>
      </c>
      <c r="K339" s="6">
        <f t="shared" si="2"/>
      </c>
    </row>
    <row r="340">
      <c r="A340" s="6">
        <f>IF('[1]基础资料'!$I$339="","",'[1]基础资料'!$I$339)</f>
      </c>
      <c r="B340" s="6">
        <f>IF(A340="","",'[1]基础资料'!$J$339&amp;IF('[1]基础资料'!$K$339="","","·"&amp;'[1]基础资料'!$K$339))</f>
      </c>
      <c r="C340" s="11">
        <f>IF(A340="",0,N('[1]基础资料'!$L$339))</f>
        <v>0</v>
      </c>
      <c r="D340" s="11">
        <f>IF(A340="",0,SUMIFS('[1]采购入库'!$V$4:$V$2003,'[1]采购入库'!$D$4:$D$2003,$A340))</f>
        <v>0</v>
      </c>
      <c r="E340" s="11">
        <f>IF(A340="",0,SUMIFS('[1]资金台帐'!$H$4:$H$3003,'[1]资金台帐'!$D$4:$D$3003,$A340,'[1]资金台帐'!$M$4:$M$3003,"往来"))</f>
        <v>0</v>
      </c>
      <c r="F340" s="11">
        <f>IF(A340="",0,N('[1]基础资料'!$M$339))</f>
        <v>0</v>
      </c>
      <c r="G340" s="11">
        <f>IF(OR(A340="",ISNUMBER(FIND("线上",B340))),0,SUMIFS('[1]销售出库'!$S$4:$S$2003,'[1]销售出库'!$B$4:$B$2003,$A340))</f>
        <v>0</v>
      </c>
      <c r="H340" s="11">
        <f>IF(A340="",0,SUMIFS('[1]资金台帐'!$G$4:$G$3003,'[1]资金台帐'!$D$4:$D$3003,$A340,'[1]资金台帐'!$M$4:$M$3003,"往来"))</f>
        <v>0</v>
      </c>
      <c r="I340" s="11">
        <f t="shared" si="0"/>
        <v>0</v>
      </c>
      <c r="J340" s="11">
        <f t="shared" si="1"/>
        <v>0</v>
      </c>
      <c r="K340" s="6">
        <f t="shared" si="2"/>
      </c>
    </row>
    <row r="341">
      <c r="A341" s="6">
        <f>IF('[1]基础资料'!$I$340="","",'[1]基础资料'!$I$340)</f>
      </c>
      <c r="B341" s="6">
        <f>IF(A341="","",'[1]基础资料'!$J$340&amp;IF('[1]基础资料'!$K$340="","","·"&amp;'[1]基础资料'!$K$340))</f>
      </c>
      <c r="C341" s="11">
        <f>IF(A341="",0,N('[1]基础资料'!$L$340))</f>
        <v>0</v>
      </c>
      <c r="D341" s="11">
        <f>IF(A341="",0,SUMIFS('[1]采购入库'!$V$4:$V$2003,'[1]采购入库'!$D$4:$D$2003,$A341))</f>
        <v>0</v>
      </c>
      <c r="E341" s="11">
        <f>IF(A341="",0,SUMIFS('[1]资金台帐'!$H$4:$H$3003,'[1]资金台帐'!$D$4:$D$3003,$A341,'[1]资金台帐'!$M$4:$M$3003,"往来"))</f>
        <v>0</v>
      </c>
      <c r="F341" s="11">
        <f>IF(A341="",0,N('[1]基础资料'!$M$340))</f>
        <v>0</v>
      </c>
      <c r="G341" s="11">
        <f>IF(OR(A341="",ISNUMBER(FIND("线上",B341))),0,SUMIFS('[1]销售出库'!$S$4:$S$2003,'[1]销售出库'!$B$4:$B$2003,$A341))</f>
        <v>0</v>
      </c>
      <c r="H341" s="11">
        <f>IF(A341="",0,SUMIFS('[1]资金台帐'!$G$4:$G$3003,'[1]资金台帐'!$D$4:$D$3003,$A341,'[1]资金台帐'!$M$4:$M$3003,"往来"))</f>
        <v>0</v>
      </c>
      <c r="I341" s="11">
        <f t="shared" si="0"/>
        <v>0</v>
      </c>
      <c r="J341" s="11">
        <f t="shared" si="1"/>
        <v>0</v>
      </c>
      <c r="K341" s="6">
        <f t="shared" si="2"/>
      </c>
    </row>
    <row r="342">
      <c r="A342" s="6">
        <f>IF('[1]基础资料'!$I$341="","",'[1]基础资料'!$I$341)</f>
      </c>
      <c r="B342" s="6">
        <f>IF(A342="","",'[1]基础资料'!$J$341&amp;IF('[1]基础资料'!$K$341="","","·"&amp;'[1]基础资料'!$K$341))</f>
      </c>
      <c r="C342" s="11">
        <f>IF(A342="",0,N('[1]基础资料'!$L$341))</f>
        <v>0</v>
      </c>
      <c r="D342" s="11">
        <f>IF(A342="",0,SUMIFS('[1]采购入库'!$V$4:$V$2003,'[1]采购入库'!$D$4:$D$2003,$A342))</f>
        <v>0</v>
      </c>
      <c r="E342" s="11">
        <f>IF(A342="",0,SUMIFS('[1]资金台帐'!$H$4:$H$3003,'[1]资金台帐'!$D$4:$D$3003,$A342,'[1]资金台帐'!$M$4:$M$3003,"往来"))</f>
        <v>0</v>
      </c>
      <c r="F342" s="11">
        <f>IF(A342="",0,N('[1]基础资料'!$M$341))</f>
        <v>0</v>
      </c>
      <c r="G342" s="11">
        <f>IF(OR(A342="",ISNUMBER(FIND("线上",B342))),0,SUMIFS('[1]销售出库'!$S$4:$S$2003,'[1]销售出库'!$B$4:$B$2003,$A342))</f>
        <v>0</v>
      </c>
      <c r="H342" s="11">
        <f>IF(A342="",0,SUMIFS('[1]资金台帐'!$G$4:$G$3003,'[1]资金台帐'!$D$4:$D$3003,$A342,'[1]资金台帐'!$M$4:$M$3003,"往来"))</f>
        <v>0</v>
      </c>
      <c r="I342" s="11">
        <f t="shared" si="0"/>
        <v>0</v>
      </c>
      <c r="J342" s="11">
        <f t="shared" si="1"/>
        <v>0</v>
      </c>
      <c r="K342" s="6">
        <f t="shared" si="2"/>
      </c>
    </row>
    <row r="343">
      <c r="A343" s="6">
        <f>IF('[1]基础资料'!$I$342="","",'[1]基础资料'!$I$342)</f>
      </c>
      <c r="B343" s="6">
        <f>IF(A343="","",'[1]基础资料'!$J$342&amp;IF('[1]基础资料'!$K$342="","","·"&amp;'[1]基础资料'!$K$342))</f>
      </c>
      <c r="C343" s="11">
        <f>IF(A343="",0,N('[1]基础资料'!$L$342))</f>
        <v>0</v>
      </c>
      <c r="D343" s="11">
        <f>IF(A343="",0,SUMIFS('[1]采购入库'!$V$4:$V$2003,'[1]采购入库'!$D$4:$D$2003,$A343))</f>
        <v>0</v>
      </c>
      <c r="E343" s="11">
        <f>IF(A343="",0,SUMIFS('[1]资金台帐'!$H$4:$H$3003,'[1]资金台帐'!$D$4:$D$3003,$A343,'[1]资金台帐'!$M$4:$M$3003,"往来"))</f>
        <v>0</v>
      </c>
      <c r="F343" s="11">
        <f>IF(A343="",0,N('[1]基础资料'!$M$342))</f>
        <v>0</v>
      </c>
      <c r="G343" s="11">
        <f>IF(OR(A343="",ISNUMBER(FIND("线上",B343))),0,SUMIFS('[1]销售出库'!$S$4:$S$2003,'[1]销售出库'!$B$4:$B$2003,$A343))</f>
        <v>0</v>
      </c>
      <c r="H343" s="11">
        <f>IF(A343="",0,SUMIFS('[1]资金台帐'!$G$4:$G$3003,'[1]资金台帐'!$D$4:$D$3003,$A343,'[1]资金台帐'!$M$4:$M$3003,"往来"))</f>
        <v>0</v>
      </c>
      <c r="I343" s="11">
        <f t="shared" si="0"/>
        <v>0</v>
      </c>
      <c r="J343" s="11">
        <f t="shared" si="1"/>
        <v>0</v>
      </c>
      <c r="K343" s="6">
        <f t="shared" si="2"/>
      </c>
    </row>
    <row r="344">
      <c r="A344" s="6">
        <f>IF('[1]基础资料'!$I$343="","",'[1]基础资料'!$I$343)</f>
      </c>
      <c r="B344" s="6">
        <f>IF(A344="","",'[1]基础资料'!$J$343&amp;IF('[1]基础资料'!$K$343="","","·"&amp;'[1]基础资料'!$K$343))</f>
      </c>
      <c r="C344" s="11">
        <f>IF(A344="",0,N('[1]基础资料'!$L$343))</f>
        <v>0</v>
      </c>
      <c r="D344" s="11">
        <f>IF(A344="",0,SUMIFS('[1]采购入库'!$V$4:$V$2003,'[1]采购入库'!$D$4:$D$2003,$A344))</f>
        <v>0</v>
      </c>
      <c r="E344" s="11">
        <f>IF(A344="",0,SUMIFS('[1]资金台帐'!$H$4:$H$3003,'[1]资金台帐'!$D$4:$D$3003,$A344,'[1]资金台帐'!$M$4:$M$3003,"往来"))</f>
        <v>0</v>
      </c>
      <c r="F344" s="11">
        <f>IF(A344="",0,N('[1]基础资料'!$M$343))</f>
        <v>0</v>
      </c>
      <c r="G344" s="11">
        <f>IF(OR(A344="",ISNUMBER(FIND("线上",B344))),0,SUMIFS('[1]销售出库'!$S$4:$S$2003,'[1]销售出库'!$B$4:$B$2003,$A344))</f>
        <v>0</v>
      </c>
      <c r="H344" s="11">
        <f>IF(A344="",0,SUMIFS('[1]资金台帐'!$G$4:$G$3003,'[1]资金台帐'!$D$4:$D$3003,$A344,'[1]资金台帐'!$M$4:$M$3003,"往来"))</f>
        <v>0</v>
      </c>
      <c r="I344" s="11">
        <f t="shared" si="0"/>
        <v>0</v>
      </c>
      <c r="J344" s="11">
        <f t="shared" si="1"/>
        <v>0</v>
      </c>
      <c r="K344" s="6">
        <f t="shared" si="2"/>
      </c>
    </row>
    <row r="345">
      <c r="A345" s="6">
        <f>IF('[1]基础资料'!$I$344="","",'[1]基础资料'!$I$344)</f>
      </c>
      <c r="B345" s="6">
        <f>IF(A345="","",'[1]基础资料'!$J$344&amp;IF('[1]基础资料'!$K$344="","","·"&amp;'[1]基础资料'!$K$344))</f>
      </c>
      <c r="C345" s="11">
        <f>IF(A345="",0,N('[1]基础资料'!$L$344))</f>
        <v>0</v>
      </c>
      <c r="D345" s="11">
        <f>IF(A345="",0,SUMIFS('[1]采购入库'!$V$4:$V$2003,'[1]采购入库'!$D$4:$D$2003,$A345))</f>
        <v>0</v>
      </c>
      <c r="E345" s="11">
        <f>IF(A345="",0,SUMIFS('[1]资金台帐'!$H$4:$H$3003,'[1]资金台帐'!$D$4:$D$3003,$A345,'[1]资金台帐'!$M$4:$M$3003,"往来"))</f>
        <v>0</v>
      </c>
      <c r="F345" s="11">
        <f>IF(A345="",0,N('[1]基础资料'!$M$344))</f>
        <v>0</v>
      </c>
      <c r="G345" s="11">
        <f>IF(OR(A345="",ISNUMBER(FIND("线上",B345))),0,SUMIFS('[1]销售出库'!$S$4:$S$2003,'[1]销售出库'!$B$4:$B$2003,$A345))</f>
        <v>0</v>
      </c>
      <c r="H345" s="11">
        <f>IF(A345="",0,SUMIFS('[1]资金台帐'!$G$4:$G$3003,'[1]资金台帐'!$D$4:$D$3003,$A345,'[1]资金台帐'!$M$4:$M$3003,"往来"))</f>
        <v>0</v>
      </c>
      <c r="I345" s="11">
        <f t="shared" si="0"/>
        <v>0</v>
      </c>
      <c r="J345" s="11">
        <f t="shared" si="1"/>
        <v>0</v>
      </c>
      <c r="K345" s="6">
        <f t="shared" si="2"/>
      </c>
    </row>
    <row r="346">
      <c r="A346" s="6">
        <f>IF('[1]基础资料'!$I$345="","",'[1]基础资料'!$I$345)</f>
      </c>
      <c r="B346" s="6">
        <f>IF(A346="","",'[1]基础资料'!$J$345&amp;IF('[1]基础资料'!$K$345="","","·"&amp;'[1]基础资料'!$K$345))</f>
      </c>
      <c r="C346" s="11">
        <f>IF(A346="",0,N('[1]基础资料'!$L$345))</f>
        <v>0</v>
      </c>
      <c r="D346" s="11">
        <f>IF(A346="",0,SUMIFS('[1]采购入库'!$V$4:$V$2003,'[1]采购入库'!$D$4:$D$2003,$A346))</f>
        <v>0</v>
      </c>
      <c r="E346" s="11">
        <f>IF(A346="",0,SUMIFS('[1]资金台帐'!$H$4:$H$3003,'[1]资金台帐'!$D$4:$D$3003,$A346,'[1]资金台帐'!$M$4:$M$3003,"往来"))</f>
        <v>0</v>
      </c>
      <c r="F346" s="11">
        <f>IF(A346="",0,N('[1]基础资料'!$M$345))</f>
        <v>0</v>
      </c>
      <c r="G346" s="11">
        <f>IF(OR(A346="",ISNUMBER(FIND("线上",B346))),0,SUMIFS('[1]销售出库'!$S$4:$S$2003,'[1]销售出库'!$B$4:$B$2003,$A346))</f>
        <v>0</v>
      </c>
      <c r="H346" s="11">
        <f>IF(A346="",0,SUMIFS('[1]资金台帐'!$G$4:$G$3003,'[1]资金台帐'!$D$4:$D$3003,$A346,'[1]资金台帐'!$M$4:$M$3003,"往来"))</f>
        <v>0</v>
      </c>
      <c r="I346" s="11">
        <f t="shared" si="0"/>
        <v>0</v>
      </c>
      <c r="J346" s="11">
        <f t="shared" si="1"/>
        <v>0</v>
      </c>
      <c r="K346" s="6">
        <f t="shared" si="2"/>
      </c>
    </row>
    <row r="347">
      <c r="A347" s="6">
        <f>IF('[1]基础资料'!$I$346="","",'[1]基础资料'!$I$346)</f>
      </c>
      <c r="B347" s="6">
        <f>IF(A347="","",'[1]基础资料'!$J$346&amp;IF('[1]基础资料'!$K$346="","","·"&amp;'[1]基础资料'!$K$346))</f>
      </c>
      <c r="C347" s="11">
        <f>IF(A347="",0,N('[1]基础资料'!$L$346))</f>
        <v>0</v>
      </c>
      <c r="D347" s="11">
        <f>IF(A347="",0,SUMIFS('[1]采购入库'!$V$4:$V$2003,'[1]采购入库'!$D$4:$D$2003,$A347))</f>
        <v>0</v>
      </c>
      <c r="E347" s="11">
        <f>IF(A347="",0,SUMIFS('[1]资金台帐'!$H$4:$H$3003,'[1]资金台帐'!$D$4:$D$3003,$A347,'[1]资金台帐'!$M$4:$M$3003,"往来"))</f>
        <v>0</v>
      </c>
      <c r="F347" s="11">
        <f>IF(A347="",0,N('[1]基础资料'!$M$346))</f>
        <v>0</v>
      </c>
      <c r="G347" s="11">
        <f>IF(OR(A347="",ISNUMBER(FIND("线上",B347))),0,SUMIFS('[1]销售出库'!$S$4:$S$2003,'[1]销售出库'!$B$4:$B$2003,$A347))</f>
        <v>0</v>
      </c>
      <c r="H347" s="11">
        <f>IF(A347="",0,SUMIFS('[1]资金台帐'!$G$4:$G$3003,'[1]资金台帐'!$D$4:$D$3003,$A347,'[1]资金台帐'!$M$4:$M$3003,"往来"))</f>
        <v>0</v>
      </c>
      <c r="I347" s="11">
        <f t="shared" si="0"/>
        <v>0</v>
      </c>
      <c r="J347" s="11">
        <f t="shared" si="1"/>
        <v>0</v>
      </c>
      <c r="K347" s="6">
        <f t="shared" si="2"/>
      </c>
    </row>
    <row r="348">
      <c r="A348" s="6">
        <f>IF('[1]基础资料'!$I$347="","",'[1]基础资料'!$I$347)</f>
      </c>
      <c r="B348" s="6">
        <f>IF(A348="","",'[1]基础资料'!$J$347&amp;IF('[1]基础资料'!$K$347="","","·"&amp;'[1]基础资料'!$K$347))</f>
      </c>
      <c r="C348" s="11">
        <f>IF(A348="",0,N('[1]基础资料'!$L$347))</f>
        <v>0</v>
      </c>
      <c r="D348" s="11">
        <f>IF(A348="",0,SUMIFS('[1]采购入库'!$V$4:$V$2003,'[1]采购入库'!$D$4:$D$2003,$A348))</f>
        <v>0</v>
      </c>
      <c r="E348" s="11">
        <f>IF(A348="",0,SUMIFS('[1]资金台帐'!$H$4:$H$3003,'[1]资金台帐'!$D$4:$D$3003,$A348,'[1]资金台帐'!$M$4:$M$3003,"往来"))</f>
        <v>0</v>
      </c>
      <c r="F348" s="11">
        <f>IF(A348="",0,N('[1]基础资料'!$M$347))</f>
        <v>0</v>
      </c>
      <c r="G348" s="11">
        <f>IF(OR(A348="",ISNUMBER(FIND("线上",B348))),0,SUMIFS('[1]销售出库'!$S$4:$S$2003,'[1]销售出库'!$B$4:$B$2003,$A348))</f>
        <v>0</v>
      </c>
      <c r="H348" s="11">
        <f>IF(A348="",0,SUMIFS('[1]资金台帐'!$G$4:$G$3003,'[1]资金台帐'!$D$4:$D$3003,$A348,'[1]资金台帐'!$M$4:$M$3003,"往来"))</f>
        <v>0</v>
      </c>
      <c r="I348" s="11">
        <f t="shared" si="0"/>
        <v>0</v>
      </c>
      <c r="J348" s="11">
        <f t="shared" si="1"/>
        <v>0</v>
      </c>
      <c r="K348" s="6">
        <f t="shared" si="2"/>
      </c>
    </row>
    <row r="349">
      <c r="A349" s="6">
        <f>IF('[1]基础资料'!$I$348="","",'[1]基础资料'!$I$348)</f>
      </c>
      <c r="B349" s="6">
        <f>IF(A349="","",'[1]基础资料'!$J$348&amp;IF('[1]基础资料'!$K$348="","","·"&amp;'[1]基础资料'!$K$348))</f>
      </c>
      <c r="C349" s="11">
        <f>IF(A349="",0,N('[1]基础资料'!$L$348))</f>
        <v>0</v>
      </c>
      <c r="D349" s="11">
        <f>IF(A349="",0,SUMIFS('[1]采购入库'!$V$4:$V$2003,'[1]采购入库'!$D$4:$D$2003,$A349))</f>
        <v>0</v>
      </c>
      <c r="E349" s="11">
        <f>IF(A349="",0,SUMIFS('[1]资金台帐'!$H$4:$H$3003,'[1]资金台帐'!$D$4:$D$3003,$A349,'[1]资金台帐'!$M$4:$M$3003,"往来"))</f>
        <v>0</v>
      </c>
      <c r="F349" s="11">
        <f>IF(A349="",0,N('[1]基础资料'!$M$348))</f>
        <v>0</v>
      </c>
      <c r="G349" s="11">
        <f>IF(OR(A349="",ISNUMBER(FIND("线上",B349))),0,SUMIFS('[1]销售出库'!$S$4:$S$2003,'[1]销售出库'!$B$4:$B$2003,$A349))</f>
        <v>0</v>
      </c>
      <c r="H349" s="11">
        <f>IF(A349="",0,SUMIFS('[1]资金台帐'!$G$4:$G$3003,'[1]资金台帐'!$D$4:$D$3003,$A349,'[1]资金台帐'!$M$4:$M$3003,"往来"))</f>
        <v>0</v>
      </c>
      <c r="I349" s="11">
        <f t="shared" si="0"/>
        <v>0</v>
      </c>
      <c r="J349" s="11">
        <f t="shared" si="1"/>
        <v>0</v>
      </c>
      <c r="K349" s="6">
        <f t="shared" si="2"/>
      </c>
    </row>
    <row r="350">
      <c r="A350" s="6">
        <f>IF('[1]基础资料'!$I$349="","",'[1]基础资料'!$I$349)</f>
      </c>
      <c r="B350" s="6">
        <f>IF(A350="","",'[1]基础资料'!$J$349&amp;IF('[1]基础资料'!$K$349="","","·"&amp;'[1]基础资料'!$K$349))</f>
      </c>
      <c r="C350" s="11">
        <f>IF(A350="",0,N('[1]基础资料'!$L$349))</f>
        <v>0</v>
      </c>
      <c r="D350" s="11">
        <f>IF(A350="",0,SUMIFS('[1]采购入库'!$V$4:$V$2003,'[1]采购入库'!$D$4:$D$2003,$A350))</f>
        <v>0</v>
      </c>
      <c r="E350" s="11">
        <f>IF(A350="",0,SUMIFS('[1]资金台帐'!$H$4:$H$3003,'[1]资金台帐'!$D$4:$D$3003,$A350,'[1]资金台帐'!$M$4:$M$3003,"往来"))</f>
        <v>0</v>
      </c>
      <c r="F350" s="11">
        <f>IF(A350="",0,N('[1]基础资料'!$M$349))</f>
        <v>0</v>
      </c>
      <c r="G350" s="11">
        <f>IF(OR(A350="",ISNUMBER(FIND("线上",B350))),0,SUMIFS('[1]销售出库'!$S$4:$S$2003,'[1]销售出库'!$B$4:$B$2003,$A350))</f>
        <v>0</v>
      </c>
      <c r="H350" s="11">
        <f>IF(A350="",0,SUMIFS('[1]资金台帐'!$G$4:$G$3003,'[1]资金台帐'!$D$4:$D$3003,$A350,'[1]资金台帐'!$M$4:$M$3003,"往来"))</f>
        <v>0</v>
      </c>
      <c r="I350" s="11">
        <f t="shared" si="0"/>
        <v>0</v>
      </c>
      <c r="J350" s="11">
        <f t="shared" si="1"/>
        <v>0</v>
      </c>
      <c r="K350" s="6">
        <f t="shared" si="2"/>
      </c>
    </row>
    <row r="351">
      <c r="A351" s="6">
        <f>IF('[1]基础资料'!$I$350="","",'[1]基础资料'!$I$350)</f>
      </c>
      <c r="B351" s="6">
        <f>IF(A351="","",'[1]基础资料'!$J$350&amp;IF('[1]基础资料'!$K$350="","","·"&amp;'[1]基础资料'!$K$350))</f>
      </c>
      <c r="C351" s="11">
        <f>IF(A351="",0,N('[1]基础资料'!$L$350))</f>
        <v>0</v>
      </c>
      <c r="D351" s="11">
        <f>IF(A351="",0,SUMIFS('[1]采购入库'!$V$4:$V$2003,'[1]采购入库'!$D$4:$D$2003,$A351))</f>
        <v>0</v>
      </c>
      <c r="E351" s="11">
        <f>IF(A351="",0,SUMIFS('[1]资金台帐'!$H$4:$H$3003,'[1]资金台帐'!$D$4:$D$3003,$A351,'[1]资金台帐'!$M$4:$M$3003,"往来"))</f>
        <v>0</v>
      </c>
      <c r="F351" s="11">
        <f>IF(A351="",0,N('[1]基础资料'!$M$350))</f>
        <v>0</v>
      </c>
      <c r="G351" s="11">
        <f>IF(OR(A351="",ISNUMBER(FIND("线上",B351))),0,SUMIFS('[1]销售出库'!$S$4:$S$2003,'[1]销售出库'!$B$4:$B$2003,$A351))</f>
        <v>0</v>
      </c>
      <c r="H351" s="11">
        <f>IF(A351="",0,SUMIFS('[1]资金台帐'!$G$4:$G$3003,'[1]资金台帐'!$D$4:$D$3003,$A351,'[1]资金台帐'!$M$4:$M$3003,"往来"))</f>
        <v>0</v>
      </c>
      <c r="I351" s="11">
        <f t="shared" si="0"/>
        <v>0</v>
      </c>
      <c r="J351" s="11">
        <f t="shared" si="1"/>
        <v>0</v>
      </c>
      <c r="K351" s="6">
        <f t="shared" si="2"/>
      </c>
    </row>
    <row r="352">
      <c r="A352" s="6">
        <f>IF('[1]基础资料'!$I$351="","",'[1]基础资料'!$I$351)</f>
      </c>
      <c r="B352" s="6">
        <f>IF(A352="","",'[1]基础资料'!$J$351&amp;IF('[1]基础资料'!$K$351="","","·"&amp;'[1]基础资料'!$K$351))</f>
      </c>
      <c r="C352" s="11">
        <f>IF(A352="",0,N('[1]基础资料'!$L$351))</f>
        <v>0</v>
      </c>
      <c r="D352" s="11">
        <f>IF(A352="",0,SUMIFS('[1]采购入库'!$V$4:$V$2003,'[1]采购入库'!$D$4:$D$2003,$A352))</f>
        <v>0</v>
      </c>
      <c r="E352" s="11">
        <f>IF(A352="",0,SUMIFS('[1]资金台帐'!$H$4:$H$3003,'[1]资金台帐'!$D$4:$D$3003,$A352,'[1]资金台帐'!$M$4:$M$3003,"往来"))</f>
        <v>0</v>
      </c>
      <c r="F352" s="11">
        <f>IF(A352="",0,N('[1]基础资料'!$M$351))</f>
        <v>0</v>
      </c>
      <c r="G352" s="11">
        <f>IF(OR(A352="",ISNUMBER(FIND("线上",B352))),0,SUMIFS('[1]销售出库'!$S$4:$S$2003,'[1]销售出库'!$B$4:$B$2003,$A352))</f>
        <v>0</v>
      </c>
      <c r="H352" s="11">
        <f>IF(A352="",0,SUMIFS('[1]资金台帐'!$G$4:$G$3003,'[1]资金台帐'!$D$4:$D$3003,$A352,'[1]资金台帐'!$M$4:$M$3003,"往来"))</f>
        <v>0</v>
      </c>
      <c r="I352" s="11">
        <f t="shared" si="0"/>
        <v>0</v>
      </c>
      <c r="J352" s="11">
        <f t="shared" si="1"/>
        <v>0</v>
      </c>
      <c r="K352" s="6">
        <f t="shared" si="2"/>
      </c>
    </row>
    <row r="353">
      <c r="A353" s="6">
        <f>IF('[1]基础资料'!$I$352="","",'[1]基础资料'!$I$352)</f>
      </c>
      <c r="B353" s="6">
        <f>IF(A353="","",'[1]基础资料'!$J$352&amp;IF('[1]基础资料'!$K$352="","","·"&amp;'[1]基础资料'!$K$352))</f>
      </c>
      <c r="C353" s="11">
        <f>IF(A353="",0,N('[1]基础资料'!$L$352))</f>
        <v>0</v>
      </c>
      <c r="D353" s="11">
        <f>IF(A353="",0,SUMIFS('[1]采购入库'!$V$4:$V$2003,'[1]采购入库'!$D$4:$D$2003,$A353))</f>
        <v>0</v>
      </c>
      <c r="E353" s="11">
        <f>IF(A353="",0,SUMIFS('[1]资金台帐'!$H$4:$H$3003,'[1]资金台帐'!$D$4:$D$3003,$A353,'[1]资金台帐'!$M$4:$M$3003,"往来"))</f>
        <v>0</v>
      </c>
      <c r="F353" s="11">
        <f>IF(A353="",0,N('[1]基础资料'!$M$352))</f>
        <v>0</v>
      </c>
      <c r="G353" s="11">
        <f>IF(OR(A353="",ISNUMBER(FIND("线上",B353))),0,SUMIFS('[1]销售出库'!$S$4:$S$2003,'[1]销售出库'!$B$4:$B$2003,$A353))</f>
        <v>0</v>
      </c>
      <c r="H353" s="11">
        <f>IF(A353="",0,SUMIFS('[1]资金台帐'!$G$4:$G$3003,'[1]资金台帐'!$D$4:$D$3003,$A353,'[1]资金台帐'!$M$4:$M$3003,"往来"))</f>
        <v>0</v>
      </c>
      <c r="I353" s="11">
        <f t="shared" si="0"/>
        <v>0</v>
      </c>
      <c r="J353" s="11">
        <f t="shared" si="1"/>
        <v>0</v>
      </c>
      <c r="K353" s="6">
        <f t="shared" si="2"/>
      </c>
    </row>
    <row r="354">
      <c r="A354" s="6">
        <f>IF('[1]基础资料'!$I$353="","",'[1]基础资料'!$I$353)</f>
      </c>
      <c r="B354" s="6">
        <f>IF(A354="","",'[1]基础资料'!$J$353&amp;IF('[1]基础资料'!$K$353="","","·"&amp;'[1]基础资料'!$K$353))</f>
      </c>
      <c r="C354" s="11">
        <f>IF(A354="",0,N('[1]基础资料'!$L$353))</f>
        <v>0</v>
      </c>
      <c r="D354" s="11">
        <f>IF(A354="",0,SUMIFS('[1]采购入库'!$V$4:$V$2003,'[1]采购入库'!$D$4:$D$2003,$A354))</f>
        <v>0</v>
      </c>
      <c r="E354" s="11">
        <f>IF(A354="",0,SUMIFS('[1]资金台帐'!$H$4:$H$3003,'[1]资金台帐'!$D$4:$D$3003,$A354,'[1]资金台帐'!$M$4:$M$3003,"往来"))</f>
        <v>0</v>
      </c>
      <c r="F354" s="11">
        <f>IF(A354="",0,N('[1]基础资料'!$M$353))</f>
        <v>0</v>
      </c>
      <c r="G354" s="11">
        <f>IF(OR(A354="",ISNUMBER(FIND("线上",B354))),0,SUMIFS('[1]销售出库'!$S$4:$S$2003,'[1]销售出库'!$B$4:$B$2003,$A354))</f>
        <v>0</v>
      </c>
      <c r="H354" s="11">
        <f>IF(A354="",0,SUMIFS('[1]资金台帐'!$G$4:$G$3003,'[1]资金台帐'!$D$4:$D$3003,$A354,'[1]资金台帐'!$M$4:$M$3003,"往来"))</f>
        <v>0</v>
      </c>
      <c r="I354" s="11">
        <f t="shared" si="0"/>
        <v>0</v>
      </c>
      <c r="J354" s="11">
        <f t="shared" si="1"/>
        <v>0</v>
      </c>
      <c r="K354" s="6">
        <f t="shared" si="2"/>
      </c>
    </row>
    <row r="355">
      <c r="A355" s="6">
        <f>IF('[1]基础资料'!$I$354="","",'[1]基础资料'!$I$354)</f>
      </c>
      <c r="B355" s="6">
        <f>IF(A355="","",'[1]基础资料'!$J$354&amp;IF('[1]基础资料'!$K$354="","","·"&amp;'[1]基础资料'!$K$354))</f>
      </c>
      <c r="C355" s="11">
        <f>IF(A355="",0,N('[1]基础资料'!$L$354))</f>
        <v>0</v>
      </c>
      <c r="D355" s="11">
        <f>IF(A355="",0,SUMIFS('[1]采购入库'!$V$4:$V$2003,'[1]采购入库'!$D$4:$D$2003,$A355))</f>
        <v>0</v>
      </c>
      <c r="E355" s="11">
        <f>IF(A355="",0,SUMIFS('[1]资金台帐'!$H$4:$H$3003,'[1]资金台帐'!$D$4:$D$3003,$A355,'[1]资金台帐'!$M$4:$M$3003,"往来"))</f>
        <v>0</v>
      </c>
      <c r="F355" s="11">
        <f>IF(A355="",0,N('[1]基础资料'!$M$354))</f>
        <v>0</v>
      </c>
      <c r="G355" s="11">
        <f>IF(OR(A355="",ISNUMBER(FIND("线上",B355))),0,SUMIFS('[1]销售出库'!$S$4:$S$2003,'[1]销售出库'!$B$4:$B$2003,$A355))</f>
        <v>0</v>
      </c>
      <c r="H355" s="11">
        <f>IF(A355="",0,SUMIFS('[1]资金台帐'!$G$4:$G$3003,'[1]资金台帐'!$D$4:$D$3003,$A355,'[1]资金台帐'!$M$4:$M$3003,"往来"))</f>
        <v>0</v>
      </c>
      <c r="I355" s="11">
        <f t="shared" si="0"/>
        <v>0</v>
      </c>
      <c r="J355" s="11">
        <f t="shared" si="1"/>
        <v>0</v>
      </c>
      <c r="K355" s="6">
        <f t="shared" si="2"/>
      </c>
    </row>
    <row r="356">
      <c r="A356" s="6">
        <f>IF('[1]基础资料'!$I$355="","",'[1]基础资料'!$I$355)</f>
      </c>
      <c r="B356" s="6">
        <f>IF(A356="","",'[1]基础资料'!$J$355&amp;IF('[1]基础资料'!$K$355="","","·"&amp;'[1]基础资料'!$K$355))</f>
      </c>
      <c r="C356" s="11">
        <f>IF(A356="",0,N('[1]基础资料'!$L$355))</f>
        <v>0</v>
      </c>
      <c r="D356" s="11">
        <f>IF(A356="",0,SUMIFS('[1]采购入库'!$V$4:$V$2003,'[1]采购入库'!$D$4:$D$2003,$A356))</f>
        <v>0</v>
      </c>
      <c r="E356" s="11">
        <f>IF(A356="",0,SUMIFS('[1]资金台帐'!$H$4:$H$3003,'[1]资金台帐'!$D$4:$D$3003,$A356,'[1]资金台帐'!$M$4:$M$3003,"往来"))</f>
        <v>0</v>
      </c>
      <c r="F356" s="11">
        <f>IF(A356="",0,N('[1]基础资料'!$M$355))</f>
        <v>0</v>
      </c>
      <c r="G356" s="11">
        <f>IF(OR(A356="",ISNUMBER(FIND("线上",B356))),0,SUMIFS('[1]销售出库'!$S$4:$S$2003,'[1]销售出库'!$B$4:$B$2003,$A356))</f>
        <v>0</v>
      </c>
      <c r="H356" s="11">
        <f>IF(A356="",0,SUMIFS('[1]资金台帐'!$G$4:$G$3003,'[1]资金台帐'!$D$4:$D$3003,$A356,'[1]资金台帐'!$M$4:$M$3003,"往来"))</f>
        <v>0</v>
      </c>
      <c r="I356" s="11">
        <f t="shared" si="0"/>
        <v>0</v>
      </c>
      <c r="J356" s="11">
        <f t="shared" si="1"/>
        <v>0</v>
      </c>
      <c r="K356" s="6">
        <f t="shared" si="2"/>
      </c>
    </row>
    <row r="357">
      <c r="A357" s="6">
        <f>IF('[1]基础资料'!$I$356="","",'[1]基础资料'!$I$356)</f>
      </c>
      <c r="B357" s="6">
        <f>IF(A357="","",'[1]基础资料'!$J$356&amp;IF('[1]基础资料'!$K$356="","","·"&amp;'[1]基础资料'!$K$356))</f>
      </c>
      <c r="C357" s="11">
        <f>IF(A357="",0,N('[1]基础资料'!$L$356))</f>
        <v>0</v>
      </c>
      <c r="D357" s="11">
        <f>IF(A357="",0,SUMIFS('[1]采购入库'!$V$4:$V$2003,'[1]采购入库'!$D$4:$D$2003,$A357))</f>
        <v>0</v>
      </c>
      <c r="E357" s="11">
        <f>IF(A357="",0,SUMIFS('[1]资金台帐'!$H$4:$H$3003,'[1]资金台帐'!$D$4:$D$3003,$A357,'[1]资金台帐'!$M$4:$M$3003,"往来"))</f>
        <v>0</v>
      </c>
      <c r="F357" s="11">
        <f>IF(A357="",0,N('[1]基础资料'!$M$356))</f>
        <v>0</v>
      </c>
      <c r="G357" s="11">
        <f>IF(OR(A357="",ISNUMBER(FIND("线上",B357))),0,SUMIFS('[1]销售出库'!$S$4:$S$2003,'[1]销售出库'!$B$4:$B$2003,$A357))</f>
        <v>0</v>
      </c>
      <c r="H357" s="11">
        <f>IF(A357="",0,SUMIFS('[1]资金台帐'!$G$4:$G$3003,'[1]资金台帐'!$D$4:$D$3003,$A357,'[1]资金台帐'!$M$4:$M$3003,"往来"))</f>
        <v>0</v>
      </c>
      <c r="I357" s="11">
        <f t="shared" si="0"/>
        <v>0</v>
      </c>
      <c r="J357" s="11">
        <f t="shared" si="1"/>
        <v>0</v>
      </c>
      <c r="K357" s="6">
        <f t="shared" si="2"/>
      </c>
    </row>
    <row r="358">
      <c r="A358" s="6">
        <f>IF('[1]基础资料'!$I$357="","",'[1]基础资料'!$I$357)</f>
      </c>
      <c r="B358" s="6">
        <f>IF(A358="","",'[1]基础资料'!$J$357&amp;IF('[1]基础资料'!$K$357="","","·"&amp;'[1]基础资料'!$K$357))</f>
      </c>
      <c r="C358" s="11">
        <f>IF(A358="",0,N('[1]基础资料'!$L$357))</f>
        <v>0</v>
      </c>
      <c r="D358" s="11">
        <f>IF(A358="",0,SUMIFS('[1]采购入库'!$V$4:$V$2003,'[1]采购入库'!$D$4:$D$2003,$A358))</f>
        <v>0</v>
      </c>
      <c r="E358" s="11">
        <f>IF(A358="",0,SUMIFS('[1]资金台帐'!$H$4:$H$3003,'[1]资金台帐'!$D$4:$D$3003,$A358,'[1]资金台帐'!$M$4:$M$3003,"往来"))</f>
        <v>0</v>
      </c>
      <c r="F358" s="11">
        <f>IF(A358="",0,N('[1]基础资料'!$M$357))</f>
        <v>0</v>
      </c>
      <c r="G358" s="11">
        <f>IF(OR(A358="",ISNUMBER(FIND("线上",B358))),0,SUMIFS('[1]销售出库'!$S$4:$S$2003,'[1]销售出库'!$B$4:$B$2003,$A358))</f>
        <v>0</v>
      </c>
      <c r="H358" s="11">
        <f>IF(A358="",0,SUMIFS('[1]资金台帐'!$G$4:$G$3003,'[1]资金台帐'!$D$4:$D$3003,$A358,'[1]资金台帐'!$M$4:$M$3003,"往来"))</f>
        <v>0</v>
      </c>
      <c r="I358" s="11">
        <f t="shared" si="0"/>
        <v>0</v>
      </c>
      <c r="J358" s="11">
        <f t="shared" si="1"/>
        <v>0</v>
      </c>
      <c r="K358" s="6">
        <f t="shared" si="2"/>
      </c>
    </row>
    <row r="359">
      <c r="A359" s="6">
        <f>IF('[1]基础资料'!$I$358="","",'[1]基础资料'!$I$358)</f>
      </c>
      <c r="B359" s="6">
        <f>IF(A359="","",'[1]基础资料'!$J$358&amp;IF('[1]基础资料'!$K$358="","","·"&amp;'[1]基础资料'!$K$358))</f>
      </c>
      <c r="C359" s="11">
        <f>IF(A359="",0,N('[1]基础资料'!$L$358))</f>
        <v>0</v>
      </c>
      <c r="D359" s="11">
        <f>IF(A359="",0,SUMIFS('[1]采购入库'!$V$4:$V$2003,'[1]采购入库'!$D$4:$D$2003,$A359))</f>
        <v>0</v>
      </c>
      <c r="E359" s="11">
        <f>IF(A359="",0,SUMIFS('[1]资金台帐'!$H$4:$H$3003,'[1]资金台帐'!$D$4:$D$3003,$A359,'[1]资金台帐'!$M$4:$M$3003,"往来"))</f>
        <v>0</v>
      </c>
      <c r="F359" s="11">
        <f>IF(A359="",0,N('[1]基础资料'!$M$358))</f>
        <v>0</v>
      </c>
      <c r="G359" s="11">
        <f>IF(OR(A359="",ISNUMBER(FIND("线上",B359))),0,SUMIFS('[1]销售出库'!$S$4:$S$2003,'[1]销售出库'!$B$4:$B$2003,$A359))</f>
        <v>0</v>
      </c>
      <c r="H359" s="11">
        <f>IF(A359="",0,SUMIFS('[1]资金台帐'!$G$4:$G$3003,'[1]资金台帐'!$D$4:$D$3003,$A359,'[1]资金台帐'!$M$4:$M$3003,"往来"))</f>
        <v>0</v>
      </c>
      <c r="I359" s="11">
        <f t="shared" si="0"/>
        <v>0</v>
      </c>
      <c r="J359" s="11">
        <f t="shared" si="1"/>
        <v>0</v>
      </c>
      <c r="K359" s="6">
        <f t="shared" si="2"/>
      </c>
    </row>
    <row r="360">
      <c r="A360" s="6">
        <f>IF('[1]基础资料'!$I$359="","",'[1]基础资料'!$I$359)</f>
      </c>
      <c r="B360" s="6">
        <f>IF(A360="","",'[1]基础资料'!$J$359&amp;IF('[1]基础资料'!$K$359="","","·"&amp;'[1]基础资料'!$K$359))</f>
      </c>
      <c r="C360" s="11">
        <f>IF(A360="",0,N('[1]基础资料'!$L$359))</f>
        <v>0</v>
      </c>
      <c r="D360" s="11">
        <f>IF(A360="",0,SUMIFS('[1]采购入库'!$V$4:$V$2003,'[1]采购入库'!$D$4:$D$2003,$A360))</f>
        <v>0</v>
      </c>
      <c r="E360" s="11">
        <f>IF(A360="",0,SUMIFS('[1]资金台帐'!$H$4:$H$3003,'[1]资金台帐'!$D$4:$D$3003,$A360,'[1]资金台帐'!$M$4:$M$3003,"往来"))</f>
        <v>0</v>
      </c>
      <c r="F360" s="11">
        <f>IF(A360="",0,N('[1]基础资料'!$M$359))</f>
        <v>0</v>
      </c>
      <c r="G360" s="11">
        <f>IF(OR(A360="",ISNUMBER(FIND("线上",B360))),0,SUMIFS('[1]销售出库'!$S$4:$S$2003,'[1]销售出库'!$B$4:$B$2003,$A360))</f>
        <v>0</v>
      </c>
      <c r="H360" s="11">
        <f>IF(A360="",0,SUMIFS('[1]资金台帐'!$G$4:$G$3003,'[1]资金台帐'!$D$4:$D$3003,$A360,'[1]资金台帐'!$M$4:$M$3003,"往来"))</f>
        <v>0</v>
      </c>
      <c r="I360" s="11">
        <f t="shared" si="0"/>
        <v>0</v>
      </c>
      <c r="J360" s="11">
        <f t="shared" si="1"/>
        <v>0</v>
      </c>
      <c r="K360" s="6">
        <f t="shared" si="2"/>
      </c>
    </row>
    <row r="361">
      <c r="A361" s="6">
        <f>IF('[1]基础资料'!$I$360="","",'[1]基础资料'!$I$360)</f>
      </c>
      <c r="B361" s="6">
        <f>IF(A361="","",'[1]基础资料'!$J$360&amp;IF('[1]基础资料'!$K$360="","","·"&amp;'[1]基础资料'!$K$360))</f>
      </c>
      <c r="C361" s="11">
        <f>IF(A361="",0,N('[1]基础资料'!$L$360))</f>
        <v>0</v>
      </c>
      <c r="D361" s="11">
        <f>IF(A361="",0,SUMIFS('[1]采购入库'!$V$4:$V$2003,'[1]采购入库'!$D$4:$D$2003,$A361))</f>
        <v>0</v>
      </c>
      <c r="E361" s="11">
        <f>IF(A361="",0,SUMIFS('[1]资金台帐'!$H$4:$H$3003,'[1]资金台帐'!$D$4:$D$3003,$A361,'[1]资金台帐'!$M$4:$M$3003,"往来"))</f>
        <v>0</v>
      </c>
      <c r="F361" s="11">
        <f>IF(A361="",0,N('[1]基础资料'!$M$360))</f>
        <v>0</v>
      </c>
      <c r="G361" s="11">
        <f>IF(OR(A361="",ISNUMBER(FIND("线上",B361))),0,SUMIFS('[1]销售出库'!$S$4:$S$2003,'[1]销售出库'!$B$4:$B$2003,$A361))</f>
        <v>0</v>
      </c>
      <c r="H361" s="11">
        <f>IF(A361="",0,SUMIFS('[1]资金台帐'!$G$4:$G$3003,'[1]资金台帐'!$D$4:$D$3003,$A361,'[1]资金台帐'!$M$4:$M$3003,"往来"))</f>
        <v>0</v>
      </c>
      <c r="I361" s="11">
        <f t="shared" si="0"/>
        <v>0</v>
      </c>
      <c r="J361" s="11">
        <f t="shared" si="1"/>
        <v>0</v>
      </c>
      <c r="K361" s="6">
        <f t="shared" si="2"/>
      </c>
    </row>
    <row r="362">
      <c r="A362" s="6">
        <f>IF('[1]基础资料'!$I$361="","",'[1]基础资料'!$I$361)</f>
      </c>
      <c r="B362" s="6">
        <f>IF(A362="","",'[1]基础资料'!$J$361&amp;IF('[1]基础资料'!$K$361="","","·"&amp;'[1]基础资料'!$K$361))</f>
      </c>
      <c r="C362" s="11">
        <f>IF(A362="",0,N('[1]基础资料'!$L$361))</f>
        <v>0</v>
      </c>
      <c r="D362" s="11">
        <f>IF(A362="",0,SUMIFS('[1]采购入库'!$V$4:$V$2003,'[1]采购入库'!$D$4:$D$2003,$A362))</f>
        <v>0</v>
      </c>
      <c r="E362" s="11">
        <f>IF(A362="",0,SUMIFS('[1]资金台帐'!$H$4:$H$3003,'[1]资金台帐'!$D$4:$D$3003,$A362,'[1]资金台帐'!$M$4:$M$3003,"往来"))</f>
        <v>0</v>
      </c>
      <c r="F362" s="11">
        <f>IF(A362="",0,N('[1]基础资料'!$M$361))</f>
        <v>0</v>
      </c>
      <c r="G362" s="11">
        <f>IF(OR(A362="",ISNUMBER(FIND("线上",B362))),0,SUMIFS('[1]销售出库'!$S$4:$S$2003,'[1]销售出库'!$B$4:$B$2003,$A362))</f>
        <v>0</v>
      </c>
      <c r="H362" s="11">
        <f>IF(A362="",0,SUMIFS('[1]资金台帐'!$G$4:$G$3003,'[1]资金台帐'!$D$4:$D$3003,$A362,'[1]资金台帐'!$M$4:$M$3003,"往来"))</f>
        <v>0</v>
      </c>
      <c r="I362" s="11">
        <f t="shared" si="0"/>
        <v>0</v>
      </c>
      <c r="J362" s="11">
        <f t="shared" si="1"/>
        <v>0</v>
      </c>
      <c r="K362" s="6">
        <f t="shared" si="2"/>
      </c>
    </row>
    <row r="363">
      <c r="A363" s="6">
        <f>IF('[1]基础资料'!$I$362="","",'[1]基础资料'!$I$362)</f>
      </c>
      <c r="B363" s="6">
        <f>IF(A363="","",'[1]基础资料'!$J$362&amp;IF('[1]基础资料'!$K$362="","","·"&amp;'[1]基础资料'!$K$362))</f>
      </c>
      <c r="C363" s="11">
        <f>IF(A363="",0,N('[1]基础资料'!$L$362))</f>
        <v>0</v>
      </c>
      <c r="D363" s="11">
        <f>IF(A363="",0,SUMIFS('[1]采购入库'!$V$4:$V$2003,'[1]采购入库'!$D$4:$D$2003,$A363))</f>
        <v>0</v>
      </c>
      <c r="E363" s="11">
        <f>IF(A363="",0,SUMIFS('[1]资金台帐'!$H$4:$H$3003,'[1]资金台帐'!$D$4:$D$3003,$A363,'[1]资金台帐'!$M$4:$M$3003,"往来"))</f>
        <v>0</v>
      </c>
      <c r="F363" s="11">
        <f>IF(A363="",0,N('[1]基础资料'!$M$362))</f>
        <v>0</v>
      </c>
      <c r="G363" s="11">
        <f>IF(OR(A363="",ISNUMBER(FIND("线上",B363))),0,SUMIFS('[1]销售出库'!$S$4:$S$2003,'[1]销售出库'!$B$4:$B$2003,$A363))</f>
        <v>0</v>
      </c>
      <c r="H363" s="11">
        <f>IF(A363="",0,SUMIFS('[1]资金台帐'!$G$4:$G$3003,'[1]资金台帐'!$D$4:$D$3003,$A363,'[1]资金台帐'!$M$4:$M$3003,"往来"))</f>
        <v>0</v>
      </c>
      <c r="I363" s="11">
        <f t="shared" si="0"/>
        <v>0</v>
      </c>
      <c r="J363" s="11">
        <f t="shared" si="1"/>
        <v>0</v>
      </c>
      <c r="K363" s="6">
        <f t="shared" si="2"/>
      </c>
    </row>
    <row r="364">
      <c r="A364" s="6">
        <f>IF('[1]基础资料'!$I$363="","",'[1]基础资料'!$I$363)</f>
      </c>
      <c r="B364" s="6">
        <f>IF(A364="","",'[1]基础资料'!$J$363&amp;IF('[1]基础资料'!$K$363="","","·"&amp;'[1]基础资料'!$K$363))</f>
      </c>
      <c r="C364" s="11">
        <f>IF(A364="",0,N('[1]基础资料'!$L$363))</f>
        <v>0</v>
      </c>
      <c r="D364" s="11">
        <f>IF(A364="",0,SUMIFS('[1]采购入库'!$V$4:$V$2003,'[1]采购入库'!$D$4:$D$2003,$A364))</f>
        <v>0</v>
      </c>
      <c r="E364" s="11">
        <f>IF(A364="",0,SUMIFS('[1]资金台帐'!$H$4:$H$3003,'[1]资金台帐'!$D$4:$D$3003,$A364,'[1]资金台帐'!$M$4:$M$3003,"往来"))</f>
        <v>0</v>
      </c>
      <c r="F364" s="11">
        <f>IF(A364="",0,N('[1]基础资料'!$M$363))</f>
        <v>0</v>
      </c>
      <c r="G364" s="11">
        <f>IF(OR(A364="",ISNUMBER(FIND("线上",B364))),0,SUMIFS('[1]销售出库'!$S$4:$S$2003,'[1]销售出库'!$B$4:$B$2003,$A364))</f>
        <v>0</v>
      </c>
      <c r="H364" s="11">
        <f>IF(A364="",0,SUMIFS('[1]资金台帐'!$G$4:$G$3003,'[1]资金台帐'!$D$4:$D$3003,$A364,'[1]资金台帐'!$M$4:$M$3003,"往来"))</f>
        <v>0</v>
      </c>
      <c r="I364" s="11">
        <f t="shared" si="0"/>
        <v>0</v>
      </c>
      <c r="J364" s="11">
        <f t="shared" si="1"/>
        <v>0</v>
      </c>
      <c r="K364" s="6">
        <f t="shared" si="2"/>
      </c>
    </row>
    <row r="365">
      <c r="A365" s="6">
        <f>IF('[1]基础资料'!$I$364="","",'[1]基础资料'!$I$364)</f>
      </c>
      <c r="B365" s="6">
        <f>IF(A365="","",'[1]基础资料'!$J$364&amp;IF('[1]基础资料'!$K$364="","","·"&amp;'[1]基础资料'!$K$364))</f>
      </c>
      <c r="C365" s="11">
        <f>IF(A365="",0,N('[1]基础资料'!$L$364))</f>
        <v>0</v>
      </c>
      <c r="D365" s="11">
        <f>IF(A365="",0,SUMIFS('[1]采购入库'!$V$4:$V$2003,'[1]采购入库'!$D$4:$D$2003,$A365))</f>
        <v>0</v>
      </c>
      <c r="E365" s="11">
        <f>IF(A365="",0,SUMIFS('[1]资金台帐'!$H$4:$H$3003,'[1]资金台帐'!$D$4:$D$3003,$A365,'[1]资金台帐'!$M$4:$M$3003,"往来"))</f>
        <v>0</v>
      </c>
      <c r="F365" s="11">
        <f>IF(A365="",0,N('[1]基础资料'!$M$364))</f>
        <v>0</v>
      </c>
      <c r="G365" s="11">
        <f>IF(OR(A365="",ISNUMBER(FIND("线上",B365))),0,SUMIFS('[1]销售出库'!$S$4:$S$2003,'[1]销售出库'!$B$4:$B$2003,$A365))</f>
        <v>0</v>
      </c>
      <c r="H365" s="11">
        <f>IF(A365="",0,SUMIFS('[1]资金台帐'!$G$4:$G$3003,'[1]资金台帐'!$D$4:$D$3003,$A365,'[1]资金台帐'!$M$4:$M$3003,"往来"))</f>
        <v>0</v>
      </c>
      <c r="I365" s="11">
        <f t="shared" si="0"/>
        <v>0</v>
      </c>
      <c r="J365" s="11">
        <f t="shared" si="1"/>
        <v>0</v>
      </c>
      <c r="K365" s="6">
        <f t="shared" si="2"/>
      </c>
    </row>
    <row r="366">
      <c r="A366" s="6">
        <f>IF('[1]基础资料'!$I$365="","",'[1]基础资料'!$I$365)</f>
      </c>
      <c r="B366" s="6">
        <f>IF(A366="","",'[1]基础资料'!$J$365&amp;IF('[1]基础资料'!$K$365="","","·"&amp;'[1]基础资料'!$K$365))</f>
      </c>
      <c r="C366" s="11">
        <f>IF(A366="",0,N('[1]基础资料'!$L$365))</f>
        <v>0</v>
      </c>
      <c r="D366" s="11">
        <f>IF(A366="",0,SUMIFS('[1]采购入库'!$V$4:$V$2003,'[1]采购入库'!$D$4:$D$2003,$A366))</f>
        <v>0</v>
      </c>
      <c r="E366" s="11">
        <f>IF(A366="",0,SUMIFS('[1]资金台帐'!$H$4:$H$3003,'[1]资金台帐'!$D$4:$D$3003,$A366,'[1]资金台帐'!$M$4:$M$3003,"往来"))</f>
        <v>0</v>
      </c>
      <c r="F366" s="11">
        <f>IF(A366="",0,N('[1]基础资料'!$M$365))</f>
        <v>0</v>
      </c>
      <c r="G366" s="11">
        <f>IF(OR(A366="",ISNUMBER(FIND("线上",B366))),0,SUMIFS('[1]销售出库'!$S$4:$S$2003,'[1]销售出库'!$B$4:$B$2003,$A366))</f>
        <v>0</v>
      </c>
      <c r="H366" s="11">
        <f>IF(A366="",0,SUMIFS('[1]资金台帐'!$G$4:$G$3003,'[1]资金台帐'!$D$4:$D$3003,$A366,'[1]资金台帐'!$M$4:$M$3003,"往来"))</f>
        <v>0</v>
      </c>
      <c r="I366" s="11">
        <f t="shared" si="0"/>
        <v>0</v>
      </c>
      <c r="J366" s="11">
        <f t="shared" si="1"/>
        <v>0</v>
      </c>
      <c r="K366" s="6">
        <f t="shared" si="2"/>
      </c>
    </row>
    <row r="367">
      <c r="A367" s="6">
        <f>IF('[1]基础资料'!$I$366="","",'[1]基础资料'!$I$366)</f>
      </c>
      <c r="B367" s="6">
        <f>IF(A367="","",'[1]基础资料'!$J$366&amp;IF('[1]基础资料'!$K$366="","","·"&amp;'[1]基础资料'!$K$366))</f>
      </c>
      <c r="C367" s="11">
        <f>IF(A367="",0,N('[1]基础资料'!$L$366))</f>
        <v>0</v>
      </c>
      <c r="D367" s="11">
        <f>IF(A367="",0,SUMIFS('[1]采购入库'!$V$4:$V$2003,'[1]采购入库'!$D$4:$D$2003,$A367))</f>
        <v>0</v>
      </c>
      <c r="E367" s="11">
        <f>IF(A367="",0,SUMIFS('[1]资金台帐'!$H$4:$H$3003,'[1]资金台帐'!$D$4:$D$3003,$A367,'[1]资金台帐'!$M$4:$M$3003,"往来"))</f>
        <v>0</v>
      </c>
      <c r="F367" s="11">
        <f>IF(A367="",0,N('[1]基础资料'!$M$366))</f>
        <v>0</v>
      </c>
      <c r="G367" s="11">
        <f>IF(OR(A367="",ISNUMBER(FIND("线上",B367))),0,SUMIFS('[1]销售出库'!$S$4:$S$2003,'[1]销售出库'!$B$4:$B$2003,$A367))</f>
        <v>0</v>
      </c>
      <c r="H367" s="11">
        <f>IF(A367="",0,SUMIFS('[1]资金台帐'!$G$4:$G$3003,'[1]资金台帐'!$D$4:$D$3003,$A367,'[1]资金台帐'!$M$4:$M$3003,"往来"))</f>
        <v>0</v>
      </c>
      <c r="I367" s="11">
        <f t="shared" si="0"/>
        <v>0</v>
      </c>
      <c r="J367" s="11">
        <f t="shared" si="1"/>
        <v>0</v>
      </c>
      <c r="K367" s="6">
        <f t="shared" si="2"/>
      </c>
    </row>
    <row r="368">
      <c r="A368" s="6">
        <f>IF('[1]基础资料'!$I$367="","",'[1]基础资料'!$I$367)</f>
      </c>
      <c r="B368" s="6">
        <f>IF(A368="","",'[1]基础资料'!$J$367&amp;IF('[1]基础资料'!$K$367="","","·"&amp;'[1]基础资料'!$K$367))</f>
      </c>
      <c r="C368" s="11">
        <f>IF(A368="",0,N('[1]基础资料'!$L$367))</f>
        <v>0</v>
      </c>
      <c r="D368" s="11">
        <f>IF(A368="",0,SUMIFS('[1]采购入库'!$V$4:$V$2003,'[1]采购入库'!$D$4:$D$2003,$A368))</f>
        <v>0</v>
      </c>
      <c r="E368" s="11">
        <f>IF(A368="",0,SUMIFS('[1]资金台帐'!$H$4:$H$3003,'[1]资金台帐'!$D$4:$D$3003,$A368,'[1]资金台帐'!$M$4:$M$3003,"往来"))</f>
        <v>0</v>
      </c>
      <c r="F368" s="11">
        <f>IF(A368="",0,N('[1]基础资料'!$M$367))</f>
        <v>0</v>
      </c>
      <c r="G368" s="11">
        <f>IF(OR(A368="",ISNUMBER(FIND("线上",B368))),0,SUMIFS('[1]销售出库'!$S$4:$S$2003,'[1]销售出库'!$B$4:$B$2003,$A368))</f>
        <v>0</v>
      </c>
      <c r="H368" s="11">
        <f>IF(A368="",0,SUMIFS('[1]资金台帐'!$G$4:$G$3003,'[1]资金台帐'!$D$4:$D$3003,$A368,'[1]资金台帐'!$M$4:$M$3003,"往来"))</f>
        <v>0</v>
      </c>
      <c r="I368" s="11">
        <f t="shared" si="0"/>
        <v>0</v>
      </c>
      <c r="J368" s="11">
        <f t="shared" si="1"/>
        <v>0</v>
      </c>
      <c r="K368" s="6">
        <f t="shared" si="2"/>
      </c>
    </row>
    <row r="369">
      <c r="A369" s="6">
        <f>IF('[1]基础资料'!$I$368="","",'[1]基础资料'!$I$368)</f>
      </c>
      <c r="B369" s="6">
        <f>IF(A369="","",'[1]基础资料'!$J$368&amp;IF('[1]基础资料'!$K$368="","","·"&amp;'[1]基础资料'!$K$368))</f>
      </c>
      <c r="C369" s="11">
        <f>IF(A369="",0,N('[1]基础资料'!$L$368))</f>
        <v>0</v>
      </c>
      <c r="D369" s="11">
        <f>IF(A369="",0,SUMIFS('[1]采购入库'!$V$4:$V$2003,'[1]采购入库'!$D$4:$D$2003,$A369))</f>
        <v>0</v>
      </c>
      <c r="E369" s="11">
        <f>IF(A369="",0,SUMIFS('[1]资金台帐'!$H$4:$H$3003,'[1]资金台帐'!$D$4:$D$3003,$A369,'[1]资金台帐'!$M$4:$M$3003,"往来"))</f>
        <v>0</v>
      </c>
      <c r="F369" s="11">
        <f>IF(A369="",0,N('[1]基础资料'!$M$368))</f>
        <v>0</v>
      </c>
      <c r="G369" s="11">
        <f>IF(OR(A369="",ISNUMBER(FIND("线上",B369))),0,SUMIFS('[1]销售出库'!$S$4:$S$2003,'[1]销售出库'!$B$4:$B$2003,$A369))</f>
        <v>0</v>
      </c>
      <c r="H369" s="11">
        <f>IF(A369="",0,SUMIFS('[1]资金台帐'!$G$4:$G$3003,'[1]资金台帐'!$D$4:$D$3003,$A369,'[1]资金台帐'!$M$4:$M$3003,"往来"))</f>
        <v>0</v>
      </c>
      <c r="I369" s="11">
        <f t="shared" si="0"/>
        <v>0</v>
      </c>
      <c r="J369" s="11">
        <f t="shared" si="1"/>
        <v>0</v>
      </c>
      <c r="K369" s="6">
        <f t="shared" si="2"/>
      </c>
    </row>
    <row r="370">
      <c r="A370" s="6">
        <f>IF('[1]基础资料'!$I$369="","",'[1]基础资料'!$I$369)</f>
      </c>
      <c r="B370" s="6">
        <f>IF(A370="","",'[1]基础资料'!$J$369&amp;IF('[1]基础资料'!$K$369="","","·"&amp;'[1]基础资料'!$K$369))</f>
      </c>
      <c r="C370" s="11">
        <f>IF(A370="",0,N('[1]基础资料'!$L$369))</f>
        <v>0</v>
      </c>
      <c r="D370" s="11">
        <f>IF(A370="",0,SUMIFS('[1]采购入库'!$V$4:$V$2003,'[1]采购入库'!$D$4:$D$2003,$A370))</f>
        <v>0</v>
      </c>
      <c r="E370" s="11">
        <f>IF(A370="",0,SUMIFS('[1]资金台帐'!$H$4:$H$3003,'[1]资金台帐'!$D$4:$D$3003,$A370,'[1]资金台帐'!$M$4:$M$3003,"往来"))</f>
        <v>0</v>
      </c>
      <c r="F370" s="11">
        <f>IF(A370="",0,N('[1]基础资料'!$M$369))</f>
        <v>0</v>
      </c>
      <c r="G370" s="11">
        <f>IF(OR(A370="",ISNUMBER(FIND("线上",B370))),0,SUMIFS('[1]销售出库'!$S$4:$S$2003,'[1]销售出库'!$B$4:$B$2003,$A370))</f>
        <v>0</v>
      </c>
      <c r="H370" s="11">
        <f>IF(A370="",0,SUMIFS('[1]资金台帐'!$G$4:$G$3003,'[1]资金台帐'!$D$4:$D$3003,$A370,'[1]资金台帐'!$M$4:$M$3003,"往来"))</f>
        <v>0</v>
      </c>
      <c r="I370" s="11">
        <f t="shared" si="0"/>
        <v>0</v>
      </c>
      <c r="J370" s="11">
        <f t="shared" si="1"/>
        <v>0</v>
      </c>
      <c r="K370" s="6">
        <f t="shared" si="2"/>
      </c>
    </row>
    <row r="371">
      <c r="A371" s="6">
        <f>IF('[1]基础资料'!$I$370="","",'[1]基础资料'!$I$370)</f>
      </c>
      <c r="B371" s="6">
        <f>IF(A371="","",'[1]基础资料'!$J$370&amp;IF('[1]基础资料'!$K$370="","","·"&amp;'[1]基础资料'!$K$370))</f>
      </c>
      <c r="C371" s="11">
        <f>IF(A371="",0,N('[1]基础资料'!$L$370))</f>
        <v>0</v>
      </c>
      <c r="D371" s="11">
        <f>IF(A371="",0,SUMIFS('[1]采购入库'!$V$4:$V$2003,'[1]采购入库'!$D$4:$D$2003,$A371))</f>
        <v>0</v>
      </c>
      <c r="E371" s="11">
        <f>IF(A371="",0,SUMIFS('[1]资金台帐'!$H$4:$H$3003,'[1]资金台帐'!$D$4:$D$3003,$A371,'[1]资金台帐'!$M$4:$M$3003,"往来"))</f>
        <v>0</v>
      </c>
      <c r="F371" s="11">
        <f>IF(A371="",0,N('[1]基础资料'!$M$370))</f>
        <v>0</v>
      </c>
      <c r="G371" s="11">
        <f>IF(OR(A371="",ISNUMBER(FIND("线上",B371))),0,SUMIFS('[1]销售出库'!$S$4:$S$2003,'[1]销售出库'!$B$4:$B$2003,$A371))</f>
        <v>0</v>
      </c>
      <c r="H371" s="11">
        <f>IF(A371="",0,SUMIFS('[1]资金台帐'!$G$4:$G$3003,'[1]资金台帐'!$D$4:$D$3003,$A371,'[1]资金台帐'!$M$4:$M$3003,"往来"))</f>
        <v>0</v>
      </c>
      <c r="I371" s="11">
        <f t="shared" si="0"/>
        <v>0</v>
      </c>
      <c r="J371" s="11">
        <f t="shared" si="1"/>
        <v>0</v>
      </c>
      <c r="K371" s="6">
        <f t="shared" si="2"/>
      </c>
    </row>
    <row r="372">
      <c r="A372" s="6">
        <f>IF('[1]基础资料'!$I$371="","",'[1]基础资料'!$I$371)</f>
      </c>
      <c r="B372" s="6">
        <f>IF(A372="","",'[1]基础资料'!$J$371&amp;IF('[1]基础资料'!$K$371="","","·"&amp;'[1]基础资料'!$K$371))</f>
      </c>
      <c r="C372" s="11">
        <f>IF(A372="",0,N('[1]基础资料'!$L$371))</f>
        <v>0</v>
      </c>
      <c r="D372" s="11">
        <f>IF(A372="",0,SUMIFS('[1]采购入库'!$V$4:$V$2003,'[1]采购入库'!$D$4:$D$2003,$A372))</f>
        <v>0</v>
      </c>
      <c r="E372" s="11">
        <f>IF(A372="",0,SUMIFS('[1]资金台帐'!$H$4:$H$3003,'[1]资金台帐'!$D$4:$D$3003,$A372,'[1]资金台帐'!$M$4:$M$3003,"往来"))</f>
        <v>0</v>
      </c>
      <c r="F372" s="11">
        <f>IF(A372="",0,N('[1]基础资料'!$M$371))</f>
        <v>0</v>
      </c>
      <c r="G372" s="11">
        <f>IF(OR(A372="",ISNUMBER(FIND("线上",B372))),0,SUMIFS('[1]销售出库'!$S$4:$S$2003,'[1]销售出库'!$B$4:$B$2003,$A372))</f>
        <v>0</v>
      </c>
      <c r="H372" s="11">
        <f>IF(A372="",0,SUMIFS('[1]资金台帐'!$G$4:$G$3003,'[1]资金台帐'!$D$4:$D$3003,$A372,'[1]资金台帐'!$M$4:$M$3003,"往来"))</f>
        <v>0</v>
      </c>
      <c r="I372" s="11">
        <f t="shared" si="0"/>
        <v>0</v>
      </c>
      <c r="J372" s="11">
        <f t="shared" si="1"/>
        <v>0</v>
      </c>
      <c r="K372" s="6">
        <f t="shared" si="2"/>
      </c>
    </row>
    <row r="373">
      <c r="A373" s="6">
        <f>IF('[1]基础资料'!$I$372="","",'[1]基础资料'!$I$372)</f>
      </c>
      <c r="B373" s="6">
        <f>IF(A373="","",'[1]基础资料'!$J$372&amp;IF('[1]基础资料'!$K$372="","","·"&amp;'[1]基础资料'!$K$372))</f>
      </c>
      <c r="C373" s="11">
        <f>IF(A373="",0,N('[1]基础资料'!$L$372))</f>
        <v>0</v>
      </c>
      <c r="D373" s="11">
        <f>IF(A373="",0,SUMIFS('[1]采购入库'!$V$4:$V$2003,'[1]采购入库'!$D$4:$D$2003,$A373))</f>
        <v>0</v>
      </c>
      <c r="E373" s="11">
        <f>IF(A373="",0,SUMIFS('[1]资金台帐'!$H$4:$H$3003,'[1]资金台帐'!$D$4:$D$3003,$A373,'[1]资金台帐'!$M$4:$M$3003,"往来"))</f>
        <v>0</v>
      </c>
      <c r="F373" s="11">
        <f>IF(A373="",0,N('[1]基础资料'!$M$372))</f>
        <v>0</v>
      </c>
      <c r="G373" s="11">
        <f>IF(OR(A373="",ISNUMBER(FIND("线上",B373))),0,SUMIFS('[1]销售出库'!$S$4:$S$2003,'[1]销售出库'!$B$4:$B$2003,$A373))</f>
        <v>0</v>
      </c>
      <c r="H373" s="11">
        <f>IF(A373="",0,SUMIFS('[1]资金台帐'!$G$4:$G$3003,'[1]资金台帐'!$D$4:$D$3003,$A373,'[1]资金台帐'!$M$4:$M$3003,"往来"))</f>
        <v>0</v>
      </c>
      <c r="I373" s="11">
        <f t="shared" si="0"/>
        <v>0</v>
      </c>
      <c r="J373" s="11">
        <f t="shared" si="1"/>
        <v>0</v>
      </c>
      <c r="K373" s="6">
        <f t="shared" si="2"/>
      </c>
    </row>
    <row r="374">
      <c r="A374" s="6">
        <f>IF('[1]基础资料'!$I$373="","",'[1]基础资料'!$I$373)</f>
      </c>
      <c r="B374" s="6">
        <f>IF(A374="","",'[1]基础资料'!$J$373&amp;IF('[1]基础资料'!$K$373="","","·"&amp;'[1]基础资料'!$K$373))</f>
      </c>
      <c r="C374" s="11">
        <f>IF(A374="",0,N('[1]基础资料'!$L$373))</f>
        <v>0</v>
      </c>
      <c r="D374" s="11">
        <f>IF(A374="",0,SUMIFS('[1]采购入库'!$V$4:$V$2003,'[1]采购入库'!$D$4:$D$2003,$A374))</f>
        <v>0</v>
      </c>
      <c r="E374" s="11">
        <f>IF(A374="",0,SUMIFS('[1]资金台帐'!$H$4:$H$3003,'[1]资金台帐'!$D$4:$D$3003,$A374,'[1]资金台帐'!$M$4:$M$3003,"往来"))</f>
        <v>0</v>
      </c>
      <c r="F374" s="11">
        <f>IF(A374="",0,N('[1]基础资料'!$M$373))</f>
        <v>0</v>
      </c>
      <c r="G374" s="11">
        <f>IF(OR(A374="",ISNUMBER(FIND("线上",B374))),0,SUMIFS('[1]销售出库'!$S$4:$S$2003,'[1]销售出库'!$B$4:$B$2003,$A374))</f>
        <v>0</v>
      </c>
      <c r="H374" s="11">
        <f>IF(A374="",0,SUMIFS('[1]资金台帐'!$G$4:$G$3003,'[1]资金台帐'!$D$4:$D$3003,$A374,'[1]资金台帐'!$M$4:$M$3003,"往来"))</f>
        <v>0</v>
      </c>
      <c r="I374" s="11">
        <f t="shared" si="0"/>
        <v>0</v>
      </c>
      <c r="J374" s="11">
        <f t="shared" si="1"/>
        <v>0</v>
      </c>
      <c r="K374" s="6">
        <f t="shared" si="2"/>
      </c>
    </row>
    <row r="375">
      <c r="A375" s="6">
        <f>IF('[1]基础资料'!$I$374="","",'[1]基础资料'!$I$374)</f>
      </c>
      <c r="B375" s="6">
        <f>IF(A375="","",'[1]基础资料'!$J$374&amp;IF('[1]基础资料'!$K$374="","","·"&amp;'[1]基础资料'!$K$374))</f>
      </c>
      <c r="C375" s="11">
        <f>IF(A375="",0,N('[1]基础资料'!$L$374))</f>
        <v>0</v>
      </c>
      <c r="D375" s="11">
        <f>IF(A375="",0,SUMIFS('[1]采购入库'!$V$4:$V$2003,'[1]采购入库'!$D$4:$D$2003,$A375))</f>
        <v>0</v>
      </c>
      <c r="E375" s="11">
        <f>IF(A375="",0,SUMIFS('[1]资金台帐'!$H$4:$H$3003,'[1]资金台帐'!$D$4:$D$3003,$A375,'[1]资金台帐'!$M$4:$M$3003,"往来"))</f>
        <v>0</v>
      </c>
      <c r="F375" s="11">
        <f>IF(A375="",0,N('[1]基础资料'!$M$374))</f>
        <v>0</v>
      </c>
      <c r="G375" s="11">
        <f>IF(OR(A375="",ISNUMBER(FIND("线上",B375))),0,SUMIFS('[1]销售出库'!$S$4:$S$2003,'[1]销售出库'!$B$4:$B$2003,$A375))</f>
        <v>0</v>
      </c>
      <c r="H375" s="11">
        <f>IF(A375="",0,SUMIFS('[1]资金台帐'!$G$4:$G$3003,'[1]资金台帐'!$D$4:$D$3003,$A375,'[1]资金台帐'!$M$4:$M$3003,"往来"))</f>
        <v>0</v>
      </c>
      <c r="I375" s="11">
        <f t="shared" si="0"/>
        <v>0</v>
      </c>
      <c r="J375" s="11">
        <f t="shared" si="1"/>
        <v>0</v>
      </c>
      <c r="K375" s="6">
        <f t="shared" si="2"/>
      </c>
    </row>
    <row r="376">
      <c r="A376" s="6">
        <f>IF('[1]基础资料'!$I$375="","",'[1]基础资料'!$I$375)</f>
      </c>
      <c r="B376" s="6">
        <f>IF(A376="","",'[1]基础资料'!$J$375&amp;IF('[1]基础资料'!$K$375="","","·"&amp;'[1]基础资料'!$K$375))</f>
      </c>
      <c r="C376" s="11">
        <f>IF(A376="",0,N('[1]基础资料'!$L$375))</f>
        <v>0</v>
      </c>
      <c r="D376" s="11">
        <f>IF(A376="",0,SUMIFS('[1]采购入库'!$V$4:$V$2003,'[1]采购入库'!$D$4:$D$2003,$A376))</f>
        <v>0</v>
      </c>
      <c r="E376" s="11">
        <f>IF(A376="",0,SUMIFS('[1]资金台帐'!$H$4:$H$3003,'[1]资金台帐'!$D$4:$D$3003,$A376,'[1]资金台帐'!$M$4:$M$3003,"往来"))</f>
        <v>0</v>
      </c>
      <c r="F376" s="11">
        <f>IF(A376="",0,N('[1]基础资料'!$M$375))</f>
        <v>0</v>
      </c>
      <c r="G376" s="11">
        <f>IF(OR(A376="",ISNUMBER(FIND("线上",B376))),0,SUMIFS('[1]销售出库'!$S$4:$S$2003,'[1]销售出库'!$B$4:$B$2003,$A376))</f>
        <v>0</v>
      </c>
      <c r="H376" s="11">
        <f>IF(A376="",0,SUMIFS('[1]资金台帐'!$G$4:$G$3003,'[1]资金台帐'!$D$4:$D$3003,$A376,'[1]资金台帐'!$M$4:$M$3003,"往来"))</f>
        <v>0</v>
      </c>
      <c r="I376" s="11">
        <f t="shared" si="0"/>
        <v>0</v>
      </c>
      <c r="J376" s="11">
        <f t="shared" si="1"/>
        <v>0</v>
      </c>
      <c r="K376" s="6">
        <f t="shared" si="2"/>
      </c>
    </row>
    <row r="377">
      <c r="A377" s="6">
        <f>IF('[1]基础资料'!$I$376="","",'[1]基础资料'!$I$376)</f>
      </c>
      <c r="B377" s="6">
        <f>IF(A377="","",'[1]基础资料'!$J$376&amp;IF('[1]基础资料'!$K$376="","","·"&amp;'[1]基础资料'!$K$376))</f>
      </c>
      <c r="C377" s="11">
        <f>IF(A377="",0,N('[1]基础资料'!$L$376))</f>
        <v>0</v>
      </c>
      <c r="D377" s="11">
        <f>IF(A377="",0,SUMIFS('[1]采购入库'!$V$4:$V$2003,'[1]采购入库'!$D$4:$D$2003,$A377))</f>
        <v>0</v>
      </c>
      <c r="E377" s="11">
        <f>IF(A377="",0,SUMIFS('[1]资金台帐'!$H$4:$H$3003,'[1]资金台帐'!$D$4:$D$3003,$A377,'[1]资金台帐'!$M$4:$M$3003,"往来"))</f>
        <v>0</v>
      </c>
      <c r="F377" s="11">
        <f>IF(A377="",0,N('[1]基础资料'!$M$376))</f>
        <v>0</v>
      </c>
      <c r="G377" s="11">
        <f>IF(OR(A377="",ISNUMBER(FIND("线上",B377))),0,SUMIFS('[1]销售出库'!$S$4:$S$2003,'[1]销售出库'!$B$4:$B$2003,$A377))</f>
        <v>0</v>
      </c>
      <c r="H377" s="11">
        <f>IF(A377="",0,SUMIFS('[1]资金台帐'!$G$4:$G$3003,'[1]资金台帐'!$D$4:$D$3003,$A377,'[1]资金台帐'!$M$4:$M$3003,"往来"))</f>
        <v>0</v>
      </c>
      <c r="I377" s="11">
        <f t="shared" si="0"/>
        <v>0</v>
      </c>
      <c r="J377" s="11">
        <f t="shared" si="1"/>
        <v>0</v>
      </c>
      <c r="K377" s="6">
        <f t="shared" si="2"/>
      </c>
    </row>
    <row r="378">
      <c r="A378" s="6">
        <f>IF('[1]基础资料'!$I$377="","",'[1]基础资料'!$I$377)</f>
      </c>
      <c r="B378" s="6">
        <f>IF(A378="","",'[1]基础资料'!$J$377&amp;IF('[1]基础资料'!$K$377="","","·"&amp;'[1]基础资料'!$K$377))</f>
      </c>
      <c r="C378" s="11">
        <f>IF(A378="",0,N('[1]基础资料'!$L$377))</f>
        <v>0</v>
      </c>
      <c r="D378" s="11">
        <f>IF(A378="",0,SUMIFS('[1]采购入库'!$V$4:$V$2003,'[1]采购入库'!$D$4:$D$2003,$A378))</f>
        <v>0</v>
      </c>
      <c r="E378" s="11">
        <f>IF(A378="",0,SUMIFS('[1]资金台帐'!$H$4:$H$3003,'[1]资金台帐'!$D$4:$D$3003,$A378,'[1]资金台帐'!$M$4:$M$3003,"往来"))</f>
        <v>0</v>
      </c>
      <c r="F378" s="11">
        <f>IF(A378="",0,N('[1]基础资料'!$M$377))</f>
        <v>0</v>
      </c>
      <c r="G378" s="11">
        <f>IF(OR(A378="",ISNUMBER(FIND("线上",B378))),0,SUMIFS('[1]销售出库'!$S$4:$S$2003,'[1]销售出库'!$B$4:$B$2003,$A378))</f>
        <v>0</v>
      </c>
      <c r="H378" s="11">
        <f>IF(A378="",0,SUMIFS('[1]资金台帐'!$G$4:$G$3003,'[1]资金台帐'!$D$4:$D$3003,$A378,'[1]资金台帐'!$M$4:$M$3003,"往来"))</f>
        <v>0</v>
      </c>
      <c r="I378" s="11">
        <f t="shared" si="0"/>
        <v>0</v>
      </c>
      <c r="J378" s="11">
        <f t="shared" si="1"/>
        <v>0</v>
      </c>
      <c r="K378" s="6">
        <f t="shared" si="2"/>
      </c>
    </row>
    <row r="379">
      <c r="A379" s="6">
        <f>IF('[1]基础资料'!$I$378="","",'[1]基础资料'!$I$378)</f>
      </c>
      <c r="B379" s="6">
        <f>IF(A379="","",'[1]基础资料'!$J$378&amp;IF('[1]基础资料'!$K$378="","","·"&amp;'[1]基础资料'!$K$378))</f>
      </c>
      <c r="C379" s="11">
        <f>IF(A379="",0,N('[1]基础资料'!$L$378))</f>
        <v>0</v>
      </c>
      <c r="D379" s="11">
        <f>IF(A379="",0,SUMIFS('[1]采购入库'!$V$4:$V$2003,'[1]采购入库'!$D$4:$D$2003,$A379))</f>
        <v>0</v>
      </c>
      <c r="E379" s="11">
        <f>IF(A379="",0,SUMIFS('[1]资金台帐'!$H$4:$H$3003,'[1]资金台帐'!$D$4:$D$3003,$A379,'[1]资金台帐'!$M$4:$M$3003,"往来"))</f>
        <v>0</v>
      </c>
      <c r="F379" s="11">
        <f>IF(A379="",0,N('[1]基础资料'!$M$378))</f>
        <v>0</v>
      </c>
      <c r="G379" s="11">
        <f>IF(OR(A379="",ISNUMBER(FIND("线上",B379))),0,SUMIFS('[1]销售出库'!$S$4:$S$2003,'[1]销售出库'!$B$4:$B$2003,$A379))</f>
        <v>0</v>
      </c>
      <c r="H379" s="11">
        <f>IF(A379="",0,SUMIFS('[1]资金台帐'!$G$4:$G$3003,'[1]资金台帐'!$D$4:$D$3003,$A379,'[1]资金台帐'!$M$4:$M$3003,"往来"))</f>
        <v>0</v>
      </c>
      <c r="I379" s="11">
        <f t="shared" si="0"/>
        <v>0</v>
      </c>
      <c r="J379" s="11">
        <f t="shared" si="1"/>
        <v>0</v>
      </c>
      <c r="K379" s="6">
        <f t="shared" si="2"/>
      </c>
    </row>
    <row r="380">
      <c r="A380" s="6">
        <f>IF('[1]基础资料'!$I$379="","",'[1]基础资料'!$I$379)</f>
      </c>
      <c r="B380" s="6">
        <f>IF(A380="","",'[1]基础资料'!$J$379&amp;IF('[1]基础资料'!$K$379="","","·"&amp;'[1]基础资料'!$K$379))</f>
      </c>
      <c r="C380" s="11">
        <f>IF(A380="",0,N('[1]基础资料'!$L$379))</f>
        <v>0</v>
      </c>
      <c r="D380" s="11">
        <f>IF(A380="",0,SUMIFS('[1]采购入库'!$V$4:$V$2003,'[1]采购入库'!$D$4:$D$2003,$A380))</f>
        <v>0</v>
      </c>
      <c r="E380" s="11">
        <f>IF(A380="",0,SUMIFS('[1]资金台帐'!$H$4:$H$3003,'[1]资金台帐'!$D$4:$D$3003,$A380,'[1]资金台帐'!$M$4:$M$3003,"往来"))</f>
        <v>0</v>
      </c>
      <c r="F380" s="11">
        <f>IF(A380="",0,N('[1]基础资料'!$M$379))</f>
        <v>0</v>
      </c>
      <c r="G380" s="11">
        <f>IF(OR(A380="",ISNUMBER(FIND("线上",B380))),0,SUMIFS('[1]销售出库'!$S$4:$S$2003,'[1]销售出库'!$B$4:$B$2003,$A380))</f>
        <v>0</v>
      </c>
      <c r="H380" s="11">
        <f>IF(A380="",0,SUMIFS('[1]资金台帐'!$G$4:$G$3003,'[1]资金台帐'!$D$4:$D$3003,$A380,'[1]资金台帐'!$M$4:$M$3003,"往来"))</f>
        <v>0</v>
      </c>
      <c r="I380" s="11">
        <f t="shared" si="0"/>
        <v>0</v>
      </c>
      <c r="J380" s="11">
        <f t="shared" si="1"/>
        <v>0</v>
      </c>
      <c r="K380" s="6">
        <f t="shared" si="2"/>
      </c>
    </row>
    <row r="381">
      <c r="A381" s="6">
        <f>IF('[1]基础资料'!$I$380="","",'[1]基础资料'!$I$380)</f>
      </c>
      <c r="B381" s="6">
        <f>IF(A381="","",'[1]基础资料'!$J$380&amp;IF('[1]基础资料'!$K$380="","","·"&amp;'[1]基础资料'!$K$380))</f>
      </c>
      <c r="C381" s="11">
        <f>IF(A381="",0,N('[1]基础资料'!$L$380))</f>
        <v>0</v>
      </c>
      <c r="D381" s="11">
        <f>IF(A381="",0,SUMIFS('[1]采购入库'!$V$4:$V$2003,'[1]采购入库'!$D$4:$D$2003,$A381))</f>
        <v>0</v>
      </c>
      <c r="E381" s="11">
        <f>IF(A381="",0,SUMIFS('[1]资金台帐'!$H$4:$H$3003,'[1]资金台帐'!$D$4:$D$3003,$A381,'[1]资金台帐'!$M$4:$M$3003,"往来"))</f>
        <v>0</v>
      </c>
      <c r="F381" s="11">
        <f>IF(A381="",0,N('[1]基础资料'!$M$380))</f>
        <v>0</v>
      </c>
      <c r="G381" s="11">
        <f>IF(OR(A381="",ISNUMBER(FIND("线上",B381))),0,SUMIFS('[1]销售出库'!$S$4:$S$2003,'[1]销售出库'!$B$4:$B$2003,$A381))</f>
        <v>0</v>
      </c>
      <c r="H381" s="11">
        <f>IF(A381="",0,SUMIFS('[1]资金台帐'!$G$4:$G$3003,'[1]资金台帐'!$D$4:$D$3003,$A381,'[1]资金台帐'!$M$4:$M$3003,"往来"))</f>
        <v>0</v>
      </c>
      <c r="I381" s="11">
        <f t="shared" si="0"/>
        <v>0</v>
      </c>
      <c r="J381" s="11">
        <f t="shared" si="1"/>
        <v>0</v>
      </c>
      <c r="K381" s="6">
        <f t="shared" si="2"/>
      </c>
    </row>
    <row r="382">
      <c r="A382" s="6">
        <f>IF('[1]基础资料'!$I$381="","",'[1]基础资料'!$I$381)</f>
      </c>
      <c r="B382" s="6">
        <f>IF(A382="","",'[1]基础资料'!$J$381&amp;IF('[1]基础资料'!$K$381="","","·"&amp;'[1]基础资料'!$K$381))</f>
      </c>
      <c r="C382" s="11">
        <f>IF(A382="",0,N('[1]基础资料'!$L$381))</f>
        <v>0</v>
      </c>
      <c r="D382" s="11">
        <f>IF(A382="",0,SUMIFS('[1]采购入库'!$V$4:$V$2003,'[1]采购入库'!$D$4:$D$2003,$A382))</f>
        <v>0</v>
      </c>
      <c r="E382" s="11">
        <f>IF(A382="",0,SUMIFS('[1]资金台帐'!$H$4:$H$3003,'[1]资金台帐'!$D$4:$D$3003,$A382,'[1]资金台帐'!$M$4:$M$3003,"往来"))</f>
        <v>0</v>
      </c>
      <c r="F382" s="11">
        <f>IF(A382="",0,N('[1]基础资料'!$M$381))</f>
        <v>0</v>
      </c>
      <c r="G382" s="11">
        <f>IF(OR(A382="",ISNUMBER(FIND("线上",B382))),0,SUMIFS('[1]销售出库'!$S$4:$S$2003,'[1]销售出库'!$B$4:$B$2003,$A382))</f>
        <v>0</v>
      </c>
      <c r="H382" s="11">
        <f>IF(A382="",0,SUMIFS('[1]资金台帐'!$G$4:$G$3003,'[1]资金台帐'!$D$4:$D$3003,$A382,'[1]资金台帐'!$M$4:$M$3003,"往来"))</f>
        <v>0</v>
      </c>
      <c r="I382" s="11">
        <f t="shared" si="0"/>
        <v>0</v>
      </c>
      <c r="J382" s="11">
        <f t="shared" si="1"/>
        <v>0</v>
      </c>
      <c r="K382" s="6">
        <f t="shared" si="2"/>
      </c>
    </row>
    <row r="383">
      <c r="A383" s="6">
        <f>IF('[1]基础资料'!$I$382="","",'[1]基础资料'!$I$382)</f>
      </c>
      <c r="B383" s="6">
        <f>IF(A383="","",'[1]基础资料'!$J$382&amp;IF('[1]基础资料'!$K$382="","","·"&amp;'[1]基础资料'!$K$382))</f>
      </c>
      <c r="C383" s="11">
        <f>IF(A383="",0,N('[1]基础资料'!$L$382))</f>
        <v>0</v>
      </c>
      <c r="D383" s="11">
        <f>IF(A383="",0,SUMIFS('[1]采购入库'!$V$4:$V$2003,'[1]采购入库'!$D$4:$D$2003,$A383))</f>
        <v>0</v>
      </c>
      <c r="E383" s="11">
        <f>IF(A383="",0,SUMIFS('[1]资金台帐'!$H$4:$H$3003,'[1]资金台帐'!$D$4:$D$3003,$A383,'[1]资金台帐'!$M$4:$M$3003,"往来"))</f>
        <v>0</v>
      </c>
      <c r="F383" s="11">
        <f>IF(A383="",0,N('[1]基础资料'!$M$382))</f>
        <v>0</v>
      </c>
      <c r="G383" s="11">
        <f>IF(OR(A383="",ISNUMBER(FIND("线上",B383))),0,SUMIFS('[1]销售出库'!$S$4:$S$2003,'[1]销售出库'!$B$4:$B$2003,$A383))</f>
        <v>0</v>
      </c>
      <c r="H383" s="11">
        <f>IF(A383="",0,SUMIFS('[1]资金台帐'!$G$4:$G$3003,'[1]资金台帐'!$D$4:$D$3003,$A383,'[1]资金台帐'!$M$4:$M$3003,"往来"))</f>
        <v>0</v>
      </c>
      <c r="I383" s="11">
        <f t="shared" si="0"/>
        <v>0</v>
      </c>
      <c r="J383" s="11">
        <f t="shared" si="1"/>
        <v>0</v>
      </c>
      <c r="K383" s="6">
        <f t="shared" si="2"/>
      </c>
    </row>
    <row r="384">
      <c r="A384" s="6">
        <f>IF('[1]基础资料'!$I$383="","",'[1]基础资料'!$I$383)</f>
      </c>
      <c r="B384" s="6">
        <f>IF(A384="","",'[1]基础资料'!$J$383&amp;IF('[1]基础资料'!$K$383="","","·"&amp;'[1]基础资料'!$K$383))</f>
      </c>
      <c r="C384" s="11">
        <f>IF(A384="",0,N('[1]基础资料'!$L$383))</f>
        <v>0</v>
      </c>
      <c r="D384" s="11">
        <f>IF(A384="",0,SUMIFS('[1]采购入库'!$V$4:$V$2003,'[1]采购入库'!$D$4:$D$2003,$A384))</f>
        <v>0</v>
      </c>
      <c r="E384" s="11">
        <f>IF(A384="",0,SUMIFS('[1]资金台帐'!$H$4:$H$3003,'[1]资金台帐'!$D$4:$D$3003,$A384,'[1]资金台帐'!$M$4:$M$3003,"往来"))</f>
        <v>0</v>
      </c>
      <c r="F384" s="11">
        <f>IF(A384="",0,N('[1]基础资料'!$M$383))</f>
        <v>0</v>
      </c>
      <c r="G384" s="11">
        <f>IF(OR(A384="",ISNUMBER(FIND("线上",B384))),0,SUMIFS('[1]销售出库'!$S$4:$S$2003,'[1]销售出库'!$B$4:$B$2003,$A384))</f>
        <v>0</v>
      </c>
      <c r="H384" s="11">
        <f>IF(A384="",0,SUMIFS('[1]资金台帐'!$G$4:$G$3003,'[1]资金台帐'!$D$4:$D$3003,$A384,'[1]资金台帐'!$M$4:$M$3003,"往来"))</f>
        <v>0</v>
      </c>
      <c r="I384" s="11">
        <f t="shared" si="0"/>
        <v>0</v>
      </c>
      <c r="J384" s="11">
        <f t="shared" si="1"/>
        <v>0</v>
      </c>
      <c r="K384" s="6">
        <f t="shared" si="2"/>
      </c>
    </row>
    <row r="385">
      <c r="A385" s="6">
        <f>IF('[1]基础资料'!$I$384="","",'[1]基础资料'!$I$384)</f>
      </c>
      <c r="B385" s="6">
        <f>IF(A385="","",'[1]基础资料'!$J$384&amp;IF('[1]基础资料'!$K$384="","","·"&amp;'[1]基础资料'!$K$384))</f>
      </c>
      <c r="C385" s="11">
        <f>IF(A385="",0,N('[1]基础资料'!$L$384))</f>
        <v>0</v>
      </c>
      <c r="D385" s="11">
        <f>IF(A385="",0,SUMIFS('[1]采购入库'!$V$4:$V$2003,'[1]采购入库'!$D$4:$D$2003,$A385))</f>
        <v>0</v>
      </c>
      <c r="E385" s="11">
        <f>IF(A385="",0,SUMIFS('[1]资金台帐'!$H$4:$H$3003,'[1]资金台帐'!$D$4:$D$3003,$A385,'[1]资金台帐'!$M$4:$M$3003,"往来"))</f>
        <v>0</v>
      </c>
      <c r="F385" s="11">
        <f>IF(A385="",0,N('[1]基础资料'!$M$384))</f>
        <v>0</v>
      </c>
      <c r="G385" s="11">
        <f>IF(OR(A385="",ISNUMBER(FIND("线上",B385))),0,SUMIFS('[1]销售出库'!$S$4:$S$2003,'[1]销售出库'!$B$4:$B$2003,$A385))</f>
        <v>0</v>
      </c>
      <c r="H385" s="11">
        <f>IF(A385="",0,SUMIFS('[1]资金台帐'!$G$4:$G$3003,'[1]资金台帐'!$D$4:$D$3003,$A385,'[1]资金台帐'!$M$4:$M$3003,"往来"))</f>
        <v>0</v>
      </c>
      <c r="I385" s="11">
        <f t="shared" si="0"/>
        <v>0</v>
      </c>
      <c r="J385" s="11">
        <f t="shared" si="1"/>
        <v>0</v>
      </c>
      <c r="K385" s="6">
        <f t="shared" si="2"/>
      </c>
    </row>
    <row r="386">
      <c r="A386" s="6">
        <f>IF('[1]基础资料'!$I$385="","",'[1]基础资料'!$I$385)</f>
      </c>
      <c r="B386" s="6">
        <f>IF(A386="","",'[1]基础资料'!$J$385&amp;IF('[1]基础资料'!$K$385="","","·"&amp;'[1]基础资料'!$K$385))</f>
      </c>
      <c r="C386" s="11">
        <f>IF(A386="",0,N('[1]基础资料'!$L$385))</f>
        <v>0</v>
      </c>
      <c r="D386" s="11">
        <f>IF(A386="",0,SUMIFS('[1]采购入库'!$V$4:$V$2003,'[1]采购入库'!$D$4:$D$2003,$A386))</f>
        <v>0</v>
      </c>
      <c r="E386" s="11">
        <f>IF(A386="",0,SUMIFS('[1]资金台帐'!$H$4:$H$3003,'[1]资金台帐'!$D$4:$D$3003,$A386,'[1]资金台帐'!$M$4:$M$3003,"往来"))</f>
        <v>0</v>
      </c>
      <c r="F386" s="11">
        <f>IF(A386="",0,N('[1]基础资料'!$M$385))</f>
        <v>0</v>
      </c>
      <c r="G386" s="11">
        <f>IF(OR(A386="",ISNUMBER(FIND("线上",B386))),0,SUMIFS('[1]销售出库'!$S$4:$S$2003,'[1]销售出库'!$B$4:$B$2003,$A386))</f>
        <v>0</v>
      </c>
      <c r="H386" s="11">
        <f>IF(A386="",0,SUMIFS('[1]资金台帐'!$G$4:$G$3003,'[1]资金台帐'!$D$4:$D$3003,$A386,'[1]资金台帐'!$M$4:$M$3003,"往来"))</f>
        <v>0</v>
      </c>
      <c r="I386" s="11">
        <f t="shared" si="0"/>
        <v>0</v>
      </c>
      <c r="J386" s="11">
        <f t="shared" si="1"/>
        <v>0</v>
      </c>
      <c r="K386" s="6">
        <f t="shared" si="2"/>
      </c>
    </row>
    <row r="387">
      <c r="A387" s="6">
        <f>IF('[1]基础资料'!$I$386="","",'[1]基础资料'!$I$386)</f>
      </c>
      <c r="B387" s="6">
        <f>IF(A387="","",'[1]基础资料'!$J$386&amp;IF('[1]基础资料'!$K$386="","","·"&amp;'[1]基础资料'!$K$386))</f>
      </c>
      <c r="C387" s="11">
        <f>IF(A387="",0,N('[1]基础资料'!$L$386))</f>
        <v>0</v>
      </c>
      <c r="D387" s="11">
        <f>IF(A387="",0,SUMIFS('[1]采购入库'!$V$4:$V$2003,'[1]采购入库'!$D$4:$D$2003,$A387))</f>
        <v>0</v>
      </c>
      <c r="E387" s="11">
        <f>IF(A387="",0,SUMIFS('[1]资金台帐'!$H$4:$H$3003,'[1]资金台帐'!$D$4:$D$3003,$A387,'[1]资金台帐'!$M$4:$M$3003,"往来"))</f>
        <v>0</v>
      </c>
      <c r="F387" s="11">
        <f>IF(A387="",0,N('[1]基础资料'!$M$386))</f>
        <v>0</v>
      </c>
      <c r="G387" s="11">
        <f>IF(OR(A387="",ISNUMBER(FIND("线上",B387))),0,SUMIFS('[1]销售出库'!$S$4:$S$2003,'[1]销售出库'!$B$4:$B$2003,$A387))</f>
        <v>0</v>
      </c>
      <c r="H387" s="11">
        <f>IF(A387="",0,SUMIFS('[1]资金台帐'!$G$4:$G$3003,'[1]资金台帐'!$D$4:$D$3003,$A387,'[1]资金台帐'!$M$4:$M$3003,"往来"))</f>
        <v>0</v>
      </c>
      <c r="I387" s="11">
        <f t="shared" si="0"/>
        <v>0</v>
      </c>
      <c r="J387" s="11">
        <f t="shared" si="1"/>
        <v>0</v>
      </c>
      <c r="K387" s="6">
        <f t="shared" si="2"/>
      </c>
    </row>
    <row r="388">
      <c r="A388" s="6">
        <f>IF('[1]基础资料'!$I$387="","",'[1]基础资料'!$I$387)</f>
      </c>
      <c r="B388" s="6">
        <f>IF(A388="","",'[1]基础资料'!$J$387&amp;IF('[1]基础资料'!$K$387="","","·"&amp;'[1]基础资料'!$K$387))</f>
      </c>
      <c r="C388" s="11">
        <f>IF(A388="",0,N('[1]基础资料'!$L$387))</f>
        <v>0</v>
      </c>
      <c r="D388" s="11">
        <f>IF(A388="",0,SUMIFS('[1]采购入库'!$V$4:$V$2003,'[1]采购入库'!$D$4:$D$2003,$A388))</f>
        <v>0</v>
      </c>
      <c r="E388" s="11">
        <f>IF(A388="",0,SUMIFS('[1]资金台帐'!$H$4:$H$3003,'[1]资金台帐'!$D$4:$D$3003,$A388,'[1]资金台帐'!$M$4:$M$3003,"往来"))</f>
        <v>0</v>
      </c>
      <c r="F388" s="11">
        <f>IF(A388="",0,N('[1]基础资料'!$M$387))</f>
        <v>0</v>
      </c>
      <c r="G388" s="11">
        <f>IF(OR(A388="",ISNUMBER(FIND("线上",B388))),0,SUMIFS('[1]销售出库'!$S$4:$S$2003,'[1]销售出库'!$B$4:$B$2003,$A388))</f>
        <v>0</v>
      </c>
      <c r="H388" s="11">
        <f>IF(A388="",0,SUMIFS('[1]资金台帐'!$G$4:$G$3003,'[1]资金台帐'!$D$4:$D$3003,$A388,'[1]资金台帐'!$M$4:$M$3003,"往来"))</f>
        <v>0</v>
      </c>
      <c r="I388" s="11">
        <f t="shared" si="0"/>
        <v>0</v>
      </c>
      <c r="J388" s="11">
        <f t="shared" si="1"/>
        <v>0</v>
      </c>
      <c r="K388" s="6">
        <f t="shared" si="2"/>
      </c>
    </row>
    <row r="389">
      <c r="A389" s="6">
        <f>IF('[1]基础资料'!$I$388="","",'[1]基础资料'!$I$388)</f>
      </c>
      <c r="B389" s="6">
        <f>IF(A389="","",'[1]基础资料'!$J$388&amp;IF('[1]基础资料'!$K$388="","","·"&amp;'[1]基础资料'!$K$388))</f>
      </c>
      <c r="C389" s="11">
        <f>IF(A389="",0,N('[1]基础资料'!$L$388))</f>
        <v>0</v>
      </c>
      <c r="D389" s="11">
        <f>IF(A389="",0,SUMIFS('[1]采购入库'!$V$4:$V$2003,'[1]采购入库'!$D$4:$D$2003,$A389))</f>
        <v>0</v>
      </c>
      <c r="E389" s="11">
        <f>IF(A389="",0,SUMIFS('[1]资金台帐'!$H$4:$H$3003,'[1]资金台帐'!$D$4:$D$3003,$A389,'[1]资金台帐'!$M$4:$M$3003,"往来"))</f>
        <v>0</v>
      </c>
      <c r="F389" s="11">
        <f>IF(A389="",0,N('[1]基础资料'!$M$388))</f>
        <v>0</v>
      </c>
      <c r="G389" s="11">
        <f>IF(OR(A389="",ISNUMBER(FIND("线上",B389))),0,SUMIFS('[1]销售出库'!$S$4:$S$2003,'[1]销售出库'!$B$4:$B$2003,$A389))</f>
        <v>0</v>
      </c>
      <c r="H389" s="11">
        <f>IF(A389="",0,SUMIFS('[1]资金台帐'!$G$4:$G$3003,'[1]资金台帐'!$D$4:$D$3003,$A389,'[1]资金台帐'!$M$4:$M$3003,"往来"))</f>
        <v>0</v>
      </c>
      <c r="I389" s="11">
        <f t="shared" si="0"/>
        <v>0</v>
      </c>
      <c r="J389" s="11">
        <f t="shared" si="1"/>
        <v>0</v>
      </c>
      <c r="K389" s="6">
        <f t="shared" si="2"/>
      </c>
    </row>
    <row r="390">
      <c r="A390" s="6">
        <f>IF('[1]基础资料'!$I$389="","",'[1]基础资料'!$I$389)</f>
      </c>
      <c r="B390" s="6">
        <f>IF(A390="","",'[1]基础资料'!$J$389&amp;IF('[1]基础资料'!$K$389="","","·"&amp;'[1]基础资料'!$K$389))</f>
      </c>
      <c r="C390" s="11">
        <f>IF(A390="",0,N('[1]基础资料'!$L$389))</f>
        <v>0</v>
      </c>
      <c r="D390" s="11">
        <f>IF(A390="",0,SUMIFS('[1]采购入库'!$V$4:$V$2003,'[1]采购入库'!$D$4:$D$2003,$A390))</f>
        <v>0</v>
      </c>
      <c r="E390" s="11">
        <f>IF(A390="",0,SUMIFS('[1]资金台帐'!$H$4:$H$3003,'[1]资金台帐'!$D$4:$D$3003,$A390,'[1]资金台帐'!$M$4:$M$3003,"往来"))</f>
        <v>0</v>
      </c>
      <c r="F390" s="11">
        <f>IF(A390="",0,N('[1]基础资料'!$M$389))</f>
        <v>0</v>
      </c>
      <c r="G390" s="11">
        <f>IF(OR(A390="",ISNUMBER(FIND("线上",B390))),0,SUMIFS('[1]销售出库'!$S$4:$S$2003,'[1]销售出库'!$B$4:$B$2003,$A390))</f>
        <v>0</v>
      </c>
      <c r="H390" s="11">
        <f>IF(A390="",0,SUMIFS('[1]资金台帐'!$G$4:$G$3003,'[1]资金台帐'!$D$4:$D$3003,$A390,'[1]资金台帐'!$M$4:$M$3003,"往来"))</f>
        <v>0</v>
      </c>
      <c r="I390" s="11">
        <f t="shared" si="0"/>
        <v>0</v>
      </c>
      <c r="J390" s="11">
        <f t="shared" si="1"/>
        <v>0</v>
      </c>
      <c r="K390" s="6">
        <f t="shared" si="2"/>
      </c>
    </row>
    <row r="391">
      <c r="A391" s="6">
        <f>IF('[1]基础资料'!$I$390="","",'[1]基础资料'!$I$390)</f>
      </c>
      <c r="B391" s="6">
        <f>IF(A391="","",'[1]基础资料'!$J$390&amp;IF('[1]基础资料'!$K$390="","","·"&amp;'[1]基础资料'!$K$390))</f>
      </c>
      <c r="C391" s="11">
        <f>IF(A391="",0,N('[1]基础资料'!$L$390))</f>
        <v>0</v>
      </c>
      <c r="D391" s="11">
        <f>IF(A391="",0,SUMIFS('[1]采购入库'!$V$4:$V$2003,'[1]采购入库'!$D$4:$D$2003,$A391))</f>
        <v>0</v>
      </c>
      <c r="E391" s="11">
        <f>IF(A391="",0,SUMIFS('[1]资金台帐'!$H$4:$H$3003,'[1]资金台帐'!$D$4:$D$3003,$A391,'[1]资金台帐'!$M$4:$M$3003,"往来"))</f>
        <v>0</v>
      </c>
      <c r="F391" s="11">
        <f>IF(A391="",0,N('[1]基础资料'!$M$390))</f>
        <v>0</v>
      </c>
      <c r="G391" s="11">
        <f>IF(OR(A391="",ISNUMBER(FIND("线上",B391))),0,SUMIFS('[1]销售出库'!$S$4:$S$2003,'[1]销售出库'!$B$4:$B$2003,$A391))</f>
        <v>0</v>
      </c>
      <c r="H391" s="11">
        <f>IF(A391="",0,SUMIFS('[1]资金台帐'!$G$4:$G$3003,'[1]资金台帐'!$D$4:$D$3003,$A391,'[1]资金台帐'!$M$4:$M$3003,"往来"))</f>
        <v>0</v>
      </c>
      <c r="I391" s="11">
        <f t="shared" si="0"/>
        <v>0</v>
      </c>
      <c r="J391" s="11">
        <f t="shared" si="1"/>
        <v>0</v>
      </c>
      <c r="K391" s="6">
        <f t="shared" si="2"/>
      </c>
    </row>
    <row r="392">
      <c r="A392" s="6">
        <f>IF('[1]基础资料'!$I$391="","",'[1]基础资料'!$I$391)</f>
      </c>
      <c r="B392" s="6">
        <f>IF(A392="","",'[1]基础资料'!$J$391&amp;IF('[1]基础资料'!$K$391="","","·"&amp;'[1]基础资料'!$K$391))</f>
      </c>
      <c r="C392" s="11">
        <f>IF(A392="",0,N('[1]基础资料'!$L$391))</f>
        <v>0</v>
      </c>
      <c r="D392" s="11">
        <f>IF(A392="",0,SUMIFS('[1]采购入库'!$V$4:$V$2003,'[1]采购入库'!$D$4:$D$2003,$A392))</f>
        <v>0</v>
      </c>
      <c r="E392" s="11">
        <f>IF(A392="",0,SUMIFS('[1]资金台帐'!$H$4:$H$3003,'[1]资金台帐'!$D$4:$D$3003,$A392,'[1]资金台帐'!$M$4:$M$3003,"往来"))</f>
        <v>0</v>
      </c>
      <c r="F392" s="11">
        <f>IF(A392="",0,N('[1]基础资料'!$M$391))</f>
        <v>0</v>
      </c>
      <c r="G392" s="11">
        <f>IF(OR(A392="",ISNUMBER(FIND("线上",B392))),0,SUMIFS('[1]销售出库'!$S$4:$S$2003,'[1]销售出库'!$B$4:$B$2003,$A392))</f>
        <v>0</v>
      </c>
      <c r="H392" s="11">
        <f>IF(A392="",0,SUMIFS('[1]资金台帐'!$G$4:$G$3003,'[1]资金台帐'!$D$4:$D$3003,$A392,'[1]资金台帐'!$M$4:$M$3003,"往来"))</f>
        <v>0</v>
      </c>
      <c r="I392" s="11">
        <f t="shared" si="0"/>
        <v>0</v>
      </c>
      <c r="J392" s="11">
        <f t="shared" si="1"/>
        <v>0</v>
      </c>
      <c r="K392" s="6">
        <f t="shared" si="2"/>
      </c>
    </row>
    <row r="393">
      <c r="A393" s="6">
        <f>IF('[1]基础资料'!$I$392="","",'[1]基础资料'!$I$392)</f>
      </c>
      <c r="B393" s="6">
        <f>IF(A393="","",'[1]基础资料'!$J$392&amp;IF('[1]基础资料'!$K$392="","","·"&amp;'[1]基础资料'!$K$392))</f>
      </c>
      <c r="C393" s="11">
        <f>IF(A393="",0,N('[1]基础资料'!$L$392))</f>
        <v>0</v>
      </c>
      <c r="D393" s="11">
        <f>IF(A393="",0,SUMIFS('[1]采购入库'!$V$4:$V$2003,'[1]采购入库'!$D$4:$D$2003,$A393))</f>
        <v>0</v>
      </c>
      <c r="E393" s="11">
        <f>IF(A393="",0,SUMIFS('[1]资金台帐'!$H$4:$H$3003,'[1]资金台帐'!$D$4:$D$3003,$A393,'[1]资金台帐'!$M$4:$M$3003,"往来"))</f>
        <v>0</v>
      </c>
      <c r="F393" s="11">
        <f>IF(A393="",0,N('[1]基础资料'!$M$392))</f>
        <v>0</v>
      </c>
      <c r="G393" s="11">
        <f>IF(OR(A393="",ISNUMBER(FIND("线上",B393))),0,SUMIFS('[1]销售出库'!$S$4:$S$2003,'[1]销售出库'!$B$4:$B$2003,$A393))</f>
        <v>0</v>
      </c>
      <c r="H393" s="11">
        <f>IF(A393="",0,SUMIFS('[1]资金台帐'!$G$4:$G$3003,'[1]资金台帐'!$D$4:$D$3003,$A393,'[1]资金台帐'!$M$4:$M$3003,"往来"))</f>
        <v>0</v>
      </c>
      <c r="I393" s="11">
        <f t="shared" si="0"/>
        <v>0</v>
      </c>
      <c r="J393" s="11">
        <f t="shared" si="1"/>
        <v>0</v>
      </c>
      <c r="K393" s="6">
        <f t="shared" si="2"/>
      </c>
    </row>
    <row r="394">
      <c r="A394" s="6">
        <f>IF('[1]基础资料'!$I$393="","",'[1]基础资料'!$I$393)</f>
      </c>
      <c r="B394" s="6">
        <f>IF(A394="","",'[1]基础资料'!$J$393&amp;IF('[1]基础资料'!$K$393="","","·"&amp;'[1]基础资料'!$K$393))</f>
      </c>
      <c r="C394" s="11">
        <f>IF(A394="",0,N('[1]基础资料'!$L$393))</f>
        <v>0</v>
      </c>
      <c r="D394" s="11">
        <f>IF(A394="",0,SUMIFS('[1]采购入库'!$V$4:$V$2003,'[1]采购入库'!$D$4:$D$2003,$A394))</f>
        <v>0</v>
      </c>
      <c r="E394" s="11">
        <f>IF(A394="",0,SUMIFS('[1]资金台帐'!$H$4:$H$3003,'[1]资金台帐'!$D$4:$D$3003,$A394,'[1]资金台帐'!$M$4:$M$3003,"往来"))</f>
        <v>0</v>
      </c>
      <c r="F394" s="11">
        <f>IF(A394="",0,N('[1]基础资料'!$M$393))</f>
        <v>0</v>
      </c>
      <c r="G394" s="11">
        <f>IF(OR(A394="",ISNUMBER(FIND("线上",B394))),0,SUMIFS('[1]销售出库'!$S$4:$S$2003,'[1]销售出库'!$B$4:$B$2003,$A394))</f>
        <v>0</v>
      </c>
      <c r="H394" s="11">
        <f>IF(A394="",0,SUMIFS('[1]资金台帐'!$G$4:$G$3003,'[1]资金台帐'!$D$4:$D$3003,$A394,'[1]资金台帐'!$M$4:$M$3003,"往来"))</f>
        <v>0</v>
      </c>
      <c r="I394" s="11">
        <f t="shared" si="0"/>
        <v>0</v>
      </c>
      <c r="J394" s="11">
        <f t="shared" si="1"/>
        <v>0</v>
      </c>
      <c r="K394" s="6">
        <f t="shared" si="2"/>
      </c>
    </row>
    <row r="395">
      <c r="A395" s="6">
        <f>IF('[1]基础资料'!$I$394="","",'[1]基础资料'!$I$394)</f>
      </c>
      <c r="B395" s="6">
        <f>IF(A395="","",'[1]基础资料'!$J$394&amp;IF('[1]基础资料'!$K$394="","","·"&amp;'[1]基础资料'!$K$394))</f>
      </c>
      <c r="C395" s="11">
        <f>IF(A395="",0,N('[1]基础资料'!$L$394))</f>
        <v>0</v>
      </c>
      <c r="D395" s="11">
        <f>IF(A395="",0,SUMIFS('[1]采购入库'!$V$4:$V$2003,'[1]采购入库'!$D$4:$D$2003,$A395))</f>
        <v>0</v>
      </c>
      <c r="E395" s="11">
        <f>IF(A395="",0,SUMIFS('[1]资金台帐'!$H$4:$H$3003,'[1]资金台帐'!$D$4:$D$3003,$A395,'[1]资金台帐'!$M$4:$M$3003,"往来"))</f>
        <v>0</v>
      </c>
      <c r="F395" s="11">
        <f>IF(A395="",0,N('[1]基础资料'!$M$394))</f>
        <v>0</v>
      </c>
      <c r="G395" s="11">
        <f>IF(OR(A395="",ISNUMBER(FIND("线上",B395))),0,SUMIFS('[1]销售出库'!$S$4:$S$2003,'[1]销售出库'!$B$4:$B$2003,$A395))</f>
        <v>0</v>
      </c>
      <c r="H395" s="11">
        <f>IF(A395="",0,SUMIFS('[1]资金台帐'!$G$4:$G$3003,'[1]资金台帐'!$D$4:$D$3003,$A395,'[1]资金台帐'!$M$4:$M$3003,"往来"))</f>
        <v>0</v>
      </c>
      <c r="I395" s="11">
        <f t="shared" si="0"/>
        <v>0</v>
      </c>
      <c r="J395" s="11">
        <f t="shared" si="1"/>
        <v>0</v>
      </c>
      <c r="K395" s="6">
        <f t="shared" si="2"/>
      </c>
    </row>
    <row r="396">
      <c r="A396" s="6">
        <f>IF('[1]基础资料'!$I$395="","",'[1]基础资料'!$I$395)</f>
      </c>
      <c r="B396" s="6">
        <f>IF(A396="","",'[1]基础资料'!$J$395&amp;IF('[1]基础资料'!$K$395="","","·"&amp;'[1]基础资料'!$K$395))</f>
      </c>
      <c r="C396" s="11">
        <f>IF(A396="",0,N('[1]基础资料'!$L$395))</f>
        <v>0</v>
      </c>
      <c r="D396" s="11">
        <f>IF(A396="",0,SUMIFS('[1]采购入库'!$V$4:$V$2003,'[1]采购入库'!$D$4:$D$2003,$A396))</f>
        <v>0</v>
      </c>
      <c r="E396" s="11">
        <f>IF(A396="",0,SUMIFS('[1]资金台帐'!$H$4:$H$3003,'[1]资金台帐'!$D$4:$D$3003,$A396,'[1]资金台帐'!$M$4:$M$3003,"往来"))</f>
        <v>0</v>
      </c>
      <c r="F396" s="11">
        <f>IF(A396="",0,N('[1]基础资料'!$M$395))</f>
        <v>0</v>
      </c>
      <c r="G396" s="11">
        <f>IF(OR(A396="",ISNUMBER(FIND("线上",B396))),0,SUMIFS('[1]销售出库'!$S$4:$S$2003,'[1]销售出库'!$B$4:$B$2003,$A396))</f>
        <v>0</v>
      </c>
      <c r="H396" s="11">
        <f>IF(A396="",0,SUMIFS('[1]资金台帐'!$G$4:$G$3003,'[1]资金台帐'!$D$4:$D$3003,$A396,'[1]资金台帐'!$M$4:$M$3003,"往来"))</f>
        <v>0</v>
      </c>
      <c r="I396" s="11">
        <f t="shared" si="0"/>
        <v>0</v>
      </c>
      <c r="J396" s="11">
        <f t="shared" si="1"/>
        <v>0</v>
      </c>
      <c r="K396" s="6">
        <f t="shared" si="2"/>
      </c>
    </row>
    <row r="397">
      <c r="A397" s="6">
        <f>IF('[1]基础资料'!$I$396="","",'[1]基础资料'!$I$396)</f>
      </c>
      <c r="B397" s="6">
        <f>IF(A397="","",'[1]基础资料'!$J$396&amp;IF('[1]基础资料'!$K$396="","","·"&amp;'[1]基础资料'!$K$396))</f>
      </c>
      <c r="C397" s="11">
        <f>IF(A397="",0,N('[1]基础资料'!$L$396))</f>
        <v>0</v>
      </c>
      <c r="D397" s="11">
        <f>IF(A397="",0,SUMIFS('[1]采购入库'!$V$4:$V$2003,'[1]采购入库'!$D$4:$D$2003,$A397))</f>
        <v>0</v>
      </c>
      <c r="E397" s="11">
        <f>IF(A397="",0,SUMIFS('[1]资金台帐'!$H$4:$H$3003,'[1]资金台帐'!$D$4:$D$3003,$A397,'[1]资金台帐'!$M$4:$M$3003,"往来"))</f>
        <v>0</v>
      </c>
      <c r="F397" s="11">
        <f>IF(A397="",0,N('[1]基础资料'!$M$396))</f>
        <v>0</v>
      </c>
      <c r="G397" s="11">
        <f>IF(OR(A397="",ISNUMBER(FIND("线上",B397))),0,SUMIFS('[1]销售出库'!$S$4:$S$2003,'[1]销售出库'!$B$4:$B$2003,$A397))</f>
        <v>0</v>
      </c>
      <c r="H397" s="11">
        <f>IF(A397="",0,SUMIFS('[1]资金台帐'!$G$4:$G$3003,'[1]资金台帐'!$D$4:$D$3003,$A397,'[1]资金台帐'!$M$4:$M$3003,"往来"))</f>
        <v>0</v>
      </c>
      <c r="I397" s="11">
        <f t="shared" si="0"/>
        <v>0</v>
      </c>
      <c r="J397" s="11">
        <f t="shared" si="1"/>
        <v>0</v>
      </c>
      <c r="K397" s="6">
        <f t="shared" si="2"/>
      </c>
    </row>
    <row r="398">
      <c r="A398" s="6">
        <f>IF('[1]基础资料'!$I$397="","",'[1]基础资料'!$I$397)</f>
      </c>
      <c r="B398" s="6">
        <f>IF(A398="","",'[1]基础资料'!$J$397&amp;IF('[1]基础资料'!$K$397="","","·"&amp;'[1]基础资料'!$K$397))</f>
      </c>
      <c r="C398" s="11">
        <f>IF(A398="",0,N('[1]基础资料'!$L$397))</f>
        <v>0</v>
      </c>
      <c r="D398" s="11">
        <f>IF(A398="",0,SUMIFS('[1]采购入库'!$V$4:$V$2003,'[1]采购入库'!$D$4:$D$2003,$A398))</f>
        <v>0</v>
      </c>
      <c r="E398" s="11">
        <f>IF(A398="",0,SUMIFS('[1]资金台帐'!$H$4:$H$3003,'[1]资金台帐'!$D$4:$D$3003,$A398,'[1]资金台帐'!$M$4:$M$3003,"往来"))</f>
        <v>0</v>
      </c>
      <c r="F398" s="11">
        <f>IF(A398="",0,N('[1]基础资料'!$M$397))</f>
        <v>0</v>
      </c>
      <c r="G398" s="11">
        <f>IF(OR(A398="",ISNUMBER(FIND("线上",B398))),0,SUMIFS('[1]销售出库'!$S$4:$S$2003,'[1]销售出库'!$B$4:$B$2003,$A398))</f>
        <v>0</v>
      </c>
      <c r="H398" s="11">
        <f>IF(A398="",0,SUMIFS('[1]资金台帐'!$G$4:$G$3003,'[1]资金台帐'!$D$4:$D$3003,$A398,'[1]资金台帐'!$M$4:$M$3003,"往来"))</f>
        <v>0</v>
      </c>
      <c r="I398" s="11">
        <f t="shared" si="0"/>
        <v>0</v>
      </c>
      <c r="J398" s="11">
        <f t="shared" si="1"/>
        <v>0</v>
      </c>
      <c r="K398" s="6">
        <f t="shared" si="2"/>
      </c>
    </row>
    <row r="399">
      <c r="A399" s="6">
        <f>IF('[1]基础资料'!$I$398="","",'[1]基础资料'!$I$398)</f>
      </c>
      <c r="B399" s="6">
        <f>IF(A399="","",'[1]基础资料'!$J$398&amp;IF('[1]基础资料'!$K$398="","","·"&amp;'[1]基础资料'!$K$398))</f>
      </c>
      <c r="C399" s="11">
        <f>IF(A399="",0,N('[1]基础资料'!$L$398))</f>
        <v>0</v>
      </c>
      <c r="D399" s="11">
        <f>IF(A399="",0,SUMIFS('[1]采购入库'!$V$4:$V$2003,'[1]采购入库'!$D$4:$D$2003,$A399))</f>
        <v>0</v>
      </c>
      <c r="E399" s="11">
        <f>IF(A399="",0,SUMIFS('[1]资金台帐'!$H$4:$H$3003,'[1]资金台帐'!$D$4:$D$3003,$A399,'[1]资金台帐'!$M$4:$M$3003,"往来"))</f>
        <v>0</v>
      </c>
      <c r="F399" s="11">
        <f>IF(A399="",0,N('[1]基础资料'!$M$398))</f>
        <v>0</v>
      </c>
      <c r="G399" s="11">
        <f>IF(OR(A399="",ISNUMBER(FIND("线上",B399))),0,SUMIFS('[1]销售出库'!$S$4:$S$2003,'[1]销售出库'!$B$4:$B$2003,$A399))</f>
        <v>0</v>
      </c>
      <c r="H399" s="11">
        <f>IF(A399="",0,SUMIFS('[1]资金台帐'!$G$4:$G$3003,'[1]资金台帐'!$D$4:$D$3003,$A399,'[1]资金台帐'!$M$4:$M$3003,"往来"))</f>
        <v>0</v>
      </c>
      <c r="I399" s="11">
        <f t="shared" si="0"/>
        <v>0</v>
      </c>
      <c r="J399" s="11">
        <f t="shared" si="1"/>
        <v>0</v>
      </c>
      <c r="K399" s="6">
        <f t="shared" si="2"/>
      </c>
    </row>
    <row r="400">
      <c r="A400" s="6">
        <f>IF('[1]基础资料'!$I$399="","",'[1]基础资料'!$I$399)</f>
      </c>
      <c r="B400" s="6">
        <f>IF(A400="","",'[1]基础资料'!$J$399&amp;IF('[1]基础资料'!$K$399="","","·"&amp;'[1]基础资料'!$K$399))</f>
      </c>
      <c r="C400" s="11">
        <f>IF(A400="",0,N('[1]基础资料'!$L$399))</f>
        <v>0</v>
      </c>
      <c r="D400" s="11">
        <f>IF(A400="",0,SUMIFS('[1]采购入库'!$V$4:$V$2003,'[1]采购入库'!$D$4:$D$2003,$A400))</f>
        <v>0</v>
      </c>
      <c r="E400" s="11">
        <f>IF(A400="",0,SUMIFS('[1]资金台帐'!$H$4:$H$3003,'[1]资金台帐'!$D$4:$D$3003,$A400,'[1]资金台帐'!$M$4:$M$3003,"往来"))</f>
        <v>0</v>
      </c>
      <c r="F400" s="11">
        <f>IF(A400="",0,N('[1]基础资料'!$M$399))</f>
        <v>0</v>
      </c>
      <c r="G400" s="11">
        <f>IF(OR(A400="",ISNUMBER(FIND("线上",B400))),0,SUMIFS('[1]销售出库'!$S$4:$S$2003,'[1]销售出库'!$B$4:$B$2003,$A400))</f>
        <v>0</v>
      </c>
      <c r="H400" s="11">
        <f>IF(A400="",0,SUMIFS('[1]资金台帐'!$G$4:$G$3003,'[1]资金台帐'!$D$4:$D$3003,$A400,'[1]资金台帐'!$M$4:$M$3003,"往来"))</f>
        <v>0</v>
      </c>
      <c r="I400" s="11">
        <f t="shared" si="0"/>
        <v>0</v>
      </c>
      <c r="J400" s="11">
        <f t="shared" si="1"/>
        <v>0</v>
      </c>
      <c r="K400" s="6">
        <f t="shared" si="2"/>
      </c>
    </row>
    <row r="401">
      <c r="A401" s="6">
        <f>IF('[1]基础资料'!$I$400="","",'[1]基础资料'!$I$400)</f>
      </c>
      <c r="B401" s="6">
        <f>IF(A401="","",'[1]基础资料'!$J$400&amp;IF('[1]基础资料'!$K$400="","","·"&amp;'[1]基础资料'!$K$400))</f>
      </c>
      <c r="C401" s="11">
        <f>IF(A401="",0,N('[1]基础资料'!$L$400))</f>
        <v>0</v>
      </c>
      <c r="D401" s="11">
        <f>IF(A401="",0,SUMIFS('[1]采购入库'!$V$4:$V$2003,'[1]采购入库'!$D$4:$D$2003,$A401))</f>
        <v>0</v>
      </c>
      <c r="E401" s="11">
        <f>IF(A401="",0,SUMIFS('[1]资金台帐'!$H$4:$H$3003,'[1]资金台帐'!$D$4:$D$3003,$A401,'[1]资金台帐'!$M$4:$M$3003,"往来"))</f>
        <v>0</v>
      </c>
      <c r="F401" s="11">
        <f>IF(A401="",0,N('[1]基础资料'!$M$400))</f>
        <v>0</v>
      </c>
      <c r="G401" s="11">
        <f>IF(OR(A401="",ISNUMBER(FIND("线上",B401))),0,SUMIFS('[1]销售出库'!$S$4:$S$2003,'[1]销售出库'!$B$4:$B$2003,$A401))</f>
        <v>0</v>
      </c>
      <c r="H401" s="11">
        <f>IF(A401="",0,SUMIFS('[1]资金台帐'!$G$4:$G$3003,'[1]资金台帐'!$D$4:$D$3003,$A401,'[1]资金台帐'!$M$4:$M$3003,"往来"))</f>
        <v>0</v>
      </c>
      <c r="I401" s="11">
        <f t="shared" si="0"/>
        <v>0</v>
      </c>
      <c r="J401" s="11">
        <f t="shared" si="1"/>
        <v>0</v>
      </c>
      <c r="K401" s="6">
        <f t="shared" si="2"/>
      </c>
    </row>
    <row r="402">
      <c r="A402" s="6">
        <f>IF('[1]基础资料'!$I$401="","",'[1]基础资料'!$I$401)</f>
      </c>
      <c r="B402" s="6">
        <f>IF(A402="","",'[1]基础资料'!$J$401&amp;IF('[1]基础资料'!$K$401="","","·"&amp;'[1]基础资料'!$K$401))</f>
      </c>
      <c r="C402" s="11">
        <f>IF(A402="",0,N('[1]基础资料'!$L$401))</f>
        <v>0</v>
      </c>
      <c r="D402" s="11">
        <f>IF(A402="",0,SUMIFS('[1]采购入库'!$V$4:$V$2003,'[1]采购入库'!$D$4:$D$2003,$A402))</f>
        <v>0</v>
      </c>
      <c r="E402" s="11">
        <f>IF(A402="",0,SUMIFS('[1]资金台帐'!$H$4:$H$3003,'[1]资金台帐'!$D$4:$D$3003,$A402,'[1]资金台帐'!$M$4:$M$3003,"往来"))</f>
        <v>0</v>
      </c>
      <c r="F402" s="11">
        <f>IF(A402="",0,N('[1]基础资料'!$M$401))</f>
        <v>0</v>
      </c>
      <c r="G402" s="11">
        <f>IF(OR(A402="",ISNUMBER(FIND("线上",B402))),0,SUMIFS('[1]销售出库'!$S$4:$S$2003,'[1]销售出库'!$B$4:$B$2003,$A402))</f>
        <v>0</v>
      </c>
      <c r="H402" s="11">
        <f>IF(A402="",0,SUMIFS('[1]资金台帐'!$G$4:$G$3003,'[1]资金台帐'!$D$4:$D$3003,$A402,'[1]资金台帐'!$M$4:$M$3003,"往来"))</f>
        <v>0</v>
      </c>
      <c r="I402" s="11">
        <f t="shared" si="0"/>
        <v>0</v>
      </c>
      <c r="J402" s="11">
        <f t="shared" si="1"/>
        <v>0</v>
      </c>
      <c r="K402" s="6">
        <f t="shared" si="2"/>
      </c>
    </row>
    <row r="403">
      <c r="A403" s="6">
        <f>IF('[1]基础资料'!$I$402="","",'[1]基础资料'!$I$402)</f>
      </c>
      <c r="B403" s="6">
        <f>IF(A403="","",'[1]基础资料'!$J$402&amp;IF('[1]基础资料'!$K$402="","","·"&amp;'[1]基础资料'!$K$402))</f>
      </c>
      <c r="C403" s="11">
        <f>IF(A403="",0,N('[1]基础资料'!$L$402))</f>
        <v>0</v>
      </c>
      <c r="D403" s="11">
        <f>IF(A403="",0,SUMIFS('[1]采购入库'!$V$4:$V$2003,'[1]采购入库'!$D$4:$D$2003,$A403))</f>
        <v>0</v>
      </c>
      <c r="E403" s="11">
        <f>IF(A403="",0,SUMIFS('[1]资金台帐'!$H$4:$H$3003,'[1]资金台帐'!$D$4:$D$3003,$A403,'[1]资金台帐'!$M$4:$M$3003,"往来"))</f>
        <v>0</v>
      </c>
      <c r="F403" s="11">
        <f>IF(A403="",0,N('[1]基础资料'!$M$402))</f>
        <v>0</v>
      </c>
      <c r="G403" s="11">
        <f>IF(OR(A403="",ISNUMBER(FIND("线上",B403))),0,SUMIFS('[1]销售出库'!$S$4:$S$2003,'[1]销售出库'!$B$4:$B$2003,$A403))</f>
        <v>0</v>
      </c>
      <c r="H403" s="11">
        <f>IF(A403="",0,SUMIFS('[1]资金台帐'!$G$4:$G$3003,'[1]资金台帐'!$D$4:$D$3003,$A403,'[1]资金台帐'!$M$4:$M$3003,"往来"))</f>
        <v>0</v>
      </c>
      <c r="I403" s="11">
        <f t="shared" si="0"/>
        <v>0</v>
      </c>
      <c r="J403" s="11">
        <f t="shared" si="1"/>
        <v>0</v>
      </c>
      <c r="K403" s="6">
        <f t="shared" si="2"/>
      </c>
    </row>
    <row r="404">
      <c r="A404" s="6">
        <f>IF('[1]基础资料'!$I$403="","",'[1]基础资料'!$I$403)</f>
      </c>
      <c r="B404" s="6">
        <f>IF(A404="","",'[1]基础资料'!$J$403&amp;IF('[1]基础资料'!$K$403="","","·"&amp;'[1]基础资料'!$K$403))</f>
      </c>
      <c r="C404" s="11">
        <f>IF(A404="",0,N('[1]基础资料'!$L$403))</f>
        <v>0</v>
      </c>
      <c r="D404" s="11">
        <f>IF(A404="",0,SUMIFS('[1]采购入库'!$V$4:$V$2003,'[1]采购入库'!$D$4:$D$2003,$A404))</f>
        <v>0</v>
      </c>
      <c r="E404" s="11">
        <f>IF(A404="",0,SUMIFS('[1]资金台帐'!$H$4:$H$3003,'[1]资金台帐'!$D$4:$D$3003,$A404,'[1]资金台帐'!$M$4:$M$3003,"往来"))</f>
        <v>0</v>
      </c>
      <c r="F404" s="11">
        <f>IF(A404="",0,N('[1]基础资料'!$M$403))</f>
        <v>0</v>
      </c>
      <c r="G404" s="11">
        <f>IF(OR(A404="",ISNUMBER(FIND("线上",B404))),0,SUMIFS('[1]销售出库'!$S$4:$S$2003,'[1]销售出库'!$B$4:$B$2003,$A404))</f>
        <v>0</v>
      </c>
      <c r="H404" s="11">
        <f>IF(A404="",0,SUMIFS('[1]资金台帐'!$G$4:$G$3003,'[1]资金台帐'!$D$4:$D$3003,$A404,'[1]资金台帐'!$M$4:$M$3003,"往来"))</f>
        <v>0</v>
      </c>
      <c r="I404" s="11">
        <f t="shared" si="0"/>
        <v>0</v>
      </c>
      <c r="J404" s="11">
        <f t="shared" si="1"/>
        <v>0</v>
      </c>
      <c r="K404" s="6">
        <f t="shared" si="2"/>
      </c>
    </row>
    <row r="405">
      <c r="A405" s="6">
        <f>IF('[1]基础资料'!$I$404="","",'[1]基础资料'!$I$404)</f>
      </c>
      <c r="B405" s="6">
        <f>IF(A405="","",'[1]基础资料'!$J$404&amp;IF('[1]基础资料'!$K$404="","","·"&amp;'[1]基础资料'!$K$404))</f>
      </c>
      <c r="C405" s="11">
        <f>IF(A405="",0,N('[1]基础资料'!$L$404))</f>
        <v>0</v>
      </c>
      <c r="D405" s="11">
        <f>IF(A405="",0,SUMIFS('[1]采购入库'!$V$4:$V$2003,'[1]采购入库'!$D$4:$D$2003,$A405))</f>
        <v>0</v>
      </c>
      <c r="E405" s="11">
        <f>IF(A405="",0,SUMIFS('[1]资金台帐'!$H$4:$H$3003,'[1]资金台帐'!$D$4:$D$3003,$A405,'[1]资金台帐'!$M$4:$M$3003,"往来"))</f>
        <v>0</v>
      </c>
      <c r="F405" s="11">
        <f>IF(A405="",0,N('[1]基础资料'!$M$404))</f>
        <v>0</v>
      </c>
      <c r="G405" s="11">
        <f>IF(OR(A405="",ISNUMBER(FIND("线上",B405))),0,SUMIFS('[1]销售出库'!$S$4:$S$2003,'[1]销售出库'!$B$4:$B$2003,$A405))</f>
        <v>0</v>
      </c>
      <c r="H405" s="11">
        <f>IF(A405="",0,SUMIFS('[1]资金台帐'!$G$4:$G$3003,'[1]资金台帐'!$D$4:$D$3003,$A405,'[1]资金台帐'!$M$4:$M$3003,"往来"))</f>
        <v>0</v>
      </c>
      <c r="I405" s="11">
        <f t="shared" si="0"/>
        <v>0</v>
      </c>
      <c r="J405" s="11">
        <f t="shared" si="1"/>
        <v>0</v>
      </c>
      <c r="K405" s="6">
        <f t="shared" si="2"/>
      </c>
    </row>
  </sheetData>
  <autoFilter ref="A4:K405"/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A1:N57"/>
  <sheetViews>
    <sheetView showGridLines="1" tabSelected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26" customHeight="1">
      <c r="A1" s="1" t="inlineStr">
        <is>
          <t>A076 费用统计（费用项目 × 月，年份见首页）</t>
        </is>
      </c>
    </row>
    <row r="2" ht="48" customHeight="1">
      <c r="A2" s="3" t="inlineStr">
        <is>
          <t>来自资金台帐：选了费用项目的行，支出－收入（退回的费用记收入会冲减）。最下面跟「属性＝支出」的合计比，差额＝没选费用项目、或费用项目不在基础资料的支出。拼多多扣的技术服务费、体验计划、售后补偿不在这里，在利润表「平台费用」。</t>
        </is>
      </c>
    </row>
    <row r="3"/>
    <row r="4" ht="30" customHeight="1">
      <c r="A4" s="5" t="inlineStr">
        <is>
          <t>费用项目</t>
        </is>
      </c>
      <c r="B4" s="15" t="n">
        <v>1</v>
      </c>
      <c r="C4" s="15" t="n">
        <v>2</v>
      </c>
      <c r="D4" s="15" t="n">
        <v>3</v>
      </c>
      <c r="E4" s="15" t="n">
        <v>4</v>
      </c>
      <c r="F4" s="15" t="n">
        <v>5</v>
      </c>
      <c r="G4" s="15" t="n">
        <v>6</v>
      </c>
      <c r="H4" s="15" t="n">
        <v>7</v>
      </c>
      <c r="I4" s="15" t="n">
        <v>8</v>
      </c>
      <c r="J4" s="15" t="n">
        <v>9</v>
      </c>
      <c r="K4" s="15" t="n">
        <v>10</v>
      </c>
      <c r="L4" s="15" t="n">
        <v>11</v>
      </c>
      <c r="M4" s="15" t="n">
        <v>12</v>
      </c>
      <c r="N4" s="5" t="inlineStr">
        <is>
          <t>全年合计</t>
        </is>
      </c>
    </row>
    <row r="5">
      <c r="A5" s="6" t="str">
        <f>IF('[1]基础资料'!$G$5="","",'[1]基础资料'!$G$5)</f>
        <v>房租</v>
      </c>
      <c r="B5" s="11">
        <f>IF($A5="",0,SUMIFS('[1]资金台帐'!$H$4:$H$3003,'[1]资金台帐'!$E$4:$E$3003,$A5,'[1]资金台帐'!$N$4:$N$3003,'首页'!$B$4*100+B$4)-SUMIFS('[1]资金台帐'!$G$4:$G$3003,'[1]资金台帐'!$E$4:$E$3003,$A5,'[1]资金台帐'!$N$4:$N$3003,'首页'!$B$4*100+B$4))</f>
        <v>0</v>
      </c>
      <c r="C5" s="11">
        <f>IF($A5="",0,SUMIFS('[1]资金台帐'!$H$4:$H$3003,'[1]资金台帐'!$E$4:$E$3003,$A5,'[1]资金台帐'!$N$4:$N$3003,'首页'!$B$4*100+C$4)-SUMIFS('[1]资金台帐'!$G$4:$G$3003,'[1]资金台帐'!$E$4:$E$3003,$A5,'[1]资金台帐'!$N$4:$N$3003,'首页'!$B$4*100+C$4))</f>
        <v>0</v>
      </c>
      <c r="D5" s="11">
        <f>IF($A5="",0,SUMIFS('[1]资金台帐'!$H$4:$H$3003,'[1]资金台帐'!$E$4:$E$3003,$A5,'[1]资金台帐'!$N$4:$N$3003,'首页'!$B$4*100+D$4)-SUMIFS('[1]资金台帐'!$G$4:$G$3003,'[1]资金台帐'!$E$4:$E$3003,$A5,'[1]资金台帐'!$N$4:$N$3003,'首页'!$B$4*100+D$4))</f>
        <v>0</v>
      </c>
      <c r="E5" s="11">
        <f>IF($A5="",0,SUMIFS('[1]资金台帐'!$H$4:$H$3003,'[1]资金台帐'!$E$4:$E$3003,$A5,'[1]资金台帐'!$N$4:$N$3003,'首页'!$B$4*100+E$4)-SUMIFS('[1]资金台帐'!$G$4:$G$3003,'[1]资金台帐'!$E$4:$E$3003,$A5,'[1]资金台帐'!$N$4:$N$3003,'首页'!$B$4*100+E$4))</f>
        <v>0</v>
      </c>
      <c r="F5" s="11">
        <f>IF($A5="",0,SUMIFS('[1]资金台帐'!$H$4:$H$3003,'[1]资金台帐'!$E$4:$E$3003,$A5,'[1]资金台帐'!$N$4:$N$3003,'首页'!$B$4*100+F$4)-SUMIFS('[1]资金台帐'!$G$4:$G$3003,'[1]资金台帐'!$E$4:$E$3003,$A5,'[1]资金台帐'!$N$4:$N$3003,'首页'!$B$4*100+F$4))</f>
        <v>0</v>
      </c>
      <c r="G5" s="11">
        <f>IF($A5="",0,SUMIFS('[1]资金台帐'!$H$4:$H$3003,'[1]资金台帐'!$E$4:$E$3003,$A5,'[1]资金台帐'!$N$4:$N$3003,'首页'!$B$4*100+G$4)-SUMIFS('[1]资金台帐'!$G$4:$G$3003,'[1]资金台帐'!$E$4:$E$3003,$A5,'[1]资金台帐'!$N$4:$N$3003,'首页'!$B$4*100+G$4))</f>
        <v>0</v>
      </c>
      <c r="H5" s="11">
        <f>IF($A5="",0,SUMIFS('[1]资金台帐'!$H$4:$H$3003,'[1]资金台帐'!$E$4:$E$3003,$A5,'[1]资金台帐'!$N$4:$N$3003,'首页'!$B$4*100+H$4)-SUMIFS('[1]资金台帐'!$G$4:$G$3003,'[1]资金台帐'!$E$4:$E$3003,$A5,'[1]资金台帐'!$N$4:$N$3003,'首页'!$B$4*100+H$4))</f>
        <v>0</v>
      </c>
      <c r="I5" s="11">
        <f>IF($A5="",0,SUMIFS('[1]资金台帐'!$H$4:$H$3003,'[1]资金台帐'!$E$4:$E$3003,$A5,'[1]资金台帐'!$N$4:$N$3003,'首页'!$B$4*100+I$4)-SUMIFS('[1]资金台帐'!$G$4:$G$3003,'[1]资金台帐'!$E$4:$E$3003,$A5,'[1]资金台帐'!$N$4:$N$3003,'首页'!$B$4*100+I$4))</f>
        <v>0</v>
      </c>
      <c r="J5" s="11">
        <f>IF($A5="",0,SUMIFS('[1]资金台帐'!$H$4:$H$3003,'[1]资金台帐'!$E$4:$E$3003,$A5,'[1]资金台帐'!$N$4:$N$3003,'首页'!$B$4*100+J$4)-SUMIFS('[1]资金台帐'!$G$4:$G$3003,'[1]资金台帐'!$E$4:$E$3003,$A5,'[1]资金台帐'!$N$4:$N$3003,'首页'!$B$4*100+J$4))</f>
        <v>0</v>
      </c>
      <c r="K5" s="11">
        <f>IF($A5="",0,SUMIFS('[1]资金台帐'!$H$4:$H$3003,'[1]资金台帐'!$E$4:$E$3003,$A5,'[1]资金台帐'!$N$4:$N$3003,'首页'!$B$4*100+K$4)-SUMIFS('[1]资金台帐'!$G$4:$G$3003,'[1]资金台帐'!$E$4:$E$3003,$A5,'[1]资金台帐'!$N$4:$N$3003,'首页'!$B$4*100+K$4))</f>
        <v>0</v>
      </c>
      <c r="L5" s="11">
        <f>IF($A5="",0,SUMIFS('[1]资金台帐'!$H$4:$H$3003,'[1]资金台帐'!$E$4:$E$3003,$A5,'[1]资金台帐'!$N$4:$N$3003,'首页'!$B$4*100+L$4)-SUMIFS('[1]资金台帐'!$G$4:$G$3003,'[1]资金台帐'!$E$4:$E$3003,$A5,'[1]资金台帐'!$N$4:$N$3003,'首页'!$B$4*100+L$4))</f>
        <v>0</v>
      </c>
      <c r="M5" s="11">
        <f>IF($A5="",0,SUMIFS('[1]资金台帐'!$H$4:$H$3003,'[1]资金台帐'!$E$4:$E$3003,$A5,'[1]资金台帐'!$N$4:$N$3003,'首页'!$B$4*100+M$4)-SUMIFS('[1]资金台帐'!$G$4:$G$3003,'[1]资金台帐'!$E$4:$E$3003,$A5,'[1]资金台帐'!$N$4:$N$3003,'首页'!$B$4*100+M$4))</f>
        <v>0</v>
      </c>
      <c r="N5" s="11">
        <f t="shared" ref="N5:N54" si="0">SUM(B5:M5)</f>
        <v>0</v>
      </c>
    </row>
    <row r="6">
      <c r="A6" s="6" t="str">
        <f>IF('[1]基础资料'!$G$6="","",'[1]基础资料'!$G$6)</f>
        <v>水电物业</v>
      </c>
      <c r="B6" s="11">
        <f>IF($A6="",0,SUMIFS('[1]资金台帐'!$H$4:$H$3003,'[1]资金台帐'!$E$4:$E$3003,$A6,'[1]资金台帐'!$N$4:$N$3003,'首页'!$B$4*100+B$4)-SUMIFS('[1]资金台帐'!$G$4:$G$3003,'[1]资金台帐'!$E$4:$E$3003,$A6,'[1]资金台帐'!$N$4:$N$3003,'首页'!$B$4*100+B$4))</f>
        <v>0</v>
      </c>
      <c r="C6" s="11">
        <f>IF($A6="",0,SUMIFS('[1]资金台帐'!$H$4:$H$3003,'[1]资金台帐'!$E$4:$E$3003,$A6,'[1]资金台帐'!$N$4:$N$3003,'首页'!$B$4*100+C$4)-SUMIFS('[1]资金台帐'!$G$4:$G$3003,'[1]资金台帐'!$E$4:$E$3003,$A6,'[1]资金台帐'!$N$4:$N$3003,'首页'!$B$4*100+C$4))</f>
        <v>0</v>
      </c>
      <c r="D6" s="11">
        <f>IF($A6="",0,SUMIFS('[1]资金台帐'!$H$4:$H$3003,'[1]资金台帐'!$E$4:$E$3003,$A6,'[1]资金台帐'!$N$4:$N$3003,'首页'!$B$4*100+D$4)-SUMIFS('[1]资金台帐'!$G$4:$G$3003,'[1]资金台帐'!$E$4:$E$3003,$A6,'[1]资金台帐'!$N$4:$N$3003,'首页'!$B$4*100+D$4))</f>
        <v>0</v>
      </c>
      <c r="E6" s="11">
        <f>IF($A6="",0,SUMIFS('[1]资金台帐'!$H$4:$H$3003,'[1]资金台帐'!$E$4:$E$3003,$A6,'[1]资金台帐'!$N$4:$N$3003,'首页'!$B$4*100+E$4)-SUMIFS('[1]资金台帐'!$G$4:$G$3003,'[1]资金台帐'!$E$4:$E$3003,$A6,'[1]资金台帐'!$N$4:$N$3003,'首页'!$B$4*100+E$4))</f>
        <v>0</v>
      </c>
      <c r="F6" s="11">
        <f>IF($A6="",0,SUMIFS('[1]资金台帐'!$H$4:$H$3003,'[1]资金台帐'!$E$4:$E$3003,$A6,'[1]资金台帐'!$N$4:$N$3003,'首页'!$B$4*100+F$4)-SUMIFS('[1]资金台帐'!$G$4:$G$3003,'[1]资金台帐'!$E$4:$E$3003,$A6,'[1]资金台帐'!$N$4:$N$3003,'首页'!$B$4*100+F$4))</f>
        <v>0</v>
      </c>
      <c r="G6" s="11">
        <f>IF($A6="",0,SUMIFS('[1]资金台帐'!$H$4:$H$3003,'[1]资金台帐'!$E$4:$E$3003,$A6,'[1]资金台帐'!$N$4:$N$3003,'首页'!$B$4*100+G$4)-SUMIFS('[1]资金台帐'!$G$4:$G$3003,'[1]资金台帐'!$E$4:$E$3003,$A6,'[1]资金台帐'!$N$4:$N$3003,'首页'!$B$4*100+G$4))</f>
        <v>0</v>
      </c>
      <c r="H6" s="11">
        <f>IF($A6="",0,SUMIFS('[1]资金台帐'!$H$4:$H$3003,'[1]资金台帐'!$E$4:$E$3003,$A6,'[1]资金台帐'!$N$4:$N$3003,'首页'!$B$4*100+H$4)-SUMIFS('[1]资金台帐'!$G$4:$G$3003,'[1]资金台帐'!$E$4:$E$3003,$A6,'[1]资金台帐'!$N$4:$N$3003,'首页'!$B$4*100+H$4))</f>
        <v>0</v>
      </c>
      <c r="I6" s="11">
        <f>IF($A6="",0,SUMIFS('[1]资金台帐'!$H$4:$H$3003,'[1]资金台帐'!$E$4:$E$3003,$A6,'[1]资金台帐'!$N$4:$N$3003,'首页'!$B$4*100+I$4)-SUMIFS('[1]资金台帐'!$G$4:$G$3003,'[1]资金台帐'!$E$4:$E$3003,$A6,'[1]资金台帐'!$N$4:$N$3003,'首页'!$B$4*100+I$4))</f>
        <v>0</v>
      </c>
      <c r="J6" s="11">
        <f>IF($A6="",0,SUMIFS('[1]资金台帐'!$H$4:$H$3003,'[1]资金台帐'!$E$4:$E$3003,$A6,'[1]资金台帐'!$N$4:$N$3003,'首页'!$B$4*100+J$4)-SUMIFS('[1]资金台帐'!$G$4:$G$3003,'[1]资金台帐'!$E$4:$E$3003,$A6,'[1]资金台帐'!$N$4:$N$3003,'首页'!$B$4*100+J$4))</f>
        <v>0</v>
      </c>
      <c r="K6" s="11">
        <f>IF($A6="",0,SUMIFS('[1]资金台帐'!$H$4:$H$3003,'[1]资金台帐'!$E$4:$E$3003,$A6,'[1]资金台帐'!$N$4:$N$3003,'首页'!$B$4*100+K$4)-SUMIFS('[1]资金台帐'!$G$4:$G$3003,'[1]资金台帐'!$E$4:$E$3003,$A6,'[1]资金台帐'!$N$4:$N$3003,'首页'!$B$4*100+K$4))</f>
        <v>0</v>
      </c>
      <c r="L6" s="11">
        <f>IF($A6="",0,SUMIFS('[1]资金台帐'!$H$4:$H$3003,'[1]资金台帐'!$E$4:$E$3003,$A6,'[1]资金台帐'!$N$4:$N$3003,'首页'!$B$4*100+L$4)-SUMIFS('[1]资金台帐'!$G$4:$G$3003,'[1]资金台帐'!$E$4:$E$3003,$A6,'[1]资金台帐'!$N$4:$N$3003,'首页'!$B$4*100+L$4))</f>
        <v>0</v>
      </c>
      <c r="M6" s="11">
        <f>IF($A6="",0,SUMIFS('[1]资金台帐'!$H$4:$H$3003,'[1]资金台帐'!$E$4:$E$3003,$A6,'[1]资金台帐'!$N$4:$N$3003,'首页'!$B$4*100+M$4)-SUMIFS('[1]资金台帐'!$G$4:$G$3003,'[1]资金台帐'!$E$4:$E$3003,$A6,'[1]资金台帐'!$N$4:$N$3003,'首页'!$B$4*100+M$4))</f>
        <v>0</v>
      </c>
      <c r="N6" s="11">
        <f t="shared" si="0"/>
        <v>0</v>
      </c>
    </row>
    <row r="7">
      <c r="A7" s="6" t="str">
        <f>IF('[1]基础资料'!$G$7="","",'[1]基础资料'!$G$7)</f>
        <v>工资</v>
      </c>
      <c r="B7" s="11">
        <f>IF($A7="",0,SUMIFS('[1]资金台帐'!$H$4:$H$3003,'[1]资金台帐'!$E$4:$E$3003,$A7,'[1]资金台帐'!$N$4:$N$3003,'首页'!$B$4*100+B$4)-SUMIFS('[1]资金台帐'!$G$4:$G$3003,'[1]资金台帐'!$E$4:$E$3003,$A7,'[1]资金台帐'!$N$4:$N$3003,'首页'!$B$4*100+B$4))</f>
        <v>0</v>
      </c>
      <c r="C7" s="11">
        <f>IF($A7="",0,SUMIFS('[1]资金台帐'!$H$4:$H$3003,'[1]资金台帐'!$E$4:$E$3003,$A7,'[1]资金台帐'!$N$4:$N$3003,'首页'!$B$4*100+C$4)-SUMIFS('[1]资金台帐'!$G$4:$G$3003,'[1]资金台帐'!$E$4:$E$3003,$A7,'[1]资金台帐'!$N$4:$N$3003,'首页'!$B$4*100+C$4))</f>
        <v>0</v>
      </c>
      <c r="D7" s="11">
        <f>IF($A7="",0,SUMIFS('[1]资金台帐'!$H$4:$H$3003,'[1]资金台帐'!$E$4:$E$3003,$A7,'[1]资金台帐'!$N$4:$N$3003,'首页'!$B$4*100+D$4)-SUMIFS('[1]资金台帐'!$G$4:$G$3003,'[1]资金台帐'!$E$4:$E$3003,$A7,'[1]资金台帐'!$N$4:$N$3003,'首页'!$B$4*100+D$4))</f>
        <v>0</v>
      </c>
      <c r="E7" s="11">
        <f>IF($A7="",0,SUMIFS('[1]资金台帐'!$H$4:$H$3003,'[1]资金台帐'!$E$4:$E$3003,$A7,'[1]资金台帐'!$N$4:$N$3003,'首页'!$B$4*100+E$4)-SUMIFS('[1]资金台帐'!$G$4:$G$3003,'[1]资金台帐'!$E$4:$E$3003,$A7,'[1]资金台帐'!$N$4:$N$3003,'首页'!$B$4*100+E$4))</f>
        <v>0</v>
      </c>
      <c r="F7" s="11">
        <f>IF($A7="",0,SUMIFS('[1]资金台帐'!$H$4:$H$3003,'[1]资金台帐'!$E$4:$E$3003,$A7,'[1]资金台帐'!$N$4:$N$3003,'首页'!$B$4*100+F$4)-SUMIFS('[1]资金台帐'!$G$4:$G$3003,'[1]资金台帐'!$E$4:$E$3003,$A7,'[1]资金台帐'!$N$4:$N$3003,'首页'!$B$4*100+F$4))</f>
        <v>0</v>
      </c>
      <c r="G7" s="11">
        <f>IF($A7="",0,SUMIFS('[1]资金台帐'!$H$4:$H$3003,'[1]资金台帐'!$E$4:$E$3003,$A7,'[1]资金台帐'!$N$4:$N$3003,'首页'!$B$4*100+G$4)-SUMIFS('[1]资金台帐'!$G$4:$G$3003,'[1]资金台帐'!$E$4:$E$3003,$A7,'[1]资金台帐'!$N$4:$N$3003,'首页'!$B$4*100+G$4))</f>
        <v>0</v>
      </c>
      <c r="H7" s="11">
        <f>IF($A7="",0,SUMIFS('[1]资金台帐'!$H$4:$H$3003,'[1]资金台帐'!$E$4:$E$3003,$A7,'[1]资金台帐'!$N$4:$N$3003,'首页'!$B$4*100+H$4)-SUMIFS('[1]资金台帐'!$G$4:$G$3003,'[1]资金台帐'!$E$4:$E$3003,$A7,'[1]资金台帐'!$N$4:$N$3003,'首页'!$B$4*100+H$4))</f>
        <v>0</v>
      </c>
      <c r="I7" s="11">
        <f>IF($A7="",0,SUMIFS('[1]资金台帐'!$H$4:$H$3003,'[1]资金台帐'!$E$4:$E$3003,$A7,'[1]资金台帐'!$N$4:$N$3003,'首页'!$B$4*100+I$4)-SUMIFS('[1]资金台帐'!$G$4:$G$3003,'[1]资金台帐'!$E$4:$E$3003,$A7,'[1]资金台帐'!$N$4:$N$3003,'首页'!$B$4*100+I$4))</f>
        <v>0</v>
      </c>
      <c r="J7" s="11">
        <f>IF($A7="",0,SUMIFS('[1]资金台帐'!$H$4:$H$3003,'[1]资金台帐'!$E$4:$E$3003,$A7,'[1]资金台帐'!$N$4:$N$3003,'首页'!$B$4*100+J$4)-SUMIFS('[1]资金台帐'!$G$4:$G$3003,'[1]资金台帐'!$E$4:$E$3003,$A7,'[1]资金台帐'!$N$4:$N$3003,'首页'!$B$4*100+J$4))</f>
        <v>0</v>
      </c>
      <c r="K7" s="11">
        <f>IF($A7="",0,SUMIFS('[1]资金台帐'!$H$4:$H$3003,'[1]资金台帐'!$E$4:$E$3003,$A7,'[1]资金台帐'!$N$4:$N$3003,'首页'!$B$4*100+K$4)-SUMIFS('[1]资金台帐'!$G$4:$G$3003,'[1]资金台帐'!$E$4:$E$3003,$A7,'[1]资金台帐'!$N$4:$N$3003,'首页'!$B$4*100+K$4))</f>
        <v>0</v>
      </c>
      <c r="L7" s="11">
        <f>IF($A7="",0,SUMIFS('[1]资金台帐'!$H$4:$H$3003,'[1]资金台帐'!$E$4:$E$3003,$A7,'[1]资金台帐'!$N$4:$N$3003,'首页'!$B$4*100+L$4)-SUMIFS('[1]资金台帐'!$G$4:$G$3003,'[1]资金台帐'!$E$4:$E$3003,$A7,'[1]资金台帐'!$N$4:$N$3003,'首页'!$B$4*100+L$4))</f>
        <v>0</v>
      </c>
      <c r="M7" s="11">
        <f>IF($A7="",0,SUMIFS('[1]资金台帐'!$H$4:$H$3003,'[1]资金台帐'!$E$4:$E$3003,$A7,'[1]资金台帐'!$N$4:$N$3003,'首页'!$B$4*100+M$4)-SUMIFS('[1]资金台帐'!$G$4:$G$3003,'[1]资金台帐'!$E$4:$E$3003,$A7,'[1]资金台帐'!$N$4:$N$3003,'首页'!$B$4*100+M$4))</f>
        <v>0</v>
      </c>
      <c r="N7" s="11">
        <f t="shared" si="0"/>
        <v>0</v>
      </c>
    </row>
    <row r="8">
      <c r="A8" s="6" t="str">
        <f>IF('[1]基础资料'!$G$8="","",'[1]基础资料'!$G$8)</f>
        <v>社保公积金</v>
      </c>
      <c r="B8" s="11">
        <f>IF($A8="",0,SUMIFS('[1]资金台帐'!$H$4:$H$3003,'[1]资金台帐'!$E$4:$E$3003,$A8,'[1]资金台帐'!$N$4:$N$3003,'首页'!$B$4*100+B$4)-SUMIFS('[1]资金台帐'!$G$4:$G$3003,'[1]资金台帐'!$E$4:$E$3003,$A8,'[1]资金台帐'!$N$4:$N$3003,'首页'!$B$4*100+B$4))</f>
        <v>0</v>
      </c>
      <c r="C8" s="11">
        <f>IF($A8="",0,SUMIFS('[1]资金台帐'!$H$4:$H$3003,'[1]资金台帐'!$E$4:$E$3003,$A8,'[1]资金台帐'!$N$4:$N$3003,'首页'!$B$4*100+C$4)-SUMIFS('[1]资金台帐'!$G$4:$G$3003,'[1]资金台帐'!$E$4:$E$3003,$A8,'[1]资金台帐'!$N$4:$N$3003,'首页'!$B$4*100+C$4))</f>
        <v>0</v>
      </c>
      <c r="D8" s="11">
        <f>IF($A8="",0,SUMIFS('[1]资金台帐'!$H$4:$H$3003,'[1]资金台帐'!$E$4:$E$3003,$A8,'[1]资金台帐'!$N$4:$N$3003,'首页'!$B$4*100+D$4)-SUMIFS('[1]资金台帐'!$G$4:$G$3003,'[1]资金台帐'!$E$4:$E$3003,$A8,'[1]资金台帐'!$N$4:$N$3003,'首页'!$B$4*100+D$4))</f>
        <v>0</v>
      </c>
      <c r="E8" s="11">
        <f>IF($A8="",0,SUMIFS('[1]资金台帐'!$H$4:$H$3003,'[1]资金台帐'!$E$4:$E$3003,$A8,'[1]资金台帐'!$N$4:$N$3003,'首页'!$B$4*100+E$4)-SUMIFS('[1]资金台帐'!$G$4:$G$3003,'[1]资金台帐'!$E$4:$E$3003,$A8,'[1]资金台帐'!$N$4:$N$3003,'首页'!$B$4*100+E$4))</f>
        <v>0</v>
      </c>
      <c r="F8" s="11">
        <f>IF($A8="",0,SUMIFS('[1]资金台帐'!$H$4:$H$3003,'[1]资金台帐'!$E$4:$E$3003,$A8,'[1]资金台帐'!$N$4:$N$3003,'首页'!$B$4*100+F$4)-SUMIFS('[1]资金台帐'!$G$4:$G$3003,'[1]资金台帐'!$E$4:$E$3003,$A8,'[1]资金台帐'!$N$4:$N$3003,'首页'!$B$4*100+F$4))</f>
        <v>0</v>
      </c>
      <c r="G8" s="11">
        <f>IF($A8="",0,SUMIFS('[1]资金台帐'!$H$4:$H$3003,'[1]资金台帐'!$E$4:$E$3003,$A8,'[1]资金台帐'!$N$4:$N$3003,'首页'!$B$4*100+G$4)-SUMIFS('[1]资金台帐'!$G$4:$G$3003,'[1]资金台帐'!$E$4:$E$3003,$A8,'[1]资金台帐'!$N$4:$N$3003,'首页'!$B$4*100+G$4))</f>
        <v>0</v>
      </c>
      <c r="H8" s="11">
        <f>IF($A8="",0,SUMIFS('[1]资金台帐'!$H$4:$H$3003,'[1]资金台帐'!$E$4:$E$3003,$A8,'[1]资金台帐'!$N$4:$N$3003,'首页'!$B$4*100+H$4)-SUMIFS('[1]资金台帐'!$G$4:$G$3003,'[1]资金台帐'!$E$4:$E$3003,$A8,'[1]资金台帐'!$N$4:$N$3003,'首页'!$B$4*100+H$4))</f>
        <v>0</v>
      </c>
      <c r="I8" s="11">
        <f>IF($A8="",0,SUMIFS('[1]资金台帐'!$H$4:$H$3003,'[1]资金台帐'!$E$4:$E$3003,$A8,'[1]资金台帐'!$N$4:$N$3003,'首页'!$B$4*100+I$4)-SUMIFS('[1]资金台帐'!$G$4:$G$3003,'[1]资金台帐'!$E$4:$E$3003,$A8,'[1]资金台帐'!$N$4:$N$3003,'首页'!$B$4*100+I$4))</f>
        <v>0</v>
      </c>
      <c r="J8" s="11">
        <f>IF($A8="",0,SUMIFS('[1]资金台帐'!$H$4:$H$3003,'[1]资金台帐'!$E$4:$E$3003,$A8,'[1]资金台帐'!$N$4:$N$3003,'首页'!$B$4*100+J$4)-SUMIFS('[1]资金台帐'!$G$4:$G$3003,'[1]资金台帐'!$E$4:$E$3003,$A8,'[1]资金台帐'!$N$4:$N$3003,'首页'!$B$4*100+J$4))</f>
        <v>0</v>
      </c>
      <c r="K8" s="11">
        <f>IF($A8="",0,SUMIFS('[1]资金台帐'!$H$4:$H$3003,'[1]资金台帐'!$E$4:$E$3003,$A8,'[1]资金台帐'!$N$4:$N$3003,'首页'!$B$4*100+K$4)-SUMIFS('[1]资金台帐'!$G$4:$G$3003,'[1]资金台帐'!$E$4:$E$3003,$A8,'[1]资金台帐'!$N$4:$N$3003,'首页'!$B$4*100+K$4))</f>
        <v>0</v>
      </c>
      <c r="L8" s="11">
        <f>IF($A8="",0,SUMIFS('[1]资金台帐'!$H$4:$H$3003,'[1]资金台帐'!$E$4:$E$3003,$A8,'[1]资金台帐'!$N$4:$N$3003,'首页'!$B$4*100+L$4)-SUMIFS('[1]资金台帐'!$G$4:$G$3003,'[1]资金台帐'!$E$4:$E$3003,$A8,'[1]资金台帐'!$N$4:$N$3003,'首页'!$B$4*100+L$4))</f>
        <v>0</v>
      </c>
      <c r="M8" s="11">
        <f>IF($A8="",0,SUMIFS('[1]资金台帐'!$H$4:$H$3003,'[1]资金台帐'!$E$4:$E$3003,$A8,'[1]资金台帐'!$N$4:$N$3003,'首页'!$B$4*100+M$4)-SUMIFS('[1]资金台帐'!$G$4:$G$3003,'[1]资金台帐'!$E$4:$E$3003,$A8,'[1]资金台帐'!$N$4:$N$3003,'首页'!$B$4*100+M$4))</f>
        <v>0</v>
      </c>
      <c r="N8" s="11">
        <f t="shared" si="0"/>
        <v>0</v>
      </c>
    </row>
    <row r="9">
      <c r="A9" s="6" t="str">
        <f>IF('[1]基础资料'!$G$9="","",'[1]基础资料'!$G$9)</f>
        <v>快递物流</v>
      </c>
      <c r="B9" s="11">
        <f>IF($A9="",0,SUMIFS('[1]资金台帐'!$H$4:$H$3003,'[1]资金台帐'!$E$4:$E$3003,$A9,'[1]资金台帐'!$N$4:$N$3003,'首页'!$B$4*100+B$4)-SUMIFS('[1]资金台帐'!$G$4:$G$3003,'[1]资金台帐'!$E$4:$E$3003,$A9,'[1]资金台帐'!$N$4:$N$3003,'首页'!$B$4*100+B$4))</f>
        <v>0</v>
      </c>
      <c r="C9" s="11">
        <f>IF($A9="",0,SUMIFS('[1]资金台帐'!$H$4:$H$3003,'[1]资金台帐'!$E$4:$E$3003,$A9,'[1]资金台帐'!$N$4:$N$3003,'首页'!$B$4*100+C$4)-SUMIFS('[1]资金台帐'!$G$4:$G$3003,'[1]资金台帐'!$E$4:$E$3003,$A9,'[1]资金台帐'!$N$4:$N$3003,'首页'!$B$4*100+C$4))</f>
        <v>0</v>
      </c>
      <c r="D9" s="11">
        <f>IF($A9="",0,SUMIFS('[1]资金台帐'!$H$4:$H$3003,'[1]资金台帐'!$E$4:$E$3003,$A9,'[1]资金台帐'!$N$4:$N$3003,'首页'!$B$4*100+D$4)-SUMIFS('[1]资金台帐'!$G$4:$G$3003,'[1]资金台帐'!$E$4:$E$3003,$A9,'[1]资金台帐'!$N$4:$N$3003,'首页'!$B$4*100+D$4))</f>
        <v>0</v>
      </c>
      <c r="E9" s="11">
        <f>IF($A9="",0,SUMIFS('[1]资金台帐'!$H$4:$H$3003,'[1]资金台帐'!$E$4:$E$3003,$A9,'[1]资金台帐'!$N$4:$N$3003,'首页'!$B$4*100+E$4)-SUMIFS('[1]资金台帐'!$G$4:$G$3003,'[1]资金台帐'!$E$4:$E$3003,$A9,'[1]资金台帐'!$N$4:$N$3003,'首页'!$B$4*100+E$4))</f>
        <v>0</v>
      </c>
      <c r="F9" s="11">
        <f>IF($A9="",0,SUMIFS('[1]资金台帐'!$H$4:$H$3003,'[1]资金台帐'!$E$4:$E$3003,$A9,'[1]资金台帐'!$N$4:$N$3003,'首页'!$B$4*100+F$4)-SUMIFS('[1]资金台帐'!$G$4:$G$3003,'[1]资金台帐'!$E$4:$E$3003,$A9,'[1]资金台帐'!$N$4:$N$3003,'首页'!$B$4*100+F$4))</f>
        <v>0</v>
      </c>
      <c r="G9" s="11">
        <f>IF($A9="",0,SUMIFS('[1]资金台帐'!$H$4:$H$3003,'[1]资金台帐'!$E$4:$E$3003,$A9,'[1]资金台帐'!$N$4:$N$3003,'首页'!$B$4*100+G$4)-SUMIFS('[1]资金台帐'!$G$4:$G$3003,'[1]资金台帐'!$E$4:$E$3003,$A9,'[1]资金台帐'!$N$4:$N$3003,'首页'!$B$4*100+G$4))</f>
        <v>0</v>
      </c>
      <c r="H9" s="11">
        <f>IF($A9="",0,SUMIFS('[1]资金台帐'!$H$4:$H$3003,'[1]资金台帐'!$E$4:$E$3003,$A9,'[1]资金台帐'!$N$4:$N$3003,'首页'!$B$4*100+H$4)-SUMIFS('[1]资金台帐'!$G$4:$G$3003,'[1]资金台帐'!$E$4:$E$3003,$A9,'[1]资金台帐'!$N$4:$N$3003,'首页'!$B$4*100+H$4))</f>
        <v>0</v>
      </c>
      <c r="I9" s="11">
        <f>IF($A9="",0,SUMIFS('[1]资金台帐'!$H$4:$H$3003,'[1]资金台帐'!$E$4:$E$3003,$A9,'[1]资金台帐'!$N$4:$N$3003,'首页'!$B$4*100+I$4)-SUMIFS('[1]资金台帐'!$G$4:$G$3003,'[1]资金台帐'!$E$4:$E$3003,$A9,'[1]资金台帐'!$N$4:$N$3003,'首页'!$B$4*100+I$4))</f>
        <v>0</v>
      </c>
      <c r="J9" s="11">
        <f>IF($A9="",0,SUMIFS('[1]资金台帐'!$H$4:$H$3003,'[1]资金台帐'!$E$4:$E$3003,$A9,'[1]资金台帐'!$N$4:$N$3003,'首页'!$B$4*100+J$4)-SUMIFS('[1]资金台帐'!$G$4:$G$3003,'[1]资金台帐'!$E$4:$E$3003,$A9,'[1]资金台帐'!$N$4:$N$3003,'首页'!$B$4*100+J$4))</f>
        <v>0</v>
      </c>
      <c r="K9" s="11">
        <f>IF($A9="",0,SUMIFS('[1]资金台帐'!$H$4:$H$3003,'[1]资金台帐'!$E$4:$E$3003,$A9,'[1]资金台帐'!$N$4:$N$3003,'首页'!$B$4*100+K$4)-SUMIFS('[1]资金台帐'!$G$4:$G$3003,'[1]资金台帐'!$E$4:$E$3003,$A9,'[1]资金台帐'!$N$4:$N$3003,'首页'!$B$4*100+K$4))</f>
        <v>0</v>
      </c>
      <c r="L9" s="11">
        <f>IF($A9="",0,SUMIFS('[1]资金台帐'!$H$4:$H$3003,'[1]资金台帐'!$E$4:$E$3003,$A9,'[1]资金台帐'!$N$4:$N$3003,'首页'!$B$4*100+L$4)-SUMIFS('[1]资金台帐'!$G$4:$G$3003,'[1]资金台帐'!$E$4:$E$3003,$A9,'[1]资金台帐'!$N$4:$N$3003,'首页'!$B$4*100+L$4))</f>
        <v>0</v>
      </c>
      <c r="M9" s="11">
        <f>IF($A9="",0,SUMIFS('[1]资金台帐'!$H$4:$H$3003,'[1]资金台帐'!$E$4:$E$3003,$A9,'[1]资金台帐'!$N$4:$N$3003,'首页'!$B$4*100+M$4)-SUMIFS('[1]资金台帐'!$G$4:$G$3003,'[1]资金台帐'!$E$4:$E$3003,$A9,'[1]资金台帐'!$N$4:$N$3003,'首页'!$B$4*100+M$4))</f>
        <v>0</v>
      </c>
      <c r="N9" s="11">
        <f t="shared" si="0"/>
        <v>0</v>
      </c>
    </row>
    <row r="10">
      <c r="A10" s="6" t="str">
        <f>IF('[1]基础资料'!$G$10="","",'[1]基础资料'!$G$10)</f>
        <v>包装耗材</v>
      </c>
      <c r="B10" s="11">
        <f>IF($A10="",0,SUMIFS('[1]资金台帐'!$H$4:$H$3003,'[1]资金台帐'!$E$4:$E$3003,$A10,'[1]资金台帐'!$N$4:$N$3003,'首页'!$B$4*100+B$4)-SUMIFS('[1]资金台帐'!$G$4:$G$3003,'[1]资金台帐'!$E$4:$E$3003,$A10,'[1]资金台帐'!$N$4:$N$3003,'首页'!$B$4*100+B$4))</f>
        <v>0</v>
      </c>
      <c r="C10" s="11">
        <f>IF($A10="",0,SUMIFS('[1]资金台帐'!$H$4:$H$3003,'[1]资金台帐'!$E$4:$E$3003,$A10,'[1]资金台帐'!$N$4:$N$3003,'首页'!$B$4*100+C$4)-SUMIFS('[1]资金台帐'!$G$4:$G$3003,'[1]资金台帐'!$E$4:$E$3003,$A10,'[1]资金台帐'!$N$4:$N$3003,'首页'!$B$4*100+C$4))</f>
        <v>0</v>
      </c>
      <c r="D10" s="11">
        <f>IF($A10="",0,SUMIFS('[1]资金台帐'!$H$4:$H$3003,'[1]资金台帐'!$E$4:$E$3003,$A10,'[1]资金台帐'!$N$4:$N$3003,'首页'!$B$4*100+D$4)-SUMIFS('[1]资金台帐'!$G$4:$G$3003,'[1]资金台帐'!$E$4:$E$3003,$A10,'[1]资金台帐'!$N$4:$N$3003,'首页'!$B$4*100+D$4))</f>
        <v>0</v>
      </c>
      <c r="E10" s="11">
        <f>IF($A10="",0,SUMIFS('[1]资金台帐'!$H$4:$H$3003,'[1]资金台帐'!$E$4:$E$3003,$A10,'[1]资金台帐'!$N$4:$N$3003,'首页'!$B$4*100+E$4)-SUMIFS('[1]资金台帐'!$G$4:$G$3003,'[1]资金台帐'!$E$4:$E$3003,$A10,'[1]资金台帐'!$N$4:$N$3003,'首页'!$B$4*100+E$4))</f>
        <v>0</v>
      </c>
      <c r="F10" s="11">
        <f>IF($A10="",0,SUMIFS('[1]资金台帐'!$H$4:$H$3003,'[1]资金台帐'!$E$4:$E$3003,$A10,'[1]资金台帐'!$N$4:$N$3003,'首页'!$B$4*100+F$4)-SUMIFS('[1]资金台帐'!$G$4:$G$3003,'[1]资金台帐'!$E$4:$E$3003,$A10,'[1]资金台帐'!$N$4:$N$3003,'首页'!$B$4*100+F$4))</f>
        <v>0</v>
      </c>
      <c r="G10" s="11">
        <f>IF($A10="",0,SUMIFS('[1]资金台帐'!$H$4:$H$3003,'[1]资金台帐'!$E$4:$E$3003,$A10,'[1]资金台帐'!$N$4:$N$3003,'首页'!$B$4*100+G$4)-SUMIFS('[1]资金台帐'!$G$4:$G$3003,'[1]资金台帐'!$E$4:$E$3003,$A10,'[1]资金台帐'!$N$4:$N$3003,'首页'!$B$4*100+G$4))</f>
        <v>0</v>
      </c>
      <c r="H10" s="11">
        <f>IF($A10="",0,SUMIFS('[1]资金台帐'!$H$4:$H$3003,'[1]资金台帐'!$E$4:$E$3003,$A10,'[1]资金台帐'!$N$4:$N$3003,'首页'!$B$4*100+H$4)-SUMIFS('[1]资金台帐'!$G$4:$G$3003,'[1]资金台帐'!$E$4:$E$3003,$A10,'[1]资金台帐'!$N$4:$N$3003,'首页'!$B$4*100+H$4))</f>
        <v>0</v>
      </c>
      <c r="I10" s="11">
        <f>IF($A10="",0,SUMIFS('[1]资金台帐'!$H$4:$H$3003,'[1]资金台帐'!$E$4:$E$3003,$A10,'[1]资金台帐'!$N$4:$N$3003,'首页'!$B$4*100+I$4)-SUMIFS('[1]资金台帐'!$G$4:$G$3003,'[1]资金台帐'!$E$4:$E$3003,$A10,'[1]资金台帐'!$N$4:$N$3003,'首页'!$B$4*100+I$4))</f>
        <v>0</v>
      </c>
      <c r="J10" s="11">
        <f>IF($A10="",0,SUMIFS('[1]资金台帐'!$H$4:$H$3003,'[1]资金台帐'!$E$4:$E$3003,$A10,'[1]资金台帐'!$N$4:$N$3003,'首页'!$B$4*100+J$4)-SUMIFS('[1]资金台帐'!$G$4:$G$3003,'[1]资金台帐'!$E$4:$E$3003,$A10,'[1]资金台帐'!$N$4:$N$3003,'首页'!$B$4*100+J$4))</f>
        <v>0</v>
      </c>
      <c r="K10" s="11">
        <f>IF($A10="",0,SUMIFS('[1]资金台帐'!$H$4:$H$3003,'[1]资金台帐'!$E$4:$E$3003,$A10,'[1]资金台帐'!$N$4:$N$3003,'首页'!$B$4*100+K$4)-SUMIFS('[1]资金台帐'!$G$4:$G$3003,'[1]资金台帐'!$E$4:$E$3003,$A10,'[1]资金台帐'!$N$4:$N$3003,'首页'!$B$4*100+K$4))</f>
        <v>0</v>
      </c>
      <c r="L10" s="11">
        <f>IF($A10="",0,SUMIFS('[1]资金台帐'!$H$4:$H$3003,'[1]资金台帐'!$E$4:$E$3003,$A10,'[1]资金台帐'!$N$4:$N$3003,'首页'!$B$4*100+L$4)-SUMIFS('[1]资金台帐'!$G$4:$G$3003,'[1]资金台帐'!$E$4:$E$3003,$A10,'[1]资金台帐'!$N$4:$N$3003,'首页'!$B$4*100+L$4))</f>
        <v>0</v>
      </c>
      <c r="M10" s="11">
        <f>IF($A10="",0,SUMIFS('[1]资金台帐'!$H$4:$H$3003,'[1]资金台帐'!$E$4:$E$3003,$A10,'[1]资金台帐'!$N$4:$N$3003,'首页'!$B$4*100+M$4)-SUMIFS('[1]资金台帐'!$G$4:$G$3003,'[1]资金台帐'!$E$4:$E$3003,$A10,'[1]资金台帐'!$N$4:$N$3003,'首页'!$B$4*100+M$4))</f>
        <v>0</v>
      </c>
      <c r="N10" s="11">
        <f t="shared" si="0"/>
        <v>0</v>
      </c>
    </row>
    <row r="11">
      <c r="A11" s="6" t="str">
        <f>IF('[1]基础资料'!$G$11="","",'[1]基础资料'!$G$11)</f>
        <v>多多推广/广告</v>
      </c>
      <c r="B11" s="11">
        <f>IF($A11="",0,SUMIFS('[1]资金台帐'!$H$4:$H$3003,'[1]资金台帐'!$E$4:$E$3003,$A11,'[1]资金台帐'!$N$4:$N$3003,'首页'!$B$4*100+B$4)-SUMIFS('[1]资金台帐'!$G$4:$G$3003,'[1]资金台帐'!$E$4:$E$3003,$A11,'[1]资金台帐'!$N$4:$N$3003,'首页'!$B$4*100+B$4))</f>
        <v>0</v>
      </c>
      <c r="C11" s="11">
        <f>IF($A11="",0,SUMIFS('[1]资金台帐'!$H$4:$H$3003,'[1]资金台帐'!$E$4:$E$3003,$A11,'[1]资金台帐'!$N$4:$N$3003,'首页'!$B$4*100+C$4)-SUMIFS('[1]资金台帐'!$G$4:$G$3003,'[1]资金台帐'!$E$4:$E$3003,$A11,'[1]资金台帐'!$N$4:$N$3003,'首页'!$B$4*100+C$4))</f>
        <v>0</v>
      </c>
      <c r="D11" s="11">
        <f>IF($A11="",0,SUMIFS('[1]资金台帐'!$H$4:$H$3003,'[1]资金台帐'!$E$4:$E$3003,$A11,'[1]资金台帐'!$N$4:$N$3003,'首页'!$B$4*100+D$4)-SUMIFS('[1]资金台帐'!$G$4:$G$3003,'[1]资金台帐'!$E$4:$E$3003,$A11,'[1]资金台帐'!$N$4:$N$3003,'首页'!$B$4*100+D$4))</f>
        <v>0</v>
      </c>
      <c r="E11" s="11">
        <f>IF($A11="",0,SUMIFS('[1]资金台帐'!$H$4:$H$3003,'[1]资金台帐'!$E$4:$E$3003,$A11,'[1]资金台帐'!$N$4:$N$3003,'首页'!$B$4*100+E$4)-SUMIFS('[1]资金台帐'!$G$4:$G$3003,'[1]资金台帐'!$E$4:$E$3003,$A11,'[1]资金台帐'!$N$4:$N$3003,'首页'!$B$4*100+E$4))</f>
        <v>0</v>
      </c>
      <c r="F11" s="11">
        <f>IF($A11="",0,SUMIFS('[1]资金台帐'!$H$4:$H$3003,'[1]资金台帐'!$E$4:$E$3003,$A11,'[1]资金台帐'!$N$4:$N$3003,'首页'!$B$4*100+F$4)-SUMIFS('[1]资金台帐'!$G$4:$G$3003,'[1]资金台帐'!$E$4:$E$3003,$A11,'[1]资金台帐'!$N$4:$N$3003,'首页'!$B$4*100+F$4))</f>
        <v>0</v>
      </c>
      <c r="G11" s="11">
        <f>IF($A11="",0,SUMIFS('[1]资金台帐'!$H$4:$H$3003,'[1]资金台帐'!$E$4:$E$3003,$A11,'[1]资金台帐'!$N$4:$N$3003,'首页'!$B$4*100+G$4)-SUMIFS('[1]资金台帐'!$G$4:$G$3003,'[1]资金台帐'!$E$4:$E$3003,$A11,'[1]资金台帐'!$N$4:$N$3003,'首页'!$B$4*100+G$4))</f>
        <v>0</v>
      </c>
      <c r="H11" s="11">
        <f>IF($A11="",0,SUMIFS('[1]资金台帐'!$H$4:$H$3003,'[1]资金台帐'!$E$4:$E$3003,$A11,'[1]资金台帐'!$N$4:$N$3003,'首页'!$B$4*100+H$4)-SUMIFS('[1]资金台帐'!$G$4:$G$3003,'[1]资金台帐'!$E$4:$E$3003,$A11,'[1]资金台帐'!$N$4:$N$3003,'首页'!$B$4*100+H$4))</f>
        <v>0</v>
      </c>
      <c r="I11" s="11">
        <f>IF($A11="",0,SUMIFS('[1]资金台帐'!$H$4:$H$3003,'[1]资金台帐'!$E$4:$E$3003,$A11,'[1]资金台帐'!$N$4:$N$3003,'首页'!$B$4*100+I$4)-SUMIFS('[1]资金台帐'!$G$4:$G$3003,'[1]资金台帐'!$E$4:$E$3003,$A11,'[1]资金台帐'!$N$4:$N$3003,'首页'!$B$4*100+I$4))</f>
        <v>0</v>
      </c>
      <c r="J11" s="11">
        <f>IF($A11="",0,SUMIFS('[1]资金台帐'!$H$4:$H$3003,'[1]资金台帐'!$E$4:$E$3003,$A11,'[1]资金台帐'!$N$4:$N$3003,'首页'!$B$4*100+J$4)-SUMIFS('[1]资金台帐'!$G$4:$G$3003,'[1]资金台帐'!$E$4:$E$3003,$A11,'[1]资金台帐'!$N$4:$N$3003,'首页'!$B$4*100+J$4))</f>
        <v>0</v>
      </c>
      <c r="K11" s="11">
        <f>IF($A11="",0,SUMIFS('[1]资金台帐'!$H$4:$H$3003,'[1]资金台帐'!$E$4:$E$3003,$A11,'[1]资金台帐'!$N$4:$N$3003,'首页'!$B$4*100+K$4)-SUMIFS('[1]资金台帐'!$G$4:$G$3003,'[1]资金台帐'!$E$4:$E$3003,$A11,'[1]资金台帐'!$N$4:$N$3003,'首页'!$B$4*100+K$4))</f>
        <v>0</v>
      </c>
      <c r="L11" s="11">
        <f>IF($A11="",0,SUMIFS('[1]资金台帐'!$H$4:$H$3003,'[1]资金台帐'!$E$4:$E$3003,$A11,'[1]资金台帐'!$N$4:$N$3003,'首页'!$B$4*100+L$4)-SUMIFS('[1]资金台帐'!$G$4:$G$3003,'[1]资金台帐'!$E$4:$E$3003,$A11,'[1]资金台帐'!$N$4:$N$3003,'首页'!$B$4*100+L$4))</f>
        <v>0</v>
      </c>
      <c r="M11" s="11">
        <f>IF($A11="",0,SUMIFS('[1]资金台帐'!$H$4:$H$3003,'[1]资金台帐'!$E$4:$E$3003,$A11,'[1]资金台帐'!$N$4:$N$3003,'首页'!$B$4*100+M$4)-SUMIFS('[1]资金台帐'!$G$4:$G$3003,'[1]资金台帐'!$E$4:$E$3003,$A11,'[1]资金台帐'!$N$4:$N$3003,'首页'!$B$4*100+M$4))</f>
        <v>0</v>
      </c>
      <c r="N11" s="11">
        <f t="shared" si="0"/>
        <v>0</v>
      </c>
    </row>
    <row r="12">
      <c r="A12" s="6" t="str">
        <f>IF('[1]基础资料'!$G$12="","",'[1]基础资料'!$G$12)</f>
        <v>办公费</v>
      </c>
      <c r="B12" s="11">
        <f>IF($A12="",0,SUMIFS('[1]资金台帐'!$H$4:$H$3003,'[1]资金台帐'!$E$4:$E$3003,$A12,'[1]资金台帐'!$N$4:$N$3003,'首页'!$B$4*100+B$4)-SUMIFS('[1]资金台帐'!$G$4:$G$3003,'[1]资金台帐'!$E$4:$E$3003,$A12,'[1]资金台帐'!$N$4:$N$3003,'首页'!$B$4*100+B$4))</f>
        <v>0</v>
      </c>
      <c r="C12" s="11">
        <f>IF($A12="",0,SUMIFS('[1]资金台帐'!$H$4:$H$3003,'[1]资金台帐'!$E$4:$E$3003,$A12,'[1]资金台帐'!$N$4:$N$3003,'首页'!$B$4*100+C$4)-SUMIFS('[1]资金台帐'!$G$4:$G$3003,'[1]资金台帐'!$E$4:$E$3003,$A12,'[1]资金台帐'!$N$4:$N$3003,'首页'!$B$4*100+C$4))</f>
        <v>0</v>
      </c>
      <c r="D12" s="11">
        <f>IF($A12="",0,SUMIFS('[1]资金台帐'!$H$4:$H$3003,'[1]资金台帐'!$E$4:$E$3003,$A12,'[1]资金台帐'!$N$4:$N$3003,'首页'!$B$4*100+D$4)-SUMIFS('[1]资金台帐'!$G$4:$G$3003,'[1]资金台帐'!$E$4:$E$3003,$A12,'[1]资金台帐'!$N$4:$N$3003,'首页'!$B$4*100+D$4))</f>
        <v>0</v>
      </c>
      <c r="E12" s="11">
        <f>IF($A12="",0,SUMIFS('[1]资金台帐'!$H$4:$H$3003,'[1]资金台帐'!$E$4:$E$3003,$A12,'[1]资金台帐'!$N$4:$N$3003,'首页'!$B$4*100+E$4)-SUMIFS('[1]资金台帐'!$G$4:$G$3003,'[1]资金台帐'!$E$4:$E$3003,$A12,'[1]资金台帐'!$N$4:$N$3003,'首页'!$B$4*100+E$4))</f>
        <v>0</v>
      </c>
      <c r="F12" s="11">
        <f>IF($A12="",0,SUMIFS('[1]资金台帐'!$H$4:$H$3003,'[1]资金台帐'!$E$4:$E$3003,$A12,'[1]资金台帐'!$N$4:$N$3003,'首页'!$B$4*100+F$4)-SUMIFS('[1]资金台帐'!$G$4:$G$3003,'[1]资金台帐'!$E$4:$E$3003,$A12,'[1]资金台帐'!$N$4:$N$3003,'首页'!$B$4*100+F$4))</f>
        <v>0</v>
      </c>
      <c r="G12" s="11">
        <f>IF($A12="",0,SUMIFS('[1]资金台帐'!$H$4:$H$3003,'[1]资金台帐'!$E$4:$E$3003,$A12,'[1]资金台帐'!$N$4:$N$3003,'首页'!$B$4*100+G$4)-SUMIFS('[1]资金台帐'!$G$4:$G$3003,'[1]资金台帐'!$E$4:$E$3003,$A12,'[1]资金台帐'!$N$4:$N$3003,'首页'!$B$4*100+G$4))</f>
        <v>0</v>
      </c>
      <c r="H12" s="11">
        <f>IF($A12="",0,SUMIFS('[1]资金台帐'!$H$4:$H$3003,'[1]资金台帐'!$E$4:$E$3003,$A12,'[1]资金台帐'!$N$4:$N$3003,'首页'!$B$4*100+H$4)-SUMIFS('[1]资金台帐'!$G$4:$G$3003,'[1]资金台帐'!$E$4:$E$3003,$A12,'[1]资金台帐'!$N$4:$N$3003,'首页'!$B$4*100+H$4))</f>
        <v>0</v>
      </c>
      <c r="I12" s="11">
        <f>IF($A12="",0,SUMIFS('[1]资金台帐'!$H$4:$H$3003,'[1]资金台帐'!$E$4:$E$3003,$A12,'[1]资金台帐'!$N$4:$N$3003,'首页'!$B$4*100+I$4)-SUMIFS('[1]资金台帐'!$G$4:$G$3003,'[1]资金台帐'!$E$4:$E$3003,$A12,'[1]资金台帐'!$N$4:$N$3003,'首页'!$B$4*100+I$4))</f>
        <v>0</v>
      </c>
      <c r="J12" s="11">
        <f>IF($A12="",0,SUMIFS('[1]资金台帐'!$H$4:$H$3003,'[1]资金台帐'!$E$4:$E$3003,$A12,'[1]资金台帐'!$N$4:$N$3003,'首页'!$B$4*100+J$4)-SUMIFS('[1]资金台帐'!$G$4:$G$3003,'[1]资金台帐'!$E$4:$E$3003,$A12,'[1]资金台帐'!$N$4:$N$3003,'首页'!$B$4*100+J$4))</f>
        <v>0</v>
      </c>
      <c r="K12" s="11">
        <f>IF($A12="",0,SUMIFS('[1]资金台帐'!$H$4:$H$3003,'[1]资金台帐'!$E$4:$E$3003,$A12,'[1]资金台帐'!$N$4:$N$3003,'首页'!$B$4*100+K$4)-SUMIFS('[1]资金台帐'!$G$4:$G$3003,'[1]资金台帐'!$E$4:$E$3003,$A12,'[1]资金台帐'!$N$4:$N$3003,'首页'!$B$4*100+K$4))</f>
        <v>0</v>
      </c>
      <c r="L12" s="11">
        <f>IF($A12="",0,SUMIFS('[1]资金台帐'!$H$4:$H$3003,'[1]资金台帐'!$E$4:$E$3003,$A12,'[1]资金台帐'!$N$4:$N$3003,'首页'!$B$4*100+L$4)-SUMIFS('[1]资金台帐'!$G$4:$G$3003,'[1]资金台帐'!$E$4:$E$3003,$A12,'[1]资金台帐'!$N$4:$N$3003,'首页'!$B$4*100+L$4))</f>
        <v>0</v>
      </c>
      <c r="M12" s="11">
        <f>IF($A12="",0,SUMIFS('[1]资金台帐'!$H$4:$H$3003,'[1]资金台帐'!$E$4:$E$3003,$A12,'[1]资金台帐'!$N$4:$N$3003,'首页'!$B$4*100+M$4)-SUMIFS('[1]资金台帐'!$G$4:$G$3003,'[1]资金台帐'!$E$4:$E$3003,$A12,'[1]资金台帐'!$N$4:$N$3003,'首页'!$B$4*100+M$4))</f>
        <v>0</v>
      </c>
      <c r="N12" s="11">
        <f t="shared" si="0"/>
        <v>0</v>
      </c>
    </row>
    <row r="13">
      <c r="A13" s="6" t="str">
        <f>IF('[1]基础资料'!$G$13="","",'[1]基础资料'!$G$13)</f>
        <v>通讯网络</v>
      </c>
      <c r="B13" s="11">
        <f>IF($A13="",0,SUMIFS('[1]资金台帐'!$H$4:$H$3003,'[1]资金台帐'!$E$4:$E$3003,$A13,'[1]资金台帐'!$N$4:$N$3003,'首页'!$B$4*100+B$4)-SUMIFS('[1]资金台帐'!$G$4:$G$3003,'[1]资金台帐'!$E$4:$E$3003,$A13,'[1]资金台帐'!$N$4:$N$3003,'首页'!$B$4*100+B$4))</f>
        <v>0</v>
      </c>
      <c r="C13" s="11">
        <f>IF($A13="",0,SUMIFS('[1]资金台帐'!$H$4:$H$3003,'[1]资金台帐'!$E$4:$E$3003,$A13,'[1]资金台帐'!$N$4:$N$3003,'首页'!$B$4*100+C$4)-SUMIFS('[1]资金台帐'!$G$4:$G$3003,'[1]资金台帐'!$E$4:$E$3003,$A13,'[1]资金台帐'!$N$4:$N$3003,'首页'!$B$4*100+C$4))</f>
        <v>0</v>
      </c>
      <c r="D13" s="11">
        <f>IF($A13="",0,SUMIFS('[1]资金台帐'!$H$4:$H$3003,'[1]资金台帐'!$E$4:$E$3003,$A13,'[1]资金台帐'!$N$4:$N$3003,'首页'!$B$4*100+D$4)-SUMIFS('[1]资金台帐'!$G$4:$G$3003,'[1]资金台帐'!$E$4:$E$3003,$A13,'[1]资金台帐'!$N$4:$N$3003,'首页'!$B$4*100+D$4))</f>
        <v>0</v>
      </c>
      <c r="E13" s="11">
        <f>IF($A13="",0,SUMIFS('[1]资金台帐'!$H$4:$H$3003,'[1]资金台帐'!$E$4:$E$3003,$A13,'[1]资金台帐'!$N$4:$N$3003,'首页'!$B$4*100+E$4)-SUMIFS('[1]资金台帐'!$G$4:$G$3003,'[1]资金台帐'!$E$4:$E$3003,$A13,'[1]资金台帐'!$N$4:$N$3003,'首页'!$B$4*100+E$4))</f>
        <v>0</v>
      </c>
      <c r="F13" s="11">
        <f>IF($A13="",0,SUMIFS('[1]资金台帐'!$H$4:$H$3003,'[1]资金台帐'!$E$4:$E$3003,$A13,'[1]资金台帐'!$N$4:$N$3003,'首页'!$B$4*100+F$4)-SUMIFS('[1]资金台帐'!$G$4:$G$3003,'[1]资金台帐'!$E$4:$E$3003,$A13,'[1]资金台帐'!$N$4:$N$3003,'首页'!$B$4*100+F$4))</f>
        <v>0</v>
      </c>
      <c r="G13" s="11">
        <f>IF($A13="",0,SUMIFS('[1]资金台帐'!$H$4:$H$3003,'[1]资金台帐'!$E$4:$E$3003,$A13,'[1]资金台帐'!$N$4:$N$3003,'首页'!$B$4*100+G$4)-SUMIFS('[1]资金台帐'!$G$4:$G$3003,'[1]资金台帐'!$E$4:$E$3003,$A13,'[1]资金台帐'!$N$4:$N$3003,'首页'!$B$4*100+G$4))</f>
        <v>0</v>
      </c>
      <c r="H13" s="11">
        <f>IF($A13="",0,SUMIFS('[1]资金台帐'!$H$4:$H$3003,'[1]资金台帐'!$E$4:$E$3003,$A13,'[1]资金台帐'!$N$4:$N$3003,'首页'!$B$4*100+H$4)-SUMIFS('[1]资金台帐'!$G$4:$G$3003,'[1]资金台帐'!$E$4:$E$3003,$A13,'[1]资金台帐'!$N$4:$N$3003,'首页'!$B$4*100+H$4))</f>
        <v>0</v>
      </c>
      <c r="I13" s="11">
        <f>IF($A13="",0,SUMIFS('[1]资金台帐'!$H$4:$H$3003,'[1]资金台帐'!$E$4:$E$3003,$A13,'[1]资金台帐'!$N$4:$N$3003,'首页'!$B$4*100+I$4)-SUMIFS('[1]资金台帐'!$G$4:$G$3003,'[1]资金台帐'!$E$4:$E$3003,$A13,'[1]资金台帐'!$N$4:$N$3003,'首页'!$B$4*100+I$4))</f>
        <v>0</v>
      </c>
      <c r="J13" s="11">
        <f>IF($A13="",0,SUMIFS('[1]资金台帐'!$H$4:$H$3003,'[1]资金台帐'!$E$4:$E$3003,$A13,'[1]资金台帐'!$N$4:$N$3003,'首页'!$B$4*100+J$4)-SUMIFS('[1]资金台帐'!$G$4:$G$3003,'[1]资金台帐'!$E$4:$E$3003,$A13,'[1]资金台帐'!$N$4:$N$3003,'首页'!$B$4*100+J$4))</f>
        <v>0</v>
      </c>
      <c r="K13" s="11">
        <f>IF($A13="",0,SUMIFS('[1]资金台帐'!$H$4:$H$3003,'[1]资金台帐'!$E$4:$E$3003,$A13,'[1]资金台帐'!$N$4:$N$3003,'首页'!$B$4*100+K$4)-SUMIFS('[1]资金台帐'!$G$4:$G$3003,'[1]资金台帐'!$E$4:$E$3003,$A13,'[1]资金台帐'!$N$4:$N$3003,'首页'!$B$4*100+K$4))</f>
        <v>0</v>
      </c>
      <c r="L13" s="11">
        <f>IF($A13="",0,SUMIFS('[1]资金台帐'!$H$4:$H$3003,'[1]资金台帐'!$E$4:$E$3003,$A13,'[1]资金台帐'!$N$4:$N$3003,'首页'!$B$4*100+L$4)-SUMIFS('[1]资金台帐'!$G$4:$G$3003,'[1]资金台帐'!$E$4:$E$3003,$A13,'[1]资金台帐'!$N$4:$N$3003,'首页'!$B$4*100+L$4))</f>
        <v>0</v>
      </c>
      <c r="M13" s="11">
        <f>IF($A13="",0,SUMIFS('[1]资金台帐'!$H$4:$H$3003,'[1]资金台帐'!$E$4:$E$3003,$A13,'[1]资金台帐'!$N$4:$N$3003,'首页'!$B$4*100+M$4)-SUMIFS('[1]资金台帐'!$G$4:$G$3003,'[1]资金台帐'!$E$4:$E$3003,$A13,'[1]资金台帐'!$N$4:$N$3003,'首页'!$B$4*100+M$4))</f>
        <v>0</v>
      </c>
      <c r="N13" s="11">
        <f t="shared" si="0"/>
        <v>0</v>
      </c>
    </row>
    <row r="14">
      <c r="A14" s="6" t="str">
        <f>IF('[1]基础资料'!$G$14="","",'[1]基础资料'!$G$14)</f>
        <v>交通差旅</v>
      </c>
      <c r="B14" s="11">
        <f>IF($A14="",0,SUMIFS('[1]资金台帐'!$H$4:$H$3003,'[1]资金台帐'!$E$4:$E$3003,$A14,'[1]资金台帐'!$N$4:$N$3003,'首页'!$B$4*100+B$4)-SUMIFS('[1]资金台帐'!$G$4:$G$3003,'[1]资金台帐'!$E$4:$E$3003,$A14,'[1]资金台帐'!$N$4:$N$3003,'首页'!$B$4*100+B$4))</f>
        <v>0</v>
      </c>
      <c r="C14" s="11">
        <f>IF($A14="",0,SUMIFS('[1]资金台帐'!$H$4:$H$3003,'[1]资金台帐'!$E$4:$E$3003,$A14,'[1]资金台帐'!$N$4:$N$3003,'首页'!$B$4*100+C$4)-SUMIFS('[1]资金台帐'!$G$4:$G$3003,'[1]资金台帐'!$E$4:$E$3003,$A14,'[1]资金台帐'!$N$4:$N$3003,'首页'!$B$4*100+C$4))</f>
        <v>0</v>
      </c>
      <c r="D14" s="11">
        <f>IF($A14="",0,SUMIFS('[1]资金台帐'!$H$4:$H$3003,'[1]资金台帐'!$E$4:$E$3003,$A14,'[1]资金台帐'!$N$4:$N$3003,'首页'!$B$4*100+D$4)-SUMIFS('[1]资金台帐'!$G$4:$G$3003,'[1]资金台帐'!$E$4:$E$3003,$A14,'[1]资金台帐'!$N$4:$N$3003,'首页'!$B$4*100+D$4))</f>
        <v>0</v>
      </c>
      <c r="E14" s="11">
        <f>IF($A14="",0,SUMIFS('[1]资金台帐'!$H$4:$H$3003,'[1]资金台帐'!$E$4:$E$3003,$A14,'[1]资金台帐'!$N$4:$N$3003,'首页'!$B$4*100+E$4)-SUMIFS('[1]资金台帐'!$G$4:$G$3003,'[1]资金台帐'!$E$4:$E$3003,$A14,'[1]资金台帐'!$N$4:$N$3003,'首页'!$B$4*100+E$4))</f>
        <v>0</v>
      </c>
      <c r="F14" s="11">
        <f>IF($A14="",0,SUMIFS('[1]资金台帐'!$H$4:$H$3003,'[1]资金台帐'!$E$4:$E$3003,$A14,'[1]资金台帐'!$N$4:$N$3003,'首页'!$B$4*100+F$4)-SUMIFS('[1]资金台帐'!$G$4:$G$3003,'[1]资金台帐'!$E$4:$E$3003,$A14,'[1]资金台帐'!$N$4:$N$3003,'首页'!$B$4*100+F$4))</f>
        <v>0</v>
      </c>
      <c r="G14" s="11">
        <f>IF($A14="",0,SUMIFS('[1]资金台帐'!$H$4:$H$3003,'[1]资金台帐'!$E$4:$E$3003,$A14,'[1]资金台帐'!$N$4:$N$3003,'首页'!$B$4*100+G$4)-SUMIFS('[1]资金台帐'!$G$4:$G$3003,'[1]资金台帐'!$E$4:$E$3003,$A14,'[1]资金台帐'!$N$4:$N$3003,'首页'!$B$4*100+G$4))</f>
        <v>0</v>
      </c>
      <c r="H14" s="11">
        <f>IF($A14="",0,SUMIFS('[1]资金台帐'!$H$4:$H$3003,'[1]资金台帐'!$E$4:$E$3003,$A14,'[1]资金台帐'!$N$4:$N$3003,'首页'!$B$4*100+H$4)-SUMIFS('[1]资金台帐'!$G$4:$G$3003,'[1]资金台帐'!$E$4:$E$3003,$A14,'[1]资金台帐'!$N$4:$N$3003,'首页'!$B$4*100+H$4))</f>
        <v>0</v>
      </c>
      <c r="I14" s="11">
        <f>IF($A14="",0,SUMIFS('[1]资金台帐'!$H$4:$H$3003,'[1]资金台帐'!$E$4:$E$3003,$A14,'[1]资金台帐'!$N$4:$N$3003,'首页'!$B$4*100+I$4)-SUMIFS('[1]资金台帐'!$G$4:$G$3003,'[1]资金台帐'!$E$4:$E$3003,$A14,'[1]资金台帐'!$N$4:$N$3003,'首页'!$B$4*100+I$4))</f>
        <v>0</v>
      </c>
      <c r="J14" s="11">
        <f>IF($A14="",0,SUMIFS('[1]资金台帐'!$H$4:$H$3003,'[1]资金台帐'!$E$4:$E$3003,$A14,'[1]资金台帐'!$N$4:$N$3003,'首页'!$B$4*100+J$4)-SUMIFS('[1]资金台帐'!$G$4:$G$3003,'[1]资金台帐'!$E$4:$E$3003,$A14,'[1]资金台帐'!$N$4:$N$3003,'首页'!$B$4*100+J$4))</f>
        <v>0</v>
      </c>
      <c r="K14" s="11">
        <f>IF($A14="",0,SUMIFS('[1]资金台帐'!$H$4:$H$3003,'[1]资金台帐'!$E$4:$E$3003,$A14,'[1]资金台帐'!$N$4:$N$3003,'首页'!$B$4*100+K$4)-SUMIFS('[1]资金台帐'!$G$4:$G$3003,'[1]资金台帐'!$E$4:$E$3003,$A14,'[1]资金台帐'!$N$4:$N$3003,'首页'!$B$4*100+K$4))</f>
        <v>0</v>
      </c>
      <c r="L14" s="11">
        <f>IF($A14="",0,SUMIFS('[1]资金台帐'!$H$4:$H$3003,'[1]资金台帐'!$E$4:$E$3003,$A14,'[1]资金台帐'!$N$4:$N$3003,'首页'!$B$4*100+L$4)-SUMIFS('[1]资金台帐'!$G$4:$G$3003,'[1]资金台帐'!$E$4:$E$3003,$A14,'[1]资金台帐'!$N$4:$N$3003,'首页'!$B$4*100+L$4))</f>
        <v>0</v>
      </c>
      <c r="M14" s="11">
        <f>IF($A14="",0,SUMIFS('[1]资金台帐'!$H$4:$H$3003,'[1]资金台帐'!$E$4:$E$3003,$A14,'[1]资金台帐'!$N$4:$N$3003,'首页'!$B$4*100+M$4)-SUMIFS('[1]资金台帐'!$G$4:$G$3003,'[1]资金台帐'!$E$4:$E$3003,$A14,'[1]资金台帐'!$N$4:$N$3003,'首页'!$B$4*100+M$4))</f>
        <v>0</v>
      </c>
      <c r="N14" s="11">
        <f t="shared" si="0"/>
        <v>0</v>
      </c>
    </row>
    <row r="15">
      <c r="A15" s="6" t="str">
        <f>IF('[1]基础资料'!$G$15="","",'[1]基础资料'!$G$15)</f>
        <v>业务招待</v>
      </c>
      <c r="B15" s="11">
        <f>IF($A15="",0,SUMIFS('[1]资金台帐'!$H$4:$H$3003,'[1]资金台帐'!$E$4:$E$3003,$A15,'[1]资金台帐'!$N$4:$N$3003,'首页'!$B$4*100+B$4)-SUMIFS('[1]资金台帐'!$G$4:$G$3003,'[1]资金台帐'!$E$4:$E$3003,$A15,'[1]资金台帐'!$N$4:$N$3003,'首页'!$B$4*100+B$4))</f>
        <v>0</v>
      </c>
      <c r="C15" s="11">
        <f>IF($A15="",0,SUMIFS('[1]资金台帐'!$H$4:$H$3003,'[1]资金台帐'!$E$4:$E$3003,$A15,'[1]资金台帐'!$N$4:$N$3003,'首页'!$B$4*100+C$4)-SUMIFS('[1]资金台帐'!$G$4:$G$3003,'[1]资金台帐'!$E$4:$E$3003,$A15,'[1]资金台帐'!$N$4:$N$3003,'首页'!$B$4*100+C$4))</f>
        <v>0</v>
      </c>
      <c r="D15" s="11">
        <f>IF($A15="",0,SUMIFS('[1]资金台帐'!$H$4:$H$3003,'[1]资金台帐'!$E$4:$E$3003,$A15,'[1]资金台帐'!$N$4:$N$3003,'首页'!$B$4*100+D$4)-SUMIFS('[1]资金台帐'!$G$4:$G$3003,'[1]资金台帐'!$E$4:$E$3003,$A15,'[1]资金台帐'!$N$4:$N$3003,'首页'!$B$4*100+D$4))</f>
        <v>0</v>
      </c>
      <c r="E15" s="11">
        <f>IF($A15="",0,SUMIFS('[1]资金台帐'!$H$4:$H$3003,'[1]资金台帐'!$E$4:$E$3003,$A15,'[1]资金台帐'!$N$4:$N$3003,'首页'!$B$4*100+E$4)-SUMIFS('[1]资金台帐'!$G$4:$G$3003,'[1]资金台帐'!$E$4:$E$3003,$A15,'[1]资金台帐'!$N$4:$N$3003,'首页'!$B$4*100+E$4))</f>
        <v>0</v>
      </c>
      <c r="F15" s="11">
        <f>IF($A15="",0,SUMIFS('[1]资金台帐'!$H$4:$H$3003,'[1]资金台帐'!$E$4:$E$3003,$A15,'[1]资金台帐'!$N$4:$N$3003,'首页'!$B$4*100+F$4)-SUMIFS('[1]资金台帐'!$G$4:$G$3003,'[1]资金台帐'!$E$4:$E$3003,$A15,'[1]资金台帐'!$N$4:$N$3003,'首页'!$B$4*100+F$4))</f>
        <v>0</v>
      </c>
      <c r="G15" s="11">
        <f>IF($A15="",0,SUMIFS('[1]资金台帐'!$H$4:$H$3003,'[1]资金台帐'!$E$4:$E$3003,$A15,'[1]资金台帐'!$N$4:$N$3003,'首页'!$B$4*100+G$4)-SUMIFS('[1]资金台帐'!$G$4:$G$3003,'[1]资金台帐'!$E$4:$E$3003,$A15,'[1]资金台帐'!$N$4:$N$3003,'首页'!$B$4*100+G$4))</f>
        <v>0</v>
      </c>
      <c r="H15" s="11">
        <f>IF($A15="",0,SUMIFS('[1]资金台帐'!$H$4:$H$3003,'[1]资金台帐'!$E$4:$E$3003,$A15,'[1]资金台帐'!$N$4:$N$3003,'首页'!$B$4*100+H$4)-SUMIFS('[1]资金台帐'!$G$4:$G$3003,'[1]资金台帐'!$E$4:$E$3003,$A15,'[1]资金台帐'!$N$4:$N$3003,'首页'!$B$4*100+H$4))</f>
        <v>0</v>
      </c>
      <c r="I15" s="11">
        <f>IF($A15="",0,SUMIFS('[1]资金台帐'!$H$4:$H$3003,'[1]资金台帐'!$E$4:$E$3003,$A15,'[1]资金台帐'!$N$4:$N$3003,'首页'!$B$4*100+I$4)-SUMIFS('[1]资金台帐'!$G$4:$G$3003,'[1]资金台帐'!$E$4:$E$3003,$A15,'[1]资金台帐'!$N$4:$N$3003,'首页'!$B$4*100+I$4))</f>
        <v>0</v>
      </c>
      <c r="J15" s="11">
        <f>IF($A15="",0,SUMIFS('[1]资金台帐'!$H$4:$H$3003,'[1]资金台帐'!$E$4:$E$3003,$A15,'[1]资金台帐'!$N$4:$N$3003,'首页'!$B$4*100+J$4)-SUMIFS('[1]资金台帐'!$G$4:$G$3003,'[1]资金台帐'!$E$4:$E$3003,$A15,'[1]资金台帐'!$N$4:$N$3003,'首页'!$B$4*100+J$4))</f>
        <v>0</v>
      </c>
      <c r="K15" s="11">
        <f>IF($A15="",0,SUMIFS('[1]资金台帐'!$H$4:$H$3003,'[1]资金台帐'!$E$4:$E$3003,$A15,'[1]资金台帐'!$N$4:$N$3003,'首页'!$B$4*100+K$4)-SUMIFS('[1]资金台帐'!$G$4:$G$3003,'[1]资金台帐'!$E$4:$E$3003,$A15,'[1]资金台帐'!$N$4:$N$3003,'首页'!$B$4*100+K$4))</f>
        <v>0</v>
      </c>
      <c r="L15" s="11">
        <f>IF($A15="",0,SUMIFS('[1]资金台帐'!$H$4:$H$3003,'[1]资金台帐'!$E$4:$E$3003,$A15,'[1]资金台帐'!$N$4:$N$3003,'首页'!$B$4*100+L$4)-SUMIFS('[1]资金台帐'!$G$4:$G$3003,'[1]资金台帐'!$E$4:$E$3003,$A15,'[1]资金台帐'!$N$4:$N$3003,'首页'!$B$4*100+L$4))</f>
        <v>0</v>
      </c>
      <c r="M15" s="11">
        <f>IF($A15="",0,SUMIFS('[1]资金台帐'!$H$4:$H$3003,'[1]资金台帐'!$E$4:$E$3003,$A15,'[1]资金台帐'!$N$4:$N$3003,'首页'!$B$4*100+M$4)-SUMIFS('[1]资金台帐'!$G$4:$G$3003,'[1]资金台帐'!$E$4:$E$3003,$A15,'[1]资金台帐'!$N$4:$N$3003,'首页'!$B$4*100+M$4))</f>
        <v>0</v>
      </c>
      <c r="N15" s="11">
        <f t="shared" si="0"/>
        <v>0</v>
      </c>
    </row>
    <row r="16">
      <c r="A16" s="6" t="str">
        <f>IF('[1]基础资料'!$G$16="","",'[1]基础资料'!$G$16)</f>
        <v>维修费</v>
      </c>
      <c r="B16" s="11">
        <f>IF($A16="",0,SUMIFS('[1]资金台帐'!$H$4:$H$3003,'[1]资金台帐'!$E$4:$E$3003,$A16,'[1]资金台帐'!$N$4:$N$3003,'首页'!$B$4*100+B$4)-SUMIFS('[1]资金台帐'!$G$4:$G$3003,'[1]资金台帐'!$E$4:$E$3003,$A16,'[1]资金台帐'!$N$4:$N$3003,'首页'!$B$4*100+B$4))</f>
        <v>0</v>
      </c>
      <c r="C16" s="11">
        <f>IF($A16="",0,SUMIFS('[1]资金台帐'!$H$4:$H$3003,'[1]资金台帐'!$E$4:$E$3003,$A16,'[1]资金台帐'!$N$4:$N$3003,'首页'!$B$4*100+C$4)-SUMIFS('[1]资金台帐'!$G$4:$G$3003,'[1]资金台帐'!$E$4:$E$3003,$A16,'[1]资金台帐'!$N$4:$N$3003,'首页'!$B$4*100+C$4))</f>
        <v>0</v>
      </c>
      <c r="D16" s="11">
        <f>IF($A16="",0,SUMIFS('[1]资金台帐'!$H$4:$H$3003,'[1]资金台帐'!$E$4:$E$3003,$A16,'[1]资金台帐'!$N$4:$N$3003,'首页'!$B$4*100+D$4)-SUMIFS('[1]资金台帐'!$G$4:$G$3003,'[1]资金台帐'!$E$4:$E$3003,$A16,'[1]资金台帐'!$N$4:$N$3003,'首页'!$B$4*100+D$4))</f>
        <v>0</v>
      </c>
      <c r="E16" s="11">
        <f>IF($A16="",0,SUMIFS('[1]资金台帐'!$H$4:$H$3003,'[1]资金台帐'!$E$4:$E$3003,$A16,'[1]资金台帐'!$N$4:$N$3003,'首页'!$B$4*100+E$4)-SUMIFS('[1]资金台帐'!$G$4:$G$3003,'[1]资金台帐'!$E$4:$E$3003,$A16,'[1]资金台帐'!$N$4:$N$3003,'首页'!$B$4*100+E$4))</f>
        <v>0</v>
      </c>
      <c r="F16" s="11">
        <f>IF($A16="",0,SUMIFS('[1]资金台帐'!$H$4:$H$3003,'[1]资金台帐'!$E$4:$E$3003,$A16,'[1]资金台帐'!$N$4:$N$3003,'首页'!$B$4*100+F$4)-SUMIFS('[1]资金台帐'!$G$4:$G$3003,'[1]资金台帐'!$E$4:$E$3003,$A16,'[1]资金台帐'!$N$4:$N$3003,'首页'!$B$4*100+F$4))</f>
        <v>0</v>
      </c>
      <c r="G16" s="11">
        <f>IF($A16="",0,SUMIFS('[1]资金台帐'!$H$4:$H$3003,'[1]资金台帐'!$E$4:$E$3003,$A16,'[1]资金台帐'!$N$4:$N$3003,'首页'!$B$4*100+G$4)-SUMIFS('[1]资金台帐'!$G$4:$G$3003,'[1]资金台帐'!$E$4:$E$3003,$A16,'[1]资金台帐'!$N$4:$N$3003,'首页'!$B$4*100+G$4))</f>
        <v>0</v>
      </c>
      <c r="H16" s="11">
        <f>IF($A16="",0,SUMIFS('[1]资金台帐'!$H$4:$H$3003,'[1]资金台帐'!$E$4:$E$3003,$A16,'[1]资金台帐'!$N$4:$N$3003,'首页'!$B$4*100+H$4)-SUMIFS('[1]资金台帐'!$G$4:$G$3003,'[1]资金台帐'!$E$4:$E$3003,$A16,'[1]资金台帐'!$N$4:$N$3003,'首页'!$B$4*100+H$4))</f>
        <v>0</v>
      </c>
      <c r="I16" s="11">
        <f>IF($A16="",0,SUMIFS('[1]资金台帐'!$H$4:$H$3003,'[1]资金台帐'!$E$4:$E$3003,$A16,'[1]资金台帐'!$N$4:$N$3003,'首页'!$B$4*100+I$4)-SUMIFS('[1]资金台帐'!$G$4:$G$3003,'[1]资金台帐'!$E$4:$E$3003,$A16,'[1]资金台帐'!$N$4:$N$3003,'首页'!$B$4*100+I$4))</f>
        <v>0</v>
      </c>
      <c r="J16" s="11">
        <f>IF($A16="",0,SUMIFS('[1]资金台帐'!$H$4:$H$3003,'[1]资金台帐'!$E$4:$E$3003,$A16,'[1]资金台帐'!$N$4:$N$3003,'首页'!$B$4*100+J$4)-SUMIFS('[1]资金台帐'!$G$4:$G$3003,'[1]资金台帐'!$E$4:$E$3003,$A16,'[1]资金台帐'!$N$4:$N$3003,'首页'!$B$4*100+J$4))</f>
        <v>0</v>
      </c>
      <c r="K16" s="11">
        <f>IF($A16="",0,SUMIFS('[1]资金台帐'!$H$4:$H$3003,'[1]资金台帐'!$E$4:$E$3003,$A16,'[1]资金台帐'!$N$4:$N$3003,'首页'!$B$4*100+K$4)-SUMIFS('[1]资金台帐'!$G$4:$G$3003,'[1]资金台帐'!$E$4:$E$3003,$A16,'[1]资金台帐'!$N$4:$N$3003,'首页'!$B$4*100+K$4))</f>
        <v>0</v>
      </c>
      <c r="L16" s="11">
        <f>IF($A16="",0,SUMIFS('[1]资金台帐'!$H$4:$H$3003,'[1]资金台帐'!$E$4:$E$3003,$A16,'[1]资金台帐'!$N$4:$N$3003,'首页'!$B$4*100+L$4)-SUMIFS('[1]资金台帐'!$G$4:$G$3003,'[1]资金台帐'!$E$4:$E$3003,$A16,'[1]资金台帐'!$N$4:$N$3003,'首页'!$B$4*100+L$4))</f>
        <v>0</v>
      </c>
      <c r="M16" s="11">
        <f>IF($A16="",0,SUMIFS('[1]资金台帐'!$H$4:$H$3003,'[1]资金台帐'!$E$4:$E$3003,$A16,'[1]资金台帐'!$N$4:$N$3003,'首页'!$B$4*100+M$4)-SUMIFS('[1]资金台帐'!$G$4:$G$3003,'[1]资金台帐'!$E$4:$E$3003,$A16,'[1]资金台帐'!$N$4:$N$3003,'首页'!$B$4*100+M$4))</f>
        <v>0</v>
      </c>
      <c r="N16" s="11">
        <f t="shared" si="0"/>
        <v>0</v>
      </c>
    </row>
    <row r="17">
      <c r="A17" s="6" t="str">
        <f>IF('[1]基础资料'!$G$17="","",'[1]基础资料'!$G$17)</f>
        <v>银行手续费</v>
      </c>
      <c r="B17" s="11">
        <f>IF($A17="",0,SUMIFS('[1]资金台帐'!$H$4:$H$3003,'[1]资金台帐'!$E$4:$E$3003,$A17,'[1]资金台帐'!$N$4:$N$3003,'首页'!$B$4*100+B$4)-SUMIFS('[1]资金台帐'!$G$4:$G$3003,'[1]资金台帐'!$E$4:$E$3003,$A17,'[1]资金台帐'!$N$4:$N$3003,'首页'!$B$4*100+B$4))</f>
        <v>0</v>
      </c>
      <c r="C17" s="11">
        <f>IF($A17="",0,SUMIFS('[1]资金台帐'!$H$4:$H$3003,'[1]资金台帐'!$E$4:$E$3003,$A17,'[1]资金台帐'!$N$4:$N$3003,'首页'!$B$4*100+C$4)-SUMIFS('[1]资金台帐'!$G$4:$G$3003,'[1]资金台帐'!$E$4:$E$3003,$A17,'[1]资金台帐'!$N$4:$N$3003,'首页'!$B$4*100+C$4))</f>
        <v>0</v>
      </c>
      <c r="D17" s="11">
        <f>IF($A17="",0,SUMIFS('[1]资金台帐'!$H$4:$H$3003,'[1]资金台帐'!$E$4:$E$3003,$A17,'[1]资金台帐'!$N$4:$N$3003,'首页'!$B$4*100+D$4)-SUMIFS('[1]资金台帐'!$G$4:$G$3003,'[1]资金台帐'!$E$4:$E$3003,$A17,'[1]资金台帐'!$N$4:$N$3003,'首页'!$B$4*100+D$4))</f>
        <v>0</v>
      </c>
      <c r="E17" s="11">
        <f>IF($A17="",0,SUMIFS('[1]资金台帐'!$H$4:$H$3003,'[1]资金台帐'!$E$4:$E$3003,$A17,'[1]资金台帐'!$N$4:$N$3003,'首页'!$B$4*100+E$4)-SUMIFS('[1]资金台帐'!$G$4:$G$3003,'[1]资金台帐'!$E$4:$E$3003,$A17,'[1]资金台帐'!$N$4:$N$3003,'首页'!$B$4*100+E$4))</f>
        <v>0</v>
      </c>
      <c r="F17" s="11">
        <f>IF($A17="",0,SUMIFS('[1]资金台帐'!$H$4:$H$3003,'[1]资金台帐'!$E$4:$E$3003,$A17,'[1]资金台帐'!$N$4:$N$3003,'首页'!$B$4*100+F$4)-SUMIFS('[1]资金台帐'!$G$4:$G$3003,'[1]资金台帐'!$E$4:$E$3003,$A17,'[1]资金台帐'!$N$4:$N$3003,'首页'!$B$4*100+F$4))</f>
        <v>0</v>
      </c>
      <c r="G17" s="11">
        <f>IF($A17="",0,SUMIFS('[1]资金台帐'!$H$4:$H$3003,'[1]资金台帐'!$E$4:$E$3003,$A17,'[1]资金台帐'!$N$4:$N$3003,'首页'!$B$4*100+G$4)-SUMIFS('[1]资金台帐'!$G$4:$G$3003,'[1]资金台帐'!$E$4:$E$3003,$A17,'[1]资金台帐'!$N$4:$N$3003,'首页'!$B$4*100+G$4))</f>
        <v>0</v>
      </c>
      <c r="H17" s="11">
        <f>IF($A17="",0,SUMIFS('[1]资金台帐'!$H$4:$H$3003,'[1]资金台帐'!$E$4:$E$3003,$A17,'[1]资金台帐'!$N$4:$N$3003,'首页'!$B$4*100+H$4)-SUMIFS('[1]资金台帐'!$G$4:$G$3003,'[1]资金台帐'!$E$4:$E$3003,$A17,'[1]资金台帐'!$N$4:$N$3003,'首页'!$B$4*100+H$4))</f>
        <v>0</v>
      </c>
      <c r="I17" s="11">
        <f>IF($A17="",0,SUMIFS('[1]资金台帐'!$H$4:$H$3003,'[1]资金台帐'!$E$4:$E$3003,$A17,'[1]资金台帐'!$N$4:$N$3003,'首页'!$B$4*100+I$4)-SUMIFS('[1]资金台帐'!$G$4:$G$3003,'[1]资金台帐'!$E$4:$E$3003,$A17,'[1]资金台帐'!$N$4:$N$3003,'首页'!$B$4*100+I$4))</f>
        <v>0</v>
      </c>
      <c r="J17" s="11">
        <f>IF($A17="",0,SUMIFS('[1]资金台帐'!$H$4:$H$3003,'[1]资金台帐'!$E$4:$E$3003,$A17,'[1]资金台帐'!$N$4:$N$3003,'首页'!$B$4*100+J$4)-SUMIFS('[1]资金台帐'!$G$4:$G$3003,'[1]资金台帐'!$E$4:$E$3003,$A17,'[1]资金台帐'!$N$4:$N$3003,'首页'!$B$4*100+J$4))</f>
        <v>0</v>
      </c>
      <c r="K17" s="11">
        <f>IF($A17="",0,SUMIFS('[1]资金台帐'!$H$4:$H$3003,'[1]资金台帐'!$E$4:$E$3003,$A17,'[1]资金台帐'!$N$4:$N$3003,'首页'!$B$4*100+K$4)-SUMIFS('[1]资金台帐'!$G$4:$G$3003,'[1]资金台帐'!$E$4:$E$3003,$A17,'[1]资金台帐'!$N$4:$N$3003,'首页'!$B$4*100+K$4))</f>
        <v>0</v>
      </c>
      <c r="L17" s="11">
        <f>IF($A17="",0,SUMIFS('[1]资金台帐'!$H$4:$H$3003,'[1]资金台帐'!$E$4:$E$3003,$A17,'[1]资金台帐'!$N$4:$N$3003,'首页'!$B$4*100+L$4)-SUMIFS('[1]资金台帐'!$G$4:$G$3003,'[1]资金台帐'!$E$4:$E$3003,$A17,'[1]资金台帐'!$N$4:$N$3003,'首页'!$B$4*100+L$4))</f>
        <v>0</v>
      </c>
      <c r="M17" s="11">
        <f>IF($A17="",0,SUMIFS('[1]资金台帐'!$H$4:$H$3003,'[1]资金台帐'!$E$4:$E$3003,$A17,'[1]资金台帐'!$N$4:$N$3003,'首页'!$B$4*100+M$4)-SUMIFS('[1]资金台帐'!$G$4:$G$3003,'[1]资金台帐'!$E$4:$E$3003,$A17,'[1]资金台帐'!$N$4:$N$3003,'首页'!$B$4*100+M$4))</f>
        <v>0</v>
      </c>
      <c r="N17" s="11">
        <f t="shared" si="0"/>
        <v>0</v>
      </c>
    </row>
    <row r="18">
      <c r="A18" s="6" t="str">
        <f>IF('[1]基础资料'!$G$18="","",'[1]基础资料'!$G$18)</f>
        <v>税费</v>
      </c>
      <c r="B18" s="11">
        <f>IF($A18="",0,SUMIFS('[1]资金台帐'!$H$4:$H$3003,'[1]资金台帐'!$E$4:$E$3003,$A18,'[1]资金台帐'!$N$4:$N$3003,'首页'!$B$4*100+B$4)-SUMIFS('[1]资金台帐'!$G$4:$G$3003,'[1]资金台帐'!$E$4:$E$3003,$A18,'[1]资金台帐'!$N$4:$N$3003,'首页'!$B$4*100+B$4))</f>
        <v>0</v>
      </c>
      <c r="C18" s="11">
        <f>IF($A18="",0,SUMIFS('[1]资金台帐'!$H$4:$H$3003,'[1]资金台帐'!$E$4:$E$3003,$A18,'[1]资金台帐'!$N$4:$N$3003,'首页'!$B$4*100+C$4)-SUMIFS('[1]资金台帐'!$G$4:$G$3003,'[1]资金台帐'!$E$4:$E$3003,$A18,'[1]资金台帐'!$N$4:$N$3003,'首页'!$B$4*100+C$4))</f>
        <v>0</v>
      </c>
      <c r="D18" s="11">
        <f>IF($A18="",0,SUMIFS('[1]资金台帐'!$H$4:$H$3003,'[1]资金台帐'!$E$4:$E$3003,$A18,'[1]资金台帐'!$N$4:$N$3003,'首页'!$B$4*100+D$4)-SUMIFS('[1]资金台帐'!$G$4:$G$3003,'[1]资金台帐'!$E$4:$E$3003,$A18,'[1]资金台帐'!$N$4:$N$3003,'首页'!$B$4*100+D$4))</f>
        <v>0</v>
      </c>
      <c r="E18" s="11">
        <f>IF($A18="",0,SUMIFS('[1]资金台帐'!$H$4:$H$3003,'[1]资金台帐'!$E$4:$E$3003,$A18,'[1]资金台帐'!$N$4:$N$3003,'首页'!$B$4*100+E$4)-SUMIFS('[1]资金台帐'!$G$4:$G$3003,'[1]资金台帐'!$E$4:$E$3003,$A18,'[1]资金台帐'!$N$4:$N$3003,'首页'!$B$4*100+E$4))</f>
        <v>0</v>
      </c>
      <c r="F18" s="11">
        <f>IF($A18="",0,SUMIFS('[1]资金台帐'!$H$4:$H$3003,'[1]资金台帐'!$E$4:$E$3003,$A18,'[1]资金台帐'!$N$4:$N$3003,'首页'!$B$4*100+F$4)-SUMIFS('[1]资金台帐'!$G$4:$G$3003,'[1]资金台帐'!$E$4:$E$3003,$A18,'[1]资金台帐'!$N$4:$N$3003,'首页'!$B$4*100+F$4))</f>
        <v>0</v>
      </c>
      <c r="G18" s="11">
        <f>IF($A18="",0,SUMIFS('[1]资金台帐'!$H$4:$H$3003,'[1]资金台帐'!$E$4:$E$3003,$A18,'[1]资金台帐'!$N$4:$N$3003,'首页'!$B$4*100+G$4)-SUMIFS('[1]资金台帐'!$G$4:$G$3003,'[1]资金台帐'!$E$4:$E$3003,$A18,'[1]资金台帐'!$N$4:$N$3003,'首页'!$B$4*100+G$4))</f>
        <v>0</v>
      </c>
      <c r="H18" s="11">
        <f>IF($A18="",0,SUMIFS('[1]资金台帐'!$H$4:$H$3003,'[1]资金台帐'!$E$4:$E$3003,$A18,'[1]资金台帐'!$N$4:$N$3003,'首页'!$B$4*100+H$4)-SUMIFS('[1]资金台帐'!$G$4:$G$3003,'[1]资金台帐'!$E$4:$E$3003,$A18,'[1]资金台帐'!$N$4:$N$3003,'首页'!$B$4*100+H$4))</f>
        <v>0</v>
      </c>
      <c r="I18" s="11">
        <f>IF($A18="",0,SUMIFS('[1]资金台帐'!$H$4:$H$3003,'[1]资金台帐'!$E$4:$E$3003,$A18,'[1]资金台帐'!$N$4:$N$3003,'首页'!$B$4*100+I$4)-SUMIFS('[1]资金台帐'!$G$4:$G$3003,'[1]资金台帐'!$E$4:$E$3003,$A18,'[1]资金台帐'!$N$4:$N$3003,'首页'!$B$4*100+I$4))</f>
        <v>0</v>
      </c>
      <c r="J18" s="11">
        <f>IF($A18="",0,SUMIFS('[1]资金台帐'!$H$4:$H$3003,'[1]资金台帐'!$E$4:$E$3003,$A18,'[1]资金台帐'!$N$4:$N$3003,'首页'!$B$4*100+J$4)-SUMIFS('[1]资金台帐'!$G$4:$G$3003,'[1]资金台帐'!$E$4:$E$3003,$A18,'[1]资金台帐'!$N$4:$N$3003,'首页'!$B$4*100+J$4))</f>
        <v>0</v>
      </c>
      <c r="K18" s="11">
        <f>IF($A18="",0,SUMIFS('[1]资金台帐'!$H$4:$H$3003,'[1]资金台帐'!$E$4:$E$3003,$A18,'[1]资金台帐'!$N$4:$N$3003,'首页'!$B$4*100+K$4)-SUMIFS('[1]资金台帐'!$G$4:$G$3003,'[1]资金台帐'!$E$4:$E$3003,$A18,'[1]资金台帐'!$N$4:$N$3003,'首页'!$B$4*100+K$4))</f>
        <v>0</v>
      </c>
      <c r="L18" s="11">
        <f>IF($A18="",0,SUMIFS('[1]资金台帐'!$H$4:$H$3003,'[1]资金台帐'!$E$4:$E$3003,$A18,'[1]资金台帐'!$N$4:$N$3003,'首页'!$B$4*100+L$4)-SUMIFS('[1]资金台帐'!$G$4:$G$3003,'[1]资金台帐'!$E$4:$E$3003,$A18,'[1]资金台帐'!$N$4:$N$3003,'首页'!$B$4*100+L$4))</f>
        <v>0</v>
      </c>
      <c r="M18" s="11">
        <f>IF($A18="",0,SUMIFS('[1]资金台帐'!$H$4:$H$3003,'[1]资金台帐'!$E$4:$E$3003,$A18,'[1]资金台帐'!$N$4:$N$3003,'首页'!$B$4*100+M$4)-SUMIFS('[1]资金台帐'!$G$4:$G$3003,'[1]资金台帐'!$E$4:$E$3003,$A18,'[1]资金台帐'!$N$4:$N$3003,'首页'!$B$4*100+M$4))</f>
        <v>0</v>
      </c>
      <c r="N18" s="11">
        <f t="shared" si="0"/>
        <v>0</v>
      </c>
    </row>
    <row r="19">
      <c r="A19" s="6" t="str">
        <f>IF('[1]基础资料'!$G$19="","",'[1]基础资料'!$G$19)</f>
        <v>其他</v>
      </c>
      <c r="B19" s="11">
        <f>IF($A19="",0,SUMIFS('[1]资金台帐'!$H$4:$H$3003,'[1]资金台帐'!$E$4:$E$3003,$A19,'[1]资金台帐'!$N$4:$N$3003,'首页'!$B$4*100+B$4)-SUMIFS('[1]资金台帐'!$G$4:$G$3003,'[1]资金台帐'!$E$4:$E$3003,$A19,'[1]资金台帐'!$N$4:$N$3003,'首页'!$B$4*100+B$4))</f>
        <v>0</v>
      </c>
      <c r="C19" s="11">
        <f>IF($A19="",0,SUMIFS('[1]资金台帐'!$H$4:$H$3003,'[1]资金台帐'!$E$4:$E$3003,$A19,'[1]资金台帐'!$N$4:$N$3003,'首页'!$B$4*100+C$4)-SUMIFS('[1]资金台帐'!$G$4:$G$3003,'[1]资金台帐'!$E$4:$E$3003,$A19,'[1]资金台帐'!$N$4:$N$3003,'首页'!$B$4*100+C$4))</f>
        <v>0</v>
      </c>
      <c r="D19" s="11">
        <f>IF($A19="",0,SUMIFS('[1]资金台帐'!$H$4:$H$3003,'[1]资金台帐'!$E$4:$E$3003,$A19,'[1]资金台帐'!$N$4:$N$3003,'首页'!$B$4*100+D$4)-SUMIFS('[1]资金台帐'!$G$4:$G$3003,'[1]资金台帐'!$E$4:$E$3003,$A19,'[1]资金台帐'!$N$4:$N$3003,'首页'!$B$4*100+D$4))</f>
        <v>0</v>
      </c>
      <c r="E19" s="11">
        <f>IF($A19="",0,SUMIFS('[1]资金台帐'!$H$4:$H$3003,'[1]资金台帐'!$E$4:$E$3003,$A19,'[1]资金台帐'!$N$4:$N$3003,'首页'!$B$4*100+E$4)-SUMIFS('[1]资金台帐'!$G$4:$G$3003,'[1]资金台帐'!$E$4:$E$3003,$A19,'[1]资金台帐'!$N$4:$N$3003,'首页'!$B$4*100+E$4))</f>
        <v>0</v>
      </c>
      <c r="F19" s="11">
        <f>IF($A19="",0,SUMIFS('[1]资金台帐'!$H$4:$H$3003,'[1]资金台帐'!$E$4:$E$3003,$A19,'[1]资金台帐'!$N$4:$N$3003,'首页'!$B$4*100+F$4)-SUMIFS('[1]资金台帐'!$G$4:$G$3003,'[1]资金台帐'!$E$4:$E$3003,$A19,'[1]资金台帐'!$N$4:$N$3003,'首页'!$B$4*100+F$4))</f>
        <v>0</v>
      </c>
      <c r="G19" s="11">
        <f>IF($A19="",0,SUMIFS('[1]资金台帐'!$H$4:$H$3003,'[1]资金台帐'!$E$4:$E$3003,$A19,'[1]资金台帐'!$N$4:$N$3003,'首页'!$B$4*100+G$4)-SUMIFS('[1]资金台帐'!$G$4:$G$3003,'[1]资金台帐'!$E$4:$E$3003,$A19,'[1]资金台帐'!$N$4:$N$3003,'首页'!$B$4*100+G$4))</f>
        <v>0</v>
      </c>
      <c r="H19" s="11">
        <f>IF($A19="",0,SUMIFS('[1]资金台帐'!$H$4:$H$3003,'[1]资金台帐'!$E$4:$E$3003,$A19,'[1]资金台帐'!$N$4:$N$3003,'首页'!$B$4*100+H$4)-SUMIFS('[1]资金台帐'!$G$4:$G$3003,'[1]资金台帐'!$E$4:$E$3003,$A19,'[1]资金台帐'!$N$4:$N$3003,'首页'!$B$4*100+H$4))</f>
        <v>0</v>
      </c>
      <c r="I19" s="11">
        <f>IF($A19="",0,SUMIFS('[1]资金台帐'!$H$4:$H$3003,'[1]资金台帐'!$E$4:$E$3003,$A19,'[1]资金台帐'!$N$4:$N$3003,'首页'!$B$4*100+I$4)-SUMIFS('[1]资金台帐'!$G$4:$G$3003,'[1]资金台帐'!$E$4:$E$3003,$A19,'[1]资金台帐'!$N$4:$N$3003,'首页'!$B$4*100+I$4))</f>
        <v>0</v>
      </c>
      <c r="J19" s="11">
        <f>IF($A19="",0,SUMIFS('[1]资金台帐'!$H$4:$H$3003,'[1]资金台帐'!$E$4:$E$3003,$A19,'[1]资金台帐'!$N$4:$N$3003,'首页'!$B$4*100+J$4)-SUMIFS('[1]资金台帐'!$G$4:$G$3003,'[1]资金台帐'!$E$4:$E$3003,$A19,'[1]资金台帐'!$N$4:$N$3003,'首页'!$B$4*100+J$4))</f>
        <v>0</v>
      </c>
      <c r="K19" s="11">
        <f>IF($A19="",0,SUMIFS('[1]资金台帐'!$H$4:$H$3003,'[1]资金台帐'!$E$4:$E$3003,$A19,'[1]资金台帐'!$N$4:$N$3003,'首页'!$B$4*100+K$4)-SUMIFS('[1]资金台帐'!$G$4:$G$3003,'[1]资金台帐'!$E$4:$E$3003,$A19,'[1]资金台帐'!$N$4:$N$3003,'首页'!$B$4*100+K$4))</f>
        <v>0</v>
      </c>
      <c r="L19" s="11">
        <f>IF($A19="",0,SUMIFS('[1]资金台帐'!$H$4:$H$3003,'[1]资金台帐'!$E$4:$E$3003,$A19,'[1]资金台帐'!$N$4:$N$3003,'首页'!$B$4*100+L$4)-SUMIFS('[1]资金台帐'!$G$4:$G$3003,'[1]资金台帐'!$E$4:$E$3003,$A19,'[1]资金台帐'!$N$4:$N$3003,'首页'!$B$4*100+L$4))</f>
        <v>0</v>
      </c>
      <c r="M19" s="11">
        <f>IF($A19="",0,SUMIFS('[1]资金台帐'!$H$4:$H$3003,'[1]资金台帐'!$E$4:$E$3003,$A19,'[1]资金台帐'!$N$4:$N$3003,'首页'!$B$4*100+M$4)-SUMIFS('[1]资金台帐'!$G$4:$G$3003,'[1]资金台帐'!$E$4:$E$3003,$A19,'[1]资金台帐'!$N$4:$N$3003,'首页'!$B$4*100+M$4))</f>
        <v>0</v>
      </c>
      <c r="N19" s="11">
        <f t="shared" si="0"/>
        <v>0</v>
      </c>
    </row>
    <row r="20">
      <c r="A20" s="6">
        <f>IF('[1]基础资料'!$G$20="","",'[1]基础资料'!$G$20)</f>
      </c>
      <c r="B20" s="11">
        <f>IF($A20="",0,SUMIFS('[1]资金台帐'!$H$4:$H$3003,'[1]资金台帐'!$E$4:$E$3003,$A20,'[1]资金台帐'!$N$4:$N$3003,'首页'!$B$4*100+B$4)-SUMIFS('[1]资金台帐'!$G$4:$G$3003,'[1]资金台帐'!$E$4:$E$3003,$A20,'[1]资金台帐'!$N$4:$N$3003,'首页'!$B$4*100+B$4))</f>
        <v>0</v>
      </c>
      <c r="C20" s="11">
        <f>IF($A20="",0,SUMIFS('[1]资金台帐'!$H$4:$H$3003,'[1]资金台帐'!$E$4:$E$3003,$A20,'[1]资金台帐'!$N$4:$N$3003,'首页'!$B$4*100+C$4)-SUMIFS('[1]资金台帐'!$G$4:$G$3003,'[1]资金台帐'!$E$4:$E$3003,$A20,'[1]资金台帐'!$N$4:$N$3003,'首页'!$B$4*100+C$4))</f>
        <v>0</v>
      </c>
      <c r="D20" s="11">
        <f>IF($A20="",0,SUMIFS('[1]资金台帐'!$H$4:$H$3003,'[1]资金台帐'!$E$4:$E$3003,$A20,'[1]资金台帐'!$N$4:$N$3003,'首页'!$B$4*100+D$4)-SUMIFS('[1]资金台帐'!$G$4:$G$3003,'[1]资金台帐'!$E$4:$E$3003,$A20,'[1]资金台帐'!$N$4:$N$3003,'首页'!$B$4*100+D$4))</f>
        <v>0</v>
      </c>
      <c r="E20" s="11">
        <f>IF($A20="",0,SUMIFS('[1]资金台帐'!$H$4:$H$3003,'[1]资金台帐'!$E$4:$E$3003,$A20,'[1]资金台帐'!$N$4:$N$3003,'首页'!$B$4*100+E$4)-SUMIFS('[1]资金台帐'!$G$4:$G$3003,'[1]资金台帐'!$E$4:$E$3003,$A20,'[1]资金台帐'!$N$4:$N$3003,'首页'!$B$4*100+E$4))</f>
        <v>0</v>
      </c>
      <c r="F20" s="11">
        <f>IF($A20="",0,SUMIFS('[1]资金台帐'!$H$4:$H$3003,'[1]资金台帐'!$E$4:$E$3003,$A20,'[1]资金台帐'!$N$4:$N$3003,'首页'!$B$4*100+F$4)-SUMIFS('[1]资金台帐'!$G$4:$G$3003,'[1]资金台帐'!$E$4:$E$3003,$A20,'[1]资金台帐'!$N$4:$N$3003,'首页'!$B$4*100+F$4))</f>
        <v>0</v>
      </c>
      <c r="G20" s="11">
        <f>IF($A20="",0,SUMIFS('[1]资金台帐'!$H$4:$H$3003,'[1]资金台帐'!$E$4:$E$3003,$A20,'[1]资金台帐'!$N$4:$N$3003,'首页'!$B$4*100+G$4)-SUMIFS('[1]资金台帐'!$G$4:$G$3003,'[1]资金台帐'!$E$4:$E$3003,$A20,'[1]资金台帐'!$N$4:$N$3003,'首页'!$B$4*100+G$4))</f>
        <v>0</v>
      </c>
      <c r="H20" s="11">
        <f>IF($A20="",0,SUMIFS('[1]资金台帐'!$H$4:$H$3003,'[1]资金台帐'!$E$4:$E$3003,$A20,'[1]资金台帐'!$N$4:$N$3003,'首页'!$B$4*100+H$4)-SUMIFS('[1]资金台帐'!$G$4:$G$3003,'[1]资金台帐'!$E$4:$E$3003,$A20,'[1]资金台帐'!$N$4:$N$3003,'首页'!$B$4*100+H$4))</f>
        <v>0</v>
      </c>
      <c r="I20" s="11">
        <f>IF($A20="",0,SUMIFS('[1]资金台帐'!$H$4:$H$3003,'[1]资金台帐'!$E$4:$E$3003,$A20,'[1]资金台帐'!$N$4:$N$3003,'首页'!$B$4*100+I$4)-SUMIFS('[1]资金台帐'!$G$4:$G$3003,'[1]资金台帐'!$E$4:$E$3003,$A20,'[1]资金台帐'!$N$4:$N$3003,'首页'!$B$4*100+I$4))</f>
        <v>0</v>
      </c>
      <c r="J20" s="11">
        <f>IF($A20="",0,SUMIFS('[1]资金台帐'!$H$4:$H$3003,'[1]资金台帐'!$E$4:$E$3003,$A20,'[1]资金台帐'!$N$4:$N$3003,'首页'!$B$4*100+J$4)-SUMIFS('[1]资金台帐'!$G$4:$G$3003,'[1]资金台帐'!$E$4:$E$3003,$A20,'[1]资金台帐'!$N$4:$N$3003,'首页'!$B$4*100+J$4))</f>
        <v>0</v>
      </c>
      <c r="K20" s="11">
        <f>IF($A20="",0,SUMIFS('[1]资金台帐'!$H$4:$H$3003,'[1]资金台帐'!$E$4:$E$3003,$A20,'[1]资金台帐'!$N$4:$N$3003,'首页'!$B$4*100+K$4)-SUMIFS('[1]资金台帐'!$G$4:$G$3003,'[1]资金台帐'!$E$4:$E$3003,$A20,'[1]资金台帐'!$N$4:$N$3003,'首页'!$B$4*100+K$4))</f>
        <v>0</v>
      </c>
      <c r="L20" s="11">
        <f>IF($A20="",0,SUMIFS('[1]资金台帐'!$H$4:$H$3003,'[1]资金台帐'!$E$4:$E$3003,$A20,'[1]资金台帐'!$N$4:$N$3003,'首页'!$B$4*100+L$4)-SUMIFS('[1]资金台帐'!$G$4:$G$3003,'[1]资金台帐'!$E$4:$E$3003,$A20,'[1]资金台帐'!$N$4:$N$3003,'首页'!$B$4*100+L$4))</f>
        <v>0</v>
      </c>
      <c r="M20" s="11">
        <f>IF($A20="",0,SUMIFS('[1]资金台帐'!$H$4:$H$3003,'[1]资金台帐'!$E$4:$E$3003,$A20,'[1]资金台帐'!$N$4:$N$3003,'首页'!$B$4*100+M$4)-SUMIFS('[1]资金台帐'!$G$4:$G$3003,'[1]资金台帐'!$E$4:$E$3003,$A20,'[1]资金台帐'!$N$4:$N$3003,'首页'!$B$4*100+M$4))</f>
        <v>0</v>
      </c>
      <c r="N20" s="11">
        <f t="shared" si="0"/>
        <v>0</v>
      </c>
    </row>
    <row r="21">
      <c r="A21" s="6">
        <f>IF('[1]基础资料'!$G$21="","",'[1]基础资料'!$G$21)</f>
      </c>
      <c r="B21" s="11">
        <f>IF($A21="",0,SUMIFS('[1]资金台帐'!$H$4:$H$3003,'[1]资金台帐'!$E$4:$E$3003,$A21,'[1]资金台帐'!$N$4:$N$3003,'首页'!$B$4*100+B$4)-SUMIFS('[1]资金台帐'!$G$4:$G$3003,'[1]资金台帐'!$E$4:$E$3003,$A21,'[1]资金台帐'!$N$4:$N$3003,'首页'!$B$4*100+B$4))</f>
        <v>0</v>
      </c>
      <c r="C21" s="11">
        <f>IF($A21="",0,SUMIFS('[1]资金台帐'!$H$4:$H$3003,'[1]资金台帐'!$E$4:$E$3003,$A21,'[1]资金台帐'!$N$4:$N$3003,'首页'!$B$4*100+C$4)-SUMIFS('[1]资金台帐'!$G$4:$G$3003,'[1]资金台帐'!$E$4:$E$3003,$A21,'[1]资金台帐'!$N$4:$N$3003,'首页'!$B$4*100+C$4))</f>
        <v>0</v>
      </c>
      <c r="D21" s="11">
        <f>IF($A21="",0,SUMIFS('[1]资金台帐'!$H$4:$H$3003,'[1]资金台帐'!$E$4:$E$3003,$A21,'[1]资金台帐'!$N$4:$N$3003,'首页'!$B$4*100+D$4)-SUMIFS('[1]资金台帐'!$G$4:$G$3003,'[1]资金台帐'!$E$4:$E$3003,$A21,'[1]资金台帐'!$N$4:$N$3003,'首页'!$B$4*100+D$4))</f>
        <v>0</v>
      </c>
      <c r="E21" s="11">
        <f>IF($A21="",0,SUMIFS('[1]资金台帐'!$H$4:$H$3003,'[1]资金台帐'!$E$4:$E$3003,$A21,'[1]资金台帐'!$N$4:$N$3003,'首页'!$B$4*100+E$4)-SUMIFS('[1]资金台帐'!$G$4:$G$3003,'[1]资金台帐'!$E$4:$E$3003,$A21,'[1]资金台帐'!$N$4:$N$3003,'首页'!$B$4*100+E$4))</f>
        <v>0</v>
      </c>
      <c r="F21" s="11">
        <f>IF($A21="",0,SUMIFS('[1]资金台帐'!$H$4:$H$3003,'[1]资金台帐'!$E$4:$E$3003,$A21,'[1]资金台帐'!$N$4:$N$3003,'首页'!$B$4*100+F$4)-SUMIFS('[1]资金台帐'!$G$4:$G$3003,'[1]资金台帐'!$E$4:$E$3003,$A21,'[1]资金台帐'!$N$4:$N$3003,'首页'!$B$4*100+F$4))</f>
        <v>0</v>
      </c>
      <c r="G21" s="11">
        <f>IF($A21="",0,SUMIFS('[1]资金台帐'!$H$4:$H$3003,'[1]资金台帐'!$E$4:$E$3003,$A21,'[1]资金台帐'!$N$4:$N$3003,'首页'!$B$4*100+G$4)-SUMIFS('[1]资金台帐'!$G$4:$G$3003,'[1]资金台帐'!$E$4:$E$3003,$A21,'[1]资金台帐'!$N$4:$N$3003,'首页'!$B$4*100+G$4))</f>
        <v>0</v>
      </c>
      <c r="H21" s="11">
        <f>IF($A21="",0,SUMIFS('[1]资金台帐'!$H$4:$H$3003,'[1]资金台帐'!$E$4:$E$3003,$A21,'[1]资金台帐'!$N$4:$N$3003,'首页'!$B$4*100+H$4)-SUMIFS('[1]资金台帐'!$G$4:$G$3003,'[1]资金台帐'!$E$4:$E$3003,$A21,'[1]资金台帐'!$N$4:$N$3003,'首页'!$B$4*100+H$4))</f>
        <v>0</v>
      </c>
      <c r="I21" s="11">
        <f>IF($A21="",0,SUMIFS('[1]资金台帐'!$H$4:$H$3003,'[1]资金台帐'!$E$4:$E$3003,$A21,'[1]资金台帐'!$N$4:$N$3003,'首页'!$B$4*100+I$4)-SUMIFS('[1]资金台帐'!$G$4:$G$3003,'[1]资金台帐'!$E$4:$E$3003,$A21,'[1]资金台帐'!$N$4:$N$3003,'首页'!$B$4*100+I$4))</f>
        <v>0</v>
      </c>
      <c r="J21" s="11">
        <f>IF($A21="",0,SUMIFS('[1]资金台帐'!$H$4:$H$3003,'[1]资金台帐'!$E$4:$E$3003,$A21,'[1]资金台帐'!$N$4:$N$3003,'首页'!$B$4*100+J$4)-SUMIFS('[1]资金台帐'!$G$4:$G$3003,'[1]资金台帐'!$E$4:$E$3003,$A21,'[1]资金台帐'!$N$4:$N$3003,'首页'!$B$4*100+J$4))</f>
        <v>0</v>
      </c>
      <c r="K21" s="11">
        <f>IF($A21="",0,SUMIFS('[1]资金台帐'!$H$4:$H$3003,'[1]资金台帐'!$E$4:$E$3003,$A21,'[1]资金台帐'!$N$4:$N$3003,'首页'!$B$4*100+K$4)-SUMIFS('[1]资金台帐'!$G$4:$G$3003,'[1]资金台帐'!$E$4:$E$3003,$A21,'[1]资金台帐'!$N$4:$N$3003,'首页'!$B$4*100+K$4))</f>
        <v>0</v>
      </c>
      <c r="L21" s="11">
        <f>IF($A21="",0,SUMIFS('[1]资金台帐'!$H$4:$H$3003,'[1]资金台帐'!$E$4:$E$3003,$A21,'[1]资金台帐'!$N$4:$N$3003,'首页'!$B$4*100+L$4)-SUMIFS('[1]资金台帐'!$G$4:$G$3003,'[1]资金台帐'!$E$4:$E$3003,$A21,'[1]资金台帐'!$N$4:$N$3003,'首页'!$B$4*100+L$4))</f>
        <v>0</v>
      </c>
      <c r="M21" s="11">
        <f>IF($A21="",0,SUMIFS('[1]资金台帐'!$H$4:$H$3003,'[1]资金台帐'!$E$4:$E$3003,$A21,'[1]资金台帐'!$N$4:$N$3003,'首页'!$B$4*100+M$4)-SUMIFS('[1]资金台帐'!$G$4:$G$3003,'[1]资金台帐'!$E$4:$E$3003,$A21,'[1]资金台帐'!$N$4:$N$3003,'首页'!$B$4*100+M$4))</f>
        <v>0</v>
      </c>
      <c r="N21" s="11">
        <f t="shared" si="0"/>
        <v>0</v>
      </c>
    </row>
    <row r="22">
      <c r="A22" s="6">
        <f>IF('[1]基础资料'!$G$22="","",'[1]基础资料'!$G$22)</f>
      </c>
      <c r="B22" s="11">
        <f>IF($A22="",0,SUMIFS('[1]资金台帐'!$H$4:$H$3003,'[1]资金台帐'!$E$4:$E$3003,$A22,'[1]资金台帐'!$N$4:$N$3003,'首页'!$B$4*100+B$4)-SUMIFS('[1]资金台帐'!$G$4:$G$3003,'[1]资金台帐'!$E$4:$E$3003,$A22,'[1]资金台帐'!$N$4:$N$3003,'首页'!$B$4*100+B$4))</f>
        <v>0</v>
      </c>
      <c r="C22" s="11">
        <f>IF($A22="",0,SUMIFS('[1]资金台帐'!$H$4:$H$3003,'[1]资金台帐'!$E$4:$E$3003,$A22,'[1]资金台帐'!$N$4:$N$3003,'首页'!$B$4*100+C$4)-SUMIFS('[1]资金台帐'!$G$4:$G$3003,'[1]资金台帐'!$E$4:$E$3003,$A22,'[1]资金台帐'!$N$4:$N$3003,'首页'!$B$4*100+C$4))</f>
        <v>0</v>
      </c>
      <c r="D22" s="11">
        <f>IF($A22="",0,SUMIFS('[1]资金台帐'!$H$4:$H$3003,'[1]资金台帐'!$E$4:$E$3003,$A22,'[1]资金台帐'!$N$4:$N$3003,'首页'!$B$4*100+D$4)-SUMIFS('[1]资金台帐'!$G$4:$G$3003,'[1]资金台帐'!$E$4:$E$3003,$A22,'[1]资金台帐'!$N$4:$N$3003,'首页'!$B$4*100+D$4))</f>
        <v>0</v>
      </c>
      <c r="E22" s="11">
        <f>IF($A22="",0,SUMIFS('[1]资金台帐'!$H$4:$H$3003,'[1]资金台帐'!$E$4:$E$3003,$A22,'[1]资金台帐'!$N$4:$N$3003,'首页'!$B$4*100+E$4)-SUMIFS('[1]资金台帐'!$G$4:$G$3003,'[1]资金台帐'!$E$4:$E$3003,$A22,'[1]资金台帐'!$N$4:$N$3003,'首页'!$B$4*100+E$4))</f>
        <v>0</v>
      </c>
      <c r="F22" s="11">
        <f>IF($A22="",0,SUMIFS('[1]资金台帐'!$H$4:$H$3003,'[1]资金台帐'!$E$4:$E$3003,$A22,'[1]资金台帐'!$N$4:$N$3003,'首页'!$B$4*100+F$4)-SUMIFS('[1]资金台帐'!$G$4:$G$3003,'[1]资金台帐'!$E$4:$E$3003,$A22,'[1]资金台帐'!$N$4:$N$3003,'首页'!$B$4*100+F$4))</f>
        <v>0</v>
      </c>
      <c r="G22" s="11">
        <f>IF($A22="",0,SUMIFS('[1]资金台帐'!$H$4:$H$3003,'[1]资金台帐'!$E$4:$E$3003,$A22,'[1]资金台帐'!$N$4:$N$3003,'首页'!$B$4*100+G$4)-SUMIFS('[1]资金台帐'!$G$4:$G$3003,'[1]资金台帐'!$E$4:$E$3003,$A22,'[1]资金台帐'!$N$4:$N$3003,'首页'!$B$4*100+G$4))</f>
        <v>0</v>
      </c>
      <c r="H22" s="11">
        <f>IF($A22="",0,SUMIFS('[1]资金台帐'!$H$4:$H$3003,'[1]资金台帐'!$E$4:$E$3003,$A22,'[1]资金台帐'!$N$4:$N$3003,'首页'!$B$4*100+H$4)-SUMIFS('[1]资金台帐'!$G$4:$G$3003,'[1]资金台帐'!$E$4:$E$3003,$A22,'[1]资金台帐'!$N$4:$N$3003,'首页'!$B$4*100+H$4))</f>
        <v>0</v>
      </c>
      <c r="I22" s="11">
        <f>IF($A22="",0,SUMIFS('[1]资金台帐'!$H$4:$H$3003,'[1]资金台帐'!$E$4:$E$3003,$A22,'[1]资金台帐'!$N$4:$N$3003,'首页'!$B$4*100+I$4)-SUMIFS('[1]资金台帐'!$G$4:$G$3003,'[1]资金台帐'!$E$4:$E$3003,$A22,'[1]资金台帐'!$N$4:$N$3003,'首页'!$B$4*100+I$4))</f>
        <v>0</v>
      </c>
      <c r="J22" s="11">
        <f>IF($A22="",0,SUMIFS('[1]资金台帐'!$H$4:$H$3003,'[1]资金台帐'!$E$4:$E$3003,$A22,'[1]资金台帐'!$N$4:$N$3003,'首页'!$B$4*100+J$4)-SUMIFS('[1]资金台帐'!$G$4:$G$3003,'[1]资金台帐'!$E$4:$E$3003,$A22,'[1]资金台帐'!$N$4:$N$3003,'首页'!$B$4*100+J$4))</f>
        <v>0</v>
      </c>
      <c r="K22" s="11">
        <f>IF($A22="",0,SUMIFS('[1]资金台帐'!$H$4:$H$3003,'[1]资金台帐'!$E$4:$E$3003,$A22,'[1]资金台帐'!$N$4:$N$3003,'首页'!$B$4*100+K$4)-SUMIFS('[1]资金台帐'!$G$4:$G$3003,'[1]资金台帐'!$E$4:$E$3003,$A22,'[1]资金台帐'!$N$4:$N$3003,'首页'!$B$4*100+K$4))</f>
        <v>0</v>
      </c>
      <c r="L22" s="11">
        <f>IF($A22="",0,SUMIFS('[1]资金台帐'!$H$4:$H$3003,'[1]资金台帐'!$E$4:$E$3003,$A22,'[1]资金台帐'!$N$4:$N$3003,'首页'!$B$4*100+L$4)-SUMIFS('[1]资金台帐'!$G$4:$G$3003,'[1]资金台帐'!$E$4:$E$3003,$A22,'[1]资金台帐'!$N$4:$N$3003,'首页'!$B$4*100+L$4))</f>
        <v>0</v>
      </c>
      <c r="M22" s="11">
        <f>IF($A22="",0,SUMIFS('[1]资金台帐'!$H$4:$H$3003,'[1]资金台帐'!$E$4:$E$3003,$A22,'[1]资金台帐'!$N$4:$N$3003,'首页'!$B$4*100+M$4)-SUMIFS('[1]资金台帐'!$G$4:$G$3003,'[1]资金台帐'!$E$4:$E$3003,$A22,'[1]资金台帐'!$N$4:$N$3003,'首页'!$B$4*100+M$4))</f>
        <v>0</v>
      </c>
      <c r="N22" s="11">
        <f t="shared" si="0"/>
        <v>0</v>
      </c>
    </row>
    <row r="23">
      <c r="A23" s="6">
        <f>IF('[1]基础资料'!$G$23="","",'[1]基础资料'!$G$23)</f>
      </c>
      <c r="B23" s="11">
        <f>IF($A23="",0,SUMIFS('[1]资金台帐'!$H$4:$H$3003,'[1]资金台帐'!$E$4:$E$3003,$A23,'[1]资金台帐'!$N$4:$N$3003,'首页'!$B$4*100+B$4)-SUMIFS('[1]资金台帐'!$G$4:$G$3003,'[1]资金台帐'!$E$4:$E$3003,$A23,'[1]资金台帐'!$N$4:$N$3003,'首页'!$B$4*100+B$4))</f>
        <v>0</v>
      </c>
      <c r="C23" s="11">
        <f>IF($A23="",0,SUMIFS('[1]资金台帐'!$H$4:$H$3003,'[1]资金台帐'!$E$4:$E$3003,$A23,'[1]资金台帐'!$N$4:$N$3003,'首页'!$B$4*100+C$4)-SUMIFS('[1]资金台帐'!$G$4:$G$3003,'[1]资金台帐'!$E$4:$E$3003,$A23,'[1]资金台帐'!$N$4:$N$3003,'首页'!$B$4*100+C$4))</f>
        <v>0</v>
      </c>
      <c r="D23" s="11">
        <f>IF($A23="",0,SUMIFS('[1]资金台帐'!$H$4:$H$3003,'[1]资金台帐'!$E$4:$E$3003,$A23,'[1]资金台帐'!$N$4:$N$3003,'首页'!$B$4*100+D$4)-SUMIFS('[1]资金台帐'!$G$4:$G$3003,'[1]资金台帐'!$E$4:$E$3003,$A23,'[1]资金台帐'!$N$4:$N$3003,'首页'!$B$4*100+D$4))</f>
        <v>0</v>
      </c>
      <c r="E23" s="11">
        <f>IF($A23="",0,SUMIFS('[1]资金台帐'!$H$4:$H$3003,'[1]资金台帐'!$E$4:$E$3003,$A23,'[1]资金台帐'!$N$4:$N$3003,'首页'!$B$4*100+E$4)-SUMIFS('[1]资金台帐'!$G$4:$G$3003,'[1]资金台帐'!$E$4:$E$3003,$A23,'[1]资金台帐'!$N$4:$N$3003,'首页'!$B$4*100+E$4))</f>
        <v>0</v>
      </c>
      <c r="F23" s="11">
        <f>IF($A23="",0,SUMIFS('[1]资金台帐'!$H$4:$H$3003,'[1]资金台帐'!$E$4:$E$3003,$A23,'[1]资金台帐'!$N$4:$N$3003,'首页'!$B$4*100+F$4)-SUMIFS('[1]资金台帐'!$G$4:$G$3003,'[1]资金台帐'!$E$4:$E$3003,$A23,'[1]资金台帐'!$N$4:$N$3003,'首页'!$B$4*100+F$4))</f>
        <v>0</v>
      </c>
      <c r="G23" s="11">
        <f>IF($A23="",0,SUMIFS('[1]资金台帐'!$H$4:$H$3003,'[1]资金台帐'!$E$4:$E$3003,$A23,'[1]资金台帐'!$N$4:$N$3003,'首页'!$B$4*100+G$4)-SUMIFS('[1]资金台帐'!$G$4:$G$3003,'[1]资金台帐'!$E$4:$E$3003,$A23,'[1]资金台帐'!$N$4:$N$3003,'首页'!$B$4*100+G$4))</f>
        <v>0</v>
      </c>
      <c r="H23" s="11">
        <f>IF($A23="",0,SUMIFS('[1]资金台帐'!$H$4:$H$3003,'[1]资金台帐'!$E$4:$E$3003,$A23,'[1]资金台帐'!$N$4:$N$3003,'首页'!$B$4*100+H$4)-SUMIFS('[1]资金台帐'!$G$4:$G$3003,'[1]资金台帐'!$E$4:$E$3003,$A23,'[1]资金台帐'!$N$4:$N$3003,'首页'!$B$4*100+H$4))</f>
        <v>0</v>
      </c>
      <c r="I23" s="11">
        <f>IF($A23="",0,SUMIFS('[1]资金台帐'!$H$4:$H$3003,'[1]资金台帐'!$E$4:$E$3003,$A23,'[1]资金台帐'!$N$4:$N$3003,'首页'!$B$4*100+I$4)-SUMIFS('[1]资金台帐'!$G$4:$G$3003,'[1]资金台帐'!$E$4:$E$3003,$A23,'[1]资金台帐'!$N$4:$N$3003,'首页'!$B$4*100+I$4))</f>
        <v>0</v>
      </c>
      <c r="J23" s="11">
        <f>IF($A23="",0,SUMIFS('[1]资金台帐'!$H$4:$H$3003,'[1]资金台帐'!$E$4:$E$3003,$A23,'[1]资金台帐'!$N$4:$N$3003,'首页'!$B$4*100+J$4)-SUMIFS('[1]资金台帐'!$G$4:$G$3003,'[1]资金台帐'!$E$4:$E$3003,$A23,'[1]资金台帐'!$N$4:$N$3003,'首页'!$B$4*100+J$4))</f>
        <v>0</v>
      </c>
      <c r="K23" s="11">
        <f>IF($A23="",0,SUMIFS('[1]资金台帐'!$H$4:$H$3003,'[1]资金台帐'!$E$4:$E$3003,$A23,'[1]资金台帐'!$N$4:$N$3003,'首页'!$B$4*100+K$4)-SUMIFS('[1]资金台帐'!$G$4:$G$3003,'[1]资金台帐'!$E$4:$E$3003,$A23,'[1]资金台帐'!$N$4:$N$3003,'首页'!$B$4*100+K$4))</f>
        <v>0</v>
      </c>
      <c r="L23" s="11">
        <f>IF($A23="",0,SUMIFS('[1]资金台帐'!$H$4:$H$3003,'[1]资金台帐'!$E$4:$E$3003,$A23,'[1]资金台帐'!$N$4:$N$3003,'首页'!$B$4*100+L$4)-SUMIFS('[1]资金台帐'!$G$4:$G$3003,'[1]资金台帐'!$E$4:$E$3003,$A23,'[1]资金台帐'!$N$4:$N$3003,'首页'!$B$4*100+L$4))</f>
        <v>0</v>
      </c>
      <c r="M23" s="11">
        <f>IF($A23="",0,SUMIFS('[1]资金台帐'!$H$4:$H$3003,'[1]资金台帐'!$E$4:$E$3003,$A23,'[1]资金台帐'!$N$4:$N$3003,'首页'!$B$4*100+M$4)-SUMIFS('[1]资金台帐'!$G$4:$G$3003,'[1]资金台帐'!$E$4:$E$3003,$A23,'[1]资金台帐'!$N$4:$N$3003,'首页'!$B$4*100+M$4))</f>
        <v>0</v>
      </c>
      <c r="N23" s="11">
        <f t="shared" si="0"/>
        <v>0</v>
      </c>
    </row>
    <row r="24">
      <c r="A24" s="6">
        <f>IF('[1]基础资料'!$G$24="","",'[1]基础资料'!$G$24)</f>
      </c>
      <c r="B24" s="11">
        <f>IF($A24="",0,SUMIFS('[1]资金台帐'!$H$4:$H$3003,'[1]资金台帐'!$E$4:$E$3003,$A24,'[1]资金台帐'!$N$4:$N$3003,'首页'!$B$4*100+B$4)-SUMIFS('[1]资金台帐'!$G$4:$G$3003,'[1]资金台帐'!$E$4:$E$3003,$A24,'[1]资金台帐'!$N$4:$N$3003,'首页'!$B$4*100+B$4))</f>
        <v>0</v>
      </c>
      <c r="C24" s="11">
        <f>IF($A24="",0,SUMIFS('[1]资金台帐'!$H$4:$H$3003,'[1]资金台帐'!$E$4:$E$3003,$A24,'[1]资金台帐'!$N$4:$N$3003,'首页'!$B$4*100+C$4)-SUMIFS('[1]资金台帐'!$G$4:$G$3003,'[1]资金台帐'!$E$4:$E$3003,$A24,'[1]资金台帐'!$N$4:$N$3003,'首页'!$B$4*100+C$4))</f>
        <v>0</v>
      </c>
      <c r="D24" s="11">
        <f>IF($A24="",0,SUMIFS('[1]资金台帐'!$H$4:$H$3003,'[1]资金台帐'!$E$4:$E$3003,$A24,'[1]资金台帐'!$N$4:$N$3003,'首页'!$B$4*100+D$4)-SUMIFS('[1]资金台帐'!$G$4:$G$3003,'[1]资金台帐'!$E$4:$E$3003,$A24,'[1]资金台帐'!$N$4:$N$3003,'首页'!$B$4*100+D$4))</f>
        <v>0</v>
      </c>
      <c r="E24" s="11">
        <f>IF($A24="",0,SUMIFS('[1]资金台帐'!$H$4:$H$3003,'[1]资金台帐'!$E$4:$E$3003,$A24,'[1]资金台帐'!$N$4:$N$3003,'首页'!$B$4*100+E$4)-SUMIFS('[1]资金台帐'!$G$4:$G$3003,'[1]资金台帐'!$E$4:$E$3003,$A24,'[1]资金台帐'!$N$4:$N$3003,'首页'!$B$4*100+E$4))</f>
        <v>0</v>
      </c>
      <c r="F24" s="11">
        <f>IF($A24="",0,SUMIFS('[1]资金台帐'!$H$4:$H$3003,'[1]资金台帐'!$E$4:$E$3003,$A24,'[1]资金台帐'!$N$4:$N$3003,'首页'!$B$4*100+F$4)-SUMIFS('[1]资金台帐'!$G$4:$G$3003,'[1]资金台帐'!$E$4:$E$3003,$A24,'[1]资金台帐'!$N$4:$N$3003,'首页'!$B$4*100+F$4))</f>
        <v>0</v>
      </c>
      <c r="G24" s="11">
        <f>IF($A24="",0,SUMIFS('[1]资金台帐'!$H$4:$H$3003,'[1]资金台帐'!$E$4:$E$3003,$A24,'[1]资金台帐'!$N$4:$N$3003,'首页'!$B$4*100+G$4)-SUMIFS('[1]资金台帐'!$G$4:$G$3003,'[1]资金台帐'!$E$4:$E$3003,$A24,'[1]资金台帐'!$N$4:$N$3003,'首页'!$B$4*100+G$4))</f>
        <v>0</v>
      </c>
      <c r="H24" s="11">
        <f>IF($A24="",0,SUMIFS('[1]资金台帐'!$H$4:$H$3003,'[1]资金台帐'!$E$4:$E$3003,$A24,'[1]资金台帐'!$N$4:$N$3003,'首页'!$B$4*100+H$4)-SUMIFS('[1]资金台帐'!$G$4:$G$3003,'[1]资金台帐'!$E$4:$E$3003,$A24,'[1]资金台帐'!$N$4:$N$3003,'首页'!$B$4*100+H$4))</f>
        <v>0</v>
      </c>
      <c r="I24" s="11">
        <f>IF($A24="",0,SUMIFS('[1]资金台帐'!$H$4:$H$3003,'[1]资金台帐'!$E$4:$E$3003,$A24,'[1]资金台帐'!$N$4:$N$3003,'首页'!$B$4*100+I$4)-SUMIFS('[1]资金台帐'!$G$4:$G$3003,'[1]资金台帐'!$E$4:$E$3003,$A24,'[1]资金台帐'!$N$4:$N$3003,'首页'!$B$4*100+I$4))</f>
        <v>0</v>
      </c>
      <c r="J24" s="11">
        <f>IF($A24="",0,SUMIFS('[1]资金台帐'!$H$4:$H$3003,'[1]资金台帐'!$E$4:$E$3003,$A24,'[1]资金台帐'!$N$4:$N$3003,'首页'!$B$4*100+J$4)-SUMIFS('[1]资金台帐'!$G$4:$G$3003,'[1]资金台帐'!$E$4:$E$3003,$A24,'[1]资金台帐'!$N$4:$N$3003,'首页'!$B$4*100+J$4))</f>
        <v>0</v>
      </c>
      <c r="K24" s="11">
        <f>IF($A24="",0,SUMIFS('[1]资金台帐'!$H$4:$H$3003,'[1]资金台帐'!$E$4:$E$3003,$A24,'[1]资金台帐'!$N$4:$N$3003,'首页'!$B$4*100+K$4)-SUMIFS('[1]资金台帐'!$G$4:$G$3003,'[1]资金台帐'!$E$4:$E$3003,$A24,'[1]资金台帐'!$N$4:$N$3003,'首页'!$B$4*100+K$4))</f>
        <v>0</v>
      </c>
      <c r="L24" s="11">
        <f>IF($A24="",0,SUMIFS('[1]资金台帐'!$H$4:$H$3003,'[1]资金台帐'!$E$4:$E$3003,$A24,'[1]资金台帐'!$N$4:$N$3003,'首页'!$B$4*100+L$4)-SUMIFS('[1]资金台帐'!$G$4:$G$3003,'[1]资金台帐'!$E$4:$E$3003,$A24,'[1]资金台帐'!$N$4:$N$3003,'首页'!$B$4*100+L$4))</f>
        <v>0</v>
      </c>
      <c r="M24" s="11">
        <f>IF($A24="",0,SUMIFS('[1]资金台帐'!$H$4:$H$3003,'[1]资金台帐'!$E$4:$E$3003,$A24,'[1]资金台帐'!$N$4:$N$3003,'首页'!$B$4*100+M$4)-SUMIFS('[1]资金台帐'!$G$4:$G$3003,'[1]资金台帐'!$E$4:$E$3003,$A24,'[1]资金台帐'!$N$4:$N$3003,'首页'!$B$4*100+M$4))</f>
        <v>0</v>
      </c>
      <c r="N24" s="11">
        <f t="shared" si="0"/>
        <v>0</v>
      </c>
    </row>
    <row r="25">
      <c r="A25" s="6">
        <f>IF('[1]基础资料'!$G$25="","",'[1]基础资料'!$G$25)</f>
      </c>
      <c r="B25" s="11">
        <f>IF($A25="",0,SUMIFS('[1]资金台帐'!$H$4:$H$3003,'[1]资金台帐'!$E$4:$E$3003,$A25,'[1]资金台帐'!$N$4:$N$3003,'首页'!$B$4*100+B$4)-SUMIFS('[1]资金台帐'!$G$4:$G$3003,'[1]资金台帐'!$E$4:$E$3003,$A25,'[1]资金台帐'!$N$4:$N$3003,'首页'!$B$4*100+B$4))</f>
        <v>0</v>
      </c>
      <c r="C25" s="11">
        <f>IF($A25="",0,SUMIFS('[1]资金台帐'!$H$4:$H$3003,'[1]资金台帐'!$E$4:$E$3003,$A25,'[1]资金台帐'!$N$4:$N$3003,'首页'!$B$4*100+C$4)-SUMIFS('[1]资金台帐'!$G$4:$G$3003,'[1]资金台帐'!$E$4:$E$3003,$A25,'[1]资金台帐'!$N$4:$N$3003,'首页'!$B$4*100+C$4))</f>
        <v>0</v>
      </c>
      <c r="D25" s="11">
        <f>IF($A25="",0,SUMIFS('[1]资金台帐'!$H$4:$H$3003,'[1]资金台帐'!$E$4:$E$3003,$A25,'[1]资金台帐'!$N$4:$N$3003,'首页'!$B$4*100+D$4)-SUMIFS('[1]资金台帐'!$G$4:$G$3003,'[1]资金台帐'!$E$4:$E$3003,$A25,'[1]资金台帐'!$N$4:$N$3003,'首页'!$B$4*100+D$4))</f>
        <v>0</v>
      </c>
      <c r="E25" s="11">
        <f>IF($A25="",0,SUMIFS('[1]资金台帐'!$H$4:$H$3003,'[1]资金台帐'!$E$4:$E$3003,$A25,'[1]资金台帐'!$N$4:$N$3003,'首页'!$B$4*100+E$4)-SUMIFS('[1]资金台帐'!$G$4:$G$3003,'[1]资金台帐'!$E$4:$E$3003,$A25,'[1]资金台帐'!$N$4:$N$3003,'首页'!$B$4*100+E$4))</f>
        <v>0</v>
      </c>
      <c r="F25" s="11">
        <f>IF($A25="",0,SUMIFS('[1]资金台帐'!$H$4:$H$3003,'[1]资金台帐'!$E$4:$E$3003,$A25,'[1]资金台帐'!$N$4:$N$3003,'首页'!$B$4*100+F$4)-SUMIFS('[1]资金台帐'!$G$4:$G$3003,'[1]资金台帐'!$E$4:$E$3003,$A25,'[1]资金台帐'!$N$4:$N$3003,'首页'!$B$4*100+F$4))</f>
        <v>0</v>
      </c>
      <c r="G25" s="11">
        <f>IF($A25="",0,SUMIFS('[1]资金台帐'!$H$4:$H$3003,'[1]资金台帐'!$E$4:$E$3003,$A25,'[1]资金台帐'!$N$4:$N$3003,'首页'!$B$4*100+G$4)-SUMIFS('[1]资金台帐'!$G$4:$G$3003,'[1]资金台帐'!$E$4:$E$3003,$A25,'[1]资金台帐'!$N$4:$N$3003,'首页'!$B$4*100+G$4))</f>
        <v>0</v>
      </c>
      <c r="H25" s="11">
        <f>IF($A25="",0,SUMIFS('[1]资金台帐'!$H$4:$H$3003,'[1]资金台帐'!$E$4:$E$3003,$A25,'[1]资金台帐'!$N$4:$N$3003,'首页'!$B$4*100+H$4)-SUMIFS('[1]资金台帐'!$G$4:$G$3003,'[1]资金台帐'!$E$4:$E$3003,$A25,'[1]资金台帐'!$N$4:$N$3003,'首页'!$B$4*100+H$4))</f>
        <v>0</v>
      </c>
      <c r="I25" s="11">
        <f>IF($A25="",0,SUMIFS('[1]资金台帐'!$H$4:$H$3003,'[1]资金台帐'!$E$4:$E$3003,$A25,'[1]资金台帐'!$N$4:$N$3003,'首页'!$B$4*100+I$4)-SUMIFS('[1]资金台帐'!$G$4:$G$3003,'[1]资金台帐'!$E$4:$E$3003,$A25,'[1]资金台帐'!$N$4:$N$3003,'首页'!$B$4*100+I$4))</f>
        <v>0</v>
      </c>
      <c r="J25" s="11">
        <f>IF($A25="",0,SUMIFS('[1]资金台帐'!$H$4:$H$3003,'[1]资金台帐'!$E$4:$E$3003,$A25,'[1]资金台帐'!$N$4:$N$3003,'首页'!$B$4*100+J$4)-SUMIFS('[1]资金台帐'!$G$4:$G$3003,'[1]资金台帐'!$E$4:$E$3003,$A25,'[1]资金台帐'!$N$4:$N$3003,'首页'!$B$4*100+J$4))</f>
        <v>0</v>
      </c>
      <c r="K25" s="11">
        <f>IF($A25="",0,SUMIFS('[1]资金台帐'!$H$4:$H$3003,'[1]资金台帐'!$E$4:$E$3003,$A25,'[1]资金台帐'!$N$4:$N$3003,'首页'!$B$4*100+K$4)-SUMIFS('[1]资金台帐'!$G$4:$G$3003,'[1]资金台帐'!$E$4:$E$3003,$A25,'[1]资金台帐'!$N$4:$N$3003,'首页'!$B$4*100+K$4))</f>
        <v>0</v>
      </c>
      <c r="L25" s="11">
        <f>IF($A25="",0,SUMIFS('[1]资金台帐'!$H$4:$H$3003,'[1]资金台帐'!$E$4:$E$3003,$A25,'[1]资金台帐'!$N$4:$N$3003,'首页'!$B$4*100+L$4)-SUMIFS('[1]资金台帐'!$G$4:$G$3003,'[1]资金台帐'!$E$4:$E$3003,$A25,'[1]资金台帐'!$N$4:$N$3003,'首页'!$B$4*100+L$4))</f>
        <v>0</v>
      </c>
      <c r="M25" s="11">
        <f>IF($A25="",0,SUMIFS('[1]资金台帐'!$H$4:$H$3003,'[1]资金台帐'!$E$4:$E$3003,$A25,'[1]资金台帐'!$N$4:$N$3003,'首页'!$B$4*100+M$4)-SUMIFS('[1]资金台帐'!$G$4:$G$3003,'[1]资金台帐'!$E$4:$E$3003,$A25,'[1]资金台帐'!$N$4:$N$3003,'首页'!$B$4*100+M$4))</f>
        <v>0</v>
      </c>
      <c r="N25" s="11">
        <f t="shared" si="0"/>
        <v>0</v>
      </c>
    </row>
    <row r="26">
      <c r="A26" s="6">
        <f>IF('[1]基础资料'!$G$26="","",'[1]基础资料'!$G$26)</f>
      </c>
      <c r="B26" s="11">
        <f>IF($A26="",0,SUMIFS('[1]资金台帐'!$H$4:$H$3003,'[1]资金台帐'!$E$4:$E$3003,$A26,'[1]资金台帐'!$N$4:$N$3003,'首页'!$B$4*100+B$4)-SUMIFS('[1]资金台帐'!$G$4:$G$3003,'[1]资金台帐'!$E$4:$E$3003,$A26,'[1]资金台帐'!$N$4:$N$3003,'首页'!$B$4*100+B$4))</f>
        <v>0</v>
      </c>
      <c r="C26" s="11">
        <f>IF($A26="",0,SUMIFS('[1]资金台帐'!$H$4:$H$3003,'[1]资金台帐'!$E$4:$E$3003,$A26,'[1]资金台帐'!$N$4:$N$3003,'首页'!$B$4*100+C$4)-SUMIFS('[1]资金台帐'!$G$4:$G$3003,'[1]资金台帐'!$E$4:$E$3003,$A26,'[1]资金台帐'!$N$4:$N$3003,'首页'!$B$4*100+C$4))</f>
        <v>0</v>
      </c>
      <c r="D26" s="11">
        <f>IF($A26="",0,SUMIFS('[1]资金台帐'!$H$4:$H$3003,'[1]资金台帐'!$E$4:$E$3003,$A26,'[1]资金台帐'!$N$4:$N$3003,'首页'!$B$4*100+D$4)-SUMIFS('[1]资金台帐'!$G$4:$G$3003,'[1]资金台帐'!$E$4:$E$3003,$A26,'[1]资金台帐'!$N$4:$N$3003,'首页'!$B$4*100+D$4))</f>
        <v>0</v>
      </c>
      <c r="E26" s="11">
        <f>IF($A26="",0,SUMIFS('[1]资金台帐'!$H$4:$H$3003,'[1]资金台帐'!$E$4:$E$3003,$A26,'[1]资金台帐'!$N$4:$N$3003,'首页'!$B$4*100+E$4)-SUMIFS('[1]资金台帐'!$G$4:$G$3003,'[1]资金台帐'!$E$4:$E$3003,$A26,'[1]资金台帐'!$N$4:$N$3003,'首页'!$B$4*100+E$4))</f>
        <v>0</v>
      </c>
      <c r="F26" s="11">
        <f>IF($A26="",0,SUMIFS('[1]资金台帐'!$H$4:$H$3003,'[1]资金台帐'!$E$4:$E$3003,$A26,'[1]资金台帐'!$N$4:$N$3003,'首页'!$B$4*100+F$4)-SUMIFS('[1]资金台帐'!$G$4:$G$3003,'[1]资金台帐'!$E$4:$E$3003,$A26,'[1]资金台帐'!$N$4:$N$3003,'首页'!$B$4*100+F$4))</f>
        <v>0</v>
      </c>
      <c r="G26" s="11">
        <f>IF($A26="",0,SUMIFS('[1]资金台帐'!$H$4:$H$3003,'[1]资金台帐'!$E$4:$E$3003,$A26,'[1]资金台帐'!$N$4:$N$3003,'首页'!$B$4*100+G$4)-SUMIFS('[1]资金台帐'!$G$4:$G$3003,'[1]资金台帐'!$E$4:$E$3003,$A26,'[1]资金台帐'!$N$4:$N$3003,'首页'!$B$4*100+G$4))</f>
        <v>0</v>
      </c>
      <c r="H26" s="11">
        <f>IF($A26="",0,SUMIFS('[1]资金台帐'!$H$4:$H$3003,'[1]资金台帐'!$E$4:$E$3003,$A26,'[1]资金台帐'!$N$4:$N$3003,'首页'!$B$4*100+H$4)-SUMIFS('[1]资金台帐'!$G$4:$G$3003,'[1]资金台帐'!$E$4:$E$3003,$A26,'[1]资金台帐'!$N$4:$N$3003,'首页'!$B$4*100+H$4))</f>
        <v>0</v>
      </c>
      <c r="I26" s="11">
        <f>IF($A26="",0,SUMIFS('[1]资金台帐'!$H$4:$H$3003,'[1]资金台帐'!$E$4:$E$3003,$A26,'[1]资金台帐'!$N$4:$N$3003,'首页'!$B$4*100+I$4)-SUMIFS('[1]资金台帐'!$G$4:$G$3003,'[1]资金台帐'!$E$4:$E$3003,$A26,'[1]资金台帐'!$N$4:$N$3003,'首页'!$B$4*100+I$4))</f>
        <v>0</v>
      </c>
      <c r="J26" s="11">
        <f>IF($A26="",0,SUMIFS('[1]资金台帐'!$H$4:$H$3003,'[1]资金台帐'!$E$4:$E$3003,$A26,'[1]资金台帐'!$N$4:$N$3003,'首页'!$B$4*100+J$4)-SUMIFS('[1]资金台帐'!$G$4:$G$3003,'[1]资金台帐'!$E$4:$E$3003,$A26,'[1]资金台帐'!$N$4:$N$3003,'首页'!$B$4*100+J$4))</f>
        <v>0</v>
      </c>
      <c r="K26" s="11">
        <f>IF($A26="",0,SUMIFS('[1]资金台帐'!$H$4:$H$3003,'[1]资金台帐'!$E$4:$E$3003,$A26,'[1]资金台帐'!$N$4:$N$3003,'首页'!$B$4*100+K$4)-SUMIFS('[1]资金台帐'!$G$4:$G$3003,'[1]资金台帐'!$E$4:$E$3003,$A26,'[1]资金台帐'!$N$4:$N$3003,'首页'!$B$4*100+K$4))</f>
        <v>0</v>
      </c>
      <c r="L26" s="11">
        <f>IF($A26="",0,SUMIFS('[1]资金台帐'!$H$4:$H$3003,'[1]资金台帐'!$E$4:$E$3003,$A26,'[1]资金台帐'!$N$4:$N$3003,'首页'!$B$4*100+L$4)-SUMIFS('[1]资金台帐'!$G$4:$G$3003,'[1]资金台帐'!$E$4:$E$3003,$A26,'[1]资金台帐'!$N$4:$N$3003,'首页'!$B$4*100+L$4))</f>
        <v>0</v>
      </c>
      <c r="M26" s="11">
        <f>IF($A26="",0,SUMIFS('[1]资金台帐'!$H$4:$H$3003,'[1]资金台帐'!$E$4:$E$3003,$A26,'[1]资金台帐'!$N$4:$N$3003,'首页'!$B$4*100+M$4)-SUMIFS('[1]资金台帐'!$G$4:$G$3003,'[1]资金台帐'!$E$4:$E$3003,$A26,'[1]资金台帐'!$N$4:$N$3003,'首页'!$B$4*100+M$4))</f>
        <v>0</v>
      </c>
      <c r="N26" s="11">
        <f t="shared" si="0"/>
        <v>0</v>
      </c>
    </row>
    <row r="27">
      <c r="A27" s="6">
        <f>IF('[1]基础资料'!$G$27="","",'[1]基础资料'!$G$27)</f>
      </c>
      <c r="B27" s="11">
        <f>IF($A27="",0,SUMIFS('[1]资金台帐'!$H$4:$H$3003,'[1]资金台帐'!$E$4:$E$3003,$A27,'[1]资金台帐'!$N$4:$N$3003,'首页'!$B$4*100+B$4)-SUMIFS('[1]资金台帐'!$G$4:$G$3003,'[1]资金台帐'!$E$4:$E$3003,$A27,'[1]资金台帐'!$N$4:$N$3003,'首页'!$B$4*100+B$4))</f>
        <v>0</v>
      </c>
      <c r="C27" s="11">
        <f>IF($A27="",0,SUMIFS('[1]资金台帐'!$H$4:$H$3003,'[1]资金台帐'!$E$4:$E$3003,$A27,'[1]资金台帐'!$N$4:$N$3003,'首页'!$B$4*100+C$4)-SUMIFS('[1]资金台帐'!$G$4:$G$3003,'[1]资金台帐'!$E$4:$E$3003,$A27,'[1]资金台帐'!$N$4:$N$3003,'首页'!$B$4*100+C$4))</f>
        <v>0</v>
      </c>
      <c r="D27" s="11">
        <f>IF($A27="",0,SUMIFS('[1]资金台帐'!$H$4:$H$3003,'[1]资金台帐'!$E$4:$E$3003,$A27,'[1]资金台帐'!$N$4:$N$3003,'首页'!$B$4*100+D$4)-SUMIFS('[1]资金台帐'!$G$4:$G$3003,'[1]资金台帐'!$E$4:$E$3003,$A27,'[1]资金台帐'!$N$4:$N$3003,'首页'!$B$4*100+D$4))</f>
        <v>0</v>
      </c>
      <c r="E27" s="11">
        <f>IF($A27="",0,SUMIFS('[1]资金台帐'!$H$4:$H$3003,'[1]资金台帐'!$E$4:$E$3003,$A27,'[1]资金台帐'!$N$4:$N$3003,'首页'!$B$4*100+E$4)-SUMIFS('[1]资金台帐'!$G$4:$G$3003,'[1]资金台帐'!$E$4:$E$3003,$A27,'[1]资金台帐'!$N$4:$N$3003,'首页'!$B$4*100+E$4))</f>
        <v>0</v>
      </c>
      <c r="F27" s="11">
        <f>IF($A27="",0,SUMIFS('[1]资金台帐'!$H$4:$H$3003,'[1]资金台帐'!$E$4:$E$3003,$A27,'[1]资金台帐'!$N$4:$N$3003,'首页'!$B$4*100+F$4)-SUMIFS('[1]资金台帐'!$G$4:$G$3003,'[1]资金台帐'!$E$4:$E$3003,$A27,'[1]资金台帐'!$N$4:$N$3003,'首页'!$B$4*100+F$4))</f>
        <v>0</v>
      </c>
      <c r="G27" s="11">
        <f>IF($A27="",0,SUMIFS('[1]资金台帐'!$H$4:$H$3003,'[1]资金台帐'!$E$4:$E$3003,$A27,'[1]资金台帐'!$N$4:$N$3003,'首页'!$B$4*100+G$4)-SUMIFS('[1]资金台帐'!$G$4:$G$3003,'[1]资金台帐'!$E$4:$E$3003,$A27,'[1]资金台帐'!$N$4:$N$3003,'首页'!$B$4*100+G$4))</f>
        <v>0</v>
      </c>
      <c r="H27" s="11">
        <f>IF($A27="",0,SUMIFS('[1]资金台帐'!$H$4:$H$3003,'[1]资金台帐'!$E$4:$E$3003,$A27,'[1]资金台帐'!$N$4:$N$3003,'首页'!$B$4*100+H$4)-SUMIFS('[1]资金台帐'!$G$4:$G$3003,'[1]资金台帐'!$E$4:$E$3003,$A27,'[1]资金台帐'!$N$4:$N$3003,'首页'!$B$4*100+H$4))</f>
        <v>0</v>
      </c>
      <c r="I27" s="11">
        <f>IF($A27="",0,SUMIFS('[1]资金台帐'!$H$4:$H$3003,'[1]资金台帐'!$E$4:$E$3003,$A27,'[1]资金台帐'!$N$4:$N$3003,'首页'!$B$4*100+I$4)-SUMIFS('[1]资金台帐'!$G$4:$G$3003,'[1]资金台帐'!$E$4:$E$3003,$A27,'[1]资金台帐'!$N$4:$N$3003,'首页'!$B$4*100+I$4))</f>
        <v>0</v>
      </c>
      <c r="J27" s="11">
        <f>IF($A27="",0,SUMIFS('[1]资金台帐'!$H$4:$H$3003,'[1]资金台帐'!$E$4:$E$3003,$A27,'[1]资金台帐'!$N$4:$N$3003,'首页'!$B$4*100+J$4)-SUMIFS('[1]资金台帐'!$G$4:$G$3003,'[1]资金台帐'!$E$4:$E$3003,$A27,'[1]资金台帐'!$N$4:$N$3003,'首页'!$B$4*100+J$4))</f>
        <v>0</v>
      </c>
      <c r="K27" s="11">
        <f>IF($A27="",0,SUMIFS('[1]资金台帐'!$H$4:$H$3003,'[1]资金台帐'!$E$4:$E$3003,$A27,'[1]资金台帐'!$N$4:$N$3003,'首页'!$B$4*100+K$4)-SUMIFS('[1]资金台帐'!$G$4:$G$3003,'[1]资金台帐'!$E$4:$E$3003,$A27,'[1]资金台帐'!$N$4:$N$3003,'首页'!$B$4*100+K$4))</f>
        <v>0</v>
      </c>
      <c r="L27" s="11">
        <f>IF($A27="",0,SUMIFS('[1]资金台帐'!$H$4:$H$3003,'[1]资金台帐'!$E$4:$E$3003,$A27,'[1]资金台帐'!$N$4:$N$3003,'首页'!$B$4*100+L$4)-SUMIFS('[1]资金台帐'!$G$4:$G$3003,'[1]资金台帐'!$E$4:$E$3003,$A27,'[1]资金台帐'!$N$4:$N$3003,'首页'!$B$4*100+L$4))</f>
        <v>0</v>
      </c>
      <c r="M27" s="11">
        <f>IF($A27="",0,SUMIFS('[1]资金台帐'!$H$4:$H$3003,'[1]资金台帐'!$E$4:$E$3003,$A27,'[1]资金台帐'!$N$4:$N$3003,'首页'!$B$4*100+M$4)-SUMIFS('[1]资金台帐'!$G$4:$G$3003,'[1]资金台帐'!$E$4:$E$3003,$A27,'[1]资金台帐'!$N$4:$N$3003,'首页'!$B$4*100+M$4))</f>
        <v>0</v>
      </c>
      <c r="N27" s="11">
        <f t="shared" si="0"/>
        <v>0</v>
      </c>
    </row>
    <row r="28">
      <c r="A28" s="6">
        <f>IF('[1]基础资料'!$G$28="","",'[1]基础资料'!$G$28)</f>
      </c>
      <c r="B28" s="11">
        <f>IF($A28="",0,SUMIFS('[1]资金台帐'!$H$4:$H$3003,'[1]资金台帐'!$E$4:$E$3003,$A28,'[1]资金台帐'!$N$4:$N$3003,'首页'!$B$4*100+B$4)-SUMIFS('[1]资金台帐'!$G$4:$G$3003,'[1]资金台帐'!$E$4:$E$3003,$A28,'[1]资金台帐'!$N$4:$N$3003,'首页'!$B$4*100+B$4))</f>
        <v>0</v>
      </c>
      <c r="C28" s="11">
        <f>IF($A28="",0,SUMIFS('[1]资金台帐'!$H$4:$H$3003,'[1]资金台帐'!$E$4:$E$3003,$A28,'[1]资金台帐'!$N$4:$N$3003,'首页'!$B$4*100+C$4)-SUMIFS('[1]资金台帐'!$G$4:$G$3003,'[1]资金台帐'!$E$4:$E$3003,$A28,'[1]资金台帐'!$N$4:$N$3003,'首页'!$B$4*100+C$4))</f>
        <v>0</v>
      </c>
      <c r="D28" s="11">
        <f>IF($A28="",0,SUMIFS('[1]资金台帐'!$H$4:$H$3003,'[1]资金台帐'!$E$4:$E$3003,$A28,'[1]资金台帐'!$N$4:$N$3003,'首页'!$B$4*100+D$4)-SUMIFS('[1]资金台帐'!$G$4:$G$3003,'[1]资金台帐'!$E$4:$E$3003,$A28,'[1]资金台帐'!$N$4:$N$3003,'首页'!$B$4*100+D$4))</f>
        <v>0</v>
      </c>
      <c r="E28" s="11">
        <f>IF($A28="",0,SUMIFS('[1]资金台帐'!$H$4:$H$3003,'[1]资金台帐'!$E$4:$E$3003,$A28,'[1]资金台帐'!$N$4:$N$3003,'首页'!$B$4*100+E$4)-SUMIFS('[1]资金台帐'!$G$4:$G$3003,'[1]资金台帐'!$E$4:$E$3003,$A28,'[1]资金台帐'!$N$4:$N$3003,'首页'!$B$4*100+E$4))</f>
        <v>0</v>
      </c>
      <c r="F28" s="11">
        <f>IF($A28="",0,SUMIFS('[1]资金台帐'!$H$4:$H$3003,'[1]资金台帐'!$E$4:$E$3003,$A28,'[1]资金台帐'!$N$4:$N$3003,'首页'!$B$4*100+F$4)-SUMIFS('[1]资金台帐'!$G$4:$G$3003,'[1]资金台帐'!$E$4:$E$3003,$A28,'[1]资金台帐'!$N$4:$N$3003,'首页'!$B$4*100+F$4))</f>
        <v>0</v>
      </c>
      <c r="G28" s="11">
        <f>IF($A28="",0,SUMIFS('[1]资金台帐'!$H$4:$H$3003,'[1]资金台帐'!$E$4:$E$3003,$A28,'[1]资金台帐'!$N$4:$N$3003,'首页'!$B$4*100+G$4)-SUMIFS('[1]资金台帐'!$G$4:$G$3003,'[1]资金台帐'!$E$4:$E$3003,$A28,'[1]资金台帐'!$N$4:$N$3003,'首页'!$B$4*100+G$4))</f>
        <v>0</v>
      </c>
      <c r="H28" s="11">
        <f>IF($A28="",0,SUMIFS('[1]资金台帐'!$H$4:$H$3003,'[1]资金台帐'!$E$4:$E$3003,$A28,'[1]资金台帐'!$N$4:$N$3003,'首页'!$B$4*100+H$4)-SUMIFS('[1]资金台帐'!$G$4:$G$3003,'[1]资金台帐'!$E$4:$E$3003,$A28,'[1]资金台帐'!$N$4:$N$3003,'首页'!$B$4*100+H$4))</f>
        <v>0</v>
      </c>
      <c r="I28" s="11">
        <f>IF($A28="",0,SUMIFS('[1]资金台帐'!$H$4:$H$3003,'[1]资金台帐'!$E$4:$E$3003,$A28,'[1]资金台帐'!$N$4:$N$3003,'首页'!$B$4*100+I$4)-SUMIFS('[1]资金台帐'!$G$4:$G$3003,'[1]资金台帐'!$E$4:$E$3003,$A28,'[1]资金台帐'!$N$4:$N$3003,'首页'!$B$4*100+I$4))</f>
        <v>0</v>
      </c>
      <c r="J28" s="11">
        <f>IF($A28="",0,SUMIFS('[1]资金台帐'!$H$4:$H$3003,'[1]资金台帐'!$E$4:$E$3003,$A28,'[1]资金台帐'!$N$4:$N$3003,'首页'!$B$4*100+J$4)-SUMIFS('[1]资金台帐'!$G$4:$G$3003,'[1]资金台帐'!$E$4:$E$3003,$A28,'[1]资金台帐'!$N$4:$N$3003,'首页'!$B$4*100+J$4))</f>
        <v>0</v>
      </c>
      <c r="K28" s="11">
        <f>IF($A28="",0,SUMIFS('[1]资金台帐'!$H$4:$H$3003,'[1]资金台帐'!$E$4:$E$3003,$A28,'[1]资金台帐'!$N$4:$N$3003,'首页'!$B$4*100+K$4)-SUMIFS('[1]资金台帐'!$G$4:$G$3003,'[1]资金台帐'!$E$4:$E$3003,$A28,'[1]资金台帐'!$N$4:$N$3003,'首页'!$B$4*100+K$4))</f>
        <v>0</v>
      </c>
      <c r="L28" s="11">
        <f>IF($A28="",0,SUMIFS('[1]资金台帐'!$H$4:$H$3003,'[1]资金台帐'!$E$4:$E$3003,$A28,'[1]资金台帐'!$N$4:$N$3003,'首页'!$B$4*100+L$4)-SUMIFS('[1]资金台帐'!$G$4:$G$3003,'[1]资金台帐'!$E$4:$E$3003,$A28,'[1]资金台帐'!$N$4:$N$3003,'首页'!$B$4*100+L$4))</f>
        <v>0</v>
      </c>
      <c r="M28" s="11">
        <f>IF($A28="",0,SUMIFS('[1]资金台帐'!$H$4:$H$3003,'[1]资金台帐'!$E$4:$E$3003,$A28,'[1]资金台帐'!$N$4:$N$3003,'首页'!$B$4*100+M$4)-SUMIFS('[1]资金台帐'!$G$4:$G$3003,'[1]资金台帐'!$E$4:$E$3003,$A28,'[1]资金台帐'!$N$4:$N$3003,'首页'!$B$4*100+M$4))</f>
        <v>0</v>
      </c>
      <c r="N28" s="11">
        <f t="shared" si="0"/>
        <v>0</v>
      </c>
    </row>
    <row r="29">
      <c r="A29" s="6">
        <f>IF('[1]基础资料'!$G$29="","",'[1]基础资料'!$G$29)</f>
      </c>
      <c r="B29" s="11">
        <f>IF($A29="",0,SUMIFS('[1]资金台帐'!$H$4:$H$3003,'[1]资金台帐'!$E$4:$E$3003,$A29,'[1]资金台帐'!$N$4:$N$3003,'首页'!$B$4*100+B$4)-SUMIFS('[1]资金台帐'!$G$4:$G$3003,'[1]资金台帐'!$E$4:$E$3003,$A29,'[1]资金台帐'!$N$4:$N$3003,'首页'!$B$4*100+B$4))</f>
        <v>0</v>
      </c>
      <c r="C29" s="11">
        <f>IF($A29="",0,SUMIFS('[1]资金台帐'!$H$4:$H$3003,'[1]资金台帐'!$E$4:$E$3003,$A29,'[1]资金台帐'!$N$4:$N$3003,'首页'!$B$4*100+C$4)-SUMIFS('[1]资金台帐'!$G$4:$G$3003,'[1]资金台帐'!$E$4:$E$3003,$A29,'[1]资金台帐'!$N$4:$N$3003,'首页'!$B$4*100+C$4))</f>
        <v>0</v>
      </c>
      <c r="D29" s="11">
        <f>IF($A29="",0,SUMIFS('[1]资金台帐'!$H$4:$H$3003,'[1]资金台帐'!$E$4:$E$3003,$A29,'[1]资金台帐'!$N$4:$N$3003,'首页'!$B$4*100+D$4)-SUMIFS('[1]资金台帐'!$G$4:$G$3003,'[1]资金台帐'!$E$4:$E$3003,$A29,'[1]资金台帐'!$N$4:$N$3003,'首页'!$B$4*100+D$4))</f>
        <v>0</v>
      </c>
      <c r="E29" s="11">
        <f>IF($A29="",0,SUMIFS('[1]资金台帐'!$H$4:$H$3003,'[1]资金台帐'!$E$4:$E$3003,$A29,'[1]资金台帐'!$N$4:$N$3003,'首页'!$B$4*100+E$4)-SUMIFS('[1]资金台帐'!$G$4:$G$3003,'[1]资金台帐'!$E$4:$E$3003,$A29,'[1]资金台帐'!$N$4:$N$3003,'首页'!$B$4*100+E$4))</f>
        <v>0</v>
      </c>
      <c r="F29" s="11">
        <f>IF($A29="",0,SUMIFS('[1]资金台帐'!$H$4:$H$3003,'[1]资金台帐'!$E$4:$E$3003,$A29,'[1]资金台帐'!$N$4:$N$3003,'首页'!$B$4*100+F$4)-SUMIFS('[1]资金台帐'!$G$4:$G$3003,'[1]资金台帐'!$E$4:$E$3003,$A29,'[1]资金台帐'!$N$4:$N$3003,'首页'!$B$4*100+F$4))</f>
        <v>0</v>
      </c>
      <c r="G29" s="11">
        <f>IF($A29="",0,SUMIFS('[1]资金台帐'!$H$4:$H$3003,'[1]资金台帐'!$E$4:$E$3003,$A29,'[1]资金台帐'!$N$4:$N$3003,'首页'!$B$4*100+G$4)-SUMIFS('[1]资金台帐'!$G$4:$G$3003,'[1]资金台帐'!$E$4:$E$3003,$A29,'[1]资金台帐'!$N$4:$N$3003,'首页'!$B$4*100+G$4))</f>
        <v>0</v>
      </c>
      <c r="H29" s="11">
        <f>IF($A29="",0,SUMIFS('[1]资金台帐'!$H$4:$H$3003,'[1]资金台帐'!$E$4:$E$3003,$A29,'[1]资金台帐'!$N$4:$N$3003,'首页'!$B$4*100+H$4)-SUMIFS('[1]资金台帐'!$G$4:$G$3003,'[1]资金台帐'!$E$4:$E$3003,$A29,'[1]资金台帐'!$N$4:$N$3003,'首页'!$B$4*100+H$4))</f>
        <v>0</v>
      </c>
      <c r="I29" s="11">
        <f>IF($A29="",0,SUMIFS('[1]资金台帐'!$H$4:$H$3003,'[1]资金台帐'!$E$4:$E$3003,$A29,'[1]资金台帐'!$N$4:$N$3003,'首页'!$B$4*100+I$4)-SUMIFS('[1]资金台帐'!$G$4:$G$3003,'[1]资金台帐'!$E$4:$E$3003,$A29,'[1]资金台帐'!$N$4:$N$3003,'首页'!$B$4*100+I$4))</f>
        <v>0</v>
      </c>
      <c r="J29" s="11">
        <f>IF($A29="",0,SUMIFS('[1]资金台帐'!$H$4:$H$3003,'[1]资金台帐'!$E$4:$E$3003,$A29,'[1]资金台帐'!$N$4:$N$3003,'首页'!$B$4*100+J$4)-SUMIFS('[1]资金台帐'!$G$4:$G$3003,'[1]资金台帐'!$E$4:$E$3003,$A29,'[1]资金台帐'!$N$4:$N$3003,'首页'!$B$4*100+J$4))</f>
        <v>0</v>
      </c>
      <c r="K29" s="11">
        <f>IF($A29="",0,SUMIFS('[1]资金台帐'!$H$4:$H$3003,'[1]资金台帐'!$E$4:$E$3003,$A29,'[1]资金台帐'!$N$4:$N$3003,'首页'!$B$4*100+K$4)-SUMIFS('[1]资金台帐'!$G$4:$G$3003,'[1]资金台帐'!$E$4:$E$3003,$A29,'[1]资金台帐'!$N$4:$N$3003,'首页'!$B$4*100+K$4))</f>
        <v>0</v>
      </c>
      <c r="L29" s="11">
        <f>IF($A29="",0,SUMIFS('[1]资金台帐'!$H$4:$H$3003,'[1]资金台帐'!$E$4:$E$3003,$A29,'[1]资金台帐'!$N$4:$N$3003,'首页'!$B$4*100+L$4)-SUMIFS('[1]资金台帐'!$G$4:$G$3003,'[1]资金台帐'!$E$4:$E$3003,$A29,'[1]资金台帐'!$N$4:$N$3003,'首页'!$B$4*100+L$4))</f>
        <v>0</v>
      </c>
      <c r="M29" s="11">
        <f>IF($A29="",0,SUMIFS('[1]资金台帐'!$H$4:$H$3003,'[1]资金台帐'!$E$4:$E$3003,$A29,'[1]资金台帐'!$N$4:$N$3003,'首页'!$B$4*100+M$4)-SUMIFS('[1]资金台帐'!$G$4:$G$3003,'[1]资金台帐'!$E$4:$E$3003,$A29,'[1]资金台帐'!$N$4:$N$3003,'首页'!$B$4*100+M$4))</f>
        <v>0</v>
      </c>
      <c r="N29" s="11">
        <f t="shared" si="0"/>
        <v>0</v>
      </c>
    </row>
    <row r="30">
      <c r="A30" s="6">
        <f>IF('[1]基础资料'!$G$30="","",'[1]基础资料'!$G$30)</f>
      </c>
      <c r="B30" s="11">
        <f>IF($A30="",0,SUMIFS('[1]资金台帐'!$H$4:$H$3003,'[1]资金台帐'!$E$4:$E$3003,$A30,'[1]资金台帐'!$N$4:$N$3003,'首页'!$B$4*100+B$4)-SUMIFS('[1]资金台帐'!$G$4:$G$3003,'[1]资金台帐'!$E$4:$E$3003,$A30,'[1]资金台帐'!$N$4:$N$3003,'首页'!$B$4*100+B$4))</f>
        <v>0</v>
      </c>
      <c r="C30" s="11">
        <f>IF($A30="",0,SUMIFS('[1]资金台帐'!$H$4:$H$3003,'[1]资金台帐'!$E$4:$E$3003,$A30,'[1]资金台帐'!$N$4:$N$3003,'首页'!$B$4*100+C$4)-SUMIFS('[1]资金台帐'!$G$4:$G$3003,'[1]资金台帐'!$E$4:$E$3003,$A30,'[1]资金台帐'!$N$4:$N$3003,'首页'!$B$4*100+C$4))</f>
        <v>0</v>
      </c>
      <c r="D30" s="11">
        <f>IF($A30="",0,SUMIFS('[1]资金台帐'!$H$4:$H$3003,'[1]资金台帐'!$E$4:$E$3003,$A30,'[1]资金台帐'!$N$4:$N$3003,'首页'!$B$4*100+D$4)-SUMIFS('[1]资金台帐'!$G$4:$G$3003,'[1]资金台帐'!$E$4:$E$3003,$A30,'[1]资金台帐'!$N$4:$N$3003,'首页'!$B$4*100+D$4))</f>
        <v>0</v>
      </c>
      <c r="E30" s="11">
        <f>IF($A30="",0,SUMIFS('[1]资金台帐'!$H$4:$H$3003,'[1]资金台帐'!$E$4:$E$3003,$A30,'[1]资金台帐'!$N$4:$N$3003,'首页'!$B$4*100+E$4)-SUMIFS('[1]资金台帐'!$G$4:$G$3003,'[1]资金台帐'!$E$4:$E$3003,$A30,'[1]资金台帐'!$N$4:$N$3003,'首页'!$B$4*100+E$4))</f>
        <v>0</v>
      </c>
      <c r="F30" s="11">
        <f>IF($A30="",0,SUMIFS('[1]资金台帐'!$H$4:$H$3003,'[1]资金台帐'!$E$4:$E$3003,$A30,'[1]资金台帐'!$N$4:$N$3003,'首页'!$B$4*100+F$4)-SUMIFS('[1]资金台帐'!$G$4:$G$3003,'[1]资金台帐'!$E$4:$E$3003,$A30,'[1]资金台帐'!$N$4:$N$3003,'首页'!$B$4*100+F$4))</f>
        <v>0</v>
      </c>
      <c r="G30" s="11">
        <f>IF($A30="",0,SUMIFS('[1]资金台帐'!$H$4:$H$3003,'[1]资金台帐'!$E$4:$E$3003,$A30,'[1]资金台帐'!$N$4:$N$3003,'首页'!$B$4*100+G$4)-SUMIFS('[1]资金台帐'!$G$4:$G$3003,'[1]资金台帐'!$E$4:$E$3003,$A30,'[1]资金台帐'!$N$4:$N$3003,'首页'!$B$4*100+G$4))</f>
        <v>0</v>
      </c>
      <c r="H30" s="11">
        <f>IF($A30="",0,SUMIFS('[1]资金台帐'!$H$4:$H$3003,'[1]资金台帐'!$E$4:$E$3003,$A30,'[1]资金台帐'!$N$4:$N$3003,'首页'!$B$4*100+H$4)-SUMIFS('[1]资金台帐'!$G$4:$G$3003,'[1]资金台帐'!$E$4:$E$3003,$A30,'[1]资金台帐'!$N$4:$N$3003,'首页'!$B$4*100+H$4))</f>
        <v>0</v>
      </c>
      <c r="I30" s="11">
        <f>IF($A30="",0,SUMIFS('[1]资金台帐'!$H$4:$H$3003,'[1]资金台帐'!$E$4:$E$3003,$A30,'[1]资金台帐'!$N$4:$N$3003,'首页'!$B$4*100+I$4)-SUMIFS('[1]资金台帐'!$G$4:$G$3003,'[1]资金台帐'!$E$4:$E$3003,$A30,'[1]资金台帐'!$N$4:$N$3003,'首页'!$B$4*100+I$4))</f>
        <v>0</v>
      </c>
      <c r="J30" s="11">
        <f>IF($A30="",0,SUMIFS('[1]资金台帐'!$H$4:$H$3003,'[1]资金台帐'!$E$4:$E$3003,$A30,'[1]资金台帐'!$N$4:$N$3003,'首页'!$B$4*100+J$4)-SUMIFS('[1]资金台帐'!$G$4:$G$3003,'[1]资金台帐'!$E$4:$E$3003,$A30,'[1]资金台帐'!$N$4:$N$3003,'首页'!$B$4*100+J$4))</f>
        <v>0</v>
      </c>
      <c r="K30" s="11">
        <f>IF($A30="",0,SUMIFS('[1]资金台帐'!$H$4:$H$3003,'[1]资金台帐'!$E$4:$E$3003,$A30,'[1]资金台帐'!$N$4:$N$3003,'首页'!$B$4*100+K$4)-SUMIFS('[1]资金台帐'!$G$4:$G$3003,'[1]资金台帐'!$E$4:$E$3003,$A30,'[1]资金台帐'!$N$4:$N$3003,'首页'!$B$4*100+K$4))</f>
        <v>0</v>
      </c>
      <c r="L30" s="11">
        <f>IF($A30="",0,SUMIFS('[1]资金台帐'!$H$4:$H$3003,'[1]资金台帐'!$E$4:$E$3003,$A30,'[1]资金台帐'!$N$4:$N$3003,'首页'!$B$4*100+L$4)-SUMIFS('[1]资金台帐'!$G$4:$G$3003,'[1]资金台帐'!$E$4:$E$3003,$A30,'[1]资金台帐'!$N$4:$N$3003,'首页'!$B$4*100+L$4))</f>
        <v>0</v>
      </c>
      <c r="M30" s="11">
        <f>IF($A30="",0,SUMIFS('[1]资金台帐'!$H$4:$H$3003,'[1]资金台帐'!$E$4:$E$3003,$A30,'[1]资金台帐'!$N$4:$N$3003,'首页'!$B$4*100+M$4)-SUMIFS('[1]资金台帐'!$G$4:$G$3003,'[1]资金台帐'!$E$4:$E$3003,$A30,'[1]资金台帐'!$N$4:$N$3003,'首页'!$B$4*100+M$4))</f>
        <v>0</v>
      </c>
      <c r="N30" s="11">
        <f t="shared" si="0"/>
        <v>0</v>
      </c>
    </row>
    <row r="31">
      <c r="A31" s="6">
        <f>IF('[1]基础资料'!$G$31="","",'[1]基础资料'!$G$31)</f>
      </c>
      <c r="B31" s="11">
        <f>IF($A31="",0,SUMIFS('[1]资金台帐'!$H$4:$H$3003,'[1]资金台帐'!$E$4:$E$3003,$A31,'[1]资金台帐'!$N$4:$N$3003,'首页'!$B$4*100+B$4)-SUMIFS('[1]资金台帐'!$G$4:$G$3003,'[1]资金台帐'!$E$4:$E$3003,$A31,'[1]资金台帐'!$N$4:$N$3003,'首页'!$B$4*100+B$4))</f>
        <v>0</v>
      </c>
      <c r="C31" s="11">
        <f>IF($A31="",0,SUMIFS('[1]资金台帐'!$H$4:$H$3003,'[1]资金台帐'!$E$4:$E$3003,$A31,'[1]资金台帐'!$N$4:$N$3003,'首页'!$B$4*100+C$4)-SUMIFS('[1]资金台帐'!$G$4:$G$3003,'[1]资金台帐'!$E$4:$E$3003,$A31,'[1]资金台帐'!$N$4:$N$3003,'首页'!$B$4*100+C$4))</f>
        <v>0</v>
      </c>
      <c r="D31" s="11">
        <f>IF($A31="",0,SUMIFS('[1]资金台帐'!$H$4:$H$3003,'[1]资金台帐'!$E$4:$E$3003,$A31,'[1]资金台帐'!$N$4:$N$3003,'首页'!$B$4*100+D$4)-SUMIFS('[1]资金台帐'!$G$4:$G$3003,'[1]资金台帐'!$E$4:$E$3003,$A31,'[1]资金台帐'!$N$4:$N$3003,'首页'!$B$4*100+D$4))</f>
        <v>0</v>
      </c>
      <c r="E31" s="11">
        <f>IF($A31="",0,SUMIFS('[1]资金台帐'!$H$4:$H$3003,'[1]资金台帐'!$E$4:$E$3003,$A31,'[1]资金台帐'!$N$4:$N$3003,'首页'!$B$4*100+E$4)-SUMIFS('[1]资金台帐'!$G$4:$G$3003,'[1]资金台帐'!$E$4:$E$3003,$A31,'[1]资金台帐'!$N$4:$N$3003,'首页'!$B$4*100+E$4))</f>
        <v>0</v>
      </c>
      <c r="F31" s="11">
        <f>IF($A31="",0,SUMIFS('[1]资金台帐'!$H$4:$H$3003,'[1]资金台帐'!$E$4:$E$3003,$A31,'[1]资金台帐'!$N$4:$N$3003,'首页'!$B$4*100+F$4)-SUMIFS('[1]资金台帐'!$G$4:$G$3003,'[1]资金台帐'!$E$4:$E$3003,$A31,'[1]资金台帐'!$N$4:$N$3003,'首页'!$B$4*100+F$4))</f>
        <v>0</v>
      </c>
      <c r="G31" s="11">
        <f>IF($A31="",0,SUMIFS('[1]资金台帐'!$H$4:$H$3003,'[1]资金台帐'!$E$4:$E$3003,$A31,'[1]资金台帐'!$N$4:$N$3003,'首页'!$B$4*100+G$4)-SUMIFS('[1]资金台帐'!$G$4:$G$3003,'[1]资金台帐'!$E$4:$E$3003,$A31,'[1]资金台帐'!$N$4:$N$3003,'首页'!$B$4*100+G$4))</f>
        <v>0</v>
      </c>
      <c r="H31" s="11">
        <f>IF($A31="",0,SUMIFS('[1]资金台帐'!$H$4:$H$3003,'[1]资金台帐'!$E$4:$E$3003,$A31,'[1]资金台帐'!$N$4:$N$3003,'首页'!$B$4*100+H$4)-SUMIFS('[1]资金台帐'!$G$4:$G$3003,'[1]资金台帐'!$E$4:$E$3003,$A31,'[1]资金台帐'!$N$4:$N$3003,'首页'!$B$4*100+H$4))</f>
        <v>0</v>
      </c>
      <c r="I31" s="11">
        <f>IF($A31="",0,SUMIFS('[1]资金台帐'!$H$4:$H$3003,'[1]资金台帐'!$E$4:$E$3003,$A31,'[1]资金台帐'!$N$4:$N$3003,'首页'!$B$4*100+I$4)-SUMIFS('[1]资金台帐'!$G$4:$G$3003,'[1]资金台帐'!$E$4:$E$3003,$A31,'[1]资金台帐'!$N$4:$N$3003,'首页'!$B$4*100+I$4))</f>
        <v>0</v>
      </c>
      <c r="J31" s="11">
        <f>IF($A31="",0,SUMIFS('[1]资金台帐'!$H$4:$H$3003,'[1]资金台帐'!$E$4:$E$3003,$A31,'[1]资金台帐'!$N$4:$N$3003,'首页'!$B$4*100+J$4)-SUMIFS('[1]资金台帐'!$G$4:$G$3003,'[1]资金台帐'!$E$4:$E$3003,$A31,'[1]资金台帐'!$N$4:$N$3003,'首页'!$B$4*100+J$4))</f>
        <v>0</v>
      </c>
      <c r="K31" s="11">
        <f>IF($A31="",0,SUMIFS('[1]资金台帐'!$H$4:$H$3003,'[1]资金台帐'!$E$4:$E$3003,$A31,'[1]资金台帐'!$N$4:$N$3003,'首页'!$B$4*100+K$4)-SUMIFS('[1]资金台帐'!$G$4:$G$3003,'[1]资金台帐'!$E$4:$E$3003,$A31,'[1]资金台帐'!$N$4:$N$3003,'首页'!$B$4*100+K$4))</f>
        <v>0</v>
      </c>
      <c r="L31" s="11">
        <f>IF($A31="",0,SUMIFS('[1]资金台帐'!$H$4:$H$3003,'[1]资金台帐'!$E$4:$E$3003,$A31,'[1]资金台帐'!$N$4:$N$3003,'首页'!$B$4*100+L$4)-SUMIFS('[1]资金台帐'!$G$4:$G$3003,'[1]资金台帐'!$E$4:$E$3003,$A31,'[1]资金台帐'!$N$4:$N$3003,'首页'!$B$4*100+L$4))</f>
        <v>0</v>
      </c>
      <c r="M31" s="11">
        <f>IF($A31="",0,SUMIFS('[1]资金台帐'!$H$4:$H$3003,'[1]资金台帐'!$E$4:$E$3003,$A31,'[1]资金台帐'!$N$4:$N$3003,'首页'!$B$4*100+M$4)-SUMIFS('[1]资金台帐'!$G$4:$G$3003,'[1]资金台帐'!$E$4:$E$3003,$A31,'[1]资金台帐'!$N$4:$N$3003,'首页'!$B$4*100+M$4))</f>
        <v>0</v>
      </c>
      <c r="N31" s="11">
        <f t="shared" si="0"/>
        <v>0</v>
      </c>
    </row>
    <row r="32">
      <c r="A32" s="6">
        <f>IF('[1]基础资料'!$G$32="","",'[1]基础资料'!$G$32)</f>
      </c>
      <c r="B32" s="11">
        <f>IF($A32="",0,SUMIFS('[1]资金台帐'!$H$4:$H$3003,'[1]资金台帐'!$E$4:$E$3003,$A32,'[1]资金台帐'!$N$4:$N$3003,'首页'!$B$4*100+B$4)-SUMIFS('[1]资金台帐'!$G$4:$G$3003,'[1]资金台帐'!$E$4:$E$3003,$A32,'[1]资金台帐'!$N$4:$N$3003,'首页'!$B$4*100+B$4))</f>
        <v>0</v>
      </c>
      <c r="C32" s="11">
        <f>IF($A32="",0,SUMIFS('[1]资金台帐'!$H$4:$H$3003,'[1]资金台帐'!$E$4:$E$3003,$A32,'[1]资金台帐'!$N$4:$N$3003,'首页'!$B$4*100+C$4)-SUMIFS('[1]资金台帐'!$G$4:$G$3003,'[1]资金台帐'!$E$4:$E$3003,$A32,'[1]资金台帐'!$N$4:$N$3003,'首页'!$B$4*100+C$4))</f>
        <v>0</v>
      </c>
      <c r="D32" s="11">
        <f>IF($A32="",0,SUMIFS('[1]资金台帐'!$H$4:$H$3003,'[1]资金台帐'!$E$4:$E$3003,$A32,'[1]资金台帐'!$N$4:$N$3003,'首页'!$B$4*100+D$4)-SUMIFS('[1]资金台帐'!$G$4:$G$3003,'[1]资金台帐'!$E$4:$E$3003,$A32,'[1]资金台帐'!$N$4:$N$3003,'首页'!$B$4*100+D$4))</f>
        <v>0</v>
      </c>
      <c r="E32" s="11">
        <f>IF($A32="",0,SUMIFS('[1]资金台帐'!$H$4:$H$3003,'[1]资金台帐'!$E$4:$E$3003,$A32,'[1]资金台帐'!$N$4:$N$3003,'首页'!$B$4*100+E$4)-SUMIFS('[1]资金台帐'!$G$4:$G$3003,'[1]资金台帐'!$E$4:$E$3003,$A32,'[1]资金台帐'!$N$4:$N$3003,'首页'!$B$4*100+E$4))</f>
        <v>0</v>
      </c>
      <c r="F32" s="11">
        <f>IF($A32="",0,SUMIFS('[1]资金台帐'!$H$4:$H$3003,'[1]资金台帐'!$E$4:$E$3003,$A32,'[1]资金台帐'!$N$4:$N$3003,'首页'!$B$4*100+F$4)-SUMIFS('[1]资金台帐'!$G$4:$G$3003,'[1]资金台帐'!$E$4:$E$3003,$A32,'[1]资金台帐'!$N$4:$N$3003,'首页'!$B$4*100+F$4))</f>
        <v>0</v>
      </c>
      <c r="G32" s="11">
        <f>IF($A32="",0,SUMIFS('[1]资金台帐'!$H$4:$H$3003,'[1]资金台帐'!$E$4:$E$3003,$A32,'[1]资金台帐'!$N$4:$N$3003,'首页'!$B$4*100+G$4)-SUMIFS('[1]资金台帐'!$G$4:$G$3003,'[1]资金台帐'!$E$4:$E$3003,$A32,'[1]资金台帐'!$N$4:$N$3003,'首页'!$B$4*100+G$4))</f>
        <v>0</v>
      </c>
      <c r="H32" s="11">
        <f>IF($A32="",0,SUMIFS('[1]资金台帐'!$H$4:$H$3003,'[1]资金台帐'!$E$4:$E$3003,$A32,'[1]资金台帐'!$N$4:$N$3003,'首页'!$B$4*100+H$4)-SUMIFS('[1]资金台帐'!$G$4:$G$3003,'[1]资金台帐'!$E$4:$E$3003,$A32,'[1]资金台帐'!$N$4:$N$3003,'首页'!$B$4*100+H$4))</f>
        <v>0</v>
      </c>
      <c r="I32" s="11">
        <f>IF($A32="",0,SUMIFS('[1]资金台帐'!$H$4:$H$3003,'[1]资金台帐'!$E$4:$E$3003,$A32,'[1]资金台帐'!$N$4:$N$3003,'首页'!$B$4*100+I$4)-SUMIFS('[1]资金台帐'!$G$4:$G$3003,'[1]资金台帐'!$E$4:$E$3003,$A32,'[1]资金台帐'!$N$4:$N$3003,'首页'!$B$4*100+I$4))</f>
        <v>0</v>
      </c>
      <c r="J32" s="11">
        <f>IF($A32="",0,SUMIFS('[1]资金台帐'!$H$4:$H$3003,'[1]资金台帐'!$E$4:$E$3003,$A32,'[1]资金台帐'!$N$4:$N$3003,'首页'!$B$4*100+J$4)-SUMIFS('[1]资金台帐'!$G$4:$G$3003,'[1]资金台帐'!$E$4:$E$3003,$A32,'[1]资金台帐'!$N$4:$N$3003,'首页'!$B$4*100+J$4))</f>
        <v>0</v>
      </c>
      <c r="K32" s="11">
        <f>IF($A32="",0,SUMIFS('[1]资金台帐'!$H$4:$H$3003,'[1]资金台帐'!$E$4:$E$3003,$A32,'[1]资金台帐'!$N$4:$N$3003,'首页'!$B$4*100+K$4)-SUMIFS('[1]资金台帐'!$G$4:$G$3003,'[1]资金台帐'!$E$4:$E$3003,$A32,'[1]资金台帐'!$N$4:$N$3003,'首页'!$B$4*100+K$4))</f>
        <v>0</v>
      </c>
      <c r="L32" s="11">
        <f>IF($A32="",0,SUMIFS('[1]资金台帐'!$H$4:$H$3003,'[1]资金台帐'!$E$4:$E$3003,$A32,'[1]资金台帐'!$N$4:$N$3003,'首页'!$B$4*100+L$4)-SUMIFS('[1]资金台帐'!$G$4:$G$3003,'[1]资金台帐'!$E$4:$E$3003,$A32,'[1]资金台帐'!$N$4:$N$3003,'首页'!$B$4*100+L$4))</f>
        <v>0</v>
      </c>
      <c r="M32" s="11">
        <f>IF($A32="",0,SUMIFS('[1]资金台帐'!$H$4:$H$3003,'[1]资金台帐'!$E$4:$E$3003,$A32,'[1]资金台帐'!$N$4:$N$3003,'首页'!$B$4*100+M$4)-SUMIFS('[1]资金台帐'!$G$4:$G$3003,'[1]资金台帐'!$E$4:$E$3003,$A32,'[1]资金台帐'!$N$4:$N$3003,'首页'!$B$4*100+M$4))</f>
        <v>0</v>
      </c>
      <c r="N32" s="11">
        <f t="shared" si="0"/>
        <v>0</v>
      </c>
    </row>
    <row r="33">
      <c r="A33" s="6">
        <f>IF('[1]基础资料'!$G$33="","",'[1]基础资料'!$G$33)</f>
      </c>
      <c r="B33" s="11">
        <f>IF($A33="",0,SUMIFS('[1]资金台帐'!$H$4:$H$3003,'[1]资金台帐'!$E$4:$E$3003,$A33,'[1]资金台帐'!$N$4:$N$3003,'首页'!$B$4*100+B$4)-SUMIFS('[1]资金台帐'!$G$4:$G$3003,'[1]资金台帐'!$E$4:$E$3003,$A33,'[1]资金台帐'!$N$4:$N$3003,'首页'!$B$4*100+B$4))</f>
        <v>0</v>
      </c>
      <c r="C33" s="11">
        <f>IF($A33="",0,SUMIFS('[1]资金台帐'!$H$4:$H$3003,'[1]资金台帐'!$E$4:$E$3003,$A33,'[1]资金台帐'!$N$4:$N$3003,'首页'!$B$4*100+C$4)-SUMIFS('[1]资金台帐'!$G$4:$G$3003,'[1]资金台帐'!$E$4:$E$3003,$A33,'[1]资金台帐'!$N$4:$N$3003,'首页'!$B$4*100+C$4))</f>
        <v>0</v>
      </c>
      <c r="D33" s="11">
        <f>IF($A33="",0,SUMIFS('[1]资金台帐'!$H$4:$H$3003,'[1]资金台帐'!$E$4:$E$3003,$A33,'[1]资金台帐'!$N$4:$N$3003,'首页'!$B$4*100+D$4)-SUMIFS('[1]资金台帐'!$G$4:$G$3003,'[1]资金台帐'!$E$4:$E$3003,$A33,'[1]资金台帐'!$N$4:$N$3003,'首页'!$B$4*100+D$4))</f>
        <v>0</v>
      </c>
      <c r="E33" s="11">
        <f>IF($A33="",0,SUMIFS('[1]资金台帐'!$H$4:$H$3003,'[1]资金台帐'!$E$4:$E$3003,$A33,'[1]资金台帐'!$N$4:$N$3003,'首页'!$B$4*100+E$4)-SUMIFS('[1]资金台帐'!$G$4:$G$3003,'[1]资金台帐'!$E$4:$E$3003,$A33,'[1]资金台帐'!$N$4:$N$3003,'首页'!$B$4*100+E$4))</f>
        <v>0</v>
      </c>
      <c r="F33" s="11">
        <f>IF($A33="",0,SUMIFS('[1]资金台帐'!$H$4:$H$3003,'[1]资金台帐'!$E$4:$E$3003,$A33,'[1]资金台帐'!$N$4:$N$3003,'首页'!$B$4*100+F$4)-SUMIFS('[1]资金台帐'!$G$4:$G$3003,'[1]资金台帐'!$E$4:$E$3003,$A33,'[1]资金台帐'!$N$4:$N$3003,'首页'!$B$4*100+F$4))</f>
        <v>0</v>
      </c>
      <c r="G33" s="11">
        <f>IF($A33="",0,SUMIFS('[1]资金台帐'!$H$4:$H$3003,'[1]资金台帐'!$E$4:$E$3003,$A33,'[1]资金台帐'!$N$4:$N$3003,'首页'!$B$4*100+G$4)-SUMIFS('[1]资金台帐'!$G$4:$G$3003,'[1]资金台帐'!$E$4:$E$3003,$A33,'[1]资金台帐'!$N$4:$N$3003,'首页'!$B$4*100+G$4))</f>
        <v>0</v>
      </c>
      <c r="H33" s="11">
        <f>IF($A33="",0,SUMIFS('[1]资金台帐'!$H$4:$H$3003,'[1]资金台帐'!$E$4:$E$3003,$A33,'[1]资金台帐'!$N$4:$N$3003,'首页'!$B$4*100+H$4)-SUMIFS('[1]资金台帐'!$G$4:$G$3003,'[1]资金台帐'!$E$4:$E$3003,$A33,'[1]资金台帐'!$N$4:$N$3003,'首页'!$B$4*100+H$4))</f>
        <v>0</v>
      </c>
      <c r="I33" s="11">
        <f>IF($A33="",0,SUMIFS('[1]资金台帐'!$H$4:$H$3003,'[1]资金台帐'!$E$4:$E$3003,$A33,'[1]资金台帐'!$N$4:$N$3003,'首页'!$B$4*100+I$4)-SUMIFS('[1]资金台帐'!$G$4:$G$3003,'[1]资金台帐'!$E$4:$E$3003,$A33,'[1]资金台帐'!$N$4:$N$3003,'首页'!$B$4*100+I$4))</f>
        <v>0</v>
      </c>
      <c r="J33" s="11">
        <f>IF($A33="",0,SUMIFS('[1]资金台帐'!$H$4:$H$3003,'[1]资金台帐'!$E$4:$E$3003,$A33,'[1]资金台帐'!$N$4:$N$3003,'首页'!$B$4*100+J$4)-SUMIFS('[1]资金台帐'!$G$4:$G$3003,'[1]资金台帐'!$E$4:$E$3003,$A33,'[1]资金台帐'!$N$4:$N$3003,'首页'!$B$4*100+J$4))</f>
        <v>0</v>
      </c>
      <c r="K33" s="11">
        <f>IF($A33="",0,SUMIFS('[1]资金台帐'!$H$4:$H$3003,'[1]资金台帐'!$E$4:$E$3003,$A33,'[1]资金台帐'!$N$4:$N$3003,'首页'!$B$4*100+K$4)-SUMIFS('[1]资金台帐'!$G$4:$G$3003,'[1]资金台帐'!$E$4:$E$3003,$A33,'[1]资金台帐'!$N$4:$N$3003,'首页'!$B$4*100+K$4))</f>
        <v>0</v>
      </c>
      <c r="L33" s="11">
        <f>IF($A33="",0,SUMIFS('[1]资金台帐'!$H$4:$H$3003,'[1]资金台帐'!$E$4:$E$3003,$A33,'[1]资金台帐'!$N$4:$N$3003,'首页'!$B$4*100+L$4)-SUMIFS('[1]资金台帐'!$G$4:$G$3003,'[1]资金台帐'!$E$4:$E$3003,$A33,'[1]资金台帐'!$N$4:$N$3003,'首页'!$B$4*100+L$4))</f>
        <v>0</v>
      </c>
      <c r="M33" s="11">
        <f>IF($A33="",0,SUMIFS('[1]资金台帐'!$H$4:$H$3003,'[1]资金台帐'!$E$4:$E$3003,$A33,'[1]资金台帐'!$N$4:$N$3003,'首页'!$B$4*100+M$4)-SUMIFS('[1]资金台帐'!$G$4:$G$3003,'[1]资金台帐'!$E$4:$E$3003,$A33,'[1]资金台帐'!$N$4:$N$3003,'首页'!$B$4*100+M$4))</f>
        <v>0</v>
      </c>
      <c r="N33" s="11">
        <f t="shared" si="0"/>
        <v>0</v>
      </c>
    </row>
    <row r="34">
      <c r="A34" s="6">
        <f>IF('[1]基础资料'!$G$34="","",'[1]基础资料'!$G$34)</f>
      </c>
      <c r="B34" s="11">
        <f>IF($A34="",0,SUMIFS('[1]资金台帐'!$H$4:$H$3003,'[1]资金台帐'!$E$4:$E$3003,$A34,'[1]资金台帐'!$N$4:$N$3003,'首页'!$B$4*100+B$4)-SUMIFS('[1]资金台帐'!$G$4:$G$3003,'[1]资金台帐'!$E$4:$E$3003,$A34,'[1]资金台帐'!$N$4:$N$3003,'首页'!$B$4*100+B$4))</f>
        <v>0</v>
      </c>
      <c r="C34" s="11">
        <f>IF($A34="",0,SUMIFS('[1]资金台帐'!$H$4:$H$3003,'[1]资金台帐'!$E$4:$E$3003,$A34,'[1]资金台帐'!$N$4:$N$3003,'首页'!$B$4*100+C$4)-SUMIFS('[1]资金台帐'!$G$4:$G$3003,'[1]资金台帐'!$E$4:$E$3003,$A34,'[1]资金台帐'!$N$4:$N$3003,'首页'!$B$4*100+C$4))</f>
        <v>0</v>
      </c>
      <c r="D34" s="11">
        <f>IF($A34="",0,SUMIFS('[1]资金台帐'!$H$4:$H$3003,'[1]资金台帐'!$E$4:$E$3003,$A34,'[1]资金台帐'!$N$4:$N$3003,'首页'!$B$4*100+D$4)-SUMIFS('[1]资金台帐'!$G$4:$G$3003,'[1]资金台帐'!$E$4:$E$3003,$A34,'[1]资金台帐'!$N$4:$N$3003,'首页'!$B$4*100+D$4))</f>
        <v>0</v>
      </c>
      <c r="E34" s="11">
        <f>IF($A34="",0,SUMIFS('[1]资金台帐'!$H$4:$H$3003,'[1]资金台帐'!$E$4:$E$3003,$A34,'[1]资金台帐'!$N$4:$N$3003,'首页'!$B$4*100+E$4)-SUMIFS('[1]资金台帐'!$G$4:$G$3003,'[1]资金台帐'!$E$4:$E$3003,$A34,'[1]资金台帐'!$N$4:$N$3003,'首页'!$B$4*100+E$4))</f>
        <v>0</v>
      </c>
      <c r="F34" s="11">
        <f>IF($A34="",0,SUMIFS('[1]资金台帐'!$H$4:$H$3003,'[1]资金台帐'!$E$4:$E$3003,$A34,'[1]资金台帐'!$N$4:$N$3003,'首页'!$B$4*100+F$4)-SUMIFS('[1]资金台帐'!$G$4:$G$3003,'[1]资金台帐'!$E$4:$E$3003,$A34,'[1]资金台帐'!$N$4:$N$3003,'首页'!$B$4*100+F$4))</f>
        <v>0</v>
      </c>
      <c r="G34" s="11">
        <f>IF($A34="",0,SUMIFS('[1]资金台帐'!$H$4:$H$3003,'[1]资金台帐'!$E$4:$E$3003,$A34,'[1]资金台帐'!$N$4:$N$3003,'首页'!$B$4*100+G$4)-SUMIFS('[1]资金台帐'!$G$4:$G$3003,'[1]资金台帐'!$E$4:$E$3003,$A34,'[1]资金台帐'!$N$4:$N$3003,'首页'!$B$4*100+G$4))</f>
        <v>0</v>
      </c>
      <c r="H34" s="11">
        <f>IF($A34="",0,SUMIFS('[1]资金台帐'!$H$4:$H$3003,'[1]资金台帐'!$E$4:$E$3003,$A34,'[1]资金台帐'!$N$4:$N$3003,'首页'!$B$4*100+H$4)-SUMIFS('[1]资金台帐'!$G$4:$G$3003,'[1]资金台帐'!$E$4:$E$3003,$A34,'[1]资金台帐'!$N$4:$N$3003,'首页'!$B$4*100+H$4))</f>
        <v>0</v>
      </c>
      <c r="I34" s="11">
        <f>IF($A34="",0,SUMIFS('[1]资金台帐'!$H$4:$H$3003,'[1]资金台帐'!$E$4:$E$3003,$A34,'[1]资金台帐'!$N$4:$N$3003,'首页'!$B$4*100+I$4)-SUMIFS('[1]资金台帐'!$G$4:$G$3003,'[1]资金台帐'!$E$4:$E$3003,$A34,'[1]资金台帐'!$N$4:$N$3003,'首页'!$B$4*100+I$4))</f>
        <v>0</v>
      </c>
      <c r="J34" s="11">
        <f>IF($A34="",0,SUMIFS('[1]资金台帐'!$H$4:$H$3003,'[1]资金台帐'!$E$4:$E$3003,$A34,'[1]资金台帐'!$N$4:$N$3003,'首页'!$B$4*100+J$4)-SUMIFS('[1]资金台帐'!$G$4:$G$3003,'[1]资金台帐'!$E$4:$E$3003,$A34,'[1]资金台帐'!$N$4:$N$3003,'首页'!$B$4*100+J$4))</f>
        <v>0</v>
      </c>
      <c r="K34" s="11">
        <f>IF($A34="",0,SUMIFS('[1]资金台帐'!$H$4:$H$3003,'[1]资金台帐'!$E$4:$E$3003,$A34,'[1]资金台帐'!$N$4:$N$3003,'首页'!$B$4*100+K$4)-SUMIFS('[1]资金台帐'!$G$4:$G$3003,'[1]资金台帐'!$E$4:$E$3003,$A34,'[1]资金台帐'!$N$4:$N$3003,'首页'!$B$4*100+K$4))</f>
        <v>0</v>
      </c>
      <c r="L34" s="11">
        <f>IF($A34="",0,SUMIFS('[1]资金台帐'!$H$4:$H$3003,'[1]资金台帐'!$E$4:$E$3003,$A34,'[1]资金台帐'!$N$4:$N$3003,'首页'!$B$4*100+L$4)-SUMIFS('[1]资金台帐'!$G$4:$G$3003,'[1]资金台帐'!$E$4:$E$3003,$A34,'[1]资金台帐'!$N$4:$N$3003,'首页'!$B$4*100+L$4))</f>
        <v>0</v>
      </c>
      <c r="M34" s="11">
        <f>IF($A34="",0,SUMIFS('[1]资金台帐'!$H$4:$H$3003,'[1]资金台帐'!$E$4:$E$3003,$A34,'[1]资金台帐'!$N$4:$N$3003,'首页'!$B$4*100+M$4)-SUMIFS('[1]资金台帐'!$G$4:$G$3003,'[1]资金台帐'!$E$4:$E$3003,$A34,'[1]资金台帐'!$N$4:$N$3003,'首页'!$B$4*100+M$4))</f>
        <v>0</v>
      </c>
      <c r="N34" s="11">
        <f t="shared" si="0"/>
        <v>0</v>
      </c>
    </row>
    <row r="35">
      <c r="A35" s="6">
        <f>IF('[1]基础资料'!$G$35="","",'[1]基础资料'!$G$35)</f>
      </c>
      <c r="B35" s="11">
        <f>IF($A35="",0,SUMIFS('[1]资金台帐'!$H$4:$H$3003,'[1]资金台帐'!$E$4:$E$3003,$A35,'[1]资金台帐'!$N$4:$N$3003,'首页'!$B$4*100+B$4)-SUMIFS('[1]资金台帐'!$G$4:$G$3003,'[1]资金台帐'!$E$4:$E$3003,$A35,'[1]资金台帐'!$N$4:$N$3003,'首页'!$B$4*100+B$4))</f>
        <v>0</v>
      </c>
      <c r="C35" s="11">
        <f>IF($A35="",0,SUMIFS('[1]资金台帐'!$H$4:$H$3003,'[1]资金台帐'!$E$4:$E$3003,$A35,'[1]资金台帐'!$N$4:$N$3003,'首页'!$B$4*100+C$4)-SUMIFS('[1]资金台帐'!$G$4:$G$3003,'[1]资金台帐'!$E$4:$E$3003,$A35,'[1]资金台帐'!$N$4:$N$3003,'首页'!$B$4*100+C$4))</f>
        <v>0</v>
      </c>
      <c r="D35" s="11">
        <f>IF($A35="",0,SUMIFS('[1]资金台帐'!$H$4:$H$3003,'[1]资金台帐'!$E$4:$E$3003,$A35,'[1]资金台帐'!$N$4:$N$3003,'首页'!$B$4*100+D$4)-SUMIFS('[1]资金台帐'!$G$4:$G$3003,'[1]资金台帐'!$E$4:$E$3003,$A35,'[1]资金台帐'!$N$4:$N$3003,'首页'!$B$4*100+D$4))</f>
        <v>0</v>
      </c>
      <c r="E35" s="11">
        <f>IF($A35="",0,SUMIFS('[1]资金台帐'!$H$4:$H$3003,'[1]资金台帐'!$E$4:$E$3003,$A35,'[1]资金台帐'!$N$4:$N$3003,'首页'!$B$4*100+E$4)-SUMIFS('[1]资金台帐'!$G$4:$G$3003,'[1]资金台帐'!$E$4:$E$3003,$A35,'[1]资金台帐'!$N$4:$N$3003,'首页'!$B$4*100+E$4))</f>
        <v>0</v>
      </c>
      <c r="F35" s="11">
        <f>IF($A35="",0,SUMIFS('[1]资金台帐'!$H$4:$H$3003,'[1]资金台帐'!$E$4:$E$3003,$A35,'[1]资金台帐'!$N$4:$N$3003,'首页'!$B$4*100+F$4)-SUMIFS('[1]资金台帐'!$G$4:$G$3003,'[1]资金台帐'!$E$4:$E$3003,$A35,'[1]资金台帐'!$N$4:$N$3003,'首页'!$B$4*100+F$4))</f>
        <v>0</v>
      </c>
      <c r="G35" s="11">
        <f>IF($A35="",0,SUMIFS('[1]资金台帐'!$H$4:$H$3003,'[1]资金台帐'!$E$4:$E$3003,$A35,'[1]资金台帐'!$N$4:$N$3003,'首页'!$B$4*100+G$4)-SUMIFS('[1]资金台帐'!$G$4:$G$3003,'[1]资金台帐'!$E$4:$E$3003,$A35,'[1]资金台帐'!$N$4:$N$3003,'首页'!$B$4*100+G$4))</f>
        <v>0</v>
      </c>
      <c r="H35" s="11">
        <f>IF($A35="",0,SUMIFS('[1]资金台帐'!$H$4:$H$3003,'[1]资金台帐'!$E$4:$E$3003,$A35,'[1]资金台帐'!$N$4:$N$3003,'首页'!$B$4*100+H$4)-SUMIFS('[1]资金台帐'!$G$4:$G$3003,'[1]资金台帐'!$E$4:$E$3003,$A35,'[1]资金台帐'!$N$4:$N$3003,'首页'!$B$4*100+H$4))</f>
        <v>0</v>
      </c>
      <c r="I35" s="11">
        <f>IF($A35="",0,SUMIFS('[1]资金台帐'!$H$4:$H$3003,'[1]资金台帐'!$E$4:$E$3003,$A35,'[1]资金台帐'!$N$4:$N$3003,'首页'!$B$4*100+I$4)-SUMIFS('[1]资金台帐'!$G$4:$G$3003,'[1]资金台帐'!$E$4:$E$3003,$A35,'[1]资金台帐'!$N$4:$N$3003,'首页'!$B$4*100+I$4))</f>
        <v>0</v>
      </c>
      <c r="J35" s="11">
        <f>IF($A35="",0,SUMIFS('[1]资金台帐'!$H$4:$H$3003,'[1]资金台帐'!$E$4:$E$3003,$A35,'[1]资金台帐'!$N$4:$N$3003,'首页'!$B$4*100+J$4)-SUMIFS('[1]资金台帐'!$G$4:$G$3003,'[1]资金台帐'!$E$4:$E$3003,$A35,'[1]资金台帐'!$N$4:$N$3003,'首页'!$B$4*100+J$4))</f>
        <v>0</v>
      </c>
      <c r="K35" s="11">
        <f>IF($A35="",0,SUMIFS('[1]资金台帐'!$H$4:$H$3003,'[1]资金台帐'!$E$4:$E$3003,$A35,'[1]资金台帐'!$N$4:$N$3003,'首页'!$B$4*100+K$4)-SUMIFS('[1]资金台帐'!$G$4:$G$3003,'[1]资金台帐'!$E$4:$E$3003,$A35,'[1]资金台帐'!$N$4:$N$3003,'首页'!$B$4*100+K$4))</f>
        <v>0</v>
      </c>
      <c r="L35" s="11">
        <f>IF($A35="",0,SUMIFS('[1]资金台帐'!$H$4:$H$3003,'[1]资金台帐'!$E$4:$E$3003,$A35,'[1]资金台帐'!$N$4:$N$3003,'首页'!$B$4*100+L$4)-SUMIFS('[1]资金台帐'!$G$4:$G$3003,'[1]资金台帐'!$E$4:$E$3003,$A35,'[1]资金台帐'!$N$4:$N$3003,'首页'!$B$4*100+L$4))</f>
        <v>0</v>
      </c>
      <c r="M35" s="11">
        <f>IF($A35="",0,SUMIFS('[1]资金台帐'!$H$4:$H$3003,'[1]资金台帐'!$E$4:$E$3003,$A35,'[1]资金台帐'!$N$4:$N$3003,'首页'!$B$4*100+M$4)-SUMIFS('[1]资金台帐'!$G$4:$G$3003,'[1]资金台帐'!$E$4:$E$3003,$A35,'[1]资金台帐'!$N$4:$N$3003,'首页'!$B$4*100+M$4))</f>
        <v>0</v>
      </c>
      <c r="N35" s="11">
        <f t="shared" si="0"/>
        <v>0</v>
      </c>
    </row>
    <row r="36">
      <c r="A36" s="6">
        <f>IF('[1]基础资料'!$G$36="","",'[1]基础资料'!$G$36)</f>
      </c>
      <c r="B36" s="11">
        <f>IF($A36="",0,SUMIFS('[1]资金台帐'!$H$4:$H$3003,'[1]资金台帐'!$E$4:$E$3003,$A36,'[1]资金台帐'!$N$4:$N$3003,'首页'!$B$4*100+B$4)-SUMIFS('[1]资金台帐'!$G$4:$G$3003,'[1]资金台帐'!$E$4:$E$3003,$A36,'[1]资金台帐'!$N$4:$N$3003,'首页'!$B$4*100+B$4))</f>
        <v>0</v>
      </c>
      <c r="C36" s="11">
        <f>IF($A36="",0,SUMIFS('[1]资金台帐'!$H$4:$H$3003,'[1]资金台帐'!$E$4:$E$3003,$A36,'[1]资金台帐'!$N$4:$N$3003,'首页'!$B$4*100+C$4)-SUMIFS('[1]资金台帐'!$G$4:$G$3003,'[1]资金台帐'!$E$4:$E$3003,$A36,'[1]资金台帐'!$N$4:$N$3003,'首页'!$B$4*100+C$4))</f>
        <v>0</v>
      </c>
      <c r="D36" s="11">
        <f>IF($A36="",0,SUMIFS('[1]资金台帐'!$H$4:$H$3003,'[1]资金台帐'!$E$4:$E$3003,$A36,'[1]资金台帐'!$N$4:$N$3003,'首页'!$B$4*100+D$4)-SUMIFS('[1]资金台帐'!$G$4:$G$3003,'[1]资金台帐'!$E$4:$E$3003,$A36,'[1]资金台帐'!$N$4:$N$3003,'首页'!$B$4*100+D$4))</f>
        <v>0</v>
      </c>
      <c r="E36" s="11">
        <f>IF($A36="",0,SUMIFS('[1]资金台帐'!$H$4:$H$3003,'[1]资金台帐'!$E$4:$E$3003,$A36,'[1]资金台帐'!$N$4:$N$3003,'首页'!$B$4*100+E$4)-SUMIFS('[1]资金台帐'!$G$4:$G$3003,'[1]资金台帐'!$E$4:$E$3003,$A36,'[1]资金台帐'!$N$4:$N$3003,'首页'!$B$4*100+E$4))</f>
        <v>0</v>
      </c>
      <c r="F36" s="11">
        <f>IF($A36="",0,SUMIFS('[1]资金台帐'!$H$4:$H$3003,'[1]资金台帐'!$E$4:$E$3003,$A36,'[1]资金台帐'!$N$4:$N$3003,'首页'!$B$4*100+F$4)-SUMIFS('[1]资金台帐'!$G$4:$G$3003,'[1]资金台帐'!$E$4:$E$3003,$A36,'[1]资金台帐'!$N$4:$N$3003,'首页'!$B$4*100+F$4))</f>
        <v>0</v>
      </c>
      <c r="G36" s="11">
        <f>IF($A36="",0,SUMIFS('[1]资金台帐'!$H$4:$H$3003,'[1]资金台帐'!$E$4:$E$3003,$A36,'[1]资金台帐'!$N$4:$N$3003,'首页'!$B$4*100+G$4)-SUMIFS('[1]资金台帐'!$G$4:$G$3003,'[1]资金台帐'!$E$4:$E$3003,$A36,'[1]资金台帐'!$N$4:$N$3003,'首页'!$B$4*100+G$4))</f>
        <v>0</v>
      </c>
      <c r="H36" s="11">
        <f>IF($A36="",0,SUMIFS('[1]资金台帐'!$H$4:$H$3003,'[1]资金台帐'!$E$4:$E$3003,$A36,'[1]资金台帐'!$N$4:$N$3003,'首页'!$B$4*100+H$4)-SUMIFS('[1]资金台帐'!$G$4:$G$3003,'[1]资金台帐'!$E$4:$E$3003,$A36,'[1]资金台帐'!$N$4:$N$3003,'首页'!$B$4*100+H$4))</f>
        <v>0</v>
      </c>
      <c r="I36" s="11">
        <f>IF($A36="",0,SUMIFS('[1]资金台帐'!$H$4:$H$3003,'[1]资金台帐'!$E$4:$E$3003,$A36,'[1]资金台帐'!$N$4:$N$3003,'首页'!$B$4*100+I$4)-SUMIFS('[1]资金台帐'!$G$4:$G$3003,'[1]资金台帐'!$E$4:$E$3003,$A36,'[1]资金台帐'!$N$4:$N$3003,'首页'!$B$4*100+I$4))</f>
        <v>0</v>
      </c>
      <c r="J36" s="11">
        <f>IF($A36="",0,SUMIFS('[1]资金台帐'!$H$4:$H$3003,'[1]资金台帐'!$E$4:$E$3003,$A36,'[1]资金台帐'!$N$4:$N$3003,'首页'!$B$4*100+J$4)-SUMIFS('[1]资金台帐'!$G$4:$G$3003,'[1]资金台帐'!$E$4:$E$3003,$A36,'[1]资金台帐'!$N$4:$N$3003,'首页'!$B$4*100+J$4))</f>
        <v>0</v>
      </c>
      <c r="K36" s="11">
        <f>IF($A36="",0,SUMIFS('[1]资金台帐'!$H$4:$H$3003,'[1]资金台帐'!$E$4:$E$3003,$A36,'[1]资金台帐'!$N$4:$N$3003,'首页'!$B$4*100+K$4)-SUMIFS('[1]资金台帐'!$G$4:$G$3003,'[1]资金台帐'!$E$4:$E$3003,$A36,'[1]资金台帐'!$N$4:$N$3003,'首页'!$B$4*100+K$4))</f>
        <v>0</v>
      </c>
      <c r="L36" s="11">
        <f>IF($A36="",0,SUMIFS('[1]资金台帐'!$H$4:$H$3003,'[1]资金台帐'!$E$4:$E$3003,$A36,'[1]资金台帐'!$N$4:$N$3003,'首页'!$B$4*100+L$4)-SUMIFS('[1]资金台帐'!$G$4:$G$3003,'[1]资金台帐'!$E$4:$E$3003,$A36,'[1]资金台帐'!$N$4:$N$3003,'首页'!$B$4*100+L$4))</f>
        <v>0</v>
      </c>
      <c r="M36" s="11">
        <f>IF($A36="",0,SUMIFS('[1]资金台帐'!$H$4:$H$3003,'[1]资金台帐'!$E$4:$E$3003,$A36,'[1]资金台帐'!$N$4:$N$3003,'首页'!$B$4*100+M$4)-SUMIFS('[1]资金台帐'!$G$4:$G$3003,'[1]资金台帐'!$E$4:$E$3003,$A36,'[1]资金台帐'!$N$4:$N$3003,'首页'!$B$4*100+M$4))</f>
        <v>0</v>
      </c>
      <c r="N36" s="11">
        <f t="shared" si="0"/>
        <v>0</v>
      </c>
    </row>
    <row r="37">
      <c r="A37" s="6">
        <f>IF('[1]基础资料'!$G$37="","",'[1]基础资料'!$G$37)</f>
      </c>
      <c r="B37" s="11">
        <f>IF($A37="",0,SUMIFS('[1]资金台帐'!$H$4:$H$3003,'[1]资金台帐'!$E$4:$E$3003,$A37,'[1]资金台帐'!$N$4:$N$3003,'首页'!$B$4*100+B$4)-SUMIFS('[1]资金台帐'!$G$4:$G$3003,'[1]资金台帐'!$E$4:$E$3003,$A37,'[1]资金台帐'!$N$4:$N$3003,'首页'!$B$4*100+B$4))</f>
        <v>0</v>
      </c>
      <c r="C37" s="11">
        <f>IF($A37="",0,SUMIFS('[1]资金台帐'!$H$4:$H$3003,'[1]资金台帐'!$E$4:$E$3003,$A37,'[1]资金台帐'!$N$4:$N$3003,'首页'!$B$4*100+C$4)-SUMIFS('[1]资金台帐'!$G$4:$G$3003,'[1]资金台帐'!$E$4:$E$3003,$A37,'[1]资金台帐'!$N$4:$N$3003,'首页'!$B$4*100+C$4))</f>
        <v>0</v>
      </c>
      <c r="D37" s="11">
        <f>IF($A37="",0,SUMIFS('[1]资金台帐'!$H$4:$H$3003,'[1]资金台帐'!$E$4:$E$3003,$A37,'[1]资金台帐'!$N$4:$N$3003,'首页'!$B$4*100+D$4)-SUMIFS('[1]资金台帐'!$G$4:$G$3003,'[1]资金台帐'!$E$4:$E$3003,$A37,'[1]资金台帐'!$N$4:$N$3003,'首页'!$B$4*100+D$4))</f>
        <v>0</v>
      </c>
      <c r="E37" s="11">
        <f>IF($A37="",0,SUMIFS('[1]资金台帐'!$H$4:$H$3003,'[1]资金台帐'!$E$4:$E$3003,$A37,'[1]资金台帐'!$N$4:$N$3003,'首页'!$B$4*100+E$4)-SUMIFS('[1]资金台帐'!$G$4:$G$3003,'[1]资金台帐'!$E$4:$E$3003,$A37,'[1]资金台帐'!$N$4:$N$3003,'首页'!$B$4*100+E$4))</f>
        <v>0</v>
      </c>
      <c r="F37" s="11">
        <f>IF($A37="",0,SUMIFS('[1]资金台帐'!$H$4:$H$3003,'[1]资金台帐'!$E$4:$E$3003,$A37,'[1]资金台帐'!$N$4:$N$3003,'首页'!$B$4*100+F$4)-SUMIFS('[1]资金台帐'!$G$4:$G$3003,'[1]资金台帐'!$E$4:$E$3003,$A37,'[1]资金台帐'!$N$4:$N$3003,'首页'!$B$4*100+F$4))</f>
        <v>0</v>
      </c>
      <c r="G37" s="11">
        <f>IF($A37="",0,SUMIFS('[1]资金台帐'!$H$4:$H$3003,'[1]资金台帐'!$E$4:$E$3003,$A37,'[1]资金台帐'!$N$4:$N$3003,'首页'!$B$4*100+G$4)-SUMIFS('[1]资金台帐'!$G$4:$G$3003,'[1]资金台帐'!$E$4:$E$3003,$A37,'[1]资金台帐'!$N$4:$N$3003,'首页'!$B$4*100+G$4))</f>
        <v>0</v>
      </c>
      <c r="H37" s="11">
        <f>IF($A37="",0,SUMIFS('[1]资金台帐'!$H$4:$H$3003,'[1]资金台帐'!$E$4:$E$3003,$A37,'[1]资金台帐'!$N$4:$N$3003,'首页'!$B$4*100+H$4)-SUMIFS('[1]资金台帐'!$G$4:$G$3003,'[1]资金台帐'!$E$4:$E$3003,$A37,'[1]资金台帐'!$N$4:$N$3003,'首页'!$B$4*100+H$4))</f>
        <v>0</v>
      </c>
      <c r="I37" s="11">
        <f>IF($A37="",0,SUMIFS('[1]资金台帐'!$H$4:$H$3003,'[1]资金台帐'!$E$4:$E$3003,$A37,'[1]资金台帐'!$N$4:$N$3003,'首页'!$B$4*100+I$4)-SUMIFS('[1]资金台帐'!$G$4:$G$3003,'[1]资金台帐'!$E$4:$E$3003,$A37,'[1]资金台帐'!$N$4:$N$3003,'首页'!$B$4*100+I$4))</f>
        <v>0</v>
      </c>
      <c r="J37" s="11">
        <f>IF($A37="",0,SUMIFS('[1]资金台帐'!$H$4:$H$3003,'[1]资金台帐'!$E$4:$E$3003,$A37,'[1]资金台帐'!$N$4:$N$3003,'首页'!$B$4*100+J$4)-SUMIFS('[1]资金台帐'!$G$4:$G$3003,'[1]资金台帐'!$E$4:$E$3003,$A37,'[1]资金台帐'!$N$4:$N$3003,'首页'!$B$4*100+J$4))</f>
        <v>0</v>
      </c>
      <c r="K37" s="11">
        <f>IF($A37="",0,SUMIFS('[1]资金台帐'!$H$4:$H$3003,'[1]资金台帐'!$E$4:$E$3003,$A37,'[1]资金台帐'!$N$4:$N$3003,'首页'!$B$4*100+K$4)-SUMIFS('[1]资金台帐'!$G$4:$G$3003,'[1]资金台帐'!$E$4:$E$3003,$A37,'[1]资金台帐'!$N$4:$N$3003,'首页'!$B$4*100+K$4))</f>
        <v>0</v>
      </c>
      <c r="L37" s="11">
        <f>IF($A37="",0,SUMIFS('[1]资金台帐'!$H$4:$H$3003,'[1]资金台帐'!$E$4:$E$3003,$A37,'[1]资金台帐'!$N$4:$N$3003,'首页'!$B$4*100+L$4)-SUMIFS('[1]资金台帐'!$G$4:$G$3003,'[1]资金台帐'!$E$4:$E$3003,$A37,'[1]资金台帐'!$N$4:$N$3003,'首页'!$B$4*100+L$4))</f>
        <v>0</v>
      </c>
      <c r="M37" s="11">
        <f>IF($A37="",0,SUMIFS('[1]资金台帐'!$H$4:$H$3003,'[1]资金台帐'!$E$4:$E$3003,$A37,'[1]资金台帐'!$N$4:$N$3003,'首页'!$B$4*100+M$4)-SUMIFS('[1]资金台帐'!$G$4:$G$3003,'[1]资金台帐'!$E$4:$E$3003,$A37,'[1]资金台帐'!$N$4:$N$3003,'首页'!$B$4*100+M$4))</f>
        <v>0</v>
      </c>
      <c r="N37" s="11">
        <f t="shared" si="0"/>
        <v>0</v>
      </c>
    </row>
    <row r="38">
      <c r="A38" s="6">
        <f>IF('[1]基础资料'!$G$38="","",'[1]基础资料'!$G$38)</f>
      </c>
      <c r="B38" s="11">
        <f>IF($A38="",0,SUMIFS('[1]资金台帐'!$H$4:$H$3003,'[1]资金台帐'!$E$4:$E$3003,$A38,'[1]资金台帐'!$N$4:$N$3003,'首页'!$B$4*100+B$4)-SUMIFS('[1]资金台帐'!$G$4:$G$3003,'[1]资金台帐'!$E$4:$E$3003,$A38,'[1]资金台帐'!$N$4:$N$3003,'首页'!$B$4*100+B$4))</f>
        <v>0</v>
      </c>
      <c r="C38" s="11">
        <f>IF($A38="",0,SUMIFS('[1]资金台帐'!$H$4:$H$3003,'[1]资金台帐'!$E$4:$E$3003,$A38,'[1]资金台帐'!$N$4:$N$3003,'首页'!$B$4*100+C$4)-SUMIFS('[1]资金台帐'!$G$4:$G$3003,'[1]资金台帐'!$E$4:$E$3003,$A38,'[1]资金台帐'!$N$4:$N$3003,'首页'!$B$4*100+C$4))</f>
        <v>0</v>
      </c>
      <c r="D38" s="11">
        <f>IF($A38="",0,SUMIFS('[1]资金台帐'!$H$4:$H$3003,'[1]资金台帐'!$E$4:$E$3003,$A38,'[1]资金台帐'!$N$4:$N$3003,'首页'!$B$4*100+D$4)-SUMIFS('[1]资金台帐'!$G$4:$G$3003,'[1]资金台帐'!$E$4:$E$3003,$A38,'[1]资金台帐'!$N$4:$N$3003,'首页'!$B$4*100+D$4))</f>
        <v>0</v>
      </c>
      <c r="E38" s="11">
        <f>IF($A38="",0,SUMIFS('[1]资金台帐'!$H$4:$H$3003,'[1]资金台帐'!$E$4:$E$3003,$A38,'[1]资金台帐'!$N$4:$N$3003,'首页'!$B$4*100+E$4)-SUMIFS('[1]资金台帐'!$G$4:$G$3003,'[1]资金台帐'!$E$4:$E$3003,$A38,'[1]资金台帐'!$N$4:$N$3003,'首页'!$B$4*100+E$4))</f>
        <v>0</v>
      </c>
      <c r="F38" s="11">
        <f>IF($A38="",0,SUMIFS('[1]资金台帐'!$H$4:$H$3003,'[1]资金台帐'!$E$4:$E$3003,$A38,'[1]资金台帐'!$N$4:$N$3003,'首页'!$B$4*100+F$4)-SUMIFS('[1]资金台帐'!$G$4:$G$3003,'[1]资金台帐'!$E$4:$E$3003,$A38,'[1]资金台帐'!$N$4:$N$3003,'首页'!$B$4*100+F$4))</f>
        <v>0</v>
      </c>
      <c r="G38" s="11">
        <f>IF($A38="",0,SUMIFS('[1]资金台帐'!$H$4:$H$3003,'[1]资金台帐'!$E$4:$E$3003,$A38,'[1]资金台帐'!$N$4:$N$3003,'首页'!$B$4*100+G$4)-SUMIFS('[1]资金台帐'!$G$4:$G$3003,'[1]资金台帐'!$E$4:$E$3003,$A38,'[1]资金台帐'!$N$4:$N$3003,'首页'!$B$4*100+G$4))</f>
        <v>0</v>
      </c>
      <c r="H38" s="11">
        <f>IF($A38="",0,SUMIFS('[1]资金台帐'!$H$4:$H$3003,'[1]资金台帐'!$E$4:$E$3003,$A38,'[1]资金台帐'!$N$4:$N$3003,'首页'!$B$4*100+H$4)-SUMIFS('[1]资金台帐'!$G$4:$G$3003,'[1]资金台帐'!$E$4:$E$3003,$A38,'[1]资金台帐'!$N$4:$N$3003,'首页'!$B$4*100+H$4))</f>
        <v>0</v>
      </c>
      <c r="I38" s="11">
        <f>IF($A38="",0,SUMIFS('[1]资金台帐'!$H$4:$H$3003,'[1]资金台帐'!$E$4:$E$3003,$A38,'[1]资金台帐'!$N$4:$N$3003,'首页'!$B$4*100+I$4)-SUMIFS('[1]资金台帐'!$G$4:$G$3003,'[1]资金台帐'!$E$4:$E$3003,$A38,'[1]资金台帐'!$N$4:$N$3003,'首页'!$B$4*100+I$4))</f>
        <v>0</v>
      </c>
      <c r="J38" s="11">
        <f>IF($A38="",0,SUMIFS('[1]资金台帐'!$H$4:$H$3003,'[1]资金台帐'!$E$4:$E$3003,$A38,'[1]资金台帐'!$N$4:$N$3003,'首页'!$B$4*100+J$4)-SUMIFS('[1]资金台帐'!$G$4:$G$3003,'[1]资金台帐'!$E$4:$E$3003,$A38,'[1]资金台帐'!$N$4:$N$3003,'首页'!$B$4*100+J$4))</f>
        <v>0</v>
      </c>
      <c r="K38" s="11">
        <f>IF($A38="",0,SUMIFS('[1]资金台帐'!$H$4:$H$3003,'[1]资金台帐'!$E$4:$E$3003,$A38,'[1]资金台帐'!$N$4:$N$3003,'首页'!$B$4*100+K$4)-SUMIFS('[1]资金台帐'!$G$4:$G$3003,'[1]资金台帐'!$E$4:$E$3003,$A38,'[1]资金台帐'!$N$4:$N$3003,'首页'!$B$4*100+K$4))</f>
        <v>0</v>
      </c>
      <c r="L38" s="11">
        <f>IF($A38="",0,SUMIFS('[1]资金台帐'!$H$4:$H$3003,'[1]资金台帐'!$E$4:$E$3003,$A38,'[1]资金台帐'!$N$4:$N$3003,'首页'!$B$4*100+L$4)-SUMIFS('[1]资金台帐'!$G$4:$G$3003,'[1]资金台帐'!$E$4:$E$3003,$A38,'[1]资金台帐'!$N$4:$N$3003,'首页'!$B$4*100+L$4))</f>
        <v>0</v>
      </c>
      <c r="M38" s="11">
        <f>IF($A38="",0,SUMIFS('[1]资金台帐'!$H$4:$H$3003,'[1]资金台帐'!$E$4:$E$3003,$A38,'[1]资金台帐'!$N$4:$N$3003,'首页'!$B$4*100+M$4)-SUMIFS('[1]资金台帐'!$G$4:$G$3003,'[1]资金台帐'!$E$4:$E$3003,$A38,'[1]资金台帐'!$N$4:$N$3003,'首页'!$B$4*100+M$4))</f>
        <v>0</v>
      </c>
      <c r="N38" s="11">
        <f t="shared" si="0"/>
        <v>0</v>
      </c>
    </row>
    <row r="39">
      <c r="A39" s="6">
        <f>IF('[1]基础资料'!$G$39="","",'[1]基础资料'!$G$39)</f>
      </c>
      <c r="B39" s="11">
        <f>IF($A39="",0,SUMIFS('[1]资金台帐'!$H$4:$H$3003,'[1]资金台帐'!$E$4:$E$3003,$A39,'[1]资金台帐'!$N$4:$N$3003,'首页'!$B$4*100+B$4)-SUMIFS('[1]资金台帐'!$G$4:$G$3003,'[1]资金台帐'!$E$4:$E$3003,$A39,'[1]资金台帐'!$N$4:$N$3003,'首页'!$B$4*100+B$4))</f>
        <v>0</v>
      </c>
      <c r="C39" s="11">
        <f>IF($A39="",0,SUMIFS('[1]资金台帐'!$H$4:$H$3003,'[1]资金台帐'!$E$4:$E$3003,$A39,'[1]资金台帐'!$N$4:$N$3003,'首页'!$B$4*100+C$4)-SUMIFS('[1]资金台帐'!$G$4:$G$3003,'[1]资金台帐'!$E$4:$E$3003,$A39,'[1]资金台帐'!$N$4:$N$3003,'首页'!$B$4*100+C$4))</f>
        <v>0</v>
      </c>
      <c r="D39" s="11">
        <f>IF($A39="",0,SUMIFS('[1]资金台帐'!$H$4:$H$3003,'[1]资金台帐'!$E$4:$E$3003,$A39,'[1]资金台帐'!$N$4:$N$3003,'首页'!$B$4*100+D$4)-SUMIFS('[1]资金台帐'!$G$4:$G$3003,'[1]资金台帐'!$E$4:$E$3003,$A39,'[1]资金台帐'!$N$4:$N$3003,'首页'!$B$4*100+D$4))</f>
        <v>0</v>
      </c>
      <c r="E39" s="11">
        <f>IF($A39="",0,SUMIFS('[1]资金台帐'!$H$4:$H$3003,'[1]资金台帐'!$E$4:$E$3003,$A39,'[1]资金台帐'!$N$4:$N$3003,'首页'!$B$4*100+E$4)-SUMIFS('[1]资金台帐'!$G$4:$G$3003,'[1]资金台帐'!$E$4:$E$3003,$A39,'[1]资金台帐'!$N$4:$N$3003,'首页'!$B$4*100+E$4))</f>
        <v>0</v>
      </c>
      <c r="F39" s="11">
        <f>IF($A39="",0,SUMIFS('[1]资金台帐'!$H$4:$H$3003,'[1]资金台帐'!$E$4:$E$3003,$A39,'[1]资金台帐'!$N$4:$N$3003,'首页'!$B$4*100+F$4)-SUMIFS('[1]资金台帐'!$G$4:$G$3003,'[1]资金台帐'!$E$4:$E$3003,$A39,'[1]资金台帐'!$N$4:$N$3003,'首页'!$B$4*100+F$4))</f>
        <v>0</v>
      </c>
      <c r="G39" s="11">
        <f>IF($A39="",0,SUMIFS('[1]资金台帐'!$H$4:$H$3003,'[1]资金台帐'!$E$4:$E$3003,$A39,'[1]资金台帐'!$N$4:$N$3003,'首页'!$B$4*100+G$4)-SUMIFS('[1]资金台帐'!$G$4:$G$3003,'[1]资金台帐'!$E$4:$E$3003,$A39,'[1]资金台帐'!$N$4:$N$3003,'首页'!$B$4*100+G$4))</f>
        <v>0</v>
      </c>
      <c r="H39" s="11">
        <f>IF($A39="",0,SUMIFS('[1]资金台帐'!$H$4:$H$3003,'[1]资金台帐'!$E$4:$E$3003,$A39,'[1]资金台帐'!$N$4:$N$3003,'首页'!$B$4*100+H$4)-SUMIFS('[1]资金台帐'!$G$4:$G$3003,'[1]资金台帐'!$E$4:$E$3003,$A39,'[1]资金台帐'!$N$4:$N$3003,'首页'!$B$4*100+H$4))</f>
        <v>0</v>
      </c>
      <c r="I39" s="11">
        <f>IF($A39="",0,SUMIFS('[1]资金台帐'!$H$4:$H$3003,'[1]资金台帐'!$E$4:$E$3003,$A39,'[1]资金台帐'!$N$4:$N$3003,'首页'!$B$4*100+I$4)-SUMIFS('[1]资金台帐'!$G$4:$G$3003,'[1]资金台帐'!$E$4:$E$3003,$A39,'[1]资金台帐'!$N$4:$N$3003,'首页'!$B$4*100+I$4))</f>
        <v>0</v>
      </c>
      <c r="J39" s="11">
        <f>IF($A39="",0,SUMIFS('[1]资金台帐'!$H$4:$H$3003,'[1]资金台帐'!$E$4:$E$3003,$A39,'[1]资金台帐'!$N$4:$N$3003,'首页'!$B$4*100+J$4)-SUMIFS('[1]资金台帐'!$G$4:$G$3003,'[1]资金台帐'!$E$4:$E$3003,$A39,'[1]资金台帐'!$N$4:$N$3003,'首页'!$B$4*100+J$4))</f>
        <v>0</v>
      </c>
      <c r="K39" s="11">
        <f>IF($A39="",0,SUMIFS('[1]资金台帐'!$H$4:$H$3003,'[1]资金台帐'!$E$4:$E$3003,$A39,'[1]资金台帐'!$N$4:$N$3003,'首页'!$B$4*100+K$4)-SUMIFS('[1]资金台帐'!$G$4:$G$3003,'[1]资金台帐'!$E$4:$E$3003,$A39,'[1]资金台帐'!$N$4:$N$3003,'首页'!$B$4*100+K$4))</f>
        <v>0</v>
      </c>
      <c r="L39" s="11">
        <f>IF($A39="",0,SUMIFS('[1]资金台帐'!$H$4:$H$3003,'[1]资金台帐'!$E$4:$E$3003,$A39,'[1]资金台帐'!$N$4:$N$3003,'首页'!$B$4*100+L$4)-SUMIFS('[1]资金台帐'!$G$4:$G$3003,'[1]资金台帐'!$E$4:$E$3003,$A39,'[1]资金台帐'!$N$4:$N$3003,'首页'!$B$4*100+L$4))</f>
        <v>0</v>
      </c>
      <c r="M39" s="11">
        <f>IF($A39="",0,SUMIFS('[1]资金台帐'!$H$4:$H$3003,'[1]资金台帐'!$E$4:$E$3003,$A39,'[1]资金台帐'!$N$4:$N$3003,'首页'!$B$4*100+M$4)-SUMIFS('[1]资金台帐'!$G$4:$G$3003,'[1]资金台帐'!$E$4:$E$3003,$A39,'[1]资金台帐'!$N$4:$N$3003,'首页'!$B$4*100+M$4))</f>
        <v>0</v>
      </c>
      <c r="N39" s="11">
        <f t="shared" si="0"/>
        <v>0</v>
      </c>
    </row>
    <row r="40">
      <c r="A40" s="6">
        <f>IF('[1]基础资料'!$G$40="","",'[1]基础资料'!$G$40)</f>
      </c>
      <c r="B40" s="11">
        <f>IF($A40="",0,SUMIFS('[1]资金台帐'!$H$4:$H$3003,'[1]资金台帐'!$E$4:$E$3003,$A40,'[1]资金台帐'!$N$4:$N$3003,'首页'!$B$4*100+B$4)-SUMIFS('[1]资金台帐'!$G$4:$G$3003,'[1]资金台帐'!$E$4:$E$3003,$A40,'[1]资金台帐'!$N$4:$N$3003,'首页'!$B$4*100+B$4))</f>
        <v>0</v>
      </c>
      <c r="C40" s="11">
        <f>IF($A40="",0,SUMIFS('[1]资金台帐'!$H$4:$H$3003,'[1]资金台帐'!$E$4:$E$3003,$A40,'[1]资金台帐'!$N$4:$N$3003,'首页'!$B$4*100+C$4)-SUMIFS('[1]资金台帐'!$G$4:$G$3003,'[1]资金台帐'!$E$4:$E$3003,$A40,'[1]资金台帐'!$N$4:$N$3003,'首页'!$B$4*100+C$4))</f>
        <v>0</v>
      </c>
      <c r="D40" s="11">
        <f>IF($A40="",0,SUMIFS('[1]资金台帐'!$H$4:$H$3003,'[1]资金台帐'!$E$4:$E$3003,$A40,'[1]资金台帐'!$N$4:$N$3003,'首页'!$B$4*100+D$4)-SUMIFS('[1]资金台帐'!$G$4:$G$3003,'[1]资金台帐'!$E$4:$E$3003,$A40,'[1]资金台帐'!$N$4:$N$3003,'首页'!$B$4*100+D$4))</f>
        <v>0</v>
      </c>
      <c r="E40" s="11">
        <f>IF($A40="",0,SUMIFS('[1]资金台帐'!$H$4:$H$3003,'[1]资金台帐'!$E$4:$E$3003,$A40,'[1]资金台帐'!$N$4:$N$3003,'首页'!$B$4*100+E$4)-SUMIFS('[1]资金台帐'!$G$4:$G$3003,'[1]资金台帐'!$E$4:$E$3003,$A40,'[1]资金台帐'!$N$4:$N$3003,'首页'!$B$4*100+E$4))</f>
        <v>0</v>
      </c>
      <c r="F40" s="11">
        <f>IF($A40="",0,SUMIFS('[1]资金台帐'!$H$4:$H$3003,'[1]资金台帐'!$E$4:$E$3003,$A40,'[1]资金台帐'!$N$4:$N$3003,'首页'!$B$4*100+F$4)-SUMIFS('[1]资金台帐'!$G$4:$G$3003,'[1]资金台帐'!$E$4:$E$3003,$A40,'[1]资金台帐'!$N$4:$N$3003,'首页'!$B$4*100+F$4))</f>
        <v>0</v>
      </c>
      <c r="G40" s="11">
        <f>IF($A40="",0,SUMIFS('[1]资金台帐'!$H$4:$H$3003,'[1]资金台帐'!$E$4:$E$3003,$A40,'[1]资金台帐'!$N$4:$N$3003,'首页'!$B$4*100+G$4)-SUMIFS('[1]资金台帐'!$G$4:$G$3003,'[1]资金台帐'!$E$4:$E$3003,$A40,'[1]资金台帐'!$N$4:$N$3003,'首页'!$B$4*100+G$4))</f>
        <v>0</v>
      </c>
      <c r="H40" s="11">
        <f>IF($A40="",0,SUMIFS('[1]资金台帐'!$H$4:$H$3003,'[1]资金台帐'!$E$4:$E$3003,$A40,'[1]资金台帐'!$N$4:$N$3003,'首页'!$B$4*100+H$4)-SUMIFS('[1]资金台帐'!$G$4:$G$3003,'[1]资金台帐'!$E$4:$E$3003,$A40,'[1]资金台帐'!$N$4:$N$3003,'首页'!$B$4*100+H$4))</f>
        <v>0</v>
      </c>
      <c r="I40" s="11">
        <f>IF($A40="",0,SUMIFS('[1]资金台帐'!$H$4:$H$3003,'[1]资金台帐'!$E$4:$E$3003,$A40,'[1]资金台帐'!$N$4:$N$3003,'首页'!$B$4*100+I$4)-SUMIFS('[1]资金台帐'!$G$4:$G$3003,'[1]资金台帐'!$E$4:$E$3003,$A40,'[1]资金台帐'!$N$4:$N$3003,'首页'!$B$4*100+I$4))</f>
        <v>0</v>
      </c>
      <c r="J40" s="11">
        <f>IF($A40="",0,SUMIFS('[1]资金台帐'!$H$4:$H$3003,'[1]资金台帐'!$E$4:$E$3003,$A40,'[1]资金台帐'!$N$4:$N$3003,'首页'!$B$4*100+J$4)-SUMIFS('[1]资金台帐'!$G$4:$G$3003,'[1]资金台帐'!$E$4:$E$3003,$A40,'[1]资金台帐'!$N$4:$N$3003,'首页'!$B$4*100+J$4))</f>
        <v>0</v>
      </c>
      <c r="K40" s="11">
        <f>IF($A40="",0,SUMIFS('[1]资金台帐'!$H$4:$H$3003,'[1]资金台帐'!$E$4:$E$3003,$A40,'[1]资金台帐'!$N$4:$N$3003,'首页'!$B$4*100+K$4)-SUMIFS('[1]资金台帐'!$G$4:$G$3003,'[1]资金台帐'!$E$4:$E$3003,$A40,'[1]资金台帐'!$N$4:$N$3003,'首页'!$B$4*100+K$4))</f>
        <v>0</v>
      </c>
      <c r="L40" s="11">
        <f>IF($A40="",0,SUMIFS('[1]资金台帐'!$H$4:$H$3003,'[1]资金台帐'!$E$4:$E$3003,$A40,'[1]资金台帐'!$N$4:$N$3003,'首页'!$B$4*100+L$4)-SUMIFS('[1]资金台帐'!$G$4:$G$3003,'[1]资金台帐'!$E$4:$E$3003,$A40,'[1]资金台帐'!$N$4:$N$3003,'首页'!$B$4*100+L$4))</f>
        <v>0</v>
      </c>
      <c r="M40" s="11">
        <f>IF($A40="",0,SUMIFS('[1]资金台帐'!$H$4:$H$3003,'[1]资金台帐'!$E$4:$E$3003,$A40,'[1]资金台帐'!$N$4:$N$3003,'首页'!$B$4*100+M$4)-SUMIFS('[1]资金台帐'!$G$4:$G$3003,'[1]资金台帐'!$E$4:$E$3003,$A40,'[1]资金台帐'!$N$4:$N$3003,'首页'!$B$4*100+M$4))</f>
        <v>0</v>
      </c>
      <c r="N40" s="11">
        <f t="shared" si="0"/>
        <v>0</v>
      </c>
    </row>
    <row r="41">
      <c r="A41" s="6">
        <f>IF('[1]基础资料'!$G$41="","",'[1]基础资料'!$G$41)</f>
      </c>
      <c r="B41" s="11">
        <f>IF($A41="",0,SUMIFS('[1]资金台帐'!$H$4:$H$3003,'[1]资金台帐'!$E$4:$E$3003,$A41,'[1]资金台帐'!$N$4:$N$3003,'首页'!$B$4*100+B$4)-SUMIFS('[1]资金台帐'!$G$4:$G$3003,'[1]资金台帐'!$E$4:$E$3003,$A41,'[1]资金台帐'!$N$4:$N$3003,'首页'!$B$4*100+B$4))</f>
        <v>0</v>
      </c>
      <c r="C41" s="11">
        <f>IF($A41="",0,SUMIFS('[1]资金台帐'!$H$4:$H$3003,'[1]资金台帐'!$E$4:$E$3003,$A41,'[1]资金台帐'!$N$4:$N$3003,'首页'!$B$4*100+C$4)-SUMIFS('[1]资金台帐'!$G$4:$G$3003,'[1]资金台帐'!$E$4:$E$3003,$A41,'[1]资金台帐'!$N$4:$N$3003,'首页'!$B$4*100+C$4))</f>
        <v>0</v>
      </c>
      <c r="D41" s="11">
        <f>IF($A41="",0,SUMIFS('[1]资金台帐'!$H$4:$H$3003,'[1]资金台帐'!$E$4:$E$3003,$A41,'[1]资金台帐'!$N$4:$N$3003,'首页'!$B$4*100+D$4)-SUMIFS('[1]资金台帐'!$G$4:$G$3003,'[1]资金台帐'!$E$4:$E$3003,$A41,'[1]资金台帐'!$N$4:$N$3003,'首页'!$B$4*100+D$4))</f>
        <v>0</v>
      </c>
      <c r="E41" s="11">
        <f>IF($A41="",0,SUMIFS('[1]资金台帐'!$H$4:$H$3003,'[1]资金台帐'!$E$4:$E$3003,$A41,'[1]资金台帐'!$N$4:$N$3003,'首页'!$B$4*100+E$4)-SUMIFS('[1]资金台帐'!$G$4:$G$3003,'[1]资金台帐'!$E$4:$E$3003,$A41,'[1]资金台帐'!$N$4:$N$3003,'首页'!$B$4*100+E$4))</f>
        <v>0</v>
      </c>
      <c r="F41" s="11">
        <f>IF($A41="",0,SUMIFS('[1]资金台帐'!$H$4:$H$3003,'[1]资金台帐'!$E$4:$E$3003,$A41,'[1]资金台帐'!$N$4:$N$3003,'首页'!$B$4*100+F$4)-SUMIFS('[1]资金台帐'!$G$4:$G$3003,'[1]资金台帐'!$E$4:$E$3003,$A41,'[1]资金台帐'!$N$4:$N$3003,'首页'!$B$4*100+F$4))</f>
        <v>0</v>
      </c>
      <c r="G41" s="11">
        <f>IF($A41="",0,SUMIFS('[1]资金台帐'!$H$4:$H$3003,'[1]资金台帐'!$E$4:$E$3003,$A41,'[1]资金台帐'!$N$4:$N$3003,'首页'!$B$4*100+G$4)-SUMIFS('[1]资金台帐'!$G$4:$G$3003,'[1]资金台帐'!$E$4:$E$3003,$A41,'[1]资金台帐'!$N$4:$N$3003,'首页'!$B$4*100+G$4))</f>
        <v>0</v>
      </c>
      <c r="H41" s="11">
        <f>IF($A41="",0,SUMIFS('[1]资金台帐'!$H$4:$H$3003,'[1]资金台帐'!$E$4:$E$3003,$A41,'[1]资金台帐'!$N$4:$N$3003,'首页'!$B$4*100+H$4)-SUMIFS('[1]资金台帐'!$G$4:$G$3003,'[1]资金台帐'!$E$4:$E$3003,$A41,'[1]资金台帐'!$N$4:$N$3003,'首页'!$B$4*100+H$4))</f>
        <v>0</v>
      </c>
      <c r="I41" s="11">
        <f>IF($A41="",0,SUMIFS('[1]资金台帐'!$H$4:$H$3003,'[1]资金台帐'!$E$4:$E$3003,$A41,'[1]资金台帐'!$N$4:$N$3003,'首页'!$B$4*100+I$4)-SUMIFS('[1]资金台帐'!$G$4:$G$3003,'[1]资金台帐'!$E$4:$E$3003,$A41,'[1]资金台帐'!$N$4:$N$3003,'首页'!$B$4*100+I$4))</f>
        <v>0</v>
      </c>
      <c r="J41" s="11">
        <f>IF($A41="",0,SUMIFS('[1]资金台帐'!$H$4:$H$3003,'[1]资金台帐'!$E$4:$E$3003,$A41,'[1]资金台帐'!$N$4:$N$3003,'首页'!$B$4*100+J$4)-SUMIFS('[1]资金台帐'!$G$4:$G$3003,'[1]资金台帐'!$E$4:$E$3003,$A41,'[1]资金台帐'!$N$4:$N$3003,'首页'!$B$4*100+J$4))</f>
        <v>0</v>
      </c>
      <c r="K41" s="11">
        <f>IF($A41="",0,SUMIFS('[1]资金台帐'!$H$4:$H$3003,'[1]资金台帐'!$E$4:$E$3003,$A41,'[1]资金台帐'!$N$4:$N$3003,'首页'!$B$4*100+K$4)-SUMIFS('[1]资金台帐'!$G$4:$G$3003,'[1]资金台帐'!$E$4:$E$3003,$A41,'[1]资金台帐'!$N$4:$N$3003,'首页'!$B$4*100+K$4))</f>
        <v>0</v>
      </c>
      <c r="L41" s="11">
        <f>IF($A41="",0,SUMIFS('[1]资金台帐'!$H$4:$H$3003,'[1]资金台帐'!$E$4:$E$3003,$A41,'[1]资金台帐'!$N$4:$N$3003,'首页'!$B$4*100+L$4)-SUMIFS('[1]资金台帐'!$G$4:$G$3003,'[1]资金台帐'!$E$4:$E$3003,$A41,'[1]资金台帐'!$N$4:$N$3003,'首页'!$B$4*100+L$4))</f>
        <v>0</v>
      </c>
      <c r="M41" s="11">
        <f>IF($A41="",0,SUMIFS('[1]资金台帐'!$H$4:$H$3003,'[1]资金台帐'!$E$4:$E$3003,$A41,'[1]资金台帐'!$N$4:$N$3003,'首页'!$B$4*100+M$4)-SUMIFS('[1]资金台帐'!$G$4:$G$3003,'[1]资金台帐'!$E$4:$E$3003,$A41,'[1]资金台帐'!$N$4:$N$3003,'首页'!$B$4*100+M$4))</f>
        <v>0</v>
      </c>
      <c r="N41" s="11">
        <f t="shared" si="0"/>
        <v>0</v>
      </c>
    </row>
    <row r="42">
      <c r="A42" s="6">
        <f>IF('[1]基础资料'!$G$42="","",'[1]基础资料'!$G$42)</f>
      </c>
      <c r="B42" s="11">
        <f>IF($A42="",0,SUMIFS('[1]资金台帐'!$H$4:$H$3003,'[1]资金台帐'!$E$4:$E$3003,$A42,'[1]资金台帐'!$N$4:$N$3003,'首页'!$B$4*100+B$4)-SUMIFS('[1]资金台帐'!$G$4:$G$3003,'[1]资金台帐'!$E$4:$E$3003,$A42,'[1]资金台帐'!$N$4:$N$3003,'首页'!$B$4*100+B$4))</f>
        <v>0</v>
      </c>
      <c r="C42" s="11">
        <f>IF($A42="",0,SUMIFS('[1]资金台帐'!$H$4:$H$3003,'[1]资金台帐'!$E$4:$E$3003,$A42,'[1]资金台帐'!$N$4:$N$3003,'首页'!$B$4*100+C$4)-SUMIFS('[1]资金台帐'!$G$4:$G$3003,'[1]资金台帐'!$E$4:$E$3003,$A42,'[1]资金台帐'!$N$4:$N$3003,'首页'!$B$4*100+C$4))</f>
        <v>0</v>
      </c>
      <c r="D42" s="11">
        <f>IF($A42="",0,SUMIFS('[1]资金台帐'!$H$4:$H$3003,'[1]资金台帐'!$E$4:$E$3003,$A42,'[1]资金台帐'!$N$4:$N$3003,'首页'!$B$4*100+D$4)-SUMIFS('[1]资金台帐'!$G$4:$G$3003,'[1]资金台帐'!$E$4:$E$3003,$A42,'[1]资金台帐'!$N$4:$N$3003,'首页'!$B$4*100+D$4))</f>
        <v>0</v>
      </c>
      <c r="E42" s="11">
        <f>IF($A42="",0,SUMIFS('[1]资金台帐'!$H$4:$H$3003,'[1]资金台帐'!$E$4:$E$3003,$A42,'[1]资金台帐'!$N$4:$N$3003,'首页'!$B$4*100+E$4)-SUMIFS('[1]资金台帐'!$G$4:$G$3003,'[1]资金台帐'!$E$4:$E$3003,$A42,'[1]资金台帐'!$N$4:$N$3003,'首页'!$B$4*100+E$4))</f>
        <v>0</v>
      </c>
      <c r="F42" s="11">
        <f>IF($A42="",0,SUMIFS('[1]资金台帐'!$H$4:$H$3003,'[1]资金台帐'!$E$4:$E$3003,$A42,'[1]资金台帐'!$N$4:$N$3003,'首页'!$B$4*100+F$4)-SUMIFS('[1]资金台帐'!$G$4:$G$3003,'[1]资金台帐'!$E$4:$E$3003,$A42,'[1]资金台帐'!$N$4:$N$3003,'首页'!$B$4*100+F$4))</f>
        <v>0</v>
      </c>
      <c r="G42" s="11">
        <f>IF($A42="",0,SUMIFS('[1]资金台帐'!$H$4:$H$3003,'[1]资金台帐'!$E$4:$E$3003,$A42,'[1]资金台帐'!$N$4:$N$3003,'首页'!$B$4*100+G$4)-SUMIFS('[1]资金台帐'!$G$4:$G$3003,'[1]资金台帐'!$E$4:$E$3003,$A42,'[1]资金台帐'!$N$4:$N$3003,'首页'!$B$4*100+G$4))</f>
        <v>0</v>
      </c>
      <c r="H42" s="11">
        <f>IF($A42="",0,SUMIFS('[1]资金台帐'!$H$4:$H$3003,'[1]资金台帐'!$E$4:$E$3003,$A42,'[1]资金台帐'!$N$4:$N$3003,'首页'!$B$4*100+H$4)-SUMIFS('[1]资金台帐'!$G$4:$G$3003,'[1]资金台帐'!$E$4:$E$3003,$A42,'[1]资金台帐'!$N$4:$N$3003,'首页'!$B$4*100+H$4))</f>
        <v>0</v>
      </c>
      <c r="I42" s="11">
        <f>IF($A42="",0,SUMIFS('[1]资金台帐'!$H$4:$H$3003,'[1]资金台帐'!$E$4:$E$3003,$A42,'[1]资金台帐'!$N$4:$N$3003,'首页'!$B$4*100+I$4)-SUMIFS('[1]资金台帐'!$G$4:$G$3003,'[1]资金台帐'!$E$4:$E$3003,$A42,'[1]资金台帐'!$N$4:$N$3003,'首页'!$B$4*100+I$4))</f>
        <v>0</v>
      </c>
      <c r="J42" s="11">
        <f>IF($A42="",0,SUMIFS('[1]资金台帐'!$H$4:$H$3003,'[1]资金台帐'!$E$4:$E$3003,$A42,'[1]资金台帐'!$N$4:$N$3003,'首页'!$B$4*100+J$4)-SUMIFS('[1]资金台帐'!$G$4:$G$3003,'[1]资金台帐'!$E$4:$E$3003,$A42,'[1]资金台帐'!$N$4:$N$3003,'首页'!$B$4*100+J$4))</f>
        <v>0</v>
      </c>
      <c r="K42" s="11">
        <f>IF($A42="",0,SUMIFS('[1]资金台帐'!$H$4:$H$3003,'[1]资金台帐'!$E$4:$E$3003,$A42,'[1]资金台帐'!$N$4:$N$3003,'首页'!$B$4*100+K$4)-SUMIFS('[1]资金台帐'!$G$4:$G$3003,'[1]资金台帐'!$E$4:$E$3003,$A42,'[1]资金台帐'!$N$4:$N$3003,'首页'!$B$4*100+K$4))</f>
        <v>0</v>
      </c>
      <c r="L42" s="11">
        <f>IF($A42="",0,SUMIFS('[1]资金台帐'!$H$4:$H$3003,'[1]资金台帐'!$E$4:$E$3003,$A42,'[1]资金台帐'!$N$4:$N$3003,'首页'!$B$4*100+L$4)-SUMIFS('[1]资金台帐'!$G$4:$G$3003,'[1]资金台帐'!$E$4:$E$3003,$A42,'[1]资金台帐'!$N$4:$N$3003,'首页'!$B$4*100+L$4))</f>
        <v>0</v>
      </c>
      <c r="M42" s="11">
        <f>IF($A42="",0,SUMIFS('[1]资金台帐'!$H$4:$H$3003,'[1]资金台帐'!$E$4:$E$3003,$A42,'[1]资金台帐'!$N$4:$N$3003,'首页'!$B$4*100+M$4)-SUMIFS('[1]资金台帐'!$G$4:$G$3003,'[1]资金台帐'!$E$4:$E$3003,$A42,'[1]资金台帐'!$N$4:$N$3003,'首页'!$B$4*100+M$4))</f>
        <v>0</v>
      </c>
      <c r="N42" s="11">
        <f t="shared" si="0"/>
        <v>0</v>
      </c>
    </row>
    <row r="43">
      <c r="A43" s="6">
        <f>IF('[1]基础资料'!$G$43="","",'[1]基础资料'!$G$43)</f>
      </c>
      <c r="B43" s="11">
        <f>IF($A43="",0,SUMIFS('[1]资金台帐'!$H$4:$H$3003,'[1]资金台帐'!$E$4:$E$3003,$A43,'[1]资金台帐'!$N$4:$N$3003,'首页'!$B$4*100+B$4)-SUMIFS('[1]资金台帐'!$G$4:$G$3003,'[1]资金台帐'!$E$4:$E$3003,$A43,'[1]资金台帐'!$N$4:$N$3003,'首页'!$B$4*100+B$4))</f>
        <v>0</v>
      </c>
      <c r="C43" s="11">
        <f>IF($A43="",0,SUMIFS('[1]资金台帐'!$H$4:$H$3003,'[1]资金台帐'!$E$4:$E$3003,$A43,'[1]资金台帐'!$N$4:$N$3003,'首页'!$B$4*100+C$4)-SUMIFS('[1]资金台帐'!$G$4:$G$3003,'[1]资金台帐'!$E$4:$E$3003,$A43,'[1]资金台帐'!$N$4:$N$3003,'首页'!$B$4*100+C$4))</f>
        <v>0</v>
      </c>
      <c r="D43" s="11">
        <f>IF($A43="",0,SUMIFS('[1]资金台帐'!$H$4:$H$3003,'[1]资金台帐'!$E$4:$E$3003,$A43,'[1]资金台帐'!$N$4:$N$3003,'首页'!$B$4*100+D$4)-SUMIFS('[1]资金台帐'!$G$4:$G$3003,'[1]资金台帐'!$E$4:$E$3003,$A43,'[1]资金台帐'!$N$4:$N$3003,'首页'!$B$4*100+D$4))</f>
        <v>0</v>
      </c>
      <c r="E43" s="11">
        <f>IF($A43="",0,SUMIFS('[1]资金台帐'!$H$4:$H$3003,'[1]资金台帐'!$E$4:$E$3003,$A43,'[1]资金台帐'!$N$4:$N$3003,'首页'!$B$4*100+E$4)-SUMIFS('[1]资金台帐'!$G$4:$G$3003,'[1]资金台帐'!$E$4:$E$3003,$A43,'[1]资金台帐'!$N$4:$N$3003,'首页'!$B$4*100+E$4))</f>
        <v>0</v>
      </c>
      <c r="F43" s="11">
        <f>IF($A43="",0,SUMIFS('[1]资金台帐'!$H$4:$H$3003,'[1]资金台帐'!$E$4:$E$3003,$A43,'[1]资金台帐'!$N$4:$N$3003,'首页'!$B$4*100+F$4)-SUMIFS('[1]资金台帐'!$G$4:$G$3003,'[1]资金台帐'!$E$4:$E$3003,$A43,'[1]资金台帐'!$N$4:$N$3003,'首页'!$B$4*100+F$4))</f>
        <v>0</v>
      </c>
      <c r="G43" s="11">
        <f>IF($A43="",0,SUMIFS('[1]资金台帐'!$H$4:$H$3003,'[1]资金台帐'!$E$4:$E$3003,$A43,'[1]资金台帐'!$N$4:$N$3003,'首页'!$B$4*100+G$4)-SUMIFS('[1]资金台帐'!$G$4:$G$3003,'[1]资金台帐'!$E$4:$E$3003,$A43,'[1]资金台帐'!$N$4:$N$3003,'首页'!$B$4*100+G$4))</f>
        <v>0</v>
      </c>
      <c r="H43" s="11">
        <f>IF($A43="",0,SUMIFS('[1]资金台帐'!$H$4:$H$3003,'[1]资金台帐'!$E$4:$E$3003,$A43,'[1]资金台帐'!$N$4:$N$3003,'首页'!$B$4*100+H$4)-SUMIFS('[1]资金台帐'!$G$4:$G$3003,'[1]资金台帐'!$E$4:$E$3003,$A43,'[1]资金台帐'!$N$4:$N$3003,'首页'!$B$4*100+H$4))</f>
        <v>0</v>
      </c>
      <c r="I43" s="11">
        <f>IF($A43="",0,SUMIFS('[1]资金台帐'!$H$4:$H$3003,'[1]资金台帐'!$E$4:$E$3003,$A43,'[1]资金台帐'!$N$4:$N$3003,'首页'!$B$4*100+I$4)-SUMIFS('[1]资金台帐'!$G$4:$G$3003,'[1]资金台帐'!$E$4:$E$3003,$A43,'[1]资金台帐'!$N$4:$N$3003,'首页'!$B$4*100+I$4))</f>
        <v>0</v>
      </c>
      <c r="J43" s="11">
        <f>IF($A43="",0,SUMIFS('[1]资金台帐'!$H$4:$H$3003,'[1]资金台帐'!$E$4:$E$3003,$A43,'[1]资金台帐'!$N$4:$N$3003,'首页'!$B$4*100+J$4)-SUMIFS('[1]资金台帐'!$G$4:$G$3003,'[1]资金台帐'!$E$4:$E$3003,$A43,'[1]资金台帐'!$N$4:$N$3003,'首页'!$B$4*100+J$4))</f>
        <v>0</v>
      </c>
      <c r="K43" s="11">
        <f>IF($A43="",0,SUMIFS('[1]资金台帐'!$H$4:$H$3003,'[1]资金台帐'!$E$4:$E$3003,$A43,'[1]资金台帐'!$N$4:$N$3003,'首页'!$B$4*100+K$4)-SUMIFS('[1]资金台帐'!$G$4:$G$3003,'[1]资金台帐'!$E$4:$E$3003,$A43,'[1]资金台帐'!$N$4:$N$3003,'首页'!$B$4*100+K$4))</f>
        <v>0</v>
      </c>
      <c r="L43" s="11">
        <f>IF($A43="",0,SUMIFS('[1]资金台帐'!$H$4:$H$3003,'[1]资金台帐'!$E$4:$E$3003,$A43,'[1]资金台帐'!$N$4:$N$3003,'首页'!$B$4*100+L$4)-SUMIFS('[1]资金台帐'!$G$4:$G$3003,'[1]资金台帐'!$E$4:$E$3003,$A43,'[1]资金台帐'!$N$4:$N$3003,'首页'!$B$4*100+L$4))</f>
        <v>0</v>
      </c>
      <c r="M43" s="11">
        <f>IF($A43="",0,SUMIFS('[1]资金台帐'!$H$4:$H$3003,'[1]资金台帐'!$E$4:$E$3003,$A43,'[1]资金台帐'!$N$4:$N$3003,'首页'!$B$4*100+M$4)-SUMIFS('[1]资金台帐'!$G$4:$G$3003,'[1]资金台帐'!$E$4:$E$3003,$A43,'[1]资金台帐'!$N$4:$N$3003,'首页'!$B$4*100+M$4))</f>
        <v>0</v>
      </c>
      <c r="N43" s="11">
        <f t="shared" si="0"/>
        <v>0</v>
      </c>
    </row>
    <row r="44">
      <c r="A44" s="6">
        <f>IF('[1]基础资料'!$G$44="","",'[1]基础资料'!$G$44)</f>
      </c>
      <c r="B44" s="11">
        <f>IF($A44="",0,SUMIFS('[1]资金台帐'!$H$4:$H$3003,'[1]资金台帐'!$E$4:$E$3003,$A44,'[1]资金台帐'!$N$4:$N$3003,'首页'!$B$4*100+B$4)-SUMIFS('[1]资金台帐'!$G$4:$G$3003,'[1]资金台帐'!$E$4:$E$3003,$A44,'[1]资金台帐'!$N$4:$N$3003,'首页'!$B$4*100+B$4))</f>
        <v>0</v>
      </c>
      <c r="C44" s="11">
        <f>IF($A44="",0,SUMIFS('[1]资金台帐'!$H$4:$H$3003,'[1]资金台帐'!$E$4:$E$3003,$A44,'[1]资金台帐'!$N$4:$N$3003,'首页'!$B$4*100+C$4)-SUMIFS('[1]资金台帐'!$G$4:$G$3003,'[1]资金台帐'!$E$4:$E$3003,$A44,'[1]资金台帐'!$N$4:$N$3003,'首页'!$B$4*100+C$4))</f>
        <v>0</v>
      </c>
      <c r="D44" s="11">
        <f>IF($A44="",0,SUMIFS('[1]资金台帐'!$H$4:$H$3003,'[1]资金台帐'!$E$4:$E$3003,$A44,'[1]资金台帐'!$N$4:$N$3003,'首页'!$B$4*100+D$4)-SUMIFS('[1]资金台帐'!$G$4:$G$3003,'[1]资金台帐'!$E$4:$E$3003,$A44,'[1]资金台帐'!$N$4:$N$3003,'首页'!$B$4*100+D$4))</f>
        <v>0</v>
      </c>
      <c r="E44" s="11">
        <f>IF($A44="",0,SUMIFS('[1]资金台帐'!$H$4:$H$3003,'[1]资金台帐'!$E$4:$E$3003,$A44,'[1]资金台帐'!$N$4:$N$3003,'首页'!$B$4*100+E$4)-SUMIFS('[1]资金台帐'!$G$4:$G$3003,'[1]资金台帐'!$E$4:$E$3003,$A44,'[1]资金台帐'!$N$4:$N$3003,'首页'!$B$4*100+E$4))</f>
        <v>0</v>
      </c>
      <c r="F44" s="11">
        <f>IF($A44="",0,SUMIFS('[1]资金台帐'!$H$4:$H$3003,'[1]资金台帐'!$E$4:$E$3003,$A44,'[1]资金台帐'!$N$4:$N$3003,'首页'!$B$4*100+F$4)-SUMIFS('[1]资金台帐'!$G$4:$G$3003,'[1]资金台帐'!$E$4:$E$3003,$A44,'[1]资金台帐'!$N$4:$N$3003,'首页'!$B$4*100+F$4))</f>
        <v>0</v>
      </c>
      <c r="G44" s="11">
        <f>IF($A44="",0,SUMIFS('[1]资金台帐'!$H$4:$H$3003,'[1]资金台帐'!$E$4:$E$3003,$A44,'[1]资金台帐'!$N$4:$N$3003,'首页'!$B$4*100+G$4)-SUMIFS('[1]资金台帐'!$G$4:$G$3003,'[1]资金台帐'!$E$4:$E$3003,$A44,'[1]资金台帐'!$N$4:$N$3003,'首页'!$B$4*100+G$4))</f>
        <v>0</v>
      </c>
      <c r="H44" s="11">
        <f>IF($A44="",0,SUMIFS('[1]资金台帐'!$H$4:$H$3003,'[1]资金台帐'!$E$4:$E$3003,$A44,'[1]资金台帐'!$N$4:$N$3003,'首页'!$B$4*100+H$4)-SUMIFS('[1]资金台帐'!$G$4:$G$3003,'[1]资金台帐'!$E$4:$E$3003,$A44,'[1]资金台帐'!$N$4:$N$3003,'首页'!$B$4*100+H$4))</f>
        <v>0</v>
      </c>
      <c r="I44" s="11">
        <f>IF($A44="",0,SUMIFS('[1]资金台帐'!$H$4:$H$3003,'[1]资金台帐'!$E$4:$E$3003,$A44,'[1]资金台帐'!$N$4:$N$3003,'首页'!$B$4*100+I$4)-SUMIFS('[1]资金台帐'!$G$4:$G$3003,'[1]资金台帐'!$E$4:$E$3003,$A44,'[1]资金台帐'!$N$4:$N$3003,'首页'!$B$4*100+I$4))</f>
        <v>0</v>
      </c>
      <c r="J44" s="11">
        <f>IF($A44="",0,SUMIFS('[1]资金台帐'!$H$4:$H$3003,'[1]资金台帐'!$E$4:$E$3003,$A44,'[1]资金台帐'!$N$4:$N$3003,'首页'!$B$4*100+J$4)-SUMIFS('[1]资金台帐'!$G$4:$G$3003,'[1]资金台帐'!$E$4:$E$3003,$A44,'[1]资金台帐'!$N$4:$N$3003,'首页'!$B$4*100+J$4))</f>
        <v>0</v>
      </c>
      <c r="K44" s="11">
        <f>IF($A44="",0,SUMIFS('[1]资金台帐'!$H$4:$H$3003,'[1]资金台帐'!$E$4:$E$3003,$A44,'[1]资金台帐'!$N$4:$N$3003,'首页'!$B$4*100+K$4)-SUMIFS('[1]资金台帐'!$G$4:$G$3003,'[1]资金台帐'!$E$4:$E$3003,$A44,'[1]资金台帐'!$N$4:$N$3003,'首页'!$B$4*100+K$4))</f>
        <v>0</v>
      </c>
      <c r="L44" s="11">
        <f>IF($A44="",0,SUMIFS('[1]资金台帐'!$H$4:$H$3003,'[1]资金台帐'!$E$4:$E$3003,$A44,'[1]资金台帐'!$N$4:$N$3003,'首页'!$B$4*100+L$4)-SUMIFS('[1]资金台帐'!$G$4:$G$3003,'[1]资金台帐'!$E$4:$E$3003,$A44,'[1]资金台帐'!$N$4:$N$3003,'首页'!$B$4*100+L$4))</f>
        <v>0</v>
      </c>
      <c r="M44" s="11">
        <f>IF($A44="",0,SUMIFS('[1]资金台帐'!$H$4:$H$3003,'[1]资金台帐'!$E$4:$E$3003,$A44,'[1]资金台帐'!$N$4:$N$3003,'首页'!$B$4*100+M$4)-SUMIFS('[1]资金台帐'!$G$4:$G$3003,'[1]资金台帐'!$E$4:$E$3003,$A44,'[1]资金台帐'!$N$4:$N$3003,'首页'!$B$4*100+M$4))</f>
        <v>0</v>
      </c>
      <c r="N44" s="11">
        <f t="shared" si="0"/>
        <v>0</v>
      </c>
    </row>
    <row r="45">
      <c r="A45" s="6">
        <f>IF('[1]基础资料'!$G$45="","",'[1]基础资料'!$G$45)</f>
      </c>
      <c r="B45" s="11">
        <f>IF($A45="",0,SUMIFS('[1]资金台帐'!$H$4:$H$3003,'[1]资金台帐'!$E$4:$E$3003,$A45,'[1]资金台帐'!$N$4:$N$3003,'首页'!$B$4*100+B$4)-SUMIFS('[1]资金台帐'!$G$4:$G$3003,'[1]资金台帐'!$E$4:$E$3003,$A45,'[1]资金台帐'!$N$4:$N$3003,'首页'!$B$4*100+B$4))</f>
        <v>0</v>
      </c>
      <c r="C45" s="11">
        <f>IF($A45="",0,SUMIFS('[1]资金台帐'!$H$4:$H$3003,'[1]资金台帐'!$E$4:$E$3003,$A45,'[1]资金台帐'!$N$4:$N$3003,'首页'!$B$4*100+C$4)-SUMIFS('[1]资金台帐'!$G$4:$G$3003,'[1]资金台帐'!$E$4:$E$3003,$A45,'[1]资金台帐'!$N$4:$N$3003,'首页'!$B$4*100+C$4))</f>
        <v>0</v>
      </c>
      <c r="D45" s="11">
        <f>IF($A45="",0,SUMIFS('[1]资金台帐'!$H$4:$H$3003,'[1]资金台帐'!$E$4:$E$3003,$A45,'[1]资金台帐'!$N$4:$N$3003,'首页'!$B$4*100+D$4)-SUMIFS('[1]资金台帐'!$G$4:$G$3003,'[1]资金台帐'!$E$4:$E$3003,$A45,'[1]资金台帐'!$N$4:$N$3003,'首页'!$B$4*100+D$4))</f>
        <v>0</v>
      </c>
      <c r="E45" s="11">
        <f>IF($A45="",0,SUMIFS('[1]资金台帐'!$H$4:$H$3003,'[1]资金台帐'!$E$4:$E$3003,$A45,'[1]资金台帐'!$N$4:$N$3003,'首页'!$B$4*100+E$4)-SUMIFS('[1]资金台帐'!$G$4:$G$3003,'[1]资金台帐'!$E$4:$E$3003,$A45,'[1]资金台帐'!$N$4:$N$3003,'首页'!$B$4*100+E$4))</f>
        <v>0</v>
      </c>
      <c r="F45" s="11">
        <f>IF($A45="",0,SUMIFS('[1]资金台帐'!$H$4:$H$3003,'[1]资金台帐'!$E$4:$E$3003,$A45,'[1]资金台帐'!$N$4:$N$3003,'首页'!$B$4*100+F$4)-SUMIFS('[1]资金台帐'!$G$4:$G$3003,'[1]资金台帐'!$E$4:$E$3003,$A45,'[1]资金台帐'!$N$4:$N$3003,'首页'!$B$4*100+F$4))</f>
        <v>0</v>
      </c>
      <c r="G45" s="11">
        <f>IF($A45="",0,SUMIFS('[1]资金台帐'!$H$4:$H$3003,'[1]资金台帐'!$E$4:$E$3003,$A45,'[1]资金台帐'!$N$4:$N$3003,'首页'!$B$4*100+G$4)-SUMIFS('[1]资金台帐'!$G$4:$G$3003,'[1]资金台帐'!$E$4:$E$3003,$A45,'[1]资金台帐'!$N$4:$N$3003,'首页'!$B$4*100+G$4))</f>
        <v>0</v>
      </c>
      <c r="H45" s="11">
        <f>IF($A45="",0,SUMIFS('[1]资金台帐'!$H$4:$H$3003,'[1]资金台帐'!$E$4:$E$3003,$A45,'[1]资金台帐'!$N$4:$N$3003,'首页'!$B$4*100+H$4)-SUMIFS('[1]资金台帐'!$G$4:$G$3003,'[1]资金台帐'!$E$4:$E$3003,$A45,'[1]资金台帐'!$N$4:$N$3003,'首页'!$B$4*100+H$4))</f>
        <v>0</v>
      </c>
      <c r="I45" s="11">
        <f>IF($A45="",0,SUMIFS('[1]资金台帐'!$H$4:$H$3003,'[1]资金台帐'!$E$4:$E$3003,$A45,'[1]资金台帐'!$N$4:$N$3003,'首页'!$B$4*100+I$4)-SUMIFS('[1]资金台帐'!$G$4:$G$3003,'[1]资金台帐'!$E$4:$E$3003,$A45,'[1]资金台帐'!$N$4:$N$3003,'首页'!$B$4*100+I$4))</f>
        <v>0</v>
      </c>
      <c r="J45" s="11">
        <f>IF($A45="",0,SUMIFS('[1]资金台帐'!$H$4:$H$3003,'[1]资金台帐'!$E$4:$E$3003,$A45,'[1]资金台帐'!$N$4:$N$3003,'首页'!$B$4*100+J$4)-SUMIFS('[1]资金台帐'!$G$4:$G$3003,'[1]资金台帐'!$E$4:$E$3003,$A45,'[1]资金台帐'!$N$4:$N$3003,'首页'!$B$4*100+J$4))</f>
        <v>0</v>
      </c>
      <c r="K45" s="11">
        <f>IF($A45="",0,SUMIFS('[1]资金台帐'!$H$4:$H$3003,'[1]资金台帐'!$E$4:$E$3003,$A45,'[1]资金台帐'!$N$4:$N$3003,'首页'!$B$4*100+K$4)-SUMIFS('[1]资金台帐'!$G$4:$G$3003,'[1]资金台帐'!$E$4:$E$3003,$A45,'[1]资金台帐'!$N$4:$N$3003,'首页'!$B$4*100+K$4))</f>
        <v>0</v>
      </c>
      <c r="L45" s="11">
        <f>IF($A45="",0,SUMIFS('[1]资金台帐'!$H$4:$H$3003,'[1]资金台帐'!$E$4:$E$3003,$A45,'[1]资金台帐'!$N$4:$N$3003,'首页'!$B$4*100+L$4)-SUMIFS('[1]资金台帐'!$G$4:$G$3003,'[1]资金台帐'!$E$4:$E$3003,$A45,'[1]资金台帐'!$N$4:$N$3003,'首页'!$B$4*100+L$4))</f>
        <v>0</v>
      </c>
      <c r="M45" s="11">
        <f>IF($A45="",0,SUMIFS('[1]资金台帐'!$H$4:$H$3003,'[1]资金台帐'!$E$4:$E$3003,$A45,'[1]资金台帐'!$N$4:$N$3003,'首页'!$B$4*100+M$4)-SUMIFS('[1]资金台帐'!$G$4:$G$3003,'[1]资金台帐'!$E$4:$E$3003,$A45,'[1]资金台帐'!$N$4:$N$3003,'首页'!$B$4*100+M$4))</f>
        <v>0</v>
      </c>
      <c r="N45" s="11">
        <f t="shared" si="0"/>
        <v>0</v>
      </c>
    </row>
    <row r="46">
      <c r="A46" s="6">
        <f>IF('[1]基础资料'!$G$46="","",'[1]基础资料'!$G$46)</f>
      </c>
      <c r="B46" s="11">
        <f>IF($A46="",0,SUMIFS('[1]资金台帐'!$H$4:$H$3003,'[1]资金台帐'!$E$4:$E$3003,$A46,'[1]资金台帐'!$N$4:$N$3003,'首页'!$B$4*100+B$4)-SUMIFS('[1]资金台帐'!$G$4:$G$3003,'[1]资金台帐'!$E$4:$E$3003,$A46,'[1]资金台帐'!$N$4:$N$3003,'首页'!$B$4*100+B$4))</f>
        <v>0</v>
      </c>
      <c r="C46" s="11">
        <f>IF($A46="",0,SUMIFS('[1]资金台帐'!$H$4:$H$3003,'[1]资金台帐'!$E$4:$E$3003,$A46,'[1]资金台帐'!$N$4:$N$3003,'首页'!$B$4*100+C$4)-SUMIFS('[1]资金台帐'!$G$4:$G$3003,'[1]资金台帐'!$E$4:$E$3003,$A46,'[1]资金台帐'!$N$4:$N$3003,'首页'!$B$4*100+C$4))</f>
        <v>0</v>
      </c>
      <c r="D46" s="11">
        <f>IF($A46="",0,SUMIFS('[1]资金台帐'!$H$4:$H$3003,'[1]资金台帐'!$E$4:$E$3003,$A46,'[1]资金台帐'!$N$4:$N$3003,'首页'!$B$4*100+D$4)-SUMIFS('[1]资金台帐'!$G$4:$G$3003,'[1]资金台帐'!$E$4:$E$3003,$A46,'[1]资金台帐'!$N$4:$N$3003,'首页'!$B$4*100+D$4))</f>
        <v>0</v>
      </c>
      <c r="E46" s="11">
        <f>IF($A46="",0,SUMIFS('[1]资金台帐'!$H$4:$H$3003,'[1]资金台帐'!$E$4:$E$3003,$A46,'[1]资金台帐'!$N$4:$N$3003,'首页'!$B$4*100+E$4)-SUMIFS('[1]资金台帐'!$G$4:$G$3003,'[1]资金台帐'!$E$4:$E$3003,$A46,'[1]资金台帐'!$N$4:$N$3003,'首页'!$B$4*100+E$4))</f>
        <v>0</v>
      </c>
      <c r="F46" s="11">
        <f>IF($A46="",0,SUMIFS('[1]资金台帐'!$H$4:$H$3003,'[1]资金台帐'!$E$4:$E$3003,$A46,'[1]资金台帐'!$N$4:$N$3003,'首页'!$B$4*100+F$4)-SUMIFS('[1]资金台帐'!$G$4:$G$3003,'[1]资金台帐'!$E$4:$E$3003,$A46,'[1]资金台帐'!$N$4:$N$3003,'首页'!$B$4*100+F$4))</f>
        <v>0</v>
      </c>
      <c r="G46" s="11">
        <f>IF($A46="",0,SUMIFS('[1]资金台帐'!$H$4:$H$3003,'[1]资金台帐'!$E$4:$E$3003,$A46,'[1]资金台帐'!$N$4:$N$3003,'首页'!$B$4*100+G$4)-SUMIFS('[1]资金台帐'!$G$4:$G$3003,'[1]资金台帐'!$E$4:$E$3003,$A46,'[1]资金台帐'!$N$4:$N$3003,'首页'!$B$4*100+G$4))</f>
        <v>0</v>
      </c>
      <c r="H46" s="11">
        <f>IF($A46="",0,SUMIFS('[1]资金台帐'!$H$4:$H$3003,'[1]资金台帐'!$E$4:$E$3003,$A46,'[1]资金台帐'!$N$4:$N$3003,'首页'!$B$4*100+H$4)-SUMIFS('[1]资金台帐'!$G$4:$G$3003,'[1]资金台帐'!$E$4:$E$3003,$A46,'[1]资金台帐'!$N$4:$N$3003,'首页'!$B$4*100+H$4))</f>
        <v>0</v>
      </c>
      <c r="I46" s="11">
        <f>IF($A46="",0,SUMIFS('[1]资金台帐'!$H$4:$H$3003,'[1]资金台帐'!$E$4:$E$3003,$A46,'[1]资金台帐'!$N$4:$N$3003,'首页'!$B$4*100+I$4)-SUMIFS('[1]资金台帐'!$G$4:$G$3003,'[1]资金台帐'!$E$4:$E$3003,$A46,'[1]资金台帐'!$N$4:$N$3003,'首页'!$B$4*100+I$4))</f>
        <v>0</v>
      </c>
      <c r="J46" s="11">
        <f>IF($A46="",0,SUMIFS('[1]资金台帐'!$H$4:$H$3003,'[1]资金台帐'!$E$4:$E$3003,$A46,'[1]资金台帐'!$N$4:$N$3003,'首页'!$B$4*100+J$4)-SUMIFS('[1]资金台帐'!$G$4:$G$3003,'[1]资金台帐'!$E$4:$E$3003,$A46,'[1]资金台帐'!$N$4:$N$3003,'首页'!$B$4*100+J$4))</f>
        <v>0</v>
      </c>
      <c r="K46" s="11">
        <f>IF($A46="",0,SUMIFS('[1]资金台帐'!$H$4:$H$3003,'[1]资金台帐'!$E$4:$E$3003,$A46,'[1]资金台帐'!$N$4:$N$3003,'首页'!$B$4*100+K$4)-SUMIFS('[1]资金台帐'!$G$4:$G$3003,'[1]资金台帐'!$E$4:$E$3003,$A46,'[1]资金台帐'!$N$4:$N$3003,'首页'!$B$4*100+K$4))</f>
        <v>0</v>
      </c>
      <c r="L46" s="11">
        <f>IF($A46="",0,SUMIFS('[1]资金台帐'!$H$4:$H$3003,'[1]资金台帐'!$E$4:$E$3003,$A46,'[1]资金台帐'!$N$4:$N$3003,'首页'!$B$4*100+L$4)-SUMIFS('[1]资金台帐'!$G$4:$G$3003,'[1]资金台帐'!$E$4:$E$3003,$A46,'[1]资金台帐'!$N$4:$N$3003,'首页'!$B$4*100+L$4))</f>
        <v>0</v>
      </c>
      <c r="M46" s="11">
        <f>IF($A46="",0,SUMIFS('[1]资金台帐'!$H$4:$H$3003,'[1]资金台帐'!$E$4:$E$3003,$A46,'[1]资金台帐'!$N$4:$N$3003,'首页'!$B$4*100+M$4)-SUMIFS('[1]资金台帐'!$G$4:$G$3003,'[1]资金台帐'!$E$4:$E$3003,$A46,'[1]资金台帐'!$N$4:$N$3003,'首页'!$B$4*100+M$4))</f>
        <v>0</v>
      </c>
      <c r="N46" s="11">
        <f t="shared" si="0"/>
        <v>0</v>
      </c>
    </row>
    <row r="47">
      <c r="A47" s="6">
        <f>IF('[1]基础资料'!$G$47="","",'[1]基础资料'!$G$47)</f>
      </c>
      <c r="B47" s="11">
        <f>IF($A47="",0,SUMIFS('[1]资金台帐'!$H$4:$H$3003,'[1]资金台帐'!$E$4:$E$3003,$A47,'[1]资金台帐'!$N$4:$N$3003,'首页'!$B$4*100+B$4)-SUMIFS('[1]资金台帐'!$G$4:$G$3003,'[1]资金台帐'!$E$4:$E$3003,$A47,'[1]资金台帐'!$N$4:$N$3003,'首页'!$B$4*100+B$4))</f>
        <v>0</v>
      </c>
      <c r="C47" s="11">
        <f>IF($A47="",0,SUMIFS('[1]资金台帐'!$H$4:$H$3003,'[1]资金台帐'!$E$4:$E$3003,$A47,'[1]资金台帐'!$N$4:$N$3003,'首页'!$B$4*100+C$4)-SUMIFS('[1]资金台帐'!$G$4:$G$3003,'[1]资金台帐'!$E$4:$E$3003,$A47,'[1]资金台帐'!$N$4:$N$3003,'首页'!$B$4*100+C$4))</f>
        <v>0</v>
      </c>
      <c r="D47" s="11">
        <f>IF($A47="",0,SUMIFS('[1]资金台帐'!$H$4:$H$3003,'[1]资金台帐'!$E$4:$E$3003,$A47,'[1]资金台帐'!$N$4:$N$3003,'首页'!$B$4*100+D$4)-SUMIFS('[1]资金台帐'!$G$4:$G$3003,'[1]资金台帐'!$E$4:$E$3003,$A47,'[1]资金台帐'!$N$4:$N$3003,'首页'!$B$4*100+D$4))</f>
        <v>0</v>
      </c>
      <c r="E47" s="11">
        <f>IF($A47="",0,SUMIFS('[1]资金台帐'!$H$4:$H$3003,'[1]资金台帐'!$E$4:$E$3003,$A47,'[1]资金台帐'!$N$4:$N$3003,'首页'!$B$4*100+E$4)-SUMIFS('[1]资金台帐'!$G$4:$G$3003,'[1]资金台帐'!$E$4:$E$3003,$A47,'[1]资金台帐'!$N$4:$N$3003,'首页'!$B$4*100+E$4))</f>
        <v>0</v>
      </c>
      <c r="F47" s="11">
        <f>IF($A47="",0,SUMIFS('[1]资金台帐'!$H$4:$H$3003,'[1]资金台帐'!$E$4:$E$3003,$A47,'[1]资金台帐'!$N$4:$N$3003,'首页'!$B$4*100+F$4)-SUMIFS('[1]资金台帐'!$G$4:$G$3003,'[1]资金台帐'!$E$4:$E$3003,$A47,'[1]资金台帐'!$N$4:$N$3003,'首页'!$B$4*100+F$4))</f>
        <v>0</v>
      </c>
      <c r="G47" s="11">
        <f>IF($A47="",0,SUMIFS('[1]资金台帐'!$H$4:$H$3003,'[1]资金台帐'!$E$4:$E$3003,$A47,'[1]资金台帐'!$N$4:$N$3003,'首页'!$B$4*100+G$4)-SUMIFS('[1]资金台帐'!$G$4:$G$3003,'[1]资金台帐'!$E$4:$E$3003,$A47,'[1]资金台帐'!$N$4:$N$3003,'首页'!$B$4*100+G$4))</f>
        <v>0</v>
      </c>
      <c r="H47" s="11">
        <f>IF($A47="",0,SUMIFS('[1]资金台帐'!$H$4:$H$3003,'[1]资金台帐'!$E$4:$E$3003,$A47,'[1]资金台帐'!$N$4:$N$3003,'首页'!$B$4*100+H$4)-SUMIFS('[1]资金台帐'!$G$4:$G$3003,'[1]资金台帐'!$E$4:$E$3003,$A47,'[1]资金台帐'!$N$4:$N$3003,'首页'!$B$4*100+H$4))</f>
        <v>0</v>
      </c>
      <c r="I47" s="11">
        <f>IF($A47="",0,SUMIFS('[1]资金台帐'!$H$4:$H$3003,'[1]资金台帐'!$E$4:$E$3003,$A47,'[1]资金台帐'!$N$4:$N$3003,'首页'!$B$4*100+I$4)-SUMIFS('[1]资金台帐'!$G$4:$G$3003,'[1]资金台帐'!$E$4:$E$3003,$A47,'[1]资金台帐'!$N$4:$N$3003,'首页'!$B$4*100+I$4))</f>
        <v>0</v>
      </c>
      <c r="J47" s="11">
        <f>IF($A47="",0,SUMIFS('[1]资金台帐'!$H$4:$H$3003,'[1]资金台帐'!$E$4:$E$3003,$A47,'[1]资金台帐'!$N$4:$N$3003,'首页'!$B$4*100+J$4)-SUMIFS('[1]资金台帐'!$G$4:$G$3003,'[1]资金台帐'!$E$4:$E$3003,$A47,'[1]资金台帐'!$N$4:$N$3003,'首页'!$B$4*100+J$4))</f>
        <v>0</v>
      </c>
      <c r="K47" s="11">
        <f>IF($A47="",0,SUMIFS('[1]资金台帐'!$H$4:$H$3003,'[1]资金台帐'!$E$4:$E$3003,$A47,'[1]资金台帐'!$N$4:$N$3003,'首页'!$B$4*100+K$4)-SUMIFS('[1]资金台帐'!$G$4:$G$3003,'[1]资金台帐'!$E$4:$E$3003,$A47,'[1]资金台帐'!$N$4:$N$3003,'首页'!$B$4*100+K$4))</f>
        <v>0</v>
      </c>
      <c r="L47" s="11">
        <f>IF($A47="",0,SUMIFS('[1]资金台帐'!$H$4:$H$3003,'[1]资金台帐'!$E$4:$E$3003,$A47,'[1]资金台帐'!$N$4:$N$3003,'首页'!$B$4*100+L$4)-SUMIFS('[1]资金台帐'!$G$4:$G$3003,'[1]资金台帐'!$E$4:$E$3003,$A47,'[1]资金台帐'!$N$4:$N$3003,'首页'!$B$4*100+L$4))</f>
        <v>0</v>
      </c>
      <c r="M47" s="11">
        <f>IF($A47="",0,SUMIFS('[1]资金台帐'!$H$4:$H$3003,'[1]资金台帐'!$E$4:$E$3003,$A47,'[1]资金台帐'!$N$4:$N$3003,'首页'!$B$4*100+M$4)-SUMIFS('[1]资金台帐'!$G$4:$G$3003,'[1]资金台帐'!$E$4:$E$3003,$A47,'[1]资金台帐'!$N$4:$N$3003,'首页'!$B$4*100+M$4))</f>
        <v>0</v>
      </c>
      <c r="N47" s="11">
        <f t="shared" si="0"/>
        <v>0</v>
      </c>
    </row>
    <row r="48">
      <c r="A48" s="6">
        <f>IF('[1]基础资料'!$G$48="","",'[1]基础资料'!$G$48)</f>
      </c>
      <c r="B48" s="11">
        <f>IF($A48="",0,SUMIFS('[1]资金台帐'!$H$4:$H$3003,'[1]资金台帐'!$E$4:$E$3003,$A48,'[1]资金台帐'!$N$4:$N$3003,'首页'!$B$4*100+B$4)-SUMIFS('[1]资金台帐'!$G$4:$G$3003,'[1]资金台帐'!$E$4:$E$3003,$A48,'[1]资金台帐'!$N$4:$N$3003,'首页'!$B$4*100+B$4))</f>
        <v>0</v>
      </c>
      <c r="C48" s="11">
        <f>IF($A48="",0,SUMIFS('[1]资金台帐'!$H$4:$H$3003,'[1]资金台帐'!$E$4:$E$3003,$A48,'[1]资金台帐'!$N$4:$N$3003,'首页'!$B$4*100+C$4)-SUMIFS('[1]资金台帐'!$G$4:$G$3003,'[1]资金台帐'!$E$4:$E$3003,$A48,'[1]资金台帐'!$N$4:$N$3003,'首页'!$B$4*100+C$4))</f>
        <v>0</v>
      </c>
      <c r="D48" s="11">
        <f>IF($A48="",0,SUMIFS('[1]资金台帐'!$H$4:$H$3003,'[1]资金台帐'!$E$4:$E$3003,$A48,'[1]资金台帐'!$N$4:$N$3003,'首页'!$B$4*100+D$4)-SUMIFS('[1]资金台帐'!$G$4:$G$3003,'[1]资金台帐'!$E$4:$E$3003,$A48,'[1]资金台帐'!$N$4:$N$3003,'首页'!$B$4*100+D$4))</f>
        <v>0</v>
      </c>
      <c r="E48" s="11">
        <f>IF($A48="",0,SUMIFS('[1]资金台帐'!$H$4:$H$3003,'[1]资金台帐'!$E$4:$E$3003,$A48,'[1]资金台帐'!$N$4:$N$3003,'首页'!$B$4*100+E$4)-SUMIFS('[1]资金台帐'!$G$4:$G$3003,'[1]资金台帐'!$E$4:$E$3003,$A48,'[1]资金台帐'!$N$4:$N$3003,'首页'!$B$4*100+E$4))</f>
        <v>0</v>
      </c>
      <c r="F48" s="11">
        <f>IF($A48="",0,SUMIFS('[1]资金台帐'!$H$4:$H$3003,'[1]资金台帐'!$E$4:$E$3003,$A48,'[1]资金台帐'!$N$4:$N$3003,'首页'!$B$4*100+F$4)-SUMIFS('[1]资金台帐'!$G$4:$G$3003,'[1]资金台帐'!$E$4:$E$3003,$A48,'[1]资金台帐'!$N$4:$N$3003,'首页'!$B$4*100+F$4))</f>
        <v>0</v>
      </c>
      <c r="G48" s="11">
        <f>IF($A48="",0,SUMIFS('[1]资金台帐'!$H$4:$H$3003,'[1]资金台帐'!$E$4:$E$3003,$A48,'[1]资金台帐'!$N$4:$N$3003,'首页'!$B$4*100+G$4)-SUMIFS('[1]资金台帐'!$G$4:$G$3003,'[1]资金台帐'!$E$4:$E$3003,$A48,'[1]资金台帐'!$N$4:$N$3003,'首页'!$B$4*100+G$4))</f>
        <v>0</v>
      </c>
      <c r="H48" s="11">
        <f>IF($A48="",0,SUMIFS('[1]资金台帐'!$H$4:$H$3003,'[1]资金台帐'!$E$4:$E$3003,$A48,'[1]资金台帐'!$N$4:$N$3003,'首页'!$B$4*100+H$4)-SUMIFS('[1]资金台帐'!$G$4:$G$3003,'[1]资金台帐'!$E$4:$E$3003,$A48,'[1]资金台帐'!$N$4:$N$3003,'首页'!$B$4*100+H$4))</f>
        <v>0</v>
      </c>
      <c r="I48" s="11">
        <f>IF($A48="",0,SUMIFS('[1]资金台帐'!$H$4:$H$3003,'[1]资金台帐'!$E$4:$E$3003,$A48,'[1]资金台帐'!$N$4:$N$3003,'首页'!$B$4*100+I$4)-SUMIFS('[1]资金台帐'!$G$4:$G$3003,'[1]资金台帐'!$E$4:$E$3003,$A48,'[1]资金台帐'!$N$4:$N$3003,'首页'!$B$4*100+I$4))</f>
        <v>0</v>
      </c>
      <c r="J48" s="11">
        <f>IF($A48="",0,SUMIFS('[1]资金台帐'!$H$4:$H$3003,'[1]资金台帐'!$E$4:$E$3003,$A48,'[1]资金台帐'!$N$4:$N$3003,'首页'!$B$4*100+J$4)-SUMIFS('[1]资金台帐'!$G$4:$G$3003,'[1]资金台帐'!$E$4:$E$3003,$A48,'[1]资金台帐'!$N$4:$N$3003,'首页'!$B$4*100+J$4))</f>
        <v>0</v>
      </c>
      <c r="K48" s="11">
        <f>IF($A48="",0,SUMIFS('[1]资金台帐'!$H$4:$H$3003,'[1]资金台帐'!$E$4:$E$3003,$A48,'[1]资金台帐'!$N$4:$N$3003,'首页'!$B$4*100+K$4)-SUMIFS('[1]资金台帐'!$G$4:$G$3003,'[1]资金台帐'!$E$4:$E$3003,$A48,'[1]资金台帐'!$N$4:$N$3003,'首页'!$B$4*100+K$4))</f>
        <v>0</v>
      </c>
      <c r="L48" s="11">
        <f>IF($A48="",0,SUMIFS('[1]资金台帐'!$H$4:$H$3003,'[1]资金台帐'!$E$4:$E$3003,$A48,'[1]资金台帐'!$N$4:$N$3003,'首页'!$B$4*100+L$4)-SUMIFS('[1]资金台帐'!$G$4:$G$3003,'[1]资金台帐'!$E$4:$E$3003,$A48,'[1]资金台帐'!$N$4:$N$3003,'首页'!$B$4*100+L$4))</f>
        <v>0</v>
      </c>
      <c r="M48" s="11">
        <f>IF($A48="",0,SUMIFS('[1]资金台帐'!$H$4:$H$3003,'[1]资金台帐'!$E$4:$E$3003,$A48,'[1]资金台帐'!$N$4:$N$3003,'首页'!$B$4*100+M$4)-SUMIFS('[1]资金台帐'!$G$4:$G$3003,'[1]资金台帐'!$E$4:$E$3003,$A48,'[1]资金台帐'!$N$4:$N$3003,'首页'!$B$4*100+M$4))</f>
        <v>0</v>
      </c>
      <c r="N48" s="11">
        <f t="shared" si="0"/>
        <v>0</v>
      </c>
    </row>
    <row r="49">
      <c r="A49" s="6">
        <f>IF('[1]基础资料'!$G$49="","",'[1]基础资料'!$G$49)</f>
      </c>
      <c r="B49" s="11">
        <f>IF($A49="",0,SUMIFS('[1]资金台帐'!$H$4:$H$3003,'[1]资金台帐'!$E$4:$E$3003,$A49,'[1]资金台帐'!$N$4:$N$3003,'首页'!$B$4*100+B$4)-SUMIFS('[1]资金台帐'!$G$4:$G$3003,'[1]资金台帐'!$E$4:$E$3003,$A49,'[1]资金台帐'!$N$4:$N$3003,'首页'!$B$4*100+B$4))</f>
        <v>0</v>
      </c>
      <c r="C49" s="11">
        <f>IF($A49="",0,SUMIFS('[1]资金台帐'!$H$4:$H$3003,'[1]资金台帐'!$E$4:$E$3003,$A49,'[1]资金台帐'!$N$4:$N$3003,'首页'!$B$4*100+C$4)-SUMIFS('[1]资金台帐'!$G$4:$G$3003,'[1]资金台帐'!$E$4:$E$3003,$A49,'[1]资金台帐'!$N$4:$N$3003,'首页'!$B$4*100+C$4))</f>
        <v>0</v>
      </c>
      <c r="D49" s="11">
        <f>IF($A49="",0,SUMIFS('[1]资金台帐'!$H$4:$H$3003,'[1]资金台帐'!$E$4:$E$3003,$A49,'[1]资金台帐'!$N$4:$N$3003,'首页'!$B$4*100+D$4)-SUMIFS('[1]资金台帐'!$G$4:$G$3003,'[1]资金台帐'!$E$4:$E$3003,$A49,'[1]资金台帐'!$N$4:$N$3003,'首页'!$B$4*100+D$4))</f>
        <v>0</v>
      </c>
      <c r="E49" s="11">
        <f>IF($A49="",0,SUMIFS('[1]资金台帐'!$H$4:$H$3003,'[1]资金台帐'!$E$4:$E$3003,$A49,'[1]资金台帐'!$N$4:$N$3003,'首页'!$B$4*100+E$4)-SUMIFS('[1]资金台帐'!$G$4:$G$3003,'[1]资金台帐'!$E$4:$E$3003,$A49,'[1]资金台帐'!$N$4:$N$3003,'首页'!$B$4*100+E$4))</f>
        <v>0</v>
      </c>
      <c r="F49" s="11">
        <f>IF($A49="",0,SUMIFS('[1]资金台帐'!$H$4:$H$3003,'[1]资金台帐'!$E$4:$E$3003,$A49,'[1]资金台帐'!$N$4:$N$3003,'首页'!$B$4*100+F$4)-SUMIFS('[1]资金台帐'!$G$4:$G$3003,'[1]资金台帐'!$E$4:$E$3003,$A49,'[1]资金台帐'!$N$4:$N$3003,'首页'!$B$4*100+F$4))</f>
        <v>0</v>
      </c>
      <c r="G49" s="11">
        <f>IF($A49="",0,SUMIFS('[1]资金台帐'!$H$4:$H$3003,'[1]资金台帐'!$E$4:$E$3003,$A49,'[1]资金台帐'!$N$4:$N$3003,'首页'!$B$4*100+G$4)-SUMIFS('[1]资金台帐'!$G$4:$G$3003,'[1]资金台帐'!$E$4:$E$3003,$A49,'[1]资金台帐'!$N$4:$N$3003,'首页'!$B$4*100+G$4))</f>
        <v>0</v>
      </c>
      <c r="H49" s="11">
        <f>IF($A49="",0,SUMIFS('[1]资金台帐'!$H$4:$H$3003,'[1]资金台帐'!$E$4:$E$3003,$A49,'[1]资金台帐'!$N$4:$N$3003,'首页'!$B$4*100+H$4)-SUMIFS('[1]资金台帐'!$G$4:$G$3003,'[1]资金台帐'!$E$4:$E$3003,$A49,'[1]资金台帐'!$N$4:$N$3003,'首页'!$B$4*100+H$4))</f>
        <v>0</v>
      </c>
      <c r="I49" s="11">
        <f>IF($A49="",0,SUMIFS('[1]资金台帐'!$H$4:$H$3003,'[1]资金台帐'!$E$4:$E$3003,$A49,'[1]资金台帐'!$N$4:$N$3003,'首页'!$B$4*100+I$4)-SUMIFS('[1]资金台帐'!$G$4:$G$3003,'[1]资金台帐'!$E$4:$E$3003,$A49,'[1]资金台帐'!$N$4:$N$3003,'首页'!$B$4*100+I$4))</f>
        <v>0</v>
      </c>
      <c r="J49" s="11">
        <f>IF($A49="",0,SUMIFS('[1]资金台帐'!$H$4:$H$3003,'[1]资金台帐'!$E$4:$E$3003,$A49,'[1]资金台帐'!$N$4:$N$3003,'首页'!$B$4*100+J$4)-SUMIFS('[1]资金台帐'!$G$4:$G$3003,'[1]资金台帐'!$E$4:$E$3003,$A49,'[1]资金台帐'!$N$4:$N$3003,'首页'!$B$4*100+J$4))</f>
        <v>0</v>
      </c>
      <c r="K49" s="11">
        <f>IF($A49="",0,SUMIFS('[1]资金台帐'!$H$4:$H$3003,'[1]资金台帐'!$E$4:$E$3003,$A49,'[1]资金台帐'!$N$4:$N$3003,'首页'!$B$4*100+K$4)-SUMIFS('[1]资金台帐'!$G$4:$G$3003,'[1]资金台帐'!$E$4:$E$3003,$A49,'[1]资金台帐'!$N$4:$N$3003,'首页'!$B$4*100+K$4))</f>
        <v>0</v>
      </c>
      <c r="L49" s="11">
        <f>IF($A49="",0,SUMIFS('[1]资金台帐'!$H$4:$H$3003,'[1]资金台帐'!$E$4:$E$3003,$A49,'[1]资金台帐'!$N$4:$N$3003,'首页'!$B$4*100+L$4)-SUMIFS('[1]资金台帐'!$G$4:$G$3003,'[1]资金台帐'!$E$4:$E$3003,$A49,'[1]资金台帐'!$N$4:$N$3003,'首页'!$B$4*100+L$4))</f>
        <v>0</v>
      </c>
      <c r="M49" s="11">
        <f>IF($A49="",0,SUMIFS('[1]资金台帐'!$H$4:$H$3003,'[1]资金台帐'!$E$4:$E$3003,$A49,'[1]资金台帐'!$N$4:$N$3003,'首页'!$B$4*100+M$4)-SUMIFS('[1]资金台帐'!$G$4:$G$3003,'[1]资金台帐'!$E$4:$E$3003,$A49,'[1]资金台帐'!$N$4:$N$3003,'首页'!$B$4*100+M$4))</f>
        <v>0</v>
      </c>
      <c r="N49" s="11">
        <f t="shared" si="0"/>
        <v>0</v>
      </c>
    </row>
    <row r="50">
      <c r="A50" s="6">
        <f>IF('[1]基础资料'!$G$50="","",'[1]基础资料'!$G$50)</f>
      </c>
      <c r="B50" s="11">
        <f>IF($A50="",0,SUMIFS('[1]资金台帐'!$H$4:$H$3003,'[1]资金台帐'!$E$4:$E$3003,$A50,'[1]资金台帐'!$N$4:$N$3003,'首页'!$B$4*100+B$4)-SUMIFS('[1]资金台帐'!$G$4:$G$3003,'[1]资金台帐'!$E$4:$E$3003,$A50,'[1]资金台帐'!$N$4:$N$3003,'首页'!$B$4*100+B$4))</f>
        <v>0</v>
      </c>
      <c r="C50" s="11">
        <f>IF($A50="",0,SUMIFS('[1]资金台帐'!$H$4:$H$3003,'[1]资金台帐'!$E$4:$E$3003,$A50,'[1]资金台帐'!$N$4:$N$3003,'首页'!$B$4*100+C$4)-SUMIFS('[1]资金台帐'!$G$4:$G$3003,'[1]资金台帐'!$E$4:$E$3003,$A50,'[1]资金台帐'!$N$4:$N$3003,'首页'!$B$4*100+C$4))</f>
        <v>0</v>
      </c>
      <c r="D50" s="11">
        <f>IF($A50="",0,SUMIFS('[1]资金台帐'!$H$4:$H$3003,'[1]资金台帐'!$E$4:$E$3003,$A50,'[1]资金台帐'!$N$4:$N$3003,'首页'!$B$4*100+D$4)-SUMIFS('[1]资金台帐'!$G$4:$G$3003,'[1]资金台帐'!$E$4:$E$3003,$A50,'[1]资金台帐'!$N$4:$N$3003,'首页'!$B$4*100+D$4))</f>
        <v>0</v>
      </c>
      <c r="E50" s="11">
        <f>IF($A50="",0,SUMIFS('[1]资金台帐'!$H$4:$H$3003,'[1]资金台帐'!$E$4:$E$3003,$A50,'[1]资金台帐'!$N$4:$N$3003,'首页'!$B$4*100+E$4)-SUMIFS('[1]资金台帐'!$G$4:$G$3003,'[1]资金台帐'!$E$4:$E$3003,$A50,'[1]资金台帐'!$N$4:$N$3003,'首页'!$B$4*100+E$4))</f>
        <v>0</v>
      </c>
      <c r="F50" s="11">
        <f>IF($A50="",0,SUMIFS('[1]资金台帐'!$H$4:$H$3003,'[1]资金台帐'!$E$4:$E$3003,$A50,'[1]资金台帐'!$N$4:$N$3003,'首页'!$B$4*100+F$4)-SUMIFS('[1]资金台帐'!$G$4:$G$3003,'[1]资金台帐'!$E$4:$E$3003,$A50,'[1]资金台帐'!$N$4:$N$3003,'首页'!$B$4*100+F$4))</f>
        <v>0</v>
      </c>
      <c r="G50" s="11">
        <f>IF($A50="",0,SUMIFS('[1]资金台帐'!$H$4:$H$3003,'[1]资金台帐'!$E$4:$E$3003,$A50,'[1]资金台帐'!$N$4:$N$3003,'首页'!$B$4*100+G$4)-SUMIFS('[1]资金台帐'!$G$4:$G$3003,'[1]资金台帐'!$E$4:$E$3003,$A50,'[1]资金台帐'!$N$4:$N$3003,'首页'!$B$4*100+G$4))</f>
        <v>0</v>
      </c>
      <c r="H50" s="11">
        <f>IF($A50="",0,SUMIFS('[1]资金台帐'!$H$4:$H$3003,'[1]资金台帐'!$E$4:$E$3003,$A50,'[1]资金台帐'!$N$4:$N$3003,'首页'!$B$4*100+H$4)-SUMIFS('[1]资金台帐'!$G$4:$G$3003,'[1]资金台帐'!$E$4:$E$3003,$A50,'[1]资金台帐'!$N$4:$N$3003,'首页'!$B$4*100+H$4))</f>
        <v>0</v>
      </c>
      <c r="I50" s="11">
        <f>IF($A50="",0,SUMIFS('[1]资金台帐'!$H$4:$H$3003,'[1]资金台帐'!$E$4:$E$3003,$A50,'[1]资金台帐'!$N$4:$N$3003,'首页'!$B$4*100+I$4)-SUMIFS('[1]资金台帐'!$G$4:$G$3003,'[1]资金台帐'!$E$4:$E$3003,$A50,'[1]资金台帐'!$N$4:$N$3003,'首页'!$B$4*100+I$4))</f>
        <v>0</v>
      </c>
      <c r="J50" s="11">
        <f>IF($A50="",0,SUMIFS('[1]资金台帐'!$H$4:$H$3003,'[1]资金台帐'!$E$4:$E$3003,$A50,'[1]资金台帐'!$N$4:$N$3003,'首页'!$B$4*100+J$4)-SUMIFS('[1]资金台帐'!$G$4:$G$3003,'[1]资金台帐'!$E$4:$E$3003,$A50,'[1]资金台帐'!$N$4:$N$3003,'首页'!$B$4*100+J$4))</f>
        <v>0</v>
      </c>
      <c r="K50" s="11">
        <f>IF($A50="",0,SUMIFS('[1]资金台帐'!$H$4:$H$3003,'[1]资金台帐'!$E$4:$E$3003,$A50,'[1]资金台帐'!$N$4:$N$3003,'首页'!$B$4*100+K$4)-SUMIFS('[1]资金台帐'!$G$4:$G$3003,'[1]资金台帐'!$E$4:$E$3003,$A50,'[1]资金台帐'!$N$4:$N$3003,'首页'!$B$4*100+K$4))</f>
        <v>0</v>
      </c>
      <c r="L50" s="11">
        <f>IF($A50="",0,SUMIFS('[1]资金台帐'!$H$4:$H$3003,'[1]资金台帐'!$E$4:$E$3003,$A50,'[1]资金台帐'!$N$4:$N$3003,'首页'!$B$4*100+L$4)-SUMIFS('[1]资金台帐'!$G$4:$G$3003,'[1]资金台帐'!$E$4:$E$3003,$A50,'[1]资金台帐'!$N$4:$N$3003,'首页'!$B$4*100+L$4))</f>
        <v>0</v>
      </c>
      <c r="M50" s="11">
        <f>IF($A50="",0,SUMIFS('[1]资金台帐'!$H$4:$H$3003,'[1]资金台帐'!$E$4:$E$3003,$A50,'[1]资金台帐'!$N$4:$N$3003,'首页'!$B$4*100+M$4)-SUMIFS('[1]资金台帐'!$G$4:$G$3003,'[1]资金台帐'!$E$4:$E$3003,$A50,'[1]资金台帐'!$N$4:$N$3003,'首页'!$B$4*100+M$4))</f>
        <v>0</v>
      </c>
      <c r="N50" s="11">
        <f t="shared" si="0"/>
        <v>0</v>
      </c>
    </row>
    <row r="51">
      <c r="A51" s="6">
        <f>IF('[1]基础资料'!$G$51="","",'[1]基础资料'!$G$51)</f>
      </c>
      <c r="B51" s="11">
        <f>IF($A51="",0,SUMIFS('[1]资金台帐'!$H$4:$H$3003,'[1]资金台帐'!$E$4:$E$3003,$A51,'[1]资金台帐'!$N$4:$N$3003,'首页'!$B$4*100+B$4)-SUMIFS('[1]资金台帐'!$G$4:$G$3003,'[1]资金台帐'!$E$4:$E$3003,$A51,'[1]资金台帐'!$N$4:$N$3003,'首页'!$B$4*100+B$4))</f>
        <v>0</v>
      </c>
      <c r="C51" s="11">
        <f>IF($A51="",0,SUMIFS('[1]资金台帐'!$H$4:$H$3003,'[1]资金台帐'!$E$4:$E$3003,$A51,'[1]资金台帐'!$N$4:$N$3003,'首页'!$B$4*100+C$4)-SUMIFS('[1]资金台帐'!$G$4:$G$3003,'[1]资金台帐'!$E$4:$E$3003,$A51,'[1]资金台帐'!$N$4:$N$3003,'首页'!$B$4*100+C$4))</f>
        <v>0</v>
      </c>
      <c r="D51" s="11">
        <f>IF($A51="",0,SUMIFS('[1]资金台帐'!$H$4:$H$3003,'[1]资金台帐'!$E$4:$E$3003,$A51,'[1]资金台帐'!$N$4:$N$3003,'首页'!$B$4*100+D$4)-SUMIFS('[1]资金台帐'!$G$4:$G$3003,'[1]资金台帐'!$E$4:$E$3003,$A51,'[1]资金台帐'!$N$4:$N$3003,'首页'!$B$4*100+D$4))</f>
        <v>0</v>
      </c>
      <c r="E51" s="11">
        <f>IF($A51="",0,SUMIFS('[1]资金台帐'!$H$4:$H$3003,'[1]资金台帐'!$E$4:$E$3003,$A51,'[1]资金台帐'!$N$4:$N$3003,'首页'!$B$4*100+E$4)-SUMIFS('[1]资金台帐'!$G$4:$G$3003,'[1]资金台帐'!$E$4:$E$3003,$A51,'[1]资金台帐'!$N$4:$N$3003,'首页'!$B$4*100+E$4))</f>
        <v>0</v>
      </c>
      <c r="F51" s="11">
        <f>IF($A51="",0,SUMIFS('[1]资金台帐'!$H$4:$H$3003,'[1]资金台帐'!$E$4:$E$3003,$A51,'[1]资金台帐'!$N$4:$N$3003,'首页'!$B$4*100+F$4)-SUMIFS('[1]资金台帐'!$G$4:$G$3003,'[1]资金台帐'!$E$4:$E$3003,$A51,'[1]资金台帐'!$N$4:$N$3003,'首页'!$B$4*100+F$4))</f>
        <v>0</v>
      </c>
      <c r="G51" s="11">
        <f>IF($A51="",0,SUMIFS('[1]资金台帐'!$H$4:$H$3003,'[1]资金台帐'!$E$4:$E$3003,$A51,'[1]资金台帐'!$N$4:$N$3003,'首页'!$B$4*100+G$4)-SUMIFS('[1]资金台帐'!$G$4:$G$3003,'[1]资金台帐'!$E$4:$E$3003,$A51,'[1]资金台帐'!$N$4:$N$3003,'首页'!$B$4*100+G$4))</f>
        <v>0</v>
      </c>
      <c r="H51" s="11">
        <f>IF($A51="",0,SUMIFS('[1]资金台帐'!$H$4:$H$3003,'[1]资金台帐'!$E$4:$E$3003,$A51,'[1]资金台帐'!$N$4:$N$3003,'首页'!$B$4*100+H$4)-SUMIFS('[1]资金台帐'!$G$4:$G$3003,'[1]资金台帐'!$E$4:$E$3003,$A51,'[1]资金台帐'!$N$4:$N$3003,'首页'!$B$4*100+H$4))</f>
        <v>0</v>
      </c>
      <c r="I51" s="11">
        <f>IF($A51="",0,SUMIFS('[1]资金台帐'!$H$4:$H$3003,'[1]资金台帐'!$E$4:$E$3003,$A51,'[1]资金台帐'!$N$4:$N$3003,'首页'!$B$4*100+I$4)-SUMIFS('[1]资金台帐'!$G$4:$G$3003,'[1]资金台帐'!$E$4:$E$3003,$A51,'[1]资金台帐'!$N$4:$N$3003,'首页'!$B$4*100+I$4))</f>
        <v>0</v>
      </c>
      <c r="J51" s="11">
        <f>IF($A51="",0,SUMIFS('[1]资金台帐'!$H$4:$H$3003,'[1]资金台帐'!$E$4:$E$3003,$A51,'[1]资金台帐'!$N$4:$N$3003,'首页'!$B$4*100+J$4)-SUMIFS('[1]资金台帐'!$G$4:$G$3003,'[1]资金台帐'!$E$4:$E$3003,$A51,'[1]资金台帐'!$N$4:$N$3003,'首页'!$B$4*100+J$4))</f>
        <v>0</v>
      </c>
      <c r="K51" s="11">
        <f>IF($A51="",0,SUMIFS('[1]资金台帐'!$H$4:$H$3003,'[1]资金台帐'!$E$4:$E$3003,$A51,'[1]资金台帐'!$N$4:$N$3003,'首页'!$B$4*100+K$4)-SUMIFS('[1]资金台帐'!$G$4:$G$3003,'[1]资金台帐'!$E$4:$E$3003,$A51,'[1]资金台帐'!$N$4:$N$3003,'首页'!$B$4*100+K$4))</f>
        <v>0</v>
      </c>
      <c r="L51" s="11">
        <f>IF($A51="",0,SUMIFS('[1]资金台帐'!$H$4:$H$3003,'[1]资金台帐'!$E$4:$E$3003,$A51,'[1]资金台帐'!$N$4:$N$3003,'首页'!$B$4*100+L$4)-SUMIFS('[1]资金台帐'!$G$4:$G$3003,'[1]资金台帐'!$E$4:$E$3003,$A51,'[1]资金台帐'!$N$4:$N$3003,'首页'!$B$4*100+L$4))</f>
        <v>0</v>
      </c>
      <c r="M51" s="11">
        <f>IF($A51="",0,SUMIFS('[1]资金台帐'!$H$4:$H$3003,'[1]资金台帐'!$E$4:$E$3003,$A51,'[1]资金台帐'!$N$4:$N$3003,'首页'!$B$4*100+M$4)-SUMIFS('[1]资金台帐'!$G$4:$G$3003,'[1]资金台帐'!$E$4:$E$3003,$A51,'[1]资金台帐'!$N$4:$N$3003,'首页'!$B$4*100+M$4))</f>
        <v>0</v>
      </c>
      <c r="N51" s="11">
        <f t="shared" si="0"/>
        <v>0</v>
      </c>
    </row>
    <row r="52">
      <c r="A52" s="6">
        <f>IF('[1]基础资料'!$G$52="","",'[1]基础资料'!$G$52)</f>
      </c>
      <c r="B52" s="11">
        <f>IF($A52="",0,SUMIFS('[1]资金台帐'!$H$4:$H$3003,'[1]资金台帐'!$E$4:$E$3003,$A52,'[1]资金台帐'!$N$4:$N$3003,'首页'!$B$4*100+B$4)-SUMIFS('[1]资金台帐'!$G$4:$G$3003,'[1]资金台帐'!$E$4:$E$3003,$A52,'[1]资金台帐'!$N$4:$N$3003,'首页'!$B$4*100+B$4))</f>
        <v>0</v>
      </c>
      <c r="C52" s="11">
        <f>IF($A52="",0,SUMIFS('[1]资金台帐'!$H$4:$H$3003,'[1]资金台帐'!$E$4:$E$3003,$A52,'[1]资金台帐'!$N$4:$N$3003,'首页'!$B$4*100+C$4)-SUMIFS('[1]资金台帐'!$G$4:$G$3003,'[1]资金台帐'!$E$4:$E$3003,$A52,'[1]资金台帐'!$N$4:$N$3003,'首页'!$B$4*100+C$4))</f>
        <v>0</v>
      </c>
      <c r="D52" s="11">
        <f>IF($A52="",0,SUMIFS('[1]资金台帐'!$H$4:$H$3003,'[1]资金台帐'!$E$4:$E$3003,$A52,'[1]资金台帐'!$N$4:$N$3003,'首页'!$B$4*100+D$4)-SUMIFS('[1]资金台帐'!$G$4:$G$3003,'[1]资金台帐'!$E$4:$E$3003,$A52,'[1]资金台帐'!$N$4:$N$3003,'首页'!$B$4*100+D$4))</f>
        <v>0</v>
      </c>
      <c r="E52" s="11">
        <f>IF($A52="",0,SUMIFS('[1]资金台帐'!$H$4:$H$3003,'[1]资金台帐'!$E$4:$E$3003,$A52,'[1]资金台帐'!$N$4:$N$3003,'首页'!$B$4*100+E$4)-SUMIFS('[1]资金台帐'!$G$4:$G$3003,'[1]资金台帐'!$E$4:$E$3003,$A52,'[1]资金台帐'!$N$4:$N$3003,'首页'!$B$4*100+E$4))</f>
        <v>0</v>
      </c>
      <c r="F52" s="11">
        <f>IF($A52="",0,SUMIFS('[1]资金台帐'!$H$4:$H$3003,'[1]资金台帐'!$E$4:$E$3003,$A52,'[1]资金台帐'!$N$4:$N$3003,'首页'!$B$4*100+F$4)-SUMIFS('[1]资金台帐'!$G$4:$G$3003,'[1]资金台帐'!$E$4:$E$3003,$A52,'[1]资金台帐'!$N$4:$N$3003,'首页'!$B$4*100+F$4))</f>
        <v>0</v>
      </c>
      <c r="G52" s="11">
        <f>IF($A52="",0,SUMIFS('[1]资金台帐'!$H$4:$H$3003,'[1]资金台帐'!$E$4:$E$3003,$A52,'[1]资金台帐'!$N$4:$N$3003,'首页'!$B$4*100+G$4)-SUMIFS('[1]资金台帐'!$G$4:$G$3003,'[1]资金台帐'!$E$4:$E$3003,$A52,'[1]资金台帐'!$N$4:$N$3003,'首页'!$B$4*100+G$4))</f>
        <v>0</v>
      </c>
      <c r="H52" s="11">
        <f>IF($A52="",0,SUMIFS('[1]资金台帐'!$H$4:$H$3003,'[1]资金台帐'!$E$4:$E$3003,$A52,'[1]资金台帐'!$N$4:$N$3003,'首页'!$B$4*100+H$4)-SUMIFS('[1]资金台帐'!$G$4:$G$3003,'[1]资金台帐'!$E$4:$E$3003,$A52,'[1]资金台帐'!$N$4:$N$3003,'首页'!$B$4*100+H$4))</f>
        <v>0</v>
      </c>
      <c r="I52" s="11">
        <f>IF($A52="",0,SUMIFS('[1]资金台帐'!$H$4:$H$3003,'[1]资金台帐'!$E$4:$E$3003,$A52,'[1]资金台帐'!$N$4:$N$3003,'首页'!$B$4*100+I$4)-SUMIFS('[1]资金台帐'!$G$4:$G$3003,'[1]资金台帐'!$E$4:$E$3003,$A52,'[1]资金台帐'!$N$4:$N$3003,'首页'!$B$4*100+I$4))</f>
        <v>0</v>
      </c>
      <c r="J52" s="11">
        <f>IF($A52="",0,SUMIFS('[1]资金台帐'!$H$4:$H$3003,'[1]资金台帐'!$E$4:$E$3003,$A52,'[1]资金台帐'!$N$4:$N$3003,'首页'!$B$4*100+J$4)-SUMIFS('[1]资金台帐'!$G$4:$G$3003,'[1]资金台帐'!$E$4:$E$3003,$A52,'[1]资金台帐'!$N$4:$N$3003,'首页'!$B$4*100+J$4))</f>
        <v>0</v>
      </c>
      <c r="K52" s="11">
        <f>IF($A52="",0,SUMIFS('[1]资金台帐'!$H$4:$H$3003,'[1]资金台帐'!$E$4:$E$3003,$A52,'[1]资金台帐'!$N$4:$N$3003,'首页'!$B$4*100+K$4)-SUMIFS('[1]资金台帐'!$G$4:$G$3003,'[1]资金台帐'!$E$4:$E$3003,$A52,'[1]资金台帐'!$N$4:$N$3003,'首页'!$B$4*100+K$4))</f>
        <v>0</v>
      </c>
      <c r="L52" s="11">
        <f>IF($A52="",0,SUMIFS('[1]资金台帐'!$H$4:$H$3003,'[1]资金台帐'!$E$4:$E$3003,$A52,'[1]资金台帐'!$N$4:$N$3003,'首页'!$B$4*100+L$4)-SUMIFS('[1]资金台帐'!$G$4:$G$3003,'[1]资金台帐'!$E$4:$E$3003,$A52,'[1]资金台帐'!$N$4:$N$3003,'首页'!$B$4*100+L$4))</f>
        <v>0</v>
      </c>
      <c r="M52" s="11">
        <f>IF($A52="",0,SUMIFS('[1]资金台帐'!$H$4:$H$3003,'[1]资金台帐'!$E$4:$E$3003,$A52,'[1]资金台帐'!$N$4:$N$3003,'首页'!$B$4*100+M$4)-SUMIFS('[1]资金台帐'!$G$4:$G$3003,'[1]资金台帐'!$E$4:$E$3003,$A52,'[1]资金台帐'!$N$4:$N$3003,'首页'!$B$4*100+M$4))</f>
        <v>0</v>
      </c>
      <c r="N52" s="11">
        <f t="shared" si="0"/>
        <v>0</v>
      </c>
    </row>
    <row r="53">
      <c r="A53" s="6">
        <f>IF('[1]基础资料'!$G$53="","",'[1]基础资料'!$G$53)</f>
      </c>
      <c r="B53" s="11">
        <f>IF($A53="",0,SUMIFS('[1]资金台帐'!$H$4:$H$3003,'[1]资金台帐'!$E$4:$E$3003,$A53,'[1]资金台帐'!$N$4:$N$3003,'首页'!$B$4*100+B$4)-SUMIFS('[1]资金台帐'!$G$4:$G$3003,'[1]资金台帐'!$E$4:$E$3003,$A53,'[1]资金台帐'!$N$4:$N$3003,'首页'!$B$4*100+B$4))</f>
        <v>0</v>
      </c>
      <c r="C53" s="11">
        <f>IF($A53="",0,SUMIFS('[1]资金台帐'!$H$4:$H$3003,'[1]资金台帐'!$E$4:$E$3003,$A53,'[1]资金台帐'!$N$4:$N$3003,'首页'!$B$4*100+C$4)-SUMIFS('[1]资金台帐'!$G$4:$G$3003,'[1]资金台帐'!$E$4:$E$3003,$A53,'[1]资金台帐'!$N$4:$N$3003,'首页'!$B$4*100+C$4))</f>
        <v>0</v>
      </c>
      <c r="D53" s="11">
        <f>IF($A53="",0,SUMIFS('[1]资金台帐'!$H$4:$H$3003,'[1]资金台帐'!$E$4:$E$3003,$A53,'[1]资金台帐'!$N$4:$N$3003,'首页'!$B$4*100+D$4)-SUMIFS('[1]资金台帐'!$G$4:$G$3003,'[1]资金台帐'!$E$4:$E$3003,$A53,'[1]资金台帐'!$N$4:$N$3003,'首页'!$B$4*100+D$4))</f>
        <v>0</v>
      </c>
      <c r="E53" s="11">
        <f>IF($A53="",0,SUMIFS('[1]资金台帐'!$H$4:$H$3003,'[1]资金台帐'!$E$4:$E$3003,$A53,'[1]资金台帐'!$N$4:$N$3003,'首页'!$B$4*100+E$4)-SUMIFS('[1]资金台帐'!$G$4:$G$3003,'[1]资金台帐'!$E$4:$E$3003,$A53,'[1]资金台帐'!$N$4:$N$3003,'首页'!$B$4*100+E$4))</f>
        <v>0</v>
      </c>
      <c r="F53" s="11">
        <f>IF($A53="",0,SUMIFS('[1]资金台帐'!$H$4:$H$3003,'[1]资金台帐'!$E$4:$E$3003,$A53,'[1]资金台帐'!$N$4:$N$3003,'首页'!$B$4*100+F$4)-SUMIFS('[1]资金台帐'!$G$4:$G$3003,'[1]资金台帐'!$E$4:$E$3003,$A53,'[1]资金台帐'!$N$4:$N$3003,'首页'!$B$4*100+F$4))</f>
        <v>0</v>
      </c>
      <c r="G53" s="11">
        <f>IF($A53="",0,SUMIFS('[1]资金台帐'!$H$4:$H$3003,'[1]资金台帐'!$E$4:$E$3003,$A53,'[1]资金台帐'!$N$4:$N$3003,'首页'!$B$4*100+G$4)-SUMIFS('[1]资金台帐'!$G$4:$G$3003,'[1]资金台帐'!$E$4:$E$3003,$A53,'[1]资金台帐'!$N$4:$N$3003,'首页'!$B$4*100+G$4))</f>
        <v>0</v>
      </c>
      <c r="H53" s="11">
        <f>IF($A53="",0,SUMIFS('[1]资金台帐'!$H$4:$H$3003,'[1]资金台帐'!$E$4:$E$3003,$A53,'[1]资金台帐'!$N$4:$N$3003,'首页'!$B$4*100+H$4)-SUMIFS('[1]资金台帐'!$G$4:$G$3003,'[1]资金台帐'!$E$4:$E$3003,$A53,'[1]资金台帐'!$N$4:$N$3003,'首页'!$B$4*100+H$4))</f>
        <v>0</v>
      </c>
      <c r="I53" s="11">
        <f>IF($A53="",0,SUMIFS('[1]资金台帐'!$H$4:$H$3003,'[1]资金台帐'!$E$4:$E$3003,$A53,'[1]资金台帐'!$N$4:$N$3003,'首页'!$B$4*100+I$4)-SUMIFS('[1]资金台帐'!$G$4:$G$3003,'[1]资金台帐'!$E$4:$E$3003,$A53,'[1]资金台帐'!$N$4:$N$3003,'首页'!$B$4*100+I$4))</f>
        <v>0</v>
      </c>
      <c r="J53" s="11">
        <f>IF($A53="",0,SUMIFS('[1]资金台帐'!$H$4:$H$3003,'[1]资金台帐'!$E$4:$E$3003,$A53,'[1]资金台帐'!$N$4:$N$3003,'首页'!$B$4*100+J$4)-SUMIFS('[1]资金台帐'!$G$4:$G$3003,'[1]资金台帐'!$E$4:$E$3003,$A53,'[1]资金台帐'!$N$4:$N$3003,'首页'!$B$4*100+J$4))</f>
        <v>0</v>
      </c>
      <c r="K53" s="11">
        <f>IF($A53="",0,SUMIFS('[1]资金台帐'!$H$4:$H$3003,'[1]资金台帐'!$E$4:$E$3003,$A53,'[1]资金台帐'!$N$4:$N$3003,'首页'!$B$4*100+K$4)-SUMIFS('[1]资金台帐'!$G$4:$G$3003,'[1]资金台帐'!$E$4:$E$3003,$A53,'[1]资金台帐'!$N$4:$N$3003,'首页'!$B$4*100+K$4))</f>
        <v>0</v>
      </c>
      <c r="L53" s="11">
        <f>IF($A53="",0,SUMIFS('[1]资金台帐'!$H$4:$H$3003,'[1]资金台帐'!$E$4:$E$3003,$A53,'[1]资金台帐'!$N$4:$N$3003,'首页'!$B$4*100+L$4)-SUMIFS('[1]资金台帐'!$G$4:$G$3003,'[1]资金台帐'!$E$4:$E$3003,$A53,'[1]资金台帐'!$N$4:$N$3003,'首页'!$B$4*100+L$4))</f>
        <v>0</v>
      </c>
      <c r="M53" s="11">
        <f>IF($A53="",0,SUMIFS('[1]资金台帐'!$H$4:$H$3003,'[1]资金台帐'!$E$4:$E$3003,$A53,'[1]资金台帐'!$N$4:$N$3003,'首页'!$B$4*100+M$4)-SUMIFS('[1]资金台帐'!$G$4:$G$3003,'[1]资金台帐'!$E$4:$E$3003,$A53,'[1]资金台帐'!$N$4:$N$3003,'首页'!$B$4*100+M$4))</f>
        <v>0</v>
      </c>
      <c r="N53" s="11">
        <f t="shared" si="0"/>
        <v>0</v>
      </c>
    </row>
    <row r="54">
      <c r="A54" s="6">
        <f>IF('[1]基础资料'!$G$54="","",'[1]基础资料'!$G$54)</f>
      </c>
      <c r="B54" s="11">
        <f>IF($A54="",0,SUMIFS('[1]资金台帐'!$H$4:$H$3003,'[1]资金台帐'!$E$4:$E$3003,$A54,'[1]资金台帐'!$N$4:$N$3003,'首页'!$B$4*100+B$4)-SUMIFS('[1]资金台帐'!$G$4:$G$3003,'[1]资金台帐'!$E$4:$E$3003,$A54,'[1]资金台帐'!$N$4:$N$3003,'首页'!$B$4*100+B$4))</f>
        <v>0</v>
      </c>
      <c r="C54" s="11">
        <f>IF($A54="",0,SUMIFS('[1]资金台帐'!$H$4:$H$3003,'[1]资金台帐'!$E$4:$E$3003,$A54,'[1]资金台帐'!$N$4:$N$3003,'首页'!$B$4*100+C$4)-SUMIFS('[1]资金台帐'!$G$4:$G$3003,'[1]资金台帐'!$E$4:$E$3003,$A54,'[1]资金台帐'!$N$4:$N$3003,'首页'!$B$4*100+C$4))</f>
        <v>0</v>
      </c>
      <c r="D54" s="11">
        <f>IF($A54="",0,SUMIFS('[1]资金台帐'!$H$4:$H$3003,'[1]资金台帐'!$E$4:$E$3003,$A54,'[1]资金台帐'!$N$4:$N$3003,'首页'!$B$4*100+D$4)-SUMIFS('[1]资金台帐'!$G$4:$G$3003,'[1]资金台帐'!$E$4:$E$3003,$A54,'[1]资金台帐'!$N$4:$N$3003,'首页'!$B$4*100+D$4))</f>
        <v>0</v>
      </c>
      <c r="E54" s="11">
        <f>IF($A54="",0,SUMIFS('[1]资金台帐'!$H$4:$H$3003,'[1]资金台帐'!$E$4:$E$3003,$A54,'[1]资金台帐'!$N$4:$N$3003,'首页'!$B$4*100+E$4)-SUMIFS('[1]资金台帐'!$G$4:$G$3003,'[1]资金台帐'!$E$4:$E$3003,$A54,'[1]资金台帐'!$N$4:$N$3003,'首页'!$B$4*100+E$4))</f>
        <v>0</v>
      </c>
      <c r="F54" s="11">
        <f>IF($A54="",0,SUMIFS('[1]资金台帐'!$H$4:$H$3003,'[1]资金台帐'!$E$4:$E$3003,$A54,'[1]资金台帐'!$N$4:$N$3003,'首页'!$B$4*100+F$4)-SUMIFS('[1]资金台帐'!$G$4:$G$3003,'[1]资金台帐'!$E$4:$E$3003,$A54,'[1]资金台帐'!$N$4:$N$3003,'首页'!$B$4*100+F$4))</f>
        <v>0</v>
      </c>
      <c r="G54" s="11">
        <f>IF($A54="",0,SUMIFS('[1]资金台帐'!$H$4:$H$3003,'[1]资金台帐'!$E$4:$E$3003,$A54,'[1]资金台帐'!$N$4:$N$3003,'首页'!$B$4*100+G$4)-SUMIFS('[1]资金台帐'!$G$4:$G$3003,'[1]资金台帐'!$E$4:$E$3003,$A54,'[1]资金台帐'!$N$4:$N$3003,'首页'!$B$4*100+G$4))</f>
        <v>0</v>
      </c>
      <c r="H54" s="11">
        <f>IF($A54="",0,SUMIFS('[1]资金台帐'!$H$4:$H$3003,'[1]资金台帐'!$E$4:$E$3003,$A54,'[1]资金台帐'!$N$4:$N$3003,'首页'!$B$4*100+H$4)-SUMIFS('[1]资金台帐'!$G$4:$G$3003,'[1]资金台帐'!$E$4:$E$3003,$A54,'[1]资金台帐'!$N$4:$N$3003,'首页'!$B$4*100+H$4))</f>
        <v>0</v>
      </c>
      <c r="I54" s="11">
        <f>IF($A54="",0,SUMIFS('[1]资金台帐'!$H$4:$H$3003,'[1]资金台帐'!$E$4:$E$3003,$A54,'[1]资金台帐'!$N$4:$N$3003,'首页'!$B$4*100+I$4)-SUMIFS('[1]资金台帐'!$G$4:$G$3003,'[1]资金台帐'!$E$4:$E$3003,$A54,'[1]资金台帐'!$N$4:$N$3003,'首页'!$B$4*100+I$4))</f>
        <v>0</v>
      </c>
      <c r="J54" s="11">
        <f>IF($A54="",0,SUMIFS('[1]资金台帐'!$H$4:$H$3003,'[1]资金台帐'!$E$4:$E$3003,$A54,'[1]资金台帐'!$N$4:$N$3003,'首页'!$B$4*100+J$4)-SUMIFS('[1]资金台帐'!$G$4:$G$3003,'[1]资金台帐'!$E$4:$E$3003,$A54,'[1]资金台帐'!$N$4:$N$3003,'首页'!$B$4*100+J$4))</f>
        <v>0</v>
      </c>
      <c r="K54" s="11">
        <f>IF($A54="",0,SUMIFS('[1]资金台帐'!$H$4:$H$3003,'[1]资金台帐'!$E$4:$E$3003,$A54,'[1]资金台帐'!$N$4:$N$3003,'首页'!$B$4*100+K$4)-SUMIFS('[1]资金台帐'!$G$4:$G$3003,'[1]资金台帐'!$E$4:$E$3003,$A54,'[1]资金台帐'!$N$4:$N$3003,'首页'!$B$4*100+K$4))</f>
        <v>0</v>
      </c>
      <c r="L54" s="11">
        <f>IF($A54="",0,SUMIFS('[1]资金台帐'!$H$4:$H$3003,'[1]资金台帐'!$E$4:$E$3003,$A54,'[1]资金台帐'!$N$4:$N$3003,'首页'!$B$4*100+L$4)-SUMIFS('[1]资金台帐'!$G$4:$G$3003,'[1]资金台帐'!$E$4:$E$3003,$A54,'[1]资金台帐'!$N$4:$N$3003,'首页'!$B$4*100+L$4))</f>
        <v>0</v>
      </c>
      <c r="M54" s="11">
        <f>IF($A54="",0,SUMIFS('[1]资金台帐'!$H$4:$H$3003,'[1]资金台帐'!$E$4:$E$3003,$A54,'[1]资金台帐'!$N$4:$N$3003,'首页'!$B$4*100+M$4)-SUMIFS('[1]资金台帐'!$G$4:$G$3003,'[1]资金台帐'!$E$4:$E$3003,$A54,'[1]资金台帐'!$N$4:$N$3003,'首页'!$B$4*100+M$4))</f>
        <v>0</v>
      </c>
      <c r="N54" s="11">
        <f t="shared" si="0"/>
        <v>0</v>
      </c>
    </row>
    <row r="55">
      <c r="A55" s="8" t="inlineStr">
        <is>
          <t>按项目合计</t>
        </is>
      </c>
      <c r="B55" s="9">
        <f>SUM(B5:B54)</f>
        <v>0</v>
      </c>
      <c r="C55" s="9">
        <f>SUM(C5:C54)</f>
        <v>0</v>
      </c>
      <c r="D55" s="9">
        <f>SUM(D5:D54)</f>
        <v>0</v>
      </c>
      <c r="E55" s="9">
        <f>SUM(E5:E54)</f>
        <v>0</v>
      </c>
      <c r="F55" s="9">
        <f>SUM(F5:F54)</f>
        <v>0</v>
      </c>
      <c r="G55" s="9">
        <f>SUM(G5:G54)</f>
        <v>0</v>
      </c>
      <c r="H55" s="9">
        <f>SUM(H5:H54)</f>
        <v>0</v>
      </c>
      <c r="I55" s="9">
        <f>SUM(I5:I54)</f>
        <v>0</v>
      </c>
      <c r="J55" s="9">
        <f>SUM(J5:J54)</f>
        <v>0</v>
      </c>
      <c r="K55" s="9">
        <f>SUM(K5:K54)</f>
        <v>0</v>
      </c>
      <c r="L55" s="9">
        <f>SUM(L5:L54)</f>
        <v>0</v>
      </c>
      <c r="M55" s="9">
        <f>SUM(M5:M54)</f>
        <v>0</v>
      </c>
      <c r="N55" s="9">
        <f>SUM(N5:N54)</f>
        <v>0</v>
      </c>
    </row>
    <row r="56">
      <c r="A56" s="8" t="inlineStr">
        <is>
          <t>台帐「属性＝支出」合计</t>
        </is>
      </c>
      <c r="B56" s="9">
        <f>SUMIFS('[1]资金台帐'!$H$4:$H$3003,'[1]资金台帐'!$M$4:$M$3003,"支出",'[1]资金台帐'!$N$4:$N$3003,'首页'!$B$4*100+B$4)-SUMIFS('[1]资金台帐'!$G$4:$G$3003,'[1]资金台帐'!$M$4:$M$3003,"支出",'[1]资金台帐'!$N$4:$N$3003,'首页'!$B$4*100+B$4)</f>
        <v>0</v>
      </c>
      <c r="C56" s="9">
        <f>SUMIFS('[1]资金台帐'!$H$4:$H$3003,'[1]资金台帐'!$M$4:$M$3003,"支出",'[1]资金台帐'!$N$4:$N$3003,'首页'!$B$4*100+C$4)-SUMIFS('[1]资金台帐'!$G$4:$G$3003,'[1]资金台帐'!$M$4:$M$3003,"支出",'[1]资金台帐'!$N$4:$N$3003,'首页'!$B$4*100+C$4)</f>
        <v>0</v>
      </c>
      <c r="D56" s="9">
        <f>SUMIFS('[1]资金台帐'!$H$4:$H$3003,'[1]资金台帐'!$M$4:$M$3003,"支出",'[1]资金台帐'!$N$4:$N$3003,'首页'!$B$4*100+D$4)-SUMIFS('[1]资金台帐'!$G$4:$G$3003,'[1]资金台帐'!$M$4:$M$3003,"支出",'[1]资金台帐'!$N$4:$N$3003,'首页'!$B$4*100+D$4)</f>
        <v>0</v>
      </c>
      <c r="E56" s="9">
        <f>SUMIFS('[1]资金台帐'!$H$4:$H$3003,'[1]资金台帐'!$M$4:$M$3003,"支出",'[1]资金台帐'!$N$4:$N$3003,'首页'!$B$4*100+E$4)-SUMIFS('[1]资金台帐'!$G$4:$G$3003,'[1]资金台帐'!$M$4:$M$3003,"支出",'[1]资金台帐'!$N$4:$N$3003,'首页'!$B$4*100+E$4)</f>
        <v>0</v>
      </c>
      <c r="F56" s="9">
        <f>SUMIFS('[1]资金台帐'!$H$4:$H$3003,'[1]资金台帐'!$M$4:$M$3003,"支出",'[1]资金台帐'!$N$4:$N$3003,'首页'!$B$4*100+F$4)-SUMIFS('[1]资金台帐'!$G$4:$G$3003,'[1]资金台帐'!$M$4:$M$3003,"支出",'[1]资金台帐'!$N$4:$N$3003,'首页'!$B$4*100+F$4)</f>
        <v>0</v>
      </c>
      <c r="G56" s="9">
        <f>SUMIFS('[1]资金台帐'!$H$4:$H$3003,'[1]资金台帐'!$M$4:$M$3003,"支出",'[1]资金台帐'!$N$4:$N$3003,'首页'!$B$4*100+G$4)-SUMIFS('[1]资金台帐'!$G$4:$G$3003,'[1]资金台帐'!$M$4:$M$3003,"支出",'[1]资金台帐'!$N$4:$N$3003,'首页'!$B$4*100+G$4)</f>
        <v>0</v>
      </c>
      <c r="H56" s="9">
        <f>SUMIFS('[1]资金台帐'!$H$4:$H$3003,'[1]资金台帐'!$M$4:$M$3003,"支出",'[1]资金台帐'!$N$4:$N$3003,'首页'!$B$4*100+H$4)-SUMIFS('[1]资金台帐'!$G$4:$G$3003,'[1]资金台帐'!$M$4:$M$3003,"支出",'[1]资金台帐'!$N$4:$N$3003,'首页'!$B$4*100+H$4)</f>
        <v>0</v>
      </c>
      <c r="I56" s="9">
        <f>SUMIFS('[1]资金台帐'!$H$4:$H$3003,'[1]资金台帐'!$M$4:$M$3003,"支出",'[1]资金台帐'!$N$4:$N$3003,'首页'!$B$4*100+I$4)-SUMIFS('[1]资金台帐'!$G$4:$G$3003,'[1]资金台帐'!$M$4:$M$3003,"支出",'[1]资金台帐'!$N$4:$N$3003,'首页'!$B$4*100+I$4)</f>
        <v>0</v>
      </c>
      <c r="J56" s="9">
        <f>SUMIFS('[1]资金台帐'!$H$4:$H$3003,'[1]资金台帐'!$M$4:$M$3003,"支出",'[1]资金台帐'!$N$4:$N$3003,'首页'!$B$4*100+J$4)-SUMIFS('[1]资金台帐'!$G$4:$G$3003,'[1]资金台帐'!$M$4:$M$3003,"支出",'[1]资金台帐'!$N$4:$N$3003,'首页'!$B$4*100+J$4)</f>
        <v>0</v>
      </c>
      <c r="K56" s="9">
        <f>SUMIFS('[1]资金台帐'!$H$4:$H$3003,'[1]资金台帐'!$M$4:$M$3003,"支出",'[1]资金台帐'!$N$4:$N$3003,'首页'!$B$4*100+K$4)-SUMIFS('[1]资金台帐'!$G$4:$G$3003,'[1]资金台帐'!$M$4:$M$3003,"支出",'[1]资金台帐'!$N$4:$N$3003,'首页'!$B$4*100+K$4)</f>
        <v>0</v>
      </c>
      <c r="L56" s="9">
        <f>SUMIFS('[1]资金台帐'!$H$4:$H$3003,'[1]资金台帐'!$M$4:$M$3003,"支出",'[1]资金台帐'!$N$4:$N$3003,'首页'!$B$4*100+L$4)-SUMIFS('[1]资金台帐'!$G$4:$G$3003,'[1]资金台帐'!$M$4:$M$3003,"支出",'[1]资金台帐'!$N$4:$N$3003,'首页'!$B$4*100+L$4)</f>
        <v>0</v>
      </c>
      <c r="M56" s="9">
        <f>SUMIFS('[1]资金台帐'!$H$4:$H$3003,'[1]资金台帐'!$M$4:$M$3003,"支出",'[1]资金台帐'!$N$4:$N$3003,'首页'!$B$4*100+M$4)-SUMIFS('[1]资金台帐'!$G$4:$G$3003,'[1]资金台帐'!$M$4:$M$3003,"支出",'[1]资金台帐'!$N$4:$N$3003,'首页'!$B$4*100+M$4)</f>
        <v>0</v>
      </c>
      <c r="N56" s="9">
        <f>SUM(B56:M56)</f>
        <v>0</v>
      </c>
    </row>
    <row r="57">
      <c r="A57" s="8" t="inlineStr">
        <is>
          <t>差额（没选项目的支出）</t>
        </is>
      </c>
      <c r="B57" s="9">
        <f>ROUND(B56-B55,2)</f>
        <v>0</v>
      </c>
      <c r="C57" s="9">
        <f>ROUND(C56-C55,2)</f>
        <v>0</v>
      </c>
      <c r="D57" s="9">
        <f>ROUND(D56-D55,2)</f>
        <v>0</v>
      </c>
      <c r="E57" s="9">
        <f>ROUND(E56-E55,2)</f>
        <v>0</v>
      </c>
      <c r="F57" s="9">
        <f>ROUND(F56-F55,2)</f>
        <v>0</v>
      </c>
      <c r="G57" s="9">
        <f>ROUND(G56-G55,2)</f>
        <v>0</v>
      </c>
      <c r="H57" s="9">
        <f>ROUND(H56-H55,2)</f>
        <v>0</v>
      </c>
      <c r="I57" s="9">
        <f>ROUND(I56-I55,2)</f>
        <v>0</v>
      </c>
      <c r="J57" s="9">
        <f>ROUND(J56-J55,2)</f>
        <v>0</v>
      </c>
      <c r="K57" s="9">
        <f>ROUND(K56-K55,2)</f>
        <v>0</v>
      </c>
      <c r="L57" s="9">
        <f>ROUND(L56-L55,2)</f>
        <v>0</v>
      </c>
      <c r="M57" s="9">
        <f>ROUND(M56-M55,2)</f>
        <v>0</v>
      </c>
      <c r="N57" s="9">
        <f>ROUND(N56-N55,2)</f>
        <v>0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O20"/>
  <sheetViews>
    <sheetView showGridLines="1"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5" max="15"/>
  </cols>
  <sheetData>
    <row r="1" ht="26" customHeight="1">
      <c r="A1" s="1" t="inlineStr">
        <is>
          <t>A076 简易利润表（按月，年份见首页）</t>
        </is>
      </c>
    </row>
    <row r="2" ht="48" customHeight="1">
      <c r="A2" s="3" t="inlineStr">
        <is>
          <t>销售收入、销售成本来自管家婆销售出库（成本按库存表的加权单价）；平台费用、平台补贴来自拼多多店铺账务明细（按到账月份）；其他费用、其他收入来自资金台帐。下面「参考」两行：拼多多店铺回款 vs 管家婆里拼多多渠道的销售额，差得多说明拼多多卖出的货在管家婆没逐单出库（库存会偏多、成本偏少）。</t>
        </is>
      </c>
    </row>
    <row r="3"/>
    <row r="4" ht="30" customHeight="1">
      <c r="A4" s="5" t="inlineStr">
        <is>
          <t>项目</t>
        </is>
      </c>
      <c r="B4" s="5" t="inlineStr">
        <is>
          <t>说明</t>
        </is>
      </c>
      <c r="C4" s="15" t="n">
        <v>1</v>
      </c>
      <c r="D4" s="15" t="n">
        <v>2</v>
      </c>
      <c r="E4" s="15" t="n">
        <v>3</v>
      </c>
      <c r="F4" s="15" t="n">
        <v>4</v>
      </c>
      <c r="G4" s="15" t="n">
        <v>5</v>
      </c>
      <c r="H4" s="15" t="n">
        <v>6</v>
      </c>
      <c r="I4" s="15" t="n">
        <v>7</v>
      </c>
      <c r="J4" s="15" t="n">
        <v>8</v>
      </c>
      <c r="K4" s="15" t="n">
        <v>9</v>
      </c>
      <c r="L4" s="15" t="n">
        <v>10</v>
      </c>
      <c r="M4" s="15" t="n">
        <v>11</v>
      </c>
      <c r="N4" s="15" t="n">
        <v>12</v>
      </c>
      <c r="O4" s="5" t="inlineStr">
        <is>
          <t>全年合计</t>
        </is>
      </c>
    </row>
    <row r="5">
      <c r="A5" s="2" t="inlineStr">
        <is>
          <t>销售收入－拼多多</t>
        </is>
      </c>
      <c r="B5" s="2" t="inlineStr">
        <is>
          <t>管家婆销售出库，渠道＝拼多多</t>
        </is>
      </c>
      <c r="C5" s="11">
        <f>SUMIFS('[1]销售出库'!$S$4:$S$2003,'[1]销售出库'!$O$4:$O$2003,"拼多多",'[1]销售出库'!$Q$4:$Q$2003,'首页'!$B$4*100+C$4)</f>
        <v>0</v>
      </c>
      <c r="D5" s="11">
        <f>SUMIFS('[1]销售出库'!$S$4:$S$2003,'[1]销售出库'!$O$4:$O$2003,"拼多多",'[1]销售出库'!$Q$4:$Q$2003,'首页'!$B$4*100+D$4)</f>
        <v>0</v>
      </c>
      <c r="E5" s="11">
        <f>SUMIFS('[1]销售出库'!$S$4:$S$2003,'[1]销售出库'!$O$4:$O$2003,"拼多多",'[1]销售出库'!$Q$4:$Q$2003,'首页'!$B$4*100+E$4)</f>
        <v>0</v>
      </c>
      <c r="F5" s="11">
        <f>SUMIFS('[1]销售出库'!$S$4:$S$2003,'[1]销售出库'!$O$4:$O$2003,"拼多多",'[1]销售出库'!$Q$4:$Q$2003,'首页'!$B$4*100+F$4)</f>
        <v>0</v>
      </c>
      <c r="G5" s="11">
        <f>SUMIFS('[1]销售出库'!$S$4:$S$2003,'[1]销售出库'!$O$4:$O$2003,"拼多多",'[1]销售出库'!$Q$4:$Q$2003,'首页'!$B$4*100+G$4)</f>
        <v>0</v>
      </c>
      <c r="H5" s="11">
        <f>SUMIFS('[1]销售出库'!$S$4:$S$2003,'[1]销售出库'!$O$4:$O$2003,"拼多多",'[1]销售出库'!$Q$4:$Q$2003,'首页'!$B$4*100+H$4)</f>
        <v>0</v>
      </c>
      <c r="I5" s="11">
        <f>SUMIFS('[1]销售出库'!$S$4:$S$2003,'[1]销售出库'!$O$4:$O$2003,"拼多多",'[1]销售出库'!$Q$4:$Q$2003,'首页'!$B$4*100+I$4)</f>
        <v>0</v>
      </c>
      <c r="J5" s="11">
        <f>SUMIFS('[1]销售出库'!$S$4:$S$2003,'[1]销售出库'!$O$4:$O$2003,"拼多多",'[1]销售出库'!$Q$4:$Q$2003,'首页'!$B$4*100+J$4)</f>
        <v>0</v>
      </c>
      <c r="K5" s="11">
        <f>SUMIFS('[1]销售出库'!$S$4:$S$2003,'[1]销售出库'!$O$4:$O$2003,"拼多多",'[1]销售出库'!$Q$4:$Q$2003,'首页'!$B$4*100+K$4)</f>
        <v>22899.58</v>
      </c>
      <c r="L5" s="11">
        <f>SUMIFS('[1]销售出库'!$S$4:$S$2003,'[1]销售出库'!$O$4:$O$2003,"拼多多",'[1]销售出库'!$Q$4:$Q$2003,'首页'!$B$4*100+L$4)</f>
        <v>0</v>
      </c>
      <c r="M5" s="11">
        <f>SUMIFS('[1]销售出库'!$S$4:$S$2003,'[1]销售出库'!$O$4:$O$2003,"拼多多",'[1]销售出库'!$Q$4:$Q$2003,'首页'!$B$4*100+M$4)</f>
        <v>0</v>
      </c>
      <c r="N5" s="11">
        <f>SUMIFS('[1]销售出库'!$S$4:$S$2003,'[1]销售出库'!$O$4:$O$2003,"拼多多",'[1]销售出库'!$Q$4:$Q$2003,'首页'!$B$4*100+N$4)</f>
        <v>0</v>
      </c>
      <c r="O5" s="11">
        <f t="shared" ref="O5:O17" si="0">SUM(C5:N5)</f>
        <v>22899.58</v>
      </c>
    </row>
    <row r="6">
      <c r="A6" s="2" t="inlineStr">
        <is>
          <t>销售收入－线下</t>
        </is>
      </c>
      <c r="B6" s="2" t="inlineStr">
        <is>
          <t>管家婆销售出库，渠道＝线下</t>
        </is>
      </c>
      <c r="C6" s="11">
        <f>SUMIFS('[1]销售出库'!$S$4:$S$2003,'[1]销售出库'!$O$4:$O$2003,"线下",'[1]销售出库'!$Q$4:$Q$2003,'首页'!$B$4*100+C$4)</f>
        <v>0</v>
      </c>
      <c r="D6" s="11">
        <f>SUMIFS('[1]销售出库'!$S$4:$S$2003,'[1]销售出库'!$O$4:$O$2003,"线下",'[1]销售出库'!$Q$4:$Q$2003,'首页'!$B$4*100+D$4)</f>
        <v>0</v>
      </c>
      <c r="E6" s="11">
        <f>SUMIFS('[1]销售出库'!$S$4:$S$2003,'[1]销售出库'!$O$4:$O$2003,"线下",'[1]销售出库'!$Q$4:$Q$2003,'首页'!$B$4*100+E$4)</f>
        <v>0</v>
      </c>
      <c r="F6" s="11">
        <f>SUMIFS('[1]销售出库'!$S$4:$S$2003,'[1]销售出库'!$O$4:$O$2003,"线下",'[1]销售出库'!$Q$4:$Q$2003,'首页'!$B$4*100+F$4)</f>
        <v>0</v>
      </c>
      <c r="G6" s="11">
        <f>SUMIFS('[1]销售出库'!$S$4:$S$2003,'[1]销售出库'!$O$4:$O$2003,"线下",'[1]销售出库'!$Q$4:$Q$2003,'首页'!$B$4*100+G$4)</f>
        <v>0</v>
      </c>
      <c r="H6" s="11">
        <f>SUMIFS('[1]销售出库'!$S$4:$S$2003,'[1]销售出库'!$O$4:$O$2003,"线下",'[1]销售出库'!$Q$4:$Q$2003,'首页'!$B$4*100+H$4)</f>
        <v>0</v>
      </c>
      <c r="I6" s="11">
        <f>SUMIFS('[1]销售出库'!$S$4:$S$2003,'[1]销售出库'!$O$4:$O$2003,"线下",'[1]销售出库'!$Q$4:$Q$2003,'首页'!$B$4*100+I$4)</f>
        <v>0</v>
      </c>
      <c r="J6" s="11">
        <f>SUMIFS('[1]销售出库'!$S$4:$S$2003,'[1]销售出库'!$O$4:$O$2003,"线下",'[1]销售出库'!$Q$4:$Q$2003,'首页'!$B$4*100+J$4)</f>
        <v>0</v>
      </c>
      <c r="K6" s="11">
        <f>SUMIFS('[1]销售出库'!$S$4:$S$2003,'[1]销售出库'!$O$4:$O$2003,"线下",'[1]销售出库'!$Q$4:$Q$2003,'首页'!$B$4*100+K$4)</f>
        <v>2784223.42</v>
      </c>
      <c r="L6" s="11">
        <f>SUMIFS('[1]销售出库'!$S$4:$S$2003,'[1]销售出库'!$O$4:$O$2003,"线下",'[1]销售出库'!$Q$4:$Q$2003,'首页'!$B$4*100+L$4)</f>
        <v>542746</v>
      </c>
      <c r="M6" s="11">
        <f>SUMIFS('[1]销售出库'!$S$4:$S$2003,'[1]销售出库'!$O$4:$O$2003,"线下",'[1]销售出库'!$Q$4:$Q$2003,'首页'!$B$4*100+M$4)</f>
        <v>0</v>
      </c>
      <c r="N6" s="11">
        <f>SUMIFS('[1]销售出库'!$S$4:$S$2003,'[1]销售出库'!$O$4:$O$2003,"线下",'[1]销售出库'!$Q$4:$Q$2003,'首页'!$B$4*100+N$4)</f>
        <v>0</v>
      </c>
      <c r="O6" s="11">
        <f t="shared" si="0"/>
        <v>3326969.42</v>
      </c>
    </row>
    <row r="7">
      <c r="A7" s="8" t="inlineStr">
        <is>
          <t>销售收入合计</t>
        </is>
      </c>
      <c r="B7" s="2" t="inlineStr"/>
      <c r="C7" s="9">
        <f>C5+C6</f>
        <v>0</v>
      </c>
      <c r="D7" s="9">
        <f>D5+D6</f>
        <v>0</v>
      </c>
      <c r="E7" s="9">
        <f>E5+E6</f>
        <v>0</v>
      </c>
      <c r="F7" s="9">
        <f>F5+F6</f>
        <v>0</v>
      </c>
      <c r="G7" s="9">
        <f>G5+G6</f>
        <v>0</v>
      </c>
      <c r="H7" s="9">
        <f>H5+H6</f>
        <v>0</v>
      </c>
      <c r="I7" s="9">
        <f>I5+I6</f>
        <v>0</v>
      </c>
      <c r="J7" s="9">
        <f>J5+J6</f>
        <v>0</v>
      </c>
      <c r="K7" s="9">
        <f>K5+K6</f>
        <v>2807123</v>
      </c>
      <c r="L7" s="9">
        <f>L5+L6</f>
        <v>542746</v>
      </c>
      <c r="M7" s="9">
        <f>M5+M6</f>
        <v>0</v>
      </c>
      <c r="N7" s="9">
        <f>N5+N6</f>
        <v>0</v>
      </c>
      <c r="O7" s="9">
        <f t="shared" si="0"/>
        <v>3349869</v>
      </c>
    </row>
    <row r="8">
      <c r="A8" s="2" t="inlineStr">
        <is>
          <t>销售成本</t>
        </is>
      </c>
      <c r="B8" s="2" t="inlineStr">
        <is>
          <t>各月销售数量×加权单价（库存表）</t>
        </is>
      </c>
      <c r="C8" s="11">
        <f>SUMPRODUCT('库存'!$H$6:$H$305,'库存'!M$6:M$305)</f>
        <v>0</v>
      </c>
      <c r="D8" s="11">
        <f>SUMPRODUCT('库存'!$H$6:$H$305,'库存'!N$6:N$305)</f>
        <v>0</v>
      </c>
      <c r="E8" s="11">
        <f>SUMPRODUCT('库存'!$H$6:$H$305,'库存'!O$6:O$305)</f>
        <v>0</v>
      </c>
      <c r="F8" s="11">
        <f>SUMPRODUCT('库存'!$H$6:$H$305,'库存'!P$6:P$305)</f>
        <v>0</v>
      </c>
      <c r="G8" s="11">
        <f>SUMPRODUCT('库存'!$H$6:$H$305,'库存'!Q$6:Q$305)</f>
        <v>0</v>
      </c>
      <c r="H8" s="11">
        <f>SUMPRODUCT('库存'!$H$6:$H$305,'库存'!R$6:R$305)</f>
        <v>0</v>
      </c>
      <c r="I8" s="11">
        <f>SUMPRODUCT('库存'!$H$6:$H$305,'库存'!S$6:S$305)</f>
        <v>0</v>
      </c>
      <c r="J8" s="11">
        <f>SUMPRODUCT('库存'!$H$6:$H$305,'库存'!T$6:T$305)</f>
        <v>0</v>
      </c>
      <c r="K8" s="11">
        <f>SUMPRODUCT('库存'!$H$6:$H$305,'库存'!U$6:U$305)</f>
        <v>2698448.226606</v>
      </c>
      <c r="L8" s="11">
        <f>SUMPRODUCT('库存'!$H$6:$H$305,'库存'!V$6:V$305)</f>
        <v>536307.6068</v>
      </c>
      <c r="M8" s="11">
        <f>SUMPRODUCT('库存'!$H$6:$H$305,'库存'!W$6:W$305)</f>
        <v>0</v>
      </c>
      <c r="N8" s="11">
        <f>SUMPRODUCT('库存'!$H$6:$H$305,'库存'!X$6:X$305)</f>
        <v>0</v>
      </c>
      <c r="O8" s="11">
        <f t="shared" si="0"/>
        <v>3234755.833406</v>
      </c>
    </row>
    <row r="9">
      <c r="A9" s="8" t="inlineStr">
        <is>
          <t>毛利</t>
        </is>
      </c>
      <c r="B9" s="2" t="inlineStr"/>
      <c r="C9" s="9">
        <f>C7-C8</f>
        <v>0</v>
      </c>
      <c r="D9" s="9">
        <f>D7-D8</f>
        <v>0</v>
      </c>
      <c r="E9" s="9">
        <f>E7-E8</f>
        <v>0</v>
      </c>
      <c r="F9" s="9">
        <f>F7-F8</f>
        <v>0</v>
      </c>
      <c r="G9" s="9">
        <f>G7-G8</f>
        <v>0</v>
      </c>
      <c r="H9" s="9">
        <f>H7-H8</f>
        <v>0</v>
      </c>
      <c r="I9" s="9">
        <f>I7-I8</f>
        <v>0</v>
      </c>
      <c r="J9" s="9">
        <f>J7-J8</f>
        <v>0</v>
      </c>
      <c r="K9" s="9">
        <f>K7-K8</f>
        <v>108674.773394</v>
      </c>
      <c r="L9" s="9">
        <f>L7-L8</f>
        <v>6438.39319999993</v>
      </c>
      <c r="M9" s="9">
        <f>M7-M8</f>
        <v>0</v>
      </c>
      <c r="N9" s="9">
        <f>N7-N8</f>
        <v>0</v>
      </c>
      <c r="O9" s="9">
        <f t="shared" si="0"/>
        <v>115113.166594</v>
      </c>
    </row>
    <row r="10">
      <c r="A10" s="2" t="inlineStr">
        <is>
          <t>技术服务费净额</t>
        </is>
      </c>
      <c r="B10" s="2" t="inlineStr">
        <is>
          <t>基础＋百亿补贴－返还（账务明细）</t>
        </is>
      </c>
      <c r="C10" s="11">
        <f>-SUMIF('拼多多对账'!$B$6:$B$21,"技术服务费",'拼多多对账'!C$6:C$21)</f>
        <v>0</v>
      </c>
      <c r="D10" s="11">
        <f>-SUMIF('拼多多对账'!$B$6:$B$21,"技术服务费",'拼多多对账'!D$6:D$21)</f>
        <v>0</v>
      </c>
      <c r="E10" s="11">
        <f>-SUMIF('拼多多对账'!$B$6:$B$21,"技术服务费",'拼多多对账'!E$6:E$21)</f>
        <v>0</v>
      </c>
      <c r="F10" s="11">
        <f>-SUMIF('拼多多对账'!$B$6:$B$21,"技术服务费",'拼多多对账'!F$6:F$21)</f>
        <v>0</v>
      </c>
      <c r="G10" s="11">
        <f>-SUMIF('拼多多对账'!$B$6:$B$21,"技术服务费",'拼多多对账'!G$6:G$21)</f>
        <v>0</v>
      </c>
      <c r="H10" s="11">
        <f>-SUMIF('拼多多对账'!$B$6:$B$21,"技术服务费",'拼多多对账'!H$6:H$21)</f>
        <v>0</v>
      </c>
      <c r="I10" s="11">
        <f>-SUMIF('拼多多对账'!$B$6:$B$21,"技术服务费",'拼多多对账'!I$6:I$21)</f>
        <v>0</v>
      </c>
      <c r="J10" s="11">
        <f>-SUMIF('拼多多对账'!$B$6:$B$21,"技术服务费",'拼多多对账'!J$6:J$21)</f>
        <v>0</v>
      </c>
      <c r="K10" s="11">
        <f>-SUMIF('拼多多对账'!$B$6:$B$21,"技术服务费",'拼多多对账'!K$6:K$21)</f>
        <v>-1468.63</v>
      </c>
      <c r="L10" s="11">
        <f>-SUMIF('拼多多对账'!$B$6:$B$21,"技术服务费",'拼多多对账'!L$6:L$21)</f>
        <v>0</v>
      </c>
      <c r="M10" s="11">
        <f>-SUMIF('拼多多对账'!$B$6:$B$21,"技术服务费",'拼多多对账'!M$6:M$21)</f>
        <v>0</v>
      </c>
      <c r="N10" s="11">
        <f>-SUMIF('拼多多对账'!$B$6:$B$21,"技术服务费",'拼多多对账'!N$6:N$21)</f>
        <v>0</v>
      </c>
      <c r="O10" s="11">
        <f t="shared" si="0"/>
        <v>-1468.63</v>
      </c>
    </row>
    <row r="11">
      <c r="A11" s="2" t="inlineStr">
        <is>
          <t>消费者体验提升计划</t>
        </is>
      </c>
      <c r="B11" s="2" t="inlineStr">
        <is>
          <t>账务明细</t>
        </is>
      </c>
      <c r="C11" s="11">
        <f>-SUMIF('拼多多对账'!$B$6:$B$21,"体验计划",'拼多多对账'!C$6:C$21)</f>
        <v>0</v>
      </c>
      <c r="D11" s="11">
        <f>-SUMIF('拼多多对账'!$B$6:$B$21,"体验计划",'拼多多对账'!D$6:D$21)</f>
        <v>0</v>
      </c>
      <c r="E11" s="11">
        <f>-SUMIF('拼多多对账'!$B$6:$B$21,"体验计划",'拼多多对账'!E$6:E$21)</f>
        <v>0</v>
      </c>
      <c r="F11" s="11">
        <f>-SUMIF('拼多多对账'!$B$6:$B$21,"体验计划",'拼多多对账'!F$6:F$21)</f>
        <v>0</v>
      </c>
      <c r="G11" s="11">
        <f>-SUMIF('拼多多对账'!$B$6:$B$21,"体验计划",'拼多多对账'!G$6:G$21)</f>
        <v>0</v>
      </c>
      <c r="H11" s="11">
        <f>-SUMIF('拼多多对账'!$B$6:$B$21,"体验计划",'拼多多对账'!H$6:H$21)</f>
        <v>0</v>
      </c>
      <c r="I11" s="11">
        <f>-SUMIF('拼多多对账'!$B$6:$B$21,"体验计划",'拼多多对账'!I$6:I$21)</f>
        <v>0</v>
      </c>
      <c r="J11" s="11">
        <f>-SUMIF('拼多多对账'!$B$6:$B$21,"体验计划",'拼多多对账'!J$6:J$21)</f>
        <v>0</v>
      </c>
      <c r="K11" s="11">
        <f>-SUMIF('拼多多对账'!$B$6:$B$21,"体验计划",'拼多多对账'!K$6:K$21)</f>
        <v>9.77</v>
      </c>
      <c r="L11" s="11">
        <f>-SUMIF('拼多多对账'!$B$6:$B$21,"体验计划",'拼多多对账'!L$6:L$21)</f>
        <v>0</v>
      </c>
      <c r="M11" s="11">
        <f>-SUMIF('拼多多对账'!$B$6:$B$21,"体验计划",'拼多多对账'!M$6:M$21)</f>
        <v>0</v>
      </c>
      <c r="N11" s="11">
        <f>-SUMIF('拼多多对账'!$B$6:$B$21,"体验计划",'拼多多对账'!N$6:N$21)</f>
        <v>0</v>
      </c>
      <c r="O11" s="11">
        <f t="shared" si="0"/>
        <v>9.77</v>
      </c>
    </row>
    <row r="12">
      <c r="A12" s="2" t="inlineStr">
        <is>
          <t>售后补偿（扣申诉补回）</t>
        </is>
      </c>
      <c r="B12" s="2" t="inlineStr">
        <is>
          <t>账务明细</t>
        </is>
      </c>
      <c r="C12" s="11">
        <f>-SUMIF('拼多多对账'!$B$6:$B$21,"售后补偿",'拼多多对账'!C$6:C$21)</f>
        <v>0</v>
      </c>
      <c r="D12" s="11">
        <f>-SUMIF('拼多多对账'!$B$6:$B$21,"售后补偿",'拼多多对账'!D$6:D$21)</f>
        <v>0</v>
      </c>
      <c r="E12" s="11">
        <f>-SUMIF('拼多多对账'!$B$6:$B$21,"售后补偿",'拼多多对账'!E$6:E$21)</f>
        <v>0</v>
      </c>
      <c r="F12" s="11">
        <f>-SUMIF('拼多多对账'!$B$6:$B$21,"售后补偿",'拼多多对账'!F$6:F$21)</f>
        <v>0</v>
      </c>
      <c r="G12" s="11">
        <f>-SUMIF('拼多多对账'!$B$6:$B$21,"售后补偿",'拼多多对账'!G$6:G$21)</f>
        <v>0</v>
      </c>
      <c r="H12" s="11">
        <f>-SUMIF('拼多多对账'!$B$6:$B$21,"售后补偿",'拼多多对账'!H$6:H$21)</f>
        <v>0</v>
      </c>
      <c r="I12" s="11">
        <f>-SUMIF('拼多多对账'!$B$6:$B$21,"售后补偿",'拼多多对账'!I$6:I$21)</f>
        <v>0</v>
      </c>
      <c r="J12" s="11">
        <f>-SUMIF('拼多多对账'!$B$6:$B$21,"售后补偿",'拼多多对账'!J$6:J$21)</f>
        <v>0</v>
      </c>
      <c r="K12" s="11">
        <f>-SUMIF('拼多多对账'!$B$6:$B$21,"售后补偿",'拼多多对账'!K$6:K$21)</f>
        <v>-23</v>
      </c>
      <c r="L12" s="11">
        <f>-SUMIF('拼多多对账'!$B$6:$B$21,"售后补偿",'拼多多对账'!L$6:L$21)</f>
        <v>0</v>
      </c>
      <c r="M12" s="11">
        <f>-SUMIF('拼多多对账'!$B$6:$B$21,"售后补偿",'拼多多对账'!M$6:M$21)</f>
        <v>0</v>
      </c>
      <c r="N12" s="11">
        <f>-SUMIF('拼多多对账'!$B$6:$B$21,"售后补偿",'拼多多对账'!N$6:N$21)</f>
        <v>0</v>
      </c>
      <c r="O12" s="11">
        <f t="shared" si="0"/>
        <v>-23</v>
      </c>
    </row>
    <row r="13">
      <c r="A13" s="8" t="inlineStr">
        <is>
          <t>平台费用合计</t>
        </is>
      </c>
      <c r="B13" s="2" t="inlineStr"/>
      <c r="C13" s="9">
        <f>C10+C11+C12</f>
        <v>0</v>
      </c>
      <c r="D13" s="9">
        <f>D10+D11+D12</f>
        <v>0</v>
      </c>
      <c r="E13" s="9">
        <f>E10+E11+E12</f>
        <v>0</v>
      </c>
      <c r="F13" s="9">
        <f>F10+F11+F12</f>
        <v>0</v>
      </c>
      <c r="G13" s="9">
        <f>G10+G11+G12</f>
        <v>0</v>
      </c>
      <c r="H13" s="9">
        <f>H10+H11+H12</f>
        <v>0</v>
      </c>
      <c r="I13" s="9">
        <f>I10+I11+I12</f>
        <v>0</v>
      </c>
      <c r="J13" s="9">
        <f>J10+J11+J12</f>
        <v>0</v>
      </c>
      <c r="K13" s="9">
        <f>K10+K11+K12</f>
        <v>-1481.86</v>
      </c>
      <c r="L13" s="9">
        <f>L10+L11+L12</f>
        <v>0</v>
      </c>
      <c r="M13" s="9">
        <f>M10+M11+M12</f>
        <v>0</v>
      </c>
      <c r="N13" s="9">
        <f>N10+N11+N12</f>
        <v>0</v>
      </c>
      <c r="O13" s="9">
        <f t="shared" si="0"/>
        <v>-1481.86</v>
      </c>
    </row>
    <row r="14">
      <c r="A14" s="2" t="inlineStr">
        <is>
          <t>平台补贴（补贴汇入）</t>
        </is>
      </c>
      <c r="B14" s="2" t="inlineStr">
        <is>
          <t>营销活动结算到账（账务明细）</t>
        </is>
      </c>
      <c r="C14" s="11">
        <f>SUMIF('拼多多对账'!$B$6:$B$21,"平台补贴",'拼多多对账'!C$6:C$21)</f>
        <v>0</v>
      </c>
      <c r="D14" s="11">
        <f>SUMIF('拼多多对账'!$B$6:$B$21,"平台补贴",'拼多多对账'!D$6:D$21)</f>
        <v>0</v>
      </c>
      <c r="E14" s="11">
        <f>SUMIF('拼多多对账'!$B$6:$B$21,"平台补贴",'拼多多对账'!E$6:E$21)</f>
        <v>0</v>
      </c>
      <c r="F14" s="11">
        <f>SUMIF('拼多多对账'!$B$6:$B$21,"平台补贴",'拼多多对账'!F$6:F$21)</f>
        <v>0</v>
      </c>
      <c r="G14" s="11">
        <f>SUMIF('拼多多对账'!$B$6:$B$21,"平台补贴",'拼多多对账'!G$6:G$21)</f>
        <v>0</v>
      </c>
      <c r="H14" s="11">
        <f>SUMIF('拼多多对账'!$B$6:$B$21,"平台补贴",'拼多多对账'!H$6:H$21)</f>
        <v>0</v>
      </c>
      <c r="I14" s="11">
        <f>SUMIF('拼多多对账'!$B$6:$B$21,"平台补贴",'拼多多对账'!I$6:I$21)</f>
        <v>0</v>
      </c>
      <c r="J14" s="11">
        <f>SUMIF('拼多多对账'!$B$6:$B$21,"平台补贴",'拼多多对账'!J$6:J$21)</f>
        <v>0</v>
      </c>
      <c r="K14" s="11">
        <f>SUMIF('拼多多对账'!$B$6:$B$21,"平台补贴",'拼多多对账'!K$6:K$21)</f>
        <v>3970</v>
      </c>
      <c r="L14" s="11">
        <f>SUMIF('拼多多对账'!$B$6:$B$21,"平台补贴",'拼多多对账'!L$6:L$21)</f>
        <v>0</v>
      </c>
      <c r="M14" s="11">
        <f>SUMIF('拼多多对账'!$B$6:$B$21,"平台补贴",'拼多多对账'!M$6:M$21)</f>
        <v>0</v>
      </c>
      <c r="N14" s="11">
        <f>SUMIF('拼多多对账'!$B$6:$B$21,"平台补贴",'拼多多对账'!N$6:N$21)</f>
        <v>0</v>
      </c>
      <c r="O14" s="11">
        <f t="shared" si="0"/>
        <v>3970</v>
      </c>
    </row>
    <row r="15">
      <c r="A15" s="2" t="inlineStr">
        <is>
          <t>其他费用</t>
        </is>
      </c>
      <c r="B15" s="2" t="inlineStr">
        <is>
          <t>资金台帐 属性＝支出</t>
        </is>
      </c>
      <c r="C15" s="11">
        <f>SUMIFS('[1]资金台帐'!$H$4:$H$3003,'[1]资金台帐'!$M$4:$M$3003,"支出",'[1]资金台帐'!$N$4:$N$3003,'首页'!$B$4*100+C$4)-SUMIFS('[1]资金台帐'!$G$4:$G$3003,'[1]资金台帐'!$M$4:$M$3003,"支出",'[1]资金台帐'!$N$4:$N$3003,'首页'!$B$4*100+C$4)</f>
        <v>0</v>
      </c>
      <c r="D15" s="11">
        <f>SUMIFS('[1]资金台帐'!$H$4:$H$3003,'[1]资金台帐'!$M$4:$M$3003,"支出",'[1]资金台帐'!$N$4:$N$3003,'首页'!$B$4*100+D$4)-SUMIFS('[1]资金台帐'!$G$4:$G$3003,'[1]资金台帐'!$M$4:$M$3003,"支出",'[1]资金台帐'!$N$4:$N$3003,'首页'!$B$4*100+D$4)</f>
        <v>0</v>
      </c>
      <c r="E15" s="11">
        <f>SUMIFS('[1]资金台帐'!$H$4:$H$3003,'[1]资金台帐'!$M$4:$M$3003,"支出",'[1]资金台帐'!$N$4:$N$3003,'首页'!$B$4*100+E$4)-SUMIFS('[1]资金台帐'!$G$4:$G$3003,'[1]资金台帐'!$M$4:$M$3003,"支出",'[1]资金台帐'!$N$4:$N$3003,'首页'!$B$4*100+E$4)</f>
        <v>0</v>
      </c>
      <c r="F15" s="11">
        <f>SUMIFS('[1]资金台帐'!$H$4:$H$3003,'[1]资金台帐'!$M$4:$M$3003,"支出",'[1]资金台帐'!$N$4:$N$3003,'首页'!$B$4*100+F$4)-SUMIFS('[1]资金台帐'!$G$4:$G$3003,'[1]资金台帐'!$M$4:$M$3003,"支出",'[1]资金台帐'!$N$4:$N$3003,'首页'!$B$4*100+F$4)</f>
        <v>0</v>
      </c>
      <c r="G15" s="11">
        <f>SUMIFS('[1]资金台帐'!$H$4:$H$3003,'[1]资金台帐'!$M$4:$M$3003,"支出",'[1]资金台帐'!$N$4:$N$3003,'首页'!$B$4*100+G$4)-SUMIFS('[1]资金台帐'!$G$4:$G$3003,'[1]资金台帐'!$M$4:$M$3003,"支出",'[1]资金台帐'!$N$4:$N$3003,'首页'!$B$4*100+G$4)</f>
        <v>0</v>
      </c>
      <c r="H15" s="11">
        <f>SUMIFS('[1]资金台帐'!$H$4:$H$3003,'[1]资金台帐'!$M$4:$M$3003,"支出",'[1]资金台帐'!$N$4:$N$3003,'首页'!$B$4*100+H$4)-SUMIFS('[1]资金台帐'!$G$4:$G$3003,'[1]资金台帐'!$M$4:$M$3003,"支出",'[1]资金台帐'!$N$4:$N$3003,'首页'!$B$4*100+H$4)</f>
        <v>0</v>
      </c>
      <c r="I15" s="11">
        <f>SUMIFS('[1]资金台帐'!$H$4:$H$3003,'[1]资金台帐'!$M$4:$M$3003,"支出",'[1]资金台帐'!$N$4:$N$3003,'首页'!$B$4*100+I$4)-SUMIFS('[1]资金台帐'!$G$4:$G$3003,'[1]资金台帐'!$M$4:$M$3003,"支出",'[1]资金台帐'!$N$4:$N$3003,'首页'!$B$4*100+I$4)</f>
        <v>0</v>
      </c>
      <c r="J15" s="11">
        <f>SUMIFS('[1]资金台帐'!$H$4:$H$3003,'[1]资金台帐'!$M$4:$M$3003,"支出",'[1]资金台帐'!$N$4:$N$3003,'首页'!$B$4*100+J$4)-SUMIFS('[1]资金台帐'!$G$4:$G$3003,'[1]资金台帐'!$M$4:$M$3003,"支出",'[1]资金台帐'!$N$4:$N$3003,'首页'!$B$4*100+J$4)</f>
        <v>0</v>
      </c>
      <c r="K15" s="11">
        <f>SUMIFS('[1]资金台帐'!$H$4:$H$3003,'[1]资金台帐'!$M$4:$M$3003,"支出",'[1]资金台帐'!$N$4:$N$3003,'首页'!$B$4*100+K$4)-SUMIFS('[1]资金台帐'!$G$4:$G$3003,'[1]资金台帐'!$M$4:$M$3003,"支出",'[1]资金台帐'!$N$4:$N$3003,'首页'!$B$4*100+K$4)</f>
        <v>0</v>
      </c>
      <c r="L15" s="11">
        <f>SUMIFS('[1]资金台帐'!$H$4:$H$3003,'[1]资金台帐'!$M$4:$M$3003,"支出",'[1]资金台帐'!$N$4:$N$3003,'首页'!$B$4*100+L$4)-SUMIFS('[1]资金台帐'!$G$4:$G$3003,'[1]资金台帐'!$M$4:$M$3003,"支出",'[1]资金台帐'!$N$4:$N$3003,'首页'!$B$4*100+L$4)</f>
        <v>0</v>
      </c>
      <c r="M15" s="11">
        <f>SUMIFS('[1]资金台帐'!$H$4:$H$3003,'[1]资金台帐'!$M$4:$M$3003,"支出",'[1]资金台帐'!$N$4:$N$3003,'首页'!$B$4*100+M$4)-SUMIFS('[1]资金台帐'!$G$4:$G$3003,'[1]资金台帐'!$M$4:$M$3003,"支出",'[1]资金台帐'!$N$4:$N$3003,'首页'!$B$4*100+M$4)</f>
        <v>0</v>
      </c>
      <c r="N15" s="11">
        <f>SUMIFS('[1]资金台帐'!$H$4:$H$3003,'[1]资金台帐'!$M$4:$M$3003,"支出",'[1]资金台帐'!$N$4:$N$3003,'首页'!$B$4*100+N$4)-SUMIFS('[1]资金台帐'!$G$4:$G$3003,'[1]资金台帐'!$M$4:$M$3003,"支出",'[1]资金台帐'!$N$4:$N$3003,'首页'!$B$4*100+N$4)</f>
        <v>0</v>
      </c>
      <c r="O15" s="11">
        <f t="shared" si="0"/>
        <v>0</v>
      </c>
    </row>
    <row r="16">
      <c r="A16" s="2" t="inlineStr">
        <is>
          <t>其他收入</t>
        </is>
      </c>
      <c r="B16" s="2" t="inlineStr">
        <is>
          <t>资金台帐 属性＝收入</t>
        </is>
      </c>
      <c r="C16" s="11">
        <f>SUMIFS('[1]资金台帐'!$G$4:$G$3003,'[1]资金台帐'!$M$4:$M$3003,"收入",'[1]资金台帐'!$N$4:$N$3003,'首页'!$B$4*100+C$4)-SUMIFS('[1]资金台帐'!$H$4:$H$3003,'[1]资金台帐'!$M$4:$M$3003,"收入",'[1]资金台帐'!$N$4:$N$3003,'首页'!$B$4*100+C$4)</f>
        <v>0</v>
      </c>
      <c r="D16" s="11">
        <f>SUMIFS('[1]资金台帐'!$G$4:$G$3003,'[1]资金台帐'!$M$4:$M$3003,"收入",'[1]资金台帐'!$N$4:$N$3003,'首页'!$B$4*100+D$4)-SUMIFS('[1]资金台帐'!$H$4:$H$3003,'[1]资金台帐'!$M$4:$M$3003,"收入",'[1]资金台帐'!$N$4:$N$3003,'首页'!$B$4*100+D$4)</f>
        <v>0</v>
      </c>
      <c r="E16" s="11">
        <f>SUMIFS('[1]资金台帐'!$G$4:$G$3003,'[1]资金台帐'!$M$4:$M$3003,"收入",'[1]资金台帐'!$N$4:$N$3003,'首页'!$B$4*100+E$4)-SUMIFS('[1]资金台帐'!$H$4:$H$3003,'[1]资金台帐'!$M$4:$M$3003,"收入",'[1]资金台帐'!$N$4:$N$3003,'首页'!$B$4*100+E$4)</f>
        <v>0</v>
      </c>
      <c r="F16" s="11">
        <f>SUMIFS('[1]资金台帐'!$G$4:$G$3003,'[1]资金台帐'!$M$4:$M$3003,"收入",'[1]资金台帐'!$N$4:$N$3003,'首页'!$B$4*100+F$4)-SUMIFS('[1]资金台帐'!$H$4:$H$3003,'[1]资金台帐'!$M$4:$M$3003,"收入",'[1]资金台帐'!$N$4:$N$3003,'首页'!$B$4*100+F$4)</f>
        <v>0</v>
      </c>
      <c r="G16" s="11">
        <f>SUMIFS('[1]资金台帐'!$G$4:$G$3003,'[1]资金台帐'!$M$4:$M$3003,"收入",'[1]资金台帐'!$N$4:$N$3003,'首页'!$B$4*100+G$4)-SUMIFS('[1]资金台帐'!$H$4:$H$3003,'[1]资金台帐'!$M$4:$M$3003,"收入",'[1]资金台帐'!$N$4:$N$3003,'首页'!$B$4*100+G$4)</f>
        <v>0</v>
      </c>
      <c r="H16" s="11">
        <f>SUMIFS('[1]资金台帐'!$G$4:$G$3003,'[1]资金台帐'!$M$4:$M$3003,"收入",'[1]资金台帐'!$N$4:$N$3003,'首页'!$B$4*100+H$4)-SUMIFS('[1]资金台帐'!$H$4:$H$3003,'[1]资金台帐'!$M$4:$M$3003,"收入",'[1]资金台帐'!$N$4:$N$3003,'首页'!$B$4*100+H$4)</f>
        <v>0</v>
      </c>
      <c r="I16" s="11">
        <f>SUMIFS('[1]资金台帐'!$G$4:$G$3003,'[1]资金台帐'!$M$4:$M$3003,"收入",'[1]资金台帐'!$N$4:$N$3003,'首页'!$B$4*100+I$4)-SUMIFS('[1]资金台帐'!$H$4:$H$3003,'[1]资金台帐'!$M$4:$M$3003,"收入",'[1]资金台帐'!$N$4:$N$3003,'首页'!$B$4*100+I$4)</f>
        <v>0</v>
      </c>
      <c r="J16" s="11">
        <f>SUMIFS('[1]资金台帐'!$G$4:$G$3003,'[1]资金台帐'!$M$4:$M$3003,"收入",'[1]资金台帐'!$N$4:$N$3003,'首页'!$B$4*100+J$4)-SUMIFS('[1]资金台帐'!$H$4:$H$3003,'[1]资金台帐'!$M$4:$M$3003,"收入",'[1]资金台帐'!$N$4:$N$3003,'首页'!$B$4*100+J$4)</f>
        <v>0</v>
      </c>
      <c r="K16" s="11">
        <f>SUMIFS('[1]资金台帐'!$G$4:$G$3003,'[1]资金台帐'!$M$4:$M$3003,"收入",'[1]资金台帐'!$N$4:$N$3003,'首页'!$B$4*100+K$4)-SUMIFS('[1]资金台帐'!$H$4:$H$3003,'[1]资金台帐'!$M$4:$M$3003,"收入",'[1]资金台帐'!$N$4:$N$3003,'首页'!$B$4*100+K$4)</f>
        <v>0</v>
      </c>
      <c r="L16" s="11">
        <f>SUMIFS('[1]资金台帐'!$G$4:$G$3003,'[1]资金台帐'!$M$4:$M$3003,"收入",'[1]资金台帐'!$N$4:$N$3003,'首页'!$B$4*100+L$4)-SUMIFS('[1]资金台帐'!$H$4:$H$3003,'[1]资金台帐'!$M$4:$M$3003,"收入",'[1]资金台帐'!$N$4:$N$3003,'首页'!$B$4*100+L$4)</f>
        <v>0</v>
      </c>
      <c r="M16" s="11">
        <f>SUMIFS('[1]资金台帐'!$G$4:$G$3003,'[1]资金台帐'!$M$4:$M$3003,"收入",'[1]资金台帐'!$N$4:$N$3003,'首页'!$B$4*100+M$4)-SUMIFS('[1]资金台帐'!$H$4:$H$3003,'[1]资金台帐'!$M$4:$M$3003,"收入",'[1]资金台帐'!$N$4:$N$3003,'首页'!$B$4*100+M$4)</f>
        <v>0</v>
      </c>
      <c r="N16" s="11">
        <f>SUMIFS('[1]资金台帐'!$G$4:$G$3003,'[1]资金台帐'!$M$4:$M$3003,"收入",'[1]资金台帐'!$N$4:$N$3003,'首页'!$B$4*100+N$4)-SUMIFS('[1]资金台帐'!$H$4:$H$3003,'[1]资金台帐'!$M$4:$M$3003,"收入",'[1]资金台帐'!$N$4:$N$3003,'首页'!$B$4*100+N$4)</f>
        <v>0</v>
      </c>
      <c r="O16" s="11">
        <f t="shared" si="0"/>
        <v>0</v>
      </c>
    </row>
    <row r="17">
      <c r="A17" s="8" t="inlineStr">
        <is>
          <t>净利润（简易）</t>
        </is>
      </c>
      <c r="B17" s="2" t="inlineStr">
        <is>
          <t>毛利－平台费用＋平台补贴－其他费用＋其他收入</t>
        </is>
      </c>
      <c r="C17" s="9">
        <f>C9-C13+C14-C15+C16</f>
        <v>0</v>
      </c>
      <c r="D17" s="9">
        <f>D9-D13+D14-D15+D16</f>
        <v>0</v>
      </c>
      <c r="E17" s="9">
        <f>E9-E13+E14-E15+E16</f>
        <v>0</v>
      </c>
      <c r="F17" s="9">
        <f>F9-F13+F14-F15+F16</f>
        <v>0</v>
      </c>
      <c r="G17" s="9">
        <f>G9-G13+G14-G15+G16</f>
        <v>0</v>
      </c>
      <c r="H17" s="9">
        <f>H9-H13+H14-H15+H16</f>
        <v>0</v>
      </c>
      <c r="I17" s="9">
        <f>I9-I13+I14-I15+I16</f>
        <v>0</v>
      </c>
      <c r="J17" s="9">
        <f>J9-J13+J14-J15+J16</f>
        <v>0</v>
      </c>
      <c r="K17" s="9">
        <f>K9-K13+K14-K15+K16</f>
        <v>114126.633394</v>
      </c>
      <c r="L17" s="9">
        <f>L9-L13+L14-L15+L16</f>
        <v>6438.39319999993</v>
      </c>
      <c r="M17" s="9">
        <f>M9-M13+M14-M15+M16</f>
        <v>0</v>
      </c>
      <c r="N17" s="9">
        <f>N9-N13+N14-N15+N16</f>
        <v>0</v>
      </c>
      <c r="O17" s="9">
        <f t="shared" si="0"/>
        <v>120565.026594</v>
      </c>
    </row>
    <row r="18"/>
    <row r="19">
      <c r="A19" s="2" t="inlineStr">
        <is>
          <t>参考：拼多多店铺回款净额</t>
        </is>
      </c>
      <c r="B19" s="2" t="inlineStr">
        <is>
          <t>订单收入＋优惠券结算－退款（账务明细）</t>
        </is>
      </c>
      <c r="C19" s="11">
        <f>SUMIF('拼多多对账'!$B$6:$B$21,"店铺回款",'拼多多对账'!C$6:C$21)</f>
        <v>0</v>
      </c>
      <c r="D19" s="11">
        <f>SUMIF('拼多多对账'!$B$6:$B$21,"店铺回款",'拼多多对账'!D$6:D$21)</f>
        <v>0</v>
      </c>
      <c r="E19" s="11">
        <f>SUMIF('拼多多对账'!$B$6:$B$21,"店铺回款",'拼多多对账'!E$6:E$21)</f>
        <v>0</v>
      </c>
      <c r="F19" s="11">
        <f>SUMIF('拼多多对账'!$B$6:$B$21,"店铺回款",'拼多多对账'!F$6:F$21)</f>
        <v>0</v>
      </c>
      <c r="G19" s="11">
        <f>SUMIF('拼多多对账'!$B$6:$B$21,"店铺回款",'拼多多对账'!G$6:G$21)</f>
        <v>0</v>
      </c>
      <c r="H19" s="11">
        <f>SUMIF('拼多多对账'!$B$6:$B$21,"店铺回款",'拼多多对账'!H$6:H$21)</f>
        <v>0</v>
      </c>
      <c r="I19" s="11">
        <f>SUMIF('拼多多对账'!$B$6:$B$21,"店铺回款",'拼多多对账'!I$6:I$21)</f>
        <v>0</v>
      </c>
      <c r="J19" s="11">
        <f>SUMIF('拼多多对账'!$B$6:$B$21,"店铺回款",'拼多多对账'!J$6:J$21)</f>
        <v>0</v>
      </c>
      <c r="K19" s="11">
        <f>SUMIF('拼多多对账'!$B$6:$B$21,"店铺回款",'拼多多对账'!K$6:K$21)</f>
        <v>155939</v>
      </c>
      <c r="L19" s="11">
        <f>SUMIF('拼多多对账'!$B$6:$B$21,"店铺回款",'拼多多对账'!L$6:L$21)</f>
        <v>0</v>
      </c>
      <c r="M19" s="11">
        <f>SUMIF('拼多多对账'!$B$6:$B$21,"店铺回款",'拼多多对账'!M$6:M$21)</f>
        <v>0</v>
      </c>
      <c r="N19" s="11">
        <f>SUMIF('拼多多对账'!$B$6:$B$21,"店铺回款",'拼多多对账'!N$6:N$21)</f>
        <v>0</v>
      </c>
      <c r="O19" s="11">
        <f>SUM(C19:N19)</f>
        <v>155939</v>
      </c>
    </row>
    <row r="20">
      <c r="A20" s="2" t="inlineStr">
        <is>
          <t>参考：差额</t>
        </is>
      </c>
      <c r="B20" s="2" t="inlineStr">
        <is>
          <t>店铺回款－管家婆拼多多销售额</t>
        </is>
      </c>
      <c r="C20" s="11">
        <f>C19-C5</f>
        <v>0</v>
      </c>
      <c r="D20" s="11">
        <f>D19-D5</f>
        <v>0</v>
      </c>
      <c r="E20" s="11">
        <f>E19-E5</f>
        <v>0</v>
      </c>
      <c r="F20" s="11">
        <f>F19-F5</f>
        <v>0</v>
      </c>
      <c r="G20" s="11">
        <f>G19-G5</f>
        <v>0</v>
      </c>
      <c r="H20" s="11">
        <f>H19-H5</f>
        <v>0</v>
      </c>
      <c r="I20" s="11">
        <f>I19-I5</f>
        <v>0</v>
      </c>
      <c r="J20" s="11">
        <f>J19-J5</f>
        <v>0</v>
      </c>
      <c r="K20" s="11">
        <f>K19-K5</f>
        <v>133039.42</v>
      </c>
      <c r="L20" s="11">
        <f>L19-L5</f>
        <v>0</v>
      </c>
      <c r="M20" s="11">
        <f>M19-M5</f>
        <v>0</v>
      </c>
      <c r="N20" s="11">
        <f>N19-N5</f>
        <v>0</v>
      </c>
      <c r="O20" s="11">
        <f>SUM(C20:N20)</f>
        <v>133039.42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B23"/>
  <sheetViews>
    <sheetView showGridLines="0" tabSelected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 ht="28" customHeight="1">
      <c r="A1" s="1" t="inlineStr">
        <is>
          <t>A076 使用说明</t>
        </is>
      </c>
    </row>
    <row r="2"/>
    <row r="3">
      <c r="A3" s="13" t="inlineStr">
        <is>
          <t>两本怎么用</t>
        </is>
      </c>
    </row>
    <row r="4" ht="30" customHeight="1">
      <c r="A4" s="22" t="inlineStr">
        <is>
          <t>1</t>
        </is>
      </c>
      <c r="B4" s="22" t="inlineStr">
        <is>
          <t>A076-1_录入本.xlsx：基础资料、资金台帐（手记）、采购入库、销售出库（粘管家婆导出）、拼多多三张粘贴区。平时只开这一本，快。</t>
        </is>
      </c>
    </row>
    <row r="5" ht="18" customHeight="1">
      <c r="A5" s="22" t="inlineStr">
        <is>
          <t>2</t>
        </is>
      </c>
      <c r="B5" s="22" t="inlineStr">
        <is>
          <t>A076-2_报表本.xlsx：首页、拼多多对账、技术服务费核对、库存、往来、费用统计、利润表。公式直接取录入本的数。</t>
        </is>
      </c>
    </row>
    <row r="6" ht="30" customHeight="1">
      <c r="A6" s="22" t="inlineStr">
        <is>
          <t>3</t>
        </is>
      </c>
      <c r="B6" s="22" t="inlineStr">
        <is>
          <t>两本放同一个文件夹，文件名别改。看报表：先开录入本，再开报表本（问「更新链接」点更新），首页 B2 显示「录入本已连上」就对了。</t>
        </is>
      </c>
    </row>
    <row r="7" ht="30" customHeight="1">
      <c r="A7" s="22" t="inlineStr">
        <is>
          <t>4</t>
        </is>
      </c>
      <c r="B7" s="22" t="inlineStr">
        <is>
          <t>录入本没开的时候，报表本别点「更新」：SUMIFS 取关着的文件会变成 #VALUE!。没开就先看上次存的数，要最新的先开录入本再按 F9。</t>
        </is>
      </c>
    </row>
    <row r="8">
      <c r="A8" s="13" t="inlineStr">
        <is>
          <t>资金台帐</t>
        </is>
      </c>
    </row>
    <row r="9" ht="30" customHeight="1">
      <c r="A9" s="22" t="inlineStr">
        <is>
          <t>5</t>
        </is>
      </c>
      <c r="B9" s="22" t="inlineStr">
        <is>
          <t>招商银行、微信、支付宝、拼多多店铺余额混在一张表记，一行一笔，按日期先后往下记；每行自动算这个账户记完这笔后的余额，「问题提示」列有字就是那行没填对。</t>
        </is>
      </c>
    </row>
    <row r="10" ht="18" customHeight="1">
      <c r="A10" s="22" t="inlineStr">
        <is>
          <t>6</t>
        </is>
      </c>
      <c r="B10" s="22" t="inlineStr">
        <is>
          <t>拼多多提现到招行：账户＝拼多多店铺余额，收支类别＝内部转账，支出＝提现金额，对方账户＝招商银行。微信、支付宝转招行同理。</t>
        </is>
      </c>
    </row>
    <row r="11" ht="18" customHeight="1">
      <c r="A11" s="22" t="inlineStr">
        <is>
          <t>7</t>
        </is>
      </c>
      <c r="B11" s="22" t="inlineStr">
        <is>
          <t>店铺里的订单收入、退款、技术服务费这些不用手记，粘账务明细就自动算进拼多多店铺余额。</t>
        </is>
      </c>
    </row>
    <row r="12">
      <c r="A12" s="13" t="inlineStr">
        <is>
          <t>管家婆导出</t>
        </is>
      </c>
    </row>
    <row r="13" ht="30" customHeight="1">
      <c r="A13" s="22" t="inlineStr">
        <is>
          <t>8</t>
        </is>
      </c>
      <c r="B13" s="22" t="inlineStr">
        <is>
          <t>采购：管家婆「商品采购明细查询」导出，从明细第 1 行复制到最后一行，粘到录入本「采购入库」A4。销售：「销售明细查询-按商品统计」同样粘到「销售出库」A4。</t>
        </is>
      </c>
    </row>
    <row r="14" ht="18" customHeight="1">
      <c r="A14" s="22" t="inlineStr">
        <is>
          <t>9</t>
        </is>
      </c>
      <c r="B14" s="22" t="inlineStr">
        <is>
          <t>新商品、新客户、新供应商要先加到基础资料，不然库存和往来算不到（问题提示列会提醒）。</t>
        </is>
      </c>
    </row>
    <row r="15" ht="30" customHeight="1">
      <c r="A15" s="22" t="inlineStr">
        <is>
          <t>10</t>
        </is>
      </c>
      <c r="B15" s="22" t="inlineStr">
        <is>
          <t>库存期初＝你给的管家婆库存表（你说不太准）。盘点后改基础资料的期初数量、期初单价。成本按「（期初金额＋采购金额）÷（期初数量＋采购数量）」加权平均。</t>
        </is>
      </c>
    </row>
    <row r="16">
      <c r="A16" s="13" t="inlineStr">
        <is>
          <t>拼多多对账（核心）</t>
        </is>
      </c>
    </row>
    <row r="17" ht="30" customHeight="1">
      <c r="A17" s="22" t="inlineStr">
        <is>
          <t>11</t>
        </is>
      </c>
      <c r="B17" s="22" t="inlineStr">
        <is>
          <t>每月从拼多多后台导出三张：店铺账务明细、营销活动结算对账单、技术服务费返还账单，分别粘到三张粘贴表 A4，下个月接着往下粘。</t>
        </is>
      </c>
    </row>
    <row r="18" ht="30" customHeight="1">
      <c r="A18" s="22" t="inlineStr">
        <is>
          <t>12</t>
        </is>
      </c>
      <c r="B18" s="22" t="inlineStr">
        <is>
          <t>营销活动对账单对不上，是因为对账单按「结算时间」出、账务明细按「到账」出，而且账务明细里补贴汇入只有一笔批次总额。要按批次号对：账务明细备注里的批次号 → 对账单里同批次号的合计 → 应等于到账金额。</t>
        </is>
      </c>
    </row>
    <row r="19" ht="18" customHeight="1">
      <c r="A19" s="22" t="inlineStr">
        <is>
          <t>13</t>
        </is>
      </c>
      <c r="B19" s="22" t="inlineStr">
        <is>
          <t>逐单：结算总金额＝成本金额（报名价）－商品售价（活动价）＋备注里的补贴优惠券。</t>
        </is>
      </c>
    </row>
    <row r="20" ht="30" customHeight="1">
      <c r="A20" s="22" t="inlineStr">
        <is>
          <t>14</t>
        </is>
      </c>
      <c r="B20" s="22" t="inlineStr">
        <is>
          <t>技术服务费：百亿补贴单扣 0.6% 基础费＋1.4% 百亿费，1.4% 过一段时间按批次返还。「技术服务费核对」逐单列出扣了没返、返了又扣回（-t01）的单。</t>
        </is>
      </c>
    </row>
    <row r="21" ht="18" customHeight="1">
      <c r="A21" s="22" t="inlineStr">
        <is>
          <t>15</t>
        </is>
      </c>
      <c r="B21" s="22" t="inlineStr">
        <is>
          <t>每月净额（收入合计＋支出合计）要等于账务明细最后一行「#总计」；期初店铺余额填在基础资料第 8 行。</t>
        </is>
      </c>
    </row>
    <row r="22">
      <c r="A22" s="13" t="inlineStr">
        <is>
          <t>以后上管家婆财务</t>
        </is>
      </c>
    </row>
    <row r="23" ht="18" customHeight="1">
      <c r="A23" s="22" t="inlineStr">
        <is>
          <t>16</t>
        </is>
      </c>
      <c r="B23" s="22" t="inlineStr">
        <is>
          <t>管家婆财务弄好之前先用这套；弄好后资金台帐可以停，拼多多对账这部分照样能用（粘导出就行）。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2026-10-15T12:12:00Z</dcterms:created>
  <dcterms:modified xmlns:dcterms="http://purl.org/dc/terms/" xmlns:xsi="http://www.w3.org/2001/XMLSchema-instance" xsi:type="dcterms:W3CDTF">2026-10-15T12:12:05Z</dcterms:modified>
</cp:coreProperties>
</file>