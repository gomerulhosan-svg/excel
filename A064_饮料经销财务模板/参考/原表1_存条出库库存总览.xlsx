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AppData\Local\kingsoft\WPS Cloud Files\userdata\qing\filecache\.439649689\cachedata\50CD60001CED4DE7B237B93C2AAE47E7\"/>
    </mc:Choice>
  </mc:AlternateContent>
  <bookViews>
    <workbookView windowWidth="27945" windowHeight="12375" activeTab="1"/>
  </bookViews>
  <sheets>
    <sheet name="总览汇总" sheetId="2" r:id="rId1"/>
    <sheet name="出库明细" sheetId="3" r:id="rId2"/>
    <sheet name="收付款明细" sheetId="4" r:id="rId3"/>
    <sheet name="存条明细" sheetId="5" r:id="rId4"/>
    <sheet name="商品库存" sheetId="6" r:id="rId5"/>
    <sheet name="客户查询" sheetId="7" r:id="rId6"/>
    <sheet name="Sheet1" sheetId="8" r:id="rId7"/>
  </sheets>
  <definedNames>
    <definedName name="_xlnm._FilterDatabase" localSheetId="0" hidden="1">总览汇总!$A$4:$T$155</definedName>
    <definedName name="_xlnm._FilterDatabase" localSheetId="2" hidden="1">收付款明细!$A$3:$T$204</definedName>
    <definedName name="_xlnm._FilterDatabase" localSheetId="3" hidden="1">存条明细!$A$3:$H$254</definedName>
    <definedName name="_xlnm._FilterDatabase" localSheetId="4" hidden="1">商品库存!$A$3:$T$299</definedName>
    <definedName name="_xlnm._FilterDatabase" localSheetId="1" hidden="1">出库明细!$A$1:$H$470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<sst xmlns="http://schemas.openxmlformats.org/spreadsheetml/2006/main" count="2393" uniqueCount="219">
  <si>
    <t>客户存条&amp;货款总览汇总表</t>
  </si>
  <si>
    <t>💡 一篮子查看所有客户情况：新增客户请在此表填写初始信息，领用和付款在对应明细表登记，数据自动更新</t>
  </si>
  <si>
    <t>序号</t>
  </si>
  <si>
    <t>客户名称</t>
  </si>
  <si>
    <t>初始存条金额(元)</t>
  </si>
  <si>
    <t>已领用金额(元)</t>
  </si>
  <si>
    <t>剩余存条金额(元)</t>
  </si>
  <si>
    <t>已付款金额(元)</t>
  </si>
  <si>
    <t>未付货款(元)</t>
  </si>
  <si>
    <t>状态</t>
  </si>
  <si>
    <t>库存总结余数量(件)</t>
  </si>
  <si>
    <t>库存总结余金额(元)</t>
  </si>
  <si>
    <t>合计</t>
  </si>
  <si>
    <t>星海超市</t>
  </si>
  <si>
    <t>王玉琴</t>
  </si>
  <si>
    <t>桐心源</t>
  </si>
  <si>
    <t>阿东副食</t>
  </si>
  <si>
    <t>金凤副食</t>
  </si>
  <si>
    <t>致发商行</t>
  </si>
  <si>
    <t>家家兴超市</t>
  </si>
  <si>
    <t>通达商行</t>
  </si>
  <si>
    <t>宜兴粮油</t>
  </si>
  <si>
    <t>马路下小卖部</t>
  </si>
  <si>
    <t>兴莲隆兴商行</t>
  </si>
  <si>
    <t>诚信粮油</t>
  </si>
  <si>
    <t>李记副食</t>
  </si>
  <si>
    <t>吕维春</t>
  </si>
  <si>
    <t>兴发商行</t>
  </si>
  <si>
    <t>城岗日日升超市</t>
  </si>
  <si>
    <t>江背久明商行</t>
  </si>
  <si>
    <t>社富丽华超市</t>
  </si>
  <si>
    <t>九鑫粮油</t>
  </si>
  <si>
    <t>鼎龙陈财超市</t>
  </si>
  <si>
    <t>洪门美群商行</t>
  </si>
  <si>
    <t>兴江家源超市</t>
  </si>
  <si>
    <t>永丰橙丰购物</t>
  </si>
  <si>
    <t>枫边德华超市</t>
  </si>
  <si>
    <t>梅窖建军批发</t>
  </si>
  <si>
    <t>高兴美宜佳</t>
  </si>
  <si>
    <t>永丰焦溪兰兰副食</t>
  </si>
  <si>
    <t>高兴枫树平价超市</t>
  </si>
  <si>
    <t>鼎龙众家乐超市</t>
  </si>
  <si>
    <t>洪门兴诚超市</t>
  </si>
  <si>
    <t>兴江吴辉明</t>
  </si>
  <si>
    <t>和睦公园百顺</t>
  </si>
  <si>
    <t>福旺家优购</t>
  </si>
  <si>
    <t>红军路怡品折扣店</t>
  </si>
  <si>
    <t>贸易广场老吴副食</t>
  </si>
  <si>
    <t>均村桃姐水果店</t>
  </si>
  <si>
    <t>小梅商行</t>
  </si>
  <si>
    <t>崇贤三角超市</t>
  </si>
  <si>
    <t>财源批发</t>
  </si>
  <si>
    <t>标哥副食</t>
  </si>
  <si>
    <t>春萌副食</t>
  </si>
  <si>
    <t>城西街福临门超市</t>
  </si>
  <si>
    <t>滨江路莲花便利店</t>
  </si>
  <si>
    <t>好帮手</t>
  </si>
  <si>
    <t>优生副食</t>
  </si>
  <si>
    <t>龙岗好又全超市</t>
  </si>
  <si>
    <t>友兰商行</t>
  </si>
  <si>
    <t>隆坪美林副食</t>
  </si>
  <si>
    <t>高兴四季春副食</t>
  </si>
  <si>
    <t>崇贤高平副食</t>
  </si>
  <si>
    <t>高兴张声英</t>
  </si>
  <si>
    <t>崇贤粤客隆</t>
  </si>
  <si>
    <t>火车站关新平</t>
  </si>
  <si>
    <t>洪门五香副食</t>
  </si>
  <si>
    <t>良村万家欢超市</t>
  </si>
  <si>
    <t>滨江路小红花便利店</t>
  </si>
  <si>
    <t>滨江荣香副食</t>
  </si>
  <si>
    <t>埠头凤岗万家乐超市</t>
  </si>
  <si>
    <t>方太青华百货</t>
  </si>
  <si>
    <t>城北街隆兴商行</t>
  </si>
  <si>
    <t>均村好惠多超市</t>
  </si>
  <si>
    <t>龙口利客副食</t>
  </si>
  <si>
    <t>长岗愉清副食</t>
  </si>
  <si>
    <t>高兴小春王均平</t>
  </si>
  <si>
    <t>高兴蒙山超市</t>
  </si>
  <si>
    <t>良村小杜批发</t>
  </si>
  <si>
    <t>洪门C区李记商行</t>
  </si>
  <si>
    <t>小陈副食</t>
  </si>
  <si>
    <t>埠头鑫鑫文具</t>
  </si>
  <si>
    <t>南区长裕商行</t>
  </si>
  <si>
    <t>洪门永信商行</t>
  </si>
  <si>
    <t>均村喜乐多</t>
  </si>
  <si>
    <t>埠头如愿超市</t>
  </si>
  <si>
    <t>七中阳光鲜奶</t>
  </si>
  <si>
    <t>长岗岭万家乐超市</t>
  </si>
  <si>
    <t>龙岗荣鑫商行</t>
  </si>
  <si>
    <t>城岗老石商行</t>
  </si>
  <si>
    <t>埠头万客欢</t>
  </si>
  <si>
    <t>商品领用明细台账</t>
  </si>
  <si>
    <t>💡 每次送货/拣货在此登记，总览表和库存表自动更新</t>
  </si>
  <si>
    <t>日期</t>
  </si>
  <si>
    <t>商品品类</t>
  </si>
  <si>
    <t>领用数量(件)</t>
  </si>
  <si>
    <t>单价(元/件)</t>
  </si>
  <si>
    <t>本次领用金额(元)</t>
  </si>
  <si>
    <t>备注</t>
  </si>
  <si>
    <t>555补水</t>
  </si>
  <si>
    <t>小焙好茶</t>
  </si>
  <si>
    <t>小果之茶</t>
  </si>
  <si>
    <t>1L补水</t>
  </si>
  <si>
    <t>1L果之茶</t>
  </si>
  <si>
    <t>大咖</t>
  </si>
  <si>
    <t>330大咖</t>
  </si>
  <si>
    <t>东鹏椰子水</t>
  </si>
  <si>
    <t>大东鹏</t>
  </si>
  <si>
    <t>港式奶茶</t>
  </si>
  <si>
    <t>九制陈皮</t>
  </si>
  <si>
    <t>1L焙好茶</t>
  </si>
  <si>
    <t>小东鹏</t>
  </si>
  <si>
    <t>500农夫饮料</t>
  </si>
  <si>
    <t>高兴店</t>
  </si>
  <si>
    <t>城岗店</t>
  </si>
  <si>
    <t>龙岗店</t>
  </si>
  <si>
    <t>模范城</t>
  </si>
  <si>
    <t>1.5L水</t>
  </si>
  <si>
    <t>梅窖</t>
  </si>
  <si>
    <t>550农夫纯净水</t>
  </si>
  <si>
    <t>龙岗爱客来</t>
  </si>
  <si>
    <t>900农夫饮料</t>
  </si>
  <si>
    <t>长岗爱客来</t>
  </si>
  <si>
    <t>火车站家家兴</t>
  </si>
  <si>
    <t>550农夫水</t>
  </si>
  <si>
    <t>存条已清</t>
  </si>
  <si>
    <t>送半件</t>
  </si>
  <si>
    <t>兴隆隆兴商行</t>
  </si>
  <si>
    <t>2026-7-14存条已清未收回存条</t>
  </si>
  <si>
    <t>小海岛椰</t>
  </si>
  <si>
    <t>存条已清存条已收回</t>
  </si>
  <si>
    <t>存条已清存条未收回</t>
  </si>
  <si>
    <t>7-8存条已清</t>
  </si>
  <si>
    <t>555椰子水</t>
  </si>
  <si>
    <t>330海岛椰</t>
  </si>
  <si>
    <t>8月13日存条已清</t>
  </si>
  <si>
    <t>7.12存条已清</t>
  </si>
  <si>
    <t>7-7存条已清</t>
  </si>
  <si>
    <t>8-26存条清完</t>
  </si>
  <si>
    <t>8.25日已清</t>
  </si>
  <si>
    <t>小果之茶抵陈皮</t>
  </si>
  <si>
    <t>2026.8-26</t>
  </si>
  <si>
    <t>大鹏</t>
  </si>
  <si>
    <t>大补水，奶茶抵150件小果汁茶</t>
  </si>
  <si>
    <t>收付款明细台账</t>
  </si>
  <si>
    <t>💡 客户每次付款在此登记，总览表自动更新未付货款</t>
  </si>
  <si>
    <t>收款金额(元)</t>
  </si>
  <si>
    <t>付款方式</t>
  </si>
  <si>
    <t>2026.6.25</t>
  </si>
  <si>
    <t>收款码</t>
  </si>
  <si>
    <t>还差我46313元</t>
  </si>
  <si>
    <t>农夫饮料</t>
  </si>
  <si>
    <t>还差我37433元</t>
  </si>
  <si>
    <t>2026.6.26</t>
  </si>
  <si>
    <t>2026.6.27</t>
  </si>
  <si>
    <t>东鹏新品订货款</t>
  </si>
  <si>
    <t>还欠2400元</t>
  </si>
  <si>
    <t>2026.6.29</t>
  </si>
  <si>
    <t>2026.6.28</t>
  </si>
  <si>
    <t>2026.7.1</t>
  </si>
  <si>
    <t>阳光超市</t>
  </si>
  <si>
    <t>农业工账</t>
  </si>
  <si>
    <t>2026.7.2</t>
  </si>
  <si>
    <t>2026.7.6</t>
  </si>
  <si>
    <t>2026.7.4</t>
  </si>
  <si>
    <t>2026.7.12</t>
  </si>
  <si>
    <t>2026.7.10</t>
  </si>
  <si>
    <t>2026.7.18</t>
  </si>
  <si>
    <t>2026.5.14</t>
  </si>
  <si>
    <t>2026.7.16</t>
  </si>
  <si>
    <t>2026.7.25</t>
  </si>
  <si>
    <t>2026.7.24</t>
  </si>
  <si>
    <t>2026.7.26</t>
  </si>
  <si>
    <t>2026.7.28</t>
  </si>
  <si>
    <t>77900-22000</t>
  </si>
  <si>
    <t>55900-13000</t>
  </si>
  <si>
    <t>订3017元</t>
  </si>
  <si>
    <t>订3004元</t>
  </si>
  <si>
    <t>2026.7.23</t>
  </si>
  <si>
    <t xml:space="preserve"> </t>
  </si>
  <si>
    <t>206-7-31</t>
  </si>
  <si>
    <t>长岗万家欢</t>
  </si>
  <si>
    <t>好又多、思美达</t>
  </si>
  <si>
    <t>商品入库明细台账</t>
  </si>
  <si>
    <t>💡 每次进货/入库在此登记，库存表自动汇总更新，支持同一客户+商品多笔入库自动累加</t>
  </si>
  <si>
    <t>入库日期</t>
  </si>
  <si>
    <t>入库数量(件)</t>
  </si>
  <si>
    <t>入库单价(元/件)</t>
  </si>
  <si>
    <t>本次入库总金额(元)</t>
  </si>
  <si>
    <t>1.25海岛椰</t>
  </si>
  <si>
    <t>小咖</t>
  </si>
  <si>
    <t>2024年7月5日存条</t>
  </si>
  <si>
    <t>竹坝鸿禄食品</t>
  </si>
  <si>
    <t>清爽</t>
  </si>
  <si>
    <t>550纯净水12入</t>
  </si>
  <si>
    <t>商品库存明细（按客户+商品）</t>
  </si>
  <si>
    <t>💡 查看每个客户每个商品的库存情况：新增客户+商品在此填写初始数量，领用后自动扣减</t>
  </si>
  <si>
    <t>累计入库数量(件)</t>
  </si>
  <si>
    <t>入库单价(元)</t>
  </si>
  <si>
    <t>累计入库总金额(元)</t>
  </si>
  <si>
    <t>已领用数量(件)</t>
  </si>
  <si>
    <t>剩余数量(件)</t>
  </si>
  <si>
    <t>剩余金额(元)</t>
  </si>
  <si>
    <t>最后更新日期</t>
  </si>
  <si>
    <t>客户快速查询</t>
  </si>
  <si>
    <t>💡 在黄色格子输入客户名称，自动显示该客户的所有库存和货款情况</t>
  </si>
  <si>
    <t>🔍 请输入客户名称：</t>
  </si>
  <si>
    <t>💰 货款汇总</t>
  </si>
  <si>
    <t>初始存条金额</t>
  </si>
  <si>
    <t>已领用金额</t>
  </si>
  <si>
    <t>剩余存条金额</t>
  </si>
  <si>
    <t>已付款金额</t>
  </si>
  <si>
    <t>未付货款</t>
  </si>
  <si>
    <t>📦 商品库存明细</t>
  </si>
  <si>
    <t>初始数量</t>
  </si>
  <si>
    <t>初始金额</t>
  </si>
  <si>
    <t>已领用数量</t>
  </si>
  <si>
    <t>剩余数量</t>
  </si>
  <si>
    <t>剩余金额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</si>
</sst>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"/>
    <numFmt numFmtId="177" formatCode="yyyy/mm/dd"/>
    <numFmt numFmtId="178" formatCode="yyyy/m/d;@"/>
  </numFmts>
  <fonts count="36">
    <font>
      <sz val="10"/>
      <color theme="1"/>
      <name val="等线"/>
      <charset val="134"/>
      <scheme val="minor"/>
    </font>
    <font>
      <b/>
      <sz val="16"/>
      <color rgb="FFFFFFFF"/>
      <name val="微软雅黑"/>
      <charset val="134"/>
    </font>
    <font>
      <sz val="10"/>
      <color rgb="FF000000"/>
      <name val="等线"/>
      <charset val="134"/>
    </font>
    <font>
      <sz val="10"/>
      <color rgb="FFFF6600"/>
      <name val="微软雅黑"/>
      <charset val="134"/>
    </font>
    <font>
      <b/>
      <sz val="12"/>
      <color rgb="FF000000"/>
      <name val="微软雅黑"/>
      <charset val="134"/>
    </font>
    <font>
      <b/>
      <sz val="12"/>
      <color rgb="FFFFFFFF"/>
      <name val="微软雅黑"/>
      <charset val="134"/>
    </font>
    <font>
      <b/>
      <sz val="10"/>
      <color rgb="FFFFFFFF"/>
      <name val="微软雅黑"/>
      <charset val="134"/>
    </font>
    <font>
      <b/>
      <sz val="11"/>
      <color rgb="FF000000"/>
      <name val="微软雅黑"/>
      <charset val="134"/>
    </font>
    <font>
      <sz val="10"/>
      <color rgb="FF000000"/>
      <name val="微软雅黑"/>
      <charset val="134"/>
    </font>
    <font>
      <sz val="10"/>
      <color rgb="FFFF0000"/>
      <name val="等线"/>
      <charset val="134"/>
      <scheme val="minor"/>
    </font>
    <font>
      <b/>
      <sz val="11"/>
      <color rgb="FFFFFFFF"/>
      <name val="微软雅黑"/>
      <charset val="134"/>
    </font>
    <font>
      <b/>
      <sz val="10"/>
      <color rgb="FFFF0000"/>
      <name val="微软雅黑"/>
      <charset val="134"/>
    </font>
    <font>
      <sz val="10"/>
      <color rgb="FFFF0000"/>
      <name val="微软雅黑"/>
      <charset val="134"/>
    </font>
    <font>
      <sz val="10"/>
      <color rgb="FFFF0000"/>
      <name val="等线"/>
      <charset val="134"/>
    </font>
    <font>
      <b/>
      <sz val="11"/>
      <color rgb="FFFFFFFF"/>
      <name val="等线"/>
      <charset val="134"/>
      <scheme val="minor"/>
    </font>
    <font>
      <sz val="1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14" borderId="1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2" applyNumberFormat="0" applyFill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5" borderId="4" applyNumberFormat="0" applyAlignment="0" applyProtection="0">
      <alignment vertical="center"/>
    </xf>
    <xf numFmtId="0" fontId="26" fillId="12" borderId="5" applyNumberFormat="0" applyAlignment="0" applyProtection="0">
      <alignment vertical="center"/>
    </xf>
    <xf numFmtId="0" fontId="27" fillId="12" borderId="4" applyNumberFormat="0" applyAlignment="0" applyProtection="0">
      <alignment vertical="center"/>
    </xf>
    <xf numFmtId="0" fontId="28" fillId="16" borderId="6" applyNumberFormat="0" applyAlignment="0" applyProtection="0">
      <alignment vertical="center"/>
    </xf>
    <xf numFmtId="0" fontId="29" fillId="0" borderId="7" applyNumberFormat="0" applyFill="0" applyAlignment="0" applyProtection="0">
      <alignment vertical="center"/>
    </xf>
    <xf numFmtId="0" fontId="30" fillId="0" borderId="8" applyNumberFormat="0" applyFill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5" fillId="37" borderId="0" applyNumberFormat="0" applyBorder="0" applyAlignment="0" applyProtection="0">
      <alignment vertical="center"/>
    </xf>
    <xf numFmtId="0" fontId="35" fillId="38" borderId="0" applyNumberFormat="0" applyBorder="0" applyAlignment="0" applyProtection="0">
      <alignment vertical="center"/>
    </xf>
    <xf numFmtId="0" fontId="34" fillId="39" borderId="0" applyNumberFormat="0" applyBorder="0" applyAlignment="0" applyProtection="0">
      <alignment vertical="center"/>
    </xf>
    <xf numFmtId="0" fontId="34" fillId="40" borderId="0" applyNumberFormat="0" applyBorder="0" applyAlignment="0" applyProtection="0">
      <alignment vertical="center"/>
    </xf>
    <xf numFmtId="0" fontId="35" fillId="41" borderId="0" applyNumberFormat="0" applyBorder="0" applyAlignment="0" applyProtection="0">
      <alignment vertical="center"/>
    </xf>
    <xf numFmtId="0" fontId="35" fillId="42" borderId="0" applyNumberFormat="0" applyBorder="0" applyAlignment="0" applyProtection="0">
      <alignment vertical="center"/>
    </xf>
    <xf numFmtId="0" fontId="34" fillId="43" borderId="0" applyNumberFormat="0" applyBorder="0" applyAlignment="0" applyProtection="0">
      <alignment vertical="center"/>
    </xf>
  </cellStyleXfs>
  <cellXfs count="71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Alignment="1"/>
    <xf numFmtId="0" fontId="3" fillId="3" borderId="0" xfId="0" applyFont="1" applyFill="1" applyAlignment="1">
      <alignment horizontal="left" vertical="center"/>
    </xf>
    <xf numFmtId="0" fontId="4" fillId="0" borderId="0" xfId="0" applyFont="1" applyAlignment="1"/>
    <xf numFmtId="0" fontId="4" fillId="4" borderId="0" xfId="0" applyFont="1" applyFill="1" applyAlignment="1"/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176" fontId="7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 wrapText="1"/>
    </xf>
    <xf numFmtId="0" fontId="8" fillId="8" borderId="0" xfId="0" applyFont="1" applyFill="1" applyAlignment="1">
      <alignment horizontal="center" vertical="center"/>
    </xf>
    <xf numFmtId="176" fontId="8" fillId="8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vertical="center"/>
    </xf>
    <xf numFmtId="7" fontId="0" fillId="0" borderId="0" xfId="0" applyNumberFormat="1" applyAlignment="1">
      <alignment vertical="center"/>
    </xf>
    <xf numFmtId="0" fontId="1" fillId="7" borderId="0" xfId="0" applyFont="1" applyFill="1" applyAlignment="1">
      <alignment horizontal="center" vertical="center"/>
    </xf>
    <xf numFmtId="7" fontId="2" fillId="0" borderId="0" xfId="0" applyNumberFormat="1" applyFont="1" applyAlignment="1"/>
    <xf numFmtId="0" fontId="10" fillId="7" borderId="0" xfId="0" applyFont="1" applyFill="1" applyAlignment="1">
      <alignment horizontal="center" vertical="center" wrapText="1"/>
    </xf>
    <xf numFmtId="7" fontId="10" fillId="7" borderId="0" xfId="0" applyNumberFormat="1" applyFont="1" applyFill="1" applyAlignment="1">
      <alignment horizontal="center" vertical="center" wrapText="1"/>
    </xf>
    <xf numFmtId="7" fontId="8" fillId="8" borderId="0" xfId="0" applyNumberFormat="1" applyFont="1" applyFill="1" applyAlignment="1">
      <alignment horizontal="center" vertical="center"/>
    </xf>
    <xf numFmtId="177" fontId="2" fillId="0" borderId="0" xfId="0" applyNumberFormat="1" applyFont="1" applyAlignment="1"/>
    <xf numFmtId="7" fontId="8" fillId="0" borderId="0" xfId="0" applyNumberFormat="1" applyFont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7" fontId="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7" fontId="12" fillId="0" borderId="0" xfId="0" applyNumberFormat="1" applyFont="1" applyAlignment="1">
      <alignment horizontal="center" vertical="center"/>
    </xf>
    <xf numFmtId="176" fontId="12" fillId="0" borderId="0" xfId="0" applyNumberFormat="1" applyFont="1" applyAlignment="1">
      <alignment horizontal="center" vertical="center"/>
    </xf>
    <xf numFmtId="177" fontId="13" fillId="0" borderId="0" xfId="0" applyNumberFormat="1" applyFont="1" applyAlignment="1"/>
    <xf numFmtId="0" fontId="13" fillId="0" borderId="0" xfId="0" applyFont="1" applyAlignment="1"/>
    <xf numFmtId="0" fontId="0" fillId="0" borderId="0" xfId="0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7" fontId="10" fillId="5" borderId="0" xfId="0" applyNumberFormat="1" applyFont="1" applyFill="1" applyAlignment="1">
      <alignment horizontal="center" vertical="center"/>
    </xf>
    <xf numFmtId="176" fontId="10" fillId="5" borderId="0" xfId="0" applyNumberFormat="1" applyFont="1" applyFill="1" applyAlignment="1">
      <alignment horizontal="center" vertical="center"/>
    </xf>
    <xf numFmtId="0" fontId="14" fillId="9" borderId="0" xfId="0" applyFont="1" applyFill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/>
    </xf>
    <xf numFmtId="176" fontId="8" fillId="10" borderId="0" xfId="0" applyNumberFormat="1" applyFont="1" applyFill="1" applyAlignment="1">
      <alignment horizontal="center" vertical="center"/>
    </xf>
    <xf numFmtId="177" fontId="8" fillId="6" borderId="0" xfId="0" applyNumberFormat="1" applyFont="1" applyFill="1" applyAlignment="1">
      <alignment horizontal="center" vertical="center"/>
    </xf>
    <xf numFmtId="176" fontId="8" fillId="6" borderId="0" xfId="0" applyNumberFormat="1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10" fillId="11" borderId="0" xfId="0" applyFont="1" applyFill="1" applyAlignment="1">
      <alignment horizontal="center" vertical="center" wrapText="1"/>
    </xf>
    <xf numFmtId="0" fontId="12" fillId="12" borderId="0" xfId="0" applyFont="1" applyFill="1" applyAlignment="1">
      <alignment horizontal="center" vertical="center"/>
    </xf>
    <xf numFmtId="177" fontId="12" fillId="12" borderId="0" xfId="0" applyNumberFormat="1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176" fontId="12" fillId="12" borderId="0" xfId="0" applyNumberFormat="1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177" fontId="12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7" fontId="8" fillId="12" borderId="0" xfId="0" applyNumberFormat="1" applyFont="1" applyFill="1" applyAlignment="1">
      <alignment horizontal="center" vertical="center"/>
    </xf>
    <xf numFmtId="176" fontId="8" fillId="12" borderId="0" xfId="0" applyNumberFormat="1" applyFont="1" applyFill="1" applyAlignment="1">
      <alignment horizontal="center" vertical="center"/>
    </xf>
    <xf numFmtId="177" fontId="15" fillId="0" borderId="0" xfId="0" applyNumberFormat="1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178" fontId="9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13" borderId="0" xfId="0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 wrapText="1"/>
    </xf>
    <xf numFmtId="176" fontId="12" fillId="10" borderId="0" xfId="0" applyNumberFormat="1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T322"/>
  <sheetViews>
    <sheetView workbookViewId="0">
      <pane ySplit="4" topLeftCell="A17" activePane="bottomLeft" state="frozen"/>
      <selection/>
      <selection pane="bottomLeft" activeCell="F17" sqref="F17"/>
    </sheetView>
  </sheetViews>
  <sheetFormatPr defaultColWidth="14" defaultRowHeight="12"/>
  <cols>
    <col min="1" max="1" width="7" customWidth="1"/>
    <col min="2" max="2" width="19" customWidth="1"/>
    <col min="3" max="3" width="17" customWidth="1"/>
    <col min="4" max="4" width="15" customWidth="1"/>
    <col min="5" max="5" width="17" customWidth="1"/>
    <col min="6" max="6" width="15" customWidth="1"/>
    <col min="7" max="7" width="19.1428571428571" customWidth="1"/>
    <col min="8" max="8" width="13" customWidth="1"/>
    <col min="9" max="10" width="19" customWidth="1"/>
  </cols>
  <sheetData>
    <row r="1" ht="37" customHeight="1" spans="1:20">
      <c r="A1" s="6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4" customHeight="1" spans="1:20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42" customHeight="1" spans="1:20">
      <c r="A3" s="68" t="s">
        <v>2</v>
      </c>
      <c r="B3" s="68" t="s">
        <v>3</v>
      </c>
      <c r="C3" s="68" t="s">
        <v>4</v>
      </c>
      <c r="D3" s="68" t="s">
        <v>5</v>
      </c>
      <c r="E3" s="68" t="s">
        <v>6</v>
      </c>
      <c r="F3" s="68" t="s">
        <v>7</v>
      </c>
      <c r="G3" s="68" t="s">
        <v>8</v>
      </c>
      <c r="H3" s="68" t="s">
        <v>9</v>
      </c>
      <c r="I3" s="68" t="s">
        <v>10</v>
      </c>
      <c r="J3" s="68" t="s">
        <v>11</v>
      </c>
      <c r="K3" s="2"/>
      <c r="L3" s="2"/>
      <c r="M3" s="2"/>
      <c r="N3" s="2"/>
      <c r="O3" s="2"/>
      <c r="P3" s="2"/>
      <c r="Q3" s="2"/>
      <c r="R3" s="2"/>
      <c r="S3" s="2"/>
      <c r="T3" s="2"/>
    </row>
    <row r="4" ht="42" customHeight="1" spans="1:20">
      <c r="A4" s="68"/>
      <c r="B4" s="68" t="s">
        <v>12</v>
      </c>
      <c r="C4" s="68">
        <f t="shared" ref="C4:J4" si="0">C155</f>
        <v>3333127.19</v>
      </c>
      <c r="D4" s="68">
        <f t="shared" si="0"/>
        <v>1718940.7</v>
      </c>
      <c r="E4" s="68">
        <f t="shared" si="0"/>
        <v>1629522.99</v>
      </c>
      <c r="F4" s="68">
        <f t="shared" si="0"/>
        <v>4092006.19</v>
      </c>
      <c r="G4" s="68">
        <f t="shared" si="0"/>
        <v>-2377565.49</v>
      </c>
      <c r="H4" s="68">
        <f t="shared" si="0"/>
        <v>0</v>
      </c>
      <c r="I4" s="68">
        <f t="shared" si="0"/>
        <v>30091</v>
      </c>
      <c r="J4" s="68">
        <f t="shared" si="0"/>
        <v>2606252.3</v>
      </c>
      <c r="K4" s="2"/>
      <c r="L4" s="2"/>
      <c r="M4" s="2"/>
      <c r="N4" s="2"/>
      <c r="O4" s="2"/>
      <c r="P4" s="2"/>
      <c r="Q4" s="2"/>
      <c r="R4" s="2"/>
      <c r="S4" s="2"/>
      <c r="T4" s="2"/>
    </row>
    <row r="5" ht="15" hidden="1" customHeight="1" spans="1:20">
      <c r="A5" s="47">
        <v>1</v>
      </c>
      <c r="B5" s="47" t="s">
        <v>13</v>
      </c>
      <c r="C5" s="48">
        <v>39547</v>
      </c>
      <c r="D5" s="48">
        <f>IF(B5&lt;&gt;"",SUMIF(出库明细!C:C,B5,出库明细!G:G),"")</f>
        <v>77322</v>
      </c>
      <c r="E5" s="48">
        <f t="shared" ref="E5:E10" si="1">IF(AND(C5&lt;&gt;"",D5&lt;&gt;""),C5-D5,"")</f>
        <v>-37775</v>
      </c>
      <c r="F5" s="69">
        <f>IF(B5&lt;&gt;"",SUMIF(收付款明细!C:C,B5,收付款明细!D:D),"")</f>
        <v>148067</v>
      </c>
      <c r="G5" s="69">
        <f t="shared" ref="G5:G10" si="2">IF(AND(D5&lt;&gt;"",F5&lt;&gt;""),D5-F5,"")</f>
        <v>-70745</v>
      </c>
      <c r="H5" s="70" t="str">
        <f t="shared" ref="H5:H10" si="3">IF(B5="","",IF(G5=0,"已结清",IF(G5&gt;0,"有欠款","预存款")))</f>
        <v>预存款</v>
      </c>
      <c r="I5" s="32">
        <f>IFERROR(SUMIF(商品库存!B:B,B5,商品库存!I:I),0)</f>
        <v>1137</v>
      </c>
      <c r="J5" s="32">
        <f>IFERROR(SUMIF(商品库存!B:B,B5,商品库存!J:J),0)</f>
        <v>79591</v>
      </c>
      <c r="K5" s="2"/>
      <c r="L5" s="2"/>
      <c r="M5" s="2"/>
      <c r="N5" s="2"/>
      <c r="O5" s="2"/>
      <c r="P5" s="2"/>
      <c r="Q5" s="2"/>
      <c r="R5" s="2"/>
      <c r="S5" s="2"/>
      <c r="T5" s="2"/>
    </row>
    <row r="6" ht="15" hidden="1" customHeight="1" spans="1:20">
      <c r="A6" s="14">
        <v>2</v>
      </c>
      <c r="B6" s="14" t="s">
        <v>14</v>
      </c>
      <c r="C6" s="15">
        <v>99000</v>
      </c>
      <c r="D6" s="15">
        <f>IF(B6&lt;&gt;"",SUMIF(出库明细!C:C,B6,出库明细!G:G),"")</f>
        <v>54172.5</v>
      </c>
      <c r="E6" s="15">
        <f t="shared" si="1"/>
        <v>44827.5</v>
      </c>
      <c r="F6" s="15">
        <f>IF(B6&lt;&gt;"",SUMIF(收付款明细!C:C,B6,收付款明细!D:D),"")</f>
        <v>106697</v>
      </c>
      <c r="G6" s="15">
        <f t="shared" si="2"/>
        <v>-52524.5</v>
      </c>
      <c r="H6" s="14" t="str">
        <f t="shared" si="3"/>
        <v>预存款</v>
      </c>
      <c r="I6" s="15">
        <f>IFERROR(SUMIF(商品库存!B:B,B6,商品库存!I:I),0)</f>
        <v>550</v>
      </c>
      <c r="J6" s="15">
        <f>IFERROR(SUMIF(商品库存!B:B,B6,商品库存!J:J),0)</f>
        <v>49500</v>
      </c>
      <c r="K6" s="2"/>
      <c r="L6" s="2"/>
      <c r="M6" s="2"/>
      <c r="N6" s="2"/>
      <c r="O6" s="2"/>
      <c r="P6" s="2"/>
      <c r="Q6" s="2"/>
      <c r="R6" s="2"/>
      <c r="S6" s="2"/>
      <c r="T6" s="2"/>
    </row>
    <row r="7" ht="15" hidden="1" customHeight="1" spans="1:20">
      <c r="A7" s="47">
        <v>3</v>
      </c>
      <c r="B7" s="47" t="s">
        <v>15</v>
      </c>
      <c r="C7" s="48">
        <v>700231.47</v>
      </c>
      <c r="D7" s="48">
        <f>IF(B7&lt;&gt;"",SUMIF(出库明细!C:C,B7,出库明细!G:G),"")</f>
        <v>416695</v>
      </c>
      <c r="E7" s="48">
        <f t="shared" si="1"/>
        <v>283536.47</v>
      </c>
      <c r="F7" s="69">
        <f>IF(B7&lt;&gt;"",SUMIF(收付款明细!C:C,B7,收付款明细!D:D),"")</f>
        <v>868551.47</v>
      </c>
      <c r="G7" s="69">
        <f t="shared" si="2"/>
        <v>-451856.47</v>
      </c>
      <c r="H7" s="70" t="str">
        <f t="shared" si="3"/>
        <v>预存款</v>
      </c>
      <c r="I7" s="32">
        <f>IFERROR(SUMIF(商品库存!B:B,B7,商品库存!I:I),0)</f>
        <v>5560</v>
      </c>
      <c r="J7" s="32">
        <f>IFERROR(SUMIF(商品库存!B:B,B7,商品库存!J:J),0)</f>
        <v>469317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ht="15" hidden="1" customHeight="1" spans="1:20">
      <c r="A8" s="47">
        <v>5</v>
      </c>
      <c r="B8" s="47" t="s">
        <v>16</v>
      </c>
      <c r="C8" s="48">
        <v>570147.22</v>
      </c>
      <c r="D8" s="48">
        <f>IF(B8&lt;&gt;"",SUMIF(出库明细!C:C,B8,出库明细!G:G),"")</f>
        <v>184072</v>
      </c>
      <c r="E8" s="48">
        <f t="shared" si="1"/>
        <v>386075.22</v>
      </c>
      <c r="F8" s="48">
        <f>IF(B8&lt;&gt;"",SUMIF(收付款明细!C:C,B8,收付款明细!D:D),"")</f>
        <v>649147.22</v>
      </c>
      <c r="G8" s="48">
        <f t="shared" si="2"/>
        <v>-465075.22</v>
      </c>
      <c r="H8" s="47" t="str">
        <f t="shared" si="3"/>
        <v>预存款</v>
      </c>
      <c r="I8" s="15">
        <f>IFERROR(SUMIF(商品库存!B:B,B8,商品库存!I:I),0)</f>
        <v>6635</v>
      </c>
      <c r="J8" s="15">
        <f>IFERROR(SUMIF(商品库存!B:B,B8,商品库存!J:J),0)</f>
        <v>515900</v>
      </c>
      <c r="K8" s="2"/>
      <c r="L8" s="2"/>
      <c r="M8" s="2"/>
      <c r="N8" s="2"/>
      <c r="O8" s="2"/>
      <c r="P8" s="2"/>
      <c r="Q8" s="2"/>
      <c r="R8" s="2"/>
      <c r="S8" s="2"/>
      <c r="T8" s="2"/>
    </row>
    <row r="9" ht="15" hidden="1" customHeight="1" spans="1:20">
      <c r="A9" s="14">
        <v>6</v>
      </c>
      <c r="B9" s="14" t="s">
        <v>17</v>
      </c>
      <c r="C9" s="15">
        <v>8950</v>
      </c>
      <c r="D9" s="15">
        <f>IF(B9&lt;&gt;"",SUMIF(出库明细!C:C,B9,出库明细!G:G),"")</f>
        <v>47079.2</v>
      </c>
      <c r="E9" s="15">
        <f t="shared" si="1"/>
        <v>-38129.2</v>
      </c>
      <c r="F9" s="15">
        <f>IF(B9&lt;&gt;"",SUMIF(收付款明细!C:C,B9,收付款明细!D:D),"")</f>
        <v>56950</v>
      </c>
      <c r="G9" s="15">
        <f t="shared" si="2"/>
        <v>-9870.8</v>
      </c>
      <c r="H9" s="14" t="str">
        <f t="shared" si="3"/>
        <v>预存款</v>
      </c>
      <c r="I9" s="15">
        <f>IFERROR(SUMIF(商品库存!B:B,B9,商品库存!I:I),0)</f>
        <v>11</v>
      </c>
      <c r="J9" s="15">
        <f>IFERROR(SUMIF(商品库存!B:B,B9,商品库存!J:J),0)</f>
        <v>715.8</v>
      </c>
      <c r="K9" s="2"/>
      <c r="L9" s="2"/>
      <c r="M9" s="2"/>
      <c r="N9" s="2"/>
      <c r="O9" s="2"/>
      <c r="P9" s="2"/>
      <c r="Q9" s="2"/>
      <c r="R9" s="2"/>
      <c r="S9" s="2"/>
      <c r="T9" s="2"/>
    </row>
    <row r="10" ht="15" hidden="1" customHeight="1" spans="1:20">
      <c r="A10" s="14"/>
      <c r="B10" s="14" t="s">
        <v>18</v>
      </c>
      <c r="C10" s="15">
        <v>437965</v>
      </c>
      <c r="D10" s="15">
        <f>IF(B10&lt;&gt;"",SUMIF(出库明细!C:C,B10,出库明细!G:G),"")</f>
        <v>164100</v>
      </c>
      <c r="E10" s="48">
        <f t="shared" si="1"/>
        <v>273865</v>
      </c>
      <c r="F10" s="15">
        <f>IF(B10&lt;&gt;"",SUMIF(收付款明细!C:C,B10,收付款明细!D:D),"")</f>
        <v>437965</v>
      </c>
      <c r="G10" s="15">
        <f t="shared" si="2"/>
        <v>-273865</v>
      </c>
      <c r="H10" s="14" t="str">
        <f t="shared" si="3"/>
        <v>预存款</v>
      </c>
      <c r="I10" s="15">
        <f>IFERROR(SUMIF(商品库存!B:B,B10,商品库存!I:I),0)</f>
        <v>3275</v>
      </c>
      <c r="J10" s="15">
        <f>IFERROR(SUMIF(商品库存!B:B,B10,商品库存!J:J),0)</f>
        <v>273865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15" hidden="1" customHeight="1" spans="1:20">
      <c r="A11" s="47">
        <v>7</v>
      </c>
      <c r="B11" s="47" t="s">
        <v>19</v>
      </c>
      <c r="C11" s="48"/>
      <c r="D11" s="48">
        <f>IF(B11&lt;&gt;"",SUMIF(出库明细!C:C,B11,出库明细!G:G),"")</f>
        <v>14616.5</v>
      </c>
      <c r="E11" s="48" t="str">
        <f t="shared" ref="E11:E69" si="4">IF(AND(C11&lt;&gt;"",D11&lt;&gt;""),C11-D11,"")</f>
        <v/>
      </c>
      <c r="F11" s="48">
        <f>IF(B11&lt;&gt;"",SUMIF(收付款明细!C:C,B11,收付款明细!D:D),"")</f>
        <v>12579</v>
      </c>
      <c r="G11" s="48">
        <f t="shared" ref="G11:G70" si="5">IF(AND(D11&lt;&gt;"",F11&lt;&gt;""),D11-F11,"")</f>
        <v>2037.5</v>
      </c>
      <c r="H11" s="47" t="str">
        <f t="shared" ref="H11:H44" si="6">IF(B11="","",IF(G11=0,"已结清",IF(G11&gt;0,"有欠款","预存款")))</f>
        <v>有欠款</v>
      </c>
      <c r="I11" s="15">
        <f>IFERROR(SUMIF(商品库存!B:B,B11,商品库存!I:I),0)</f>
        <v>0</v>
      </c>
      <c r="J11" s="15">
        <f>IFERROR(SUMIF(商品库存!B:B,B11,商品库存!J:J),0)</f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15" hidden="1" customHeight="1" spans="1:20">
      <c r="A12" s="14">
        <v>8</v>
      </c>
      <c r="B12" s="14" t="s">
        <v>20</v>
      </c>
      <c r="C12" s="15">
        <v>18000</v>
      </c>
      <c r="D12" s="15">
        <f>IF(B12&lt;&gt;"",SUMIF(出库明细!C:C,B12,出库明细!G:G),"")</f>
        <v>18000</v>
      </c>
      <c r="E12" s="15">
        <f t="shared" si="4"/>
        <v>0</v>
      </c>
      <c r="F12" s="15">
        <f>IF(B12&lt;&gt;"",SUMIF(收付款明细!C:C,B12,收付款明细!D:D),"")</f>
        <v>18000</v>
      </c>
      <c r="G12" s="15">
        <f t="shared" si="5"/>
        <v>0</v>
      </c>
      <c r="H12" s="14" t="str">
        <f t="shared" si="6"/>
        <v>已结清</v>
      </c>
      <c r="I12" s="15">
        <f>IFERROR(SUMIF(商品库存!B:B,B12,商品库存!I:I),0)</f>
        <v>0</v>
      </c>
      <c r="J12" s="15">
        <f>IFERROR(SUMIF(商品库存!B:B,B12,商品库存!J:J),0)</f>
        <v>0</v>
      </c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15" hidden="1" customHeight="1" spans="1:20">
      <c r="A13" s="47">
        <v>9</v>
      </c>
      <c r="B13" s="47" t="s">
        <v>21</v>
      </c>
      <c r="C13" s="48">
        <v>54000</v>
      </c>
      <c r="D13" s="48">
        <f>IF(B13&lt;&gt;"",SUMIF(出库明细!C:C,B13,出库明细!G:G),"")</f>
        <v>64943.5</v>
      </c>
      <c r="E13" s="48">
        <f t="shared" si="4"/>
        <v>-10943.5</v>
      </c>
      <c r="F13" s="48">
        <f>IF(B13&lt;&gt;"",SUMIF(收付款明细!C:C,B13,收付款明细!D:D),"")</f>
        <v>66416.5</v>
      </c>
      <c r="G13" s="48">
        <f t="shared" si="5"/>
        <v>-1473</v>
      </c>
      <c r="H13" s="47" t="str">
        <f t="shared" si="6"/>
        <v>预存款</v>
      </c>
      <c r="I13" s="15">
        <f>IFERROR(SUMIF(商品库存!B:B,B13,商品库存!I:I),0)</f>
        <v>50</v>
      </c>
      <c r="J13" s="15">
        <f>IFERROR(SUMIF(商品库存!B:B,B13,商品库存!J:J),0)</f>
        <v>1473</v>
      </c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5" hidden="1" customHeight="1" spans="1:20">
      <c r="A14" s="14">
        <v>10</v>
      </c>
      <c r="B14" s="14" t="s">
        <v>22</v>
      </c>
      <c r="C14" s="15">
        <v>840</v>
      </c>
      <c r="D14" s="15">
        <f>IF(B14&lt;&gt;"",SUMIF(出库明细!C:C,B14,出库明细!G:G),"")</f>
        <v>4986</v>
      </c>
      <c r="E14" s="15">
        <f t="shared" si="4"/>
        <v>-4146</v>
      </c>
      <c r="F14" s="15">
        <f>IF(B14&lt;&gt;"",SUMIF(收付款明细!C:C,B14,收付款明细!D:D),"")</f>
        <v>19440</v>
      </c>
      <c r="G14" s="15">
        <f t="shared" si="5"/>
        <v>-14454</v>
      </c>
      <c r="H14" s="14" t="str">
        <f t="shared" si="6"/>
        <v>预存款</v>
      </c>
      <c r="I14" s="15">
        <f>IFERROR(SUMIF(商品库存!B:B,B14,商品库存!I:I),0)</f>
        <v>150</v>
      </c>
      <c r="J14" s="15">
        <f>IFERROR(SUMIF(商品库存!B:B,B14,商品库存!J:J),0)</f>
        <v>13950</v>
      </c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5" hidden="1" customHeight="1" spans="1:20">
      <c r="A15" s="47">
        <v>11</v>
      </c>
      <c r="B15" s="47" t="s">
        <v>23</v>
      </c>
      <c r="C15" s="48">
        <v>30043</v>
      </c>
      <c r="D15" s="48">
        <f>IF(B15&lt;&gt;"",SUMIF(出库明细!C:C,B15,出库明细!G:G),"")</f>
        <v>0</v>
      </c>
      <c r="E15" s="48">
        <f t="shared" si="4"/>
        <v>30043</v>
      </c>
      <c r="F15" s="48">
        <f>IF(B15&lt;&gt;"",SUMIF(收付款明细!C:C,B15,收付款明细!D:D),"")</f>
        <v>39043</v>
      </c>
      <c r="G15" s="48">
        <f t="shared" si="5"/>
        <v>-39043</v>
      </c>
      <c r="H15" s="47" t="str">
        <f t="shared" si="6"/>
        <v>预存款</v>
      </c>
      <c r="I15" s="15">
        <f>IFERROR(SUMIF(商品库存!B:B,B15,商品库存!I:I),0)</f>
        <v>0</v>
      </c>
      <c r="J15" s="15">
        <f>IFERROR(SUMIF(商品库存!B:B,B15,商品库存!J:J),0)</f>
        <v>0</v>
      </c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15" hidden="1" customHeight="1" spans="1:20">
      <c r="A16" s="14">
        <v>12</v>
      </c>
      <c r="B16" s="14" t="s">
        <v>24</v>
      </c>
      <c r="C16" s="15">
        <v>29565</v>
      </c>
      <c r="D16" s="15">
        <f>IF(B16&lt;&gt;"",SUMIF(出库明细!C:C,B16,出库明细!G:G),"")</f>
        <v>29900</v>
      </c>
      <c r="E16" s="15">
        <f t="shared" si="4"/>
        <v>-335</v>
      </c>
      <c r="F16" s="15">
        <f>IF(B16&lt;&gt;"",SUMIF(收付款明细!C:C,B16,收付款明细!D:D),"")</f>
        <v>79565</v>
      </c>
      <c r="G16" s="15">
        <f t="shared" si="5"/>
        <v>-49665</v>
      </c>
      <c r="H16" s="14" t="str">
        <f t="shared" si="6"/>
        <v>预存款</v>
      </c>
      <c r="I16" s="15">
        <f>IFERROR(SUMIF(商品库存!B:B,B16,商品库存!I:I),0)</f>
        <v>0</v>
      </c>
      <c r="J16" s="15">
        <f>IFERROR(SUMIF(商品库存!B:B,B16,商品库存!J:J),0)</f>
        <v>0</v>
      </c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15" customHeight="1" spans="1:20">
      <c r="A17" s="47">
        <v>13</v>
      </c>
      <c r="B17" s="47" t="s">
        <v>25</v>
      </c>
      <c r="C17" s="48">
        <v>6930</v>
      </c>
      <c r="D17" s="48">
        <f>IF(B17&lt;&gt;"",SUMIF(出库明细!C:C,B17,出库明细!G:G),"")</f>
        <v>6562.5</v>
      </c>
      <c r="E17" s="48">
        <f t="shared" si="4"/>
        <v>367.5</v>
      </c>
      <c r="F17" s="48">
        <f>IF(B17&lt;&gt;"",SUMIF(收付款明细!C:C,B17,收付款明细!D:D),"")</f>
        <v>6930</v>
      </c>
      <c r="G17" s="48">
        <f t="shared" si="5"/>
        <v>-367.5</v>
      </c>
      <c r="H17" s="47" t="str">
        <f t="shared" si="6"/>
        <v>预存款</v>
      </c>
      <c r="I17" s="15">
        <f>IFERROR(SUMIF(商品库存!B:B,B17,商品库存!I:I),0)</f>
        <v>0</v>
      </c>
      <c r="J17" s="15">
        <f>IFERROR(SUMIF(商品库存!B:B,B17,商品库存!J:J),0)</f>
        <v>0</v>
      </c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15" hidden="1" customHeight="1" spans="1:20">
      <c r="A18" s="14">
        <v>14</v>
      </c>
      <c r="B18" s="14" t="s">
        <v>26</v>
      </c>
      <c r="C18" s="15">
        <v>32440</v>
      </c>
      <c r="D18" s="15">
        <f>IF(B18&lt;&gt;"",SUMIF(出库明细!C:C,B18,出库明细!G:G),"")</f>
        <v>16400</v>
      </c>
      <c r="E18" s="15">
        <f t="shared" si="4"/>
        <v>16040</v>
      </c>
      <c r="F18" s="15">
        <f>IF(B18&lt;&gt;"",SUMIF(收付款明细!C:C,B18,收付款明细!D:D),"")</f>
        <v>62440</v>
      </c>
      <c r="G18" s="15">
        <f t="shared" si="5"/>
        <v>-46040</v>
      </c>
      <c r="H18" s="14" t="str">
        <f t="shared" si="6"/>
        <v>预存款</v>
      </c>
      <c r="I18" s="15">
        <f>IFERROR(SUMIF(商品库存!B:B,B18,商品库存!I:I),0)</f>
        <v>300</v>
      </c>
      <c r="J18" s="15">
        <f>IFERROR(SUMIF(商品库存!B:B,B18,商品库存!J:J),0)</f>
        <v>20740</v>
      </c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15" hidden="1" customHeight="1" spans="1:20">
      <c r="A19" s="47">
        <v>15</v>
      </c>
      <c r="B19" s="47" t="s">
        <v>27</v>
      </c>
      <c r="C19" s="48">
        <v>15300</v>
      </c>
      <c r="D19" s="48">
        <f>IF(B19&lt;&gt;"",SUMIF(出库明细!C:C,B19,出库明细!G:G),"")</f>
        <v>9270</v>
      </c>
      <c r="E19" s="48">
        <f t="shared" si="4"/>
        <v>6030</v>
      </c>
      <c r="F19" s="48">
        <f>IF(B19&lt;&gt;"",SUMIF(收付款明细!C:C,B19,收付款明细!D:D),"")</f>
        <v>16437.5</v>
      </c>
      <c r="G19" s="48">
        <f t="shared" si="5"/>
        <v>-7167.5</v>
      </c>
      <c r="H19" s="47" t="str">
        <f t="shared" si="6"/>
        <v>预存款</v>
      </c>
      <c r="I19" s="15">
        <f>IFERROR(SUMIF(商品库存!B:B,B19,商品库存!I:I),0)</f>
        <v>80</v>
      </c>
      <c r="J19" s="15">
        <f>IFERROR(SUMIF(商品库存!B:B,B19,商品库存!J:J),0)</f>
        <v>7167.5</v>
      </c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15" hidden="1" customHeight="1" spans="1:20">
      <c r="A20" s="14">
        <v>16</v>
      </c>
      <c r="B20" s="27" t="s">
        <v>28</v>
      </c>
      <c r="C20" s="15">
        <v>36895</v>
      </c>
      <c r="D20" s="15">
        <f>IF(B20&lt;&gt;"",SUMIF(出库明细!C:C,B20,出库明细!G:G),"")</f>
        <v>38496.5</v>
      </c>
      <c r="E20" s="15">
        <f t="shared" si="4"/>
        <v>-1601.5</v>
      </c>
      <c r="F20" s="15">
        <f>IF(B20&lt;&gt;"",SUMIF(收付款明细!C:C,B20,收付款明细!D:D),"")</f>
        <v>63895</v>
      </c>
      <c r="G20" s="15">
        <f t="shared" si="5"/>
        <v>-25398.5</v>
      </c>
      <c r="H20" s="14" t="str">
        <f t="shared" si="6"/>
        <v>预存款</v>
      </c>
      <c r="I20" s="15">
        <f>IFERROR(SUMIF(商品库存!B:B,B20,商品库存!I:I),0)</f>
        <v>545</v>
      </c>
      <c r="J20" s="15">
        <f>IFERROR(SUMIF(商品库存!B:B,B20,商品库存!J:J),0)</f>
        <v>25398.5</v>
      </c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15" hidden="1" customHeight="1" spans="1:20">
      <c r="A21" s="47">
        <v>17</v>
      </c>
      <c r="B21" s="27" t="s">
        <v>29</v>
      </c>
      <c r="C21" s="48">
        <v>21620</v>
      </c>
      <c r="D21" s="48">
        <f>IF(B21&lt;&gt;"",SUMIF(出库明细!C:C,B21,出库明细!G:G),"")</f>
        <v>56620</v>
      </c>
      <c r="E21" s="48">
        <f t="shared" si="4"/>
        <v>-35000</v>
      </c>
      <c r="F21" s="48">
        <f>IF(B21&lt;&gt;"",SUMIF(收付款明细!C:C,B21,收付款明细!D:D),"")</f>
        <v>21620</v>
      </c>
      <c r="G21" s="48">
        <f t="shared" si="5"/>
        <v>35000</v>
      </c>
      <c r="H21" s="47" t="str">
        <f t="shared" si="6"/>
        <v>有欠款</v>
      </c>
      <c r="I21" s="15">
        <f>IFERROR(SUMIF(商品库存!B:B,B21,商品库存!I:I),0)</f>
        <v>0</v>
      </c>
      <c r="J21" s="15">
        <f>IFERROR(SUMIF(商品库存!B:B,B21,商品库存!J:J),0)</f>
        <v>0</v>
      </c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15" hidden="1" customHeight="1" spans="1:20">
      <c r="A22" s="14">
        <v>18</v>
      </c>
      <c r="B22" s="27" t="s">
        <v>30</v>
      </c>
      <c r="C22" s="15">
        <v>8100</v>
      </c>
      <c r="D22" s="15">
        <f>IF(B22&lt;&gt;"",SUMIF(出库明细!C:C,B22,出库明细!G:G),"")</f>
        <v>0</v>
      </c>
      <c r="E22" s="15">
        <f t="shared" si="4"/>
        <v>8100</v>
      </c>
      <c r="F22" s="15">
        <f>IF(B22&lt;&gt;"",SUMIF(收付款明细!C:C,B22,收付款明细!D:D),"")</f>
        <v>8100</v>
      </c>
      <c r="G22" s="15">
        <f t="shared" si="5"/>
        <v>-8100</v>
      </c>
      <c r="H22" s="14" t="str">
        <f t="shared" si="6"/>
        <v>预存款</v>
      </c>
      <c r="I22" s="15">
        <f>IFERROR(SUMIF(商品库存!B:B,B22,商品库存!I:I),0)</f>
        <v>90</v>
      </c>
      <c r="J22" s="15">
        <f>IFERROR(SUMIF(商品库存!B:B,B22,商品库存!J:J),0)</f>
        <v>8100</v>
      </c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15" hidden="1" customHeight="1" spans="1:20">
      <c r="A23" s="47">
        <v>19</v>
      </c>
      <c r="B23" s="27" t="s">
        <v>31</v>
      </c>
      <c r="C23" s="48">
        <v>3150</v>
      </c>
      <c r="D23" s="48">
        <f>IF(B23&lt;&gt;"",SUMIF(出库明细!C:C,B23,出库明细!G:G),"")</f>
        <v>6030</v>
      </c>
      <c r="E23" s="48">
        <f t="shared" si="4"/>
        <v>-2880</v>
      </c>
      <c r="F23" s="48">
        <f>IF(B23&lt;&gt;"",SUMIF(收付款明细!C:C,B23,收付款明细!D:D),"")</f>
        <v>13150</v>
      </c>
      <c r="G23" s="48">
        <f t="shared" si="5"/>
        <v>-7120</v>
      </c>
      <c r="H23" s="47" t="str">
        <f t="shared" si="6"/>
        <v>预存款</v>
      </c>
      <c r="I23" s="15">
        <f>IFERROR(SUMIF(商品库存!B:B,B23,商品库存!I:I),0)</f>
        <v>-32</v>
      </c>
      <c r="J23" s="15">
        <f>IFERROR(SUMIF(商品库存!B:B,B23,商品库存!J:J),0)</f>
        <v>-2880</v>
      </c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15" hidden="1" customHeight="1" spans="1:20">
      <c r="A24" s="14">
        <v>20</v>
      </c>
      <c r="B24" s="27" t="s">
        <v>32</v>
      </c>
      <c r="C24" s="15">
        <v>77682.5</v>
      </c>
      <c r="D24" s="15">
        <f>IF(B24&lt;&gt;"",SUMIF(出库明细!C:C,B24,出库明细!G:G),"")</f>
        <v>10660</v>
      </c>
      <c r="E24" s="15">
        <f t="shared" si="4"/>
        <v>67022.5</v>
      </c>
      <c r="F24" s="15">
        <f>IF(B24&lt;&gt;"",SUMIF(收付款明细!C:C,B24,收付款明细!D:D),"")</f>
        <v>180682.5</v>
      </c>
      <c r="G24" s="15">
        <f t="shared" si="5"/>
        <v>-170022.5</v>
      </c>
      <c r="H24" s="14" t="str">
        <f t="shared" si="6"/>
        <v>预存款</v>
      </c>
      <c r="I24" s="15">
        <f>IFERROR(SUMIF(商品库存!B:B,B24,商品库存!I:I),0)</f>
        <v>2083.5</v>
      </c>
      <c r="J24" s="15">
        <f>IFERROR(SUMIF(商品库存!B:B,B24,商品库存!J:J),0)</f>
        <v>310532.5</v>
      </c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15" hidden="1" customHeight="1" spans="1:20">
      <c r="A25" s="47">
        <v>21</v>
      </c>
      <c r="B25" s="27" t="s">
        <v>33</v>
      </c>
      <c r="C25" s="48">
        <v>4500</v>
      </c>
      <c r="D25" s="48">
        <f>IF(B25&lt;&gt;"",SUMIF(出库明细!C:C,B25,出库明细!G:G),"")</f>
        <v>0</v>
      </c>
      <c r="E25" s="48">
        <f t="shared" si="4"/>
        <v>4500</v>
      </c>
      <c r="F25" s="48">
        <f>IF(B25&lt;&gt;"",SUMIF(收付款明细!C:C,B25,收付款明细!D:D),"")</f>
        <v>4500</v>
      </c>
      <c r="G25" s="48">
        <f t="shared" si="5"/>
        <v>-4500</v>
      </c>
      <c r="H25" s="47" t="str">
        <f t="shared" si="6"/>
        <v>预存款</v>
      </c>
      <c r="I25" s="15">
        <f>IFERROR(SUMIF(商品库存!B:B,B25,商品库存!I:I),0)</f>
        <v>50</v>
      </c>
      <c r="J25" s="15">
        <f>IFERROR(SUMIF(商品库存!B:B,B25,商品库存!J:J),0)</f>
        <v>4500</v>
      </c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15" hidden="1" customHeight="1" spans="1:20">
      <c r="A26" s="14">
        <v>22</v>
      </c>
      <c r="B26" s="27" t="s">
        <v>34</v>
      </c>
      <c r="C26" s="15">
        <v>1800</v>
      </c>
      <c r="D26" s="15">
        <f>IF(B26&lt;&gt;"",SUMIF(出库明细!C:C,B26,出库明细!G:G),"")</f>
        <v>0</v>
      </c>
      <c r="E26" s="15">
        <f t="shared" si="4"/>
        <v>1800</v>
      </c>
      <c r="F26" s="15">
        <f>IF(B26&lt;&gt;"",SUMIF(收付款明细!C:C,B26,收付款明细!D:D),"")</f>
        <v>1800</v>
      </c>
      <c r="G26" s="15">
        <f t="shared" si="5"/>
        <v>-1800</v>
      </c>
      <c r="H26" s="14" t="str">
        <f t="shared" si="6"/>
        <v>预存款</v>
      </c>
      <c r="I26" s="15">
        <f>IFERROR(SUMIF(商品库存!B:B,B26,商品库存!I:I),0)</f>
        <v>20</v>
      </c>
      <c r="J26" s="15">
        <f>IFERROR(SUMIF(商品库存!B:B,B26,商品库存!J:J),0)</f>
        <v>1800</v>
      </c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15" hidden="1" customHeight="1" spans="1:20">
      <c r="A27" s="47">
        <v>23</v>
      </c>
      <c r="B27" s="36" t="s">
        <v>35</v>
      </c>
      <c r="C27" s="48">
        <v>1067</v>
      </c>
      <c r="D27" s="48">
        <f>IF(B27&lt;&gt;"",SUMIF(出库明细!C:C,B27,出库明细!G:G),"")</f>
        <v>0</v>
      </c>
      <c r="E27" s="48">
        <f t="shared" si="4"/>
        <v>1067</v>
      </c>
      <c r="F27" s="48">
        <f>IF(B27&lt;&gt;"",SUMIF(收付款明细!C:C,B27,收付款明细!D:D),"")</f>
        <v>1067</v>
      </c>
      <c r="G27" s="48">
        <f t="shared" si="5"/>
        <v>-1067</v>
      </c>
      <c r="H27" s="47" t="str">
        <f t="shared" si="6"/>
        <v>预存款</v>
      </c>
      <c r="I27" s="15">
        <f>IFERROR(SUMIF(商品库存!B:B,B27,商品库存!I:I),0)</f>
        <v>0</v>
      </c>
      <c r="J27" s="15">
        <f>IFERROR(SUMIF(商品库存!B:B,B27,商品库存!J:J),0)</f>
        <v>0</v>
      </c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15" hidden="1" customHeight="1" spans="1:20">
      <c r="A28" s="14">
        <v>24</v>
      </c>
      <c r="B28" s="27" t="s">
        <v>36</v>
      </c>
      <c r="C28" s="15">
        <v>38440</v>
      </c>
      <c r="D28" s="15">
        <f>IF(B28&lt;&gt;"",SUMIF(出库明细!C:C,B28,出库明细!G:G),"")</f>
        <v>27490</v>
      </c>
      <c r="E28" s="15">
        <f t="shared" si="4"/>
        <v>10950</v>
      </c>
      <c r="F28" s="15">
        <f>IF(B28&lt;&gt;"",SUMIF(收付款明细!C:C,B28,收付款明细!D:D),"")</f>
        <v>38440</v>
      </c>
      <c r="G28" s="15">
        <f t="shared" si="5"/>
        <v>-10950</v>
      </c>
      <c r="H28" s="14" t="str">
        <f t="shared" si="6"/>
        <v>预存款</v>
      </c>
      <c r="I28" s="15">
        <f>IFERROR(SUMIF(商品库存!B:B,B28,商品库存!I:I),0)</f>
        <v>190</v>
      </c>
      <c r="J28" s="15">
        <f>IFERROR(SUMIF(商品库存!B:B,B28,商品库存!J:J),0)</f>
        <v>10950</v>
      </c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15" hidden="1" customHeight="1" spans="1:20">
      <c r="A29" s="47">
        <v>25</v>
      </c>
      <c r="B29" s="27" t="s">
        <v>37</v>
      </c>
      <c r="C29" s="48">
        <v>11740</v>
      </c>
      <c r="D29" s="48">
        <f>IF(B29&lt;&gt;"",SUMIF(出库明细!C:C,B29,出库明细!G:G),"")</f>
        <v>8500</v>
      </c>
      <c r="E29" s="48">
        <f t="shared" si="4"/>
        <v>3240</v>
      </c>
      <c r="F29" s="48">
        <f>IF(B29&lt;&gt;"",SUMIF(收付款明细!C:C,B29,收付款明细!D:D),"")</f>
        <v>11740</v>
      </c>
      <c r="G29" s="48">
        <f t="shared" si="5"/>
        <v>-3240</v>
      </c>
      <c r="H29" s="47" t="str">
        <f t="shared" si="6"/>
        <v>预存款</v>
      </c>
      <c r="I29" s="15">
        <f>IFERROR(SUMIF(商品库存!B:B,B29,商品库存!I:I),0)</f>
        <v>70</v>
      </c>
      <c r="J29" s="15">
        <f>IFERROR(SUMIF(商品库存!B:B,B29,商品库存!J:J),0)</f>
        <v>3710</v>
      </c>
      <c r="K29" s="2"/>
      <c r="L29" s="2"/>
      <c r="M29" s="2"/>
      <c r="N29" s="2"/>
      <c r="O29" s="2"/>
      <c r="P29" s="2"/>
      <c r="Q29" s="2"/>
      <c r="R29" s="2"/>
      <c r="S29" s="2"/>
      <c r="T29" s="2"/>
    </row>
    <row r="30" ht="15" hidden="1" customHeight="1" spans="1:20">
      <c r="A30" s="14">
        <v>26</v>
      </c>
      <c r="B30" s="14" t="s">
        <v>38</v>
      </c>
      <c r="C30" s="15">
        <v>704</v>
      </c>
      <c r="D30" s="15">
        <f>IF(B30&lt;&gt;"",SUMIF(出库明细!C:C,B30,出库明细!G:G),"")</f>
        <v>9000</v>
      </c>
      <c r="E30" s="15">
        <f t="shared" si="4"/>
        <v>-8296</v>
      </c>
      <c r="F30" s="15">
        <f>IF(B30&lt;&gt;"",SUMIF(收付款明细!C:C,B30,收付款明细!D:D),"")</f>
        <v>9704</v>
      </c>
      <c r="G30" s="15">
        <f t="shared" si="5"/>
        <v>-704</v>
      </c>
      <c r="H30" s="14" t="str">
        <f t="shared" si="6"/>
        <v>预存款</v>
      </c>
      <c r="I30" s="15">
        <f>IFERROR(SUMIF(商品库存!B:B,B30,商品库存!I:I),0)</f>
        <v>0</v>
      </c>
      <c r="J30" s="15">
        <f>IFERROR(SUMIF(商品库存!B:B,B30,商品库存!J:J),0)</f>
        <v>0</v>
      </c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15" hidden="1" customHeight="1" spans="1:20">
      <c r="A31" s="47">
        <v>27</v>
      </c>
      <c r="B31" s="36" t="s">
        <v>39</v>
      </c>
      <c r="C31" s="48">
        <v>3244</v>
      </c>
      <c r="D31" s="48">
        <f>IF(B31&lt;&gt;"",SUMIF(出库明细!C:C,B31,出库明细!G:G),"")</f>
        <v>738</v>
      </c>
      <c r="E31" s="48">
        <f t="shared" si="4"/>
        <v>2506</v>
      </c>
      <c r="F31" s="48">
        <f>IF(B31&lt;&gt;"",SUMIF(收付款明细!C:C,B31,收付款明细!D:D),"")</f>
        <v>3244</v>
      </c>
      <c r="G31" s="48">
        <f t="shared" si="5"/>
        <v>-2506</v>
      </c>
      <c r="H31" s="47" t="str">
        <f t="shared" si="6"/>
        <v>预存款</v>
      </c>
      <c r="I31" s="15">
        <f>IFERROR(SUMIF(商品库存!B:B,B31,商品库存!I:I),0)</f>
        <v>0</v>
      </c>
      <c r="J31" s="15">
        <f>IFERROR(SUMIF(商品库存!B:B,B31,商品库存!J:J),0)</f>
        <v>0</v>
      </c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15" hidden="1" customHeight="1" spans="1:20">
      <c r="A32" s="14">
        <v>28</v>
      </c>
      <c r="B32" s="14" t="s">
        <v>40</v>
      </c>
      <c r="C32" s="15">
        <v>1126</v>
      </c>
      <c r="D32" s="15">
        <f>IF(B32&lt;&gt;"",SUMIF(出库明细!C:C,B32,出库明细!G:G),"")</f>
        <v>1126</v>
      </c>
      <c r="E32" s="15">
        <f t="shared" si="4"/>
        <v>0</v>
      </c>
      <c r="F32" s="15">
        <f>IF(B32&lt;&gt;"",SUMIF(收付款明细!C:C,B32,收付款明细!D:D),"")</f>
        <v>1126</v>
      </c>
      <c r="G32" s="15">
        <f t="shared" si="5"/>
        <v>0</v>
      </c>
      <c r="H32" s="14" t="str">
        <f t="shared" si="6"/>
        <v>已结清</v>
      </c>
      <c r="I32" s="15">
        <f>IFERROR(SUMIF(商品库存!B:B,B32,商品库存!I:I),0)</f>
        <v>0</v>
      </c>
      <c r="J32" s="15">
        <f>IFERROR(SUMIF(商品库存!B:B,B32,商品库存!J:J),0)</f>
        <v>0</v>
      </c>
      <c r="K32" s="2"/>
      <c r="L32" s="2"/>
      <c r="M32" s="2"/>
      <c r="N32" s="2"/>
      <c r="O32" s="2"/>
      <c r="P32" s="2"/>
      <c r="Q32" s="2"/>
      <c r="R32" s="2"/>
      <c r="S32" s="2"/>
      <c r="T32" s="2"/>
    </row>
    <row r="33" ht="15" hidden="1" customHeight="1" spans="1:20">
      <c r="A33" s="14">
        <v>29</v>
      </c>
      <c r="B33" s="36" t="s">
        <v>41</v>
      </c>
      <c r="C33" s="15">
        <v>2182</v>
      </c>
      <c r="D33" s="15">
        <f>IF(B33&lt;&gt;"",SUMIF(出库明细!C:C,B33,出库明细!G:G),"")</f>
        <v>0</v>
      </c>
      <c r="E33" s="15">
        <f t="shared" si="4"/>
        <v>2182</v>
      </c>
      <c r="F33" s="15">
        <f>IF(B33&lt;&gt;"",SUMIF(收付款明细!C:C,B33,收付款明细!D:D),"")</f>
        <v>2182</v>
      </c>
      <c r="G33" s="15">
        <f t="shared" si="5"/>
        <v>-2182</v>
      </c>
      <c r="H33" s="14" t="str">
        <f t="shared" si="6"/>
        <v>预存款</v>
      </c>
      <c r="I33" s="15">
        <f>IFERROR(SUMIF(商品库存!B:B,B33,商品库存!I:I),0)</f>
        <v>0</v>
      </c>
      <c r="J33" s="15">
        <f>IFERROR(SUMIF(商品库存!B:B,B33,商品库存!J:J),0)</f>
        <v>0</v>
      </c>
      <c r="K33" s="2"/>
      <c r="L33" s="2"/>
      <c r="M33" s="2"/>
      <c r="N33" s="2"/>
      <c r="O33" s="2"/>
      <c r="P33" s="2"/>
      <c r="Q33" s="2"/>
      <c r="R33" s="2"/>
      <c r="S33" s="2"/>
      <c r="T33" s="2"/>
    </row>
    <row r="34" ht="15" hidden="1" customHeight="1" spans="1:20">
      <c r="A34" s="14">
        <v>30</v>
      </c>
      <c r="B34" s="27" t="s">
        <v>42</v>
      </c>
      <c r="C34" s="15">
        <v>45000</v>
      </c>
      <c r="D34" s="15">
        <f>IF(B34&lt;&gt;"",SUMIF(出库明细!C:C,B34,出库明细!G:G),"")</f>
        <v>32186.5</v>
      </c>
      <c r="E34" s="15">
        <f t="shared" si="4"/>
        <v>12813.5</v>
      </c>
      <c r="F34" s="15">
        <f>IF(B34&lt;&gt;"",SUMIF(收付款明细!C:C,B34,收付款明细!D:D),"")</f>
        <v>53100</v>
      </c>
      <c r="G34" s="15">
        <f t="shared" si="5"/>
        <v>-20913.5</v>
      </c>
      <c r="H34" s="14" t="str">
        <f t="shared" si="6"/>
        <v>预存款</v>
      </c>
      <c r="I34" s="15">
        <f>IFERROR(SUMIF(商品库存!B:B,B34,商品库存!I:I),0)</f>
        <v>250</v>
      </c>
      <c r="J34" s="15">
        <f>IFERROR(SUMIF(商品库存!B:B,B34,商品库存!J:J),0)</f>
        <v>20100</v>
      </c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15" hidden="1" customHeight="1" spans="1:20">
      <c r="A35" s="14">
        <v>31</v>
      </c>
      <c r="B35" s="14" t="s">
        <v>43</v>
      </c>
      <c r="C35" s="15">
        <v>21135</v>
      </c>
      <c r="D35" s="15">
        <f>IF(B35&lt;&gt;"",SUMIF(出库明细!C:C,B35,出库明细!G:G),"")</f>
        <v>0</v>
      </c>
      <c r="E35" s="15">
        <f t="shared" si="4"/>
        <v>21135</v>
      </c>
      <c r="F35" s="15">
        <f>IF(B35&lt;&gt;"",SUMIF(收付款明细!C:C,B35,收付款明细!D:D),"")</f>
        <v>21135</v>
      </c>
      <c r="G35" s="15">
        <f t="shared" si="5"/>
        <v>-21135</v>
      </c>
      <c r="H35" s="14" t="str">
        <f t="shared" si="6"/>
        <v>预存款</v>
      </c>
      <c r="I35" s="15">
        <f>IFERROR(SUMIF(商品库存!B:B,B35,商品库存!I:I),0)</f>
        <v>0</v>
      </c>
      <c r="J35" s="15">
        <f>IFERROR(SUMIF(商品库存!B:B,B35,商品库存!J:J),0)</f>
        <v>0</v>
      </c>
      <c r="K35" s="2"/>
      <c r="L35" s="2"/>
      <c r="M35" s="2"/>
      <c r="N35" s="2"/>
      <c r="O35" s="2"/>
      <c r="P35" s="2"/>
      <c r="Q35" s="2"/>
      <c r="R35" s="2"/>
      <c r="S35" s="2"/>
      <c r="T35" s="2"/>
    </row>
    <row r="36" ht="15" hidden="1" customHeight="1" spans="1:20">
      <c r="A36" s="14">
        <v>32</v>
      </c>
      <c r="B36" s="14" t="s">
        <v>44</v>
      </c>
      <c r="C36" s="15">
        <v>27000</v>
      </c>
      <c r="D36" s="15">
        <f>IF(B36&lt;&gt;"",SUMIF(出库明细!C:C,B36,出库明细!G:G),"")</f>
        <v>39049</v>
      </c>
      <c r="E36" s="15">
        <f t="shared" si="4"/>
        <v>-12049</v>
      </c>
      <c r="F36" s="15">
        <f>IF(B36&lt;&gt;"",SUMIF(收付款明细!C:C,B36,收付款明细!D:D),"")</f>
        <v>38705</v>
      </c>
      <c r="G36" s="15">
        <f t="shared" si="5"/>
        <v>344</v>
      </c>
      <c r="H36" s="14" t="str">
        <f t="shared" si="6"/>
        <v>有欠款</v>
      </c>
      <c r="I36" s="15">
        <f>IFERROR(SUMIF(商品库存!B:B,B36,商品库存!I:I),0)</f>
        <v>-1</v>
      </c>
      <c r="J36" s="15">
        <f>IFERROR(SUMIF(商品库存!B:B,B36,商品库存!J:J),0)</f>
        <v>-344</v>
      </c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15" hidden="1" customHeight="1" spans="1:20">
      <c r="A37" s="14">
        <v>33</v>
      </c>
      <c r="B37" s="14" t="s">
        <v>45</v>
      </c>
      <c r="C37" s="15">
        <v>27220</v>
      </c>
      <c r="D37" s="15">
        <f>IF(B37&lt;&gt;"",SUMIF(出库明细!C:C,B37,出库明细!G:G),"")</f>
        <v>14037</v>
      </c>
      <c r="E37" s="15">
        <f t="shared" si="4"/>
        <v>13183</v>
      </c>
      <c r="F37" s="15">
        <f>IF(B37&lt;&gt;"",SUMIF(收付款明细!C:C,B37,收付款明细!D:D),"")</f>
        <v>27220</v>
      </c>
      <c r="G37" s="15">
        <f t="shared" si="5"/>
        <v>-13183</v>
      </c>
      <c r="H37" s="14" t="str">
        <f t="shared" si="6"/>
        <v>预存款</v>
      </c>
      <c r="I37" s="15">
        <f>IFERROR(SUMIF(商品库存!B:B,B37,商品库存!I:I),0)</f>
        <v>159</v>
      </c>
      <c r="J37" s="15">
        <f>IFERROR(SUMIF(商品库存!B:B,B37,商品库存!J:J),0)</f>
        <v>12949</v>
      </c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15" hidden="1" customHeight="1" spans="1:20">
      <c r="A38" s="14">
        <v>34</v>
      </c>
      <c r="B38" s="14" t="s">
        <v>46</v>
      </c>
      <c r="C38" s="15">
        <v>5400</v>
      </c>
      <c r="D38" s="15">
        <f>IF(B38&lt;&gt;"",SUMIF(出库明细!C:C,B38,出库明细!G:G),"")</f>
        <v>5400</v>
      </c>
      <c r="E38" s="15">
        <f t="shared" si="4"/>
        <v>0</v>
      </c>
      <c r="F38" s="15">
        <f>IF(B38&lt;&gt;"",SUMIF(收付款明细!C:C,B38,收付款明细!D:D),"")</f>
        <v>5400</v>
      </c>
      <c r="G38" s="15">
        <f t="shared" si="5"/>
        <v>0</v>
      </c>
      <c r="H38" s="14" t="str">
        <f t="shared" si="6"/>
        <v>已结清</v>
      </c>
      <c r="I38" s="15">
        <f>IFERROR(SUMIF(商品库存!B:B,B38,商品库存!I:I),0)</f>
        <v>0</v>
      </c>
      <c r="J38" s="15">
        <f>IFERROR(SUMIF(商品库存!B:B,B38,商品库存!J:J),0)</f>
        <v>0</v>
      </c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15" hidden="1" customHeight="1" spans="1:20">
      <c r="A39" s="14">
        <v>35</v>
      </c>
      <c r="B39" s="27" t="s">
        <v>47</v>
      </c>
      <c r="C39" s="15">
        <v>4500</v>
      </c>
      <c r="D39" s="15">
        <f>IF(B39&lt;&gt;"",SUMIF(出库明细!C:C,B39,出库明细!G:G),"")</f>
        <v>35527</v>
      </c>
      <c r="E39" s="15">
        <f t="shared" si="4"/>
        <v>-31027</v>
      </c>
      <c r="F39" s="15">
        <f>IF(B39&lt;&gt;"",SUMIF(收付款明细!C:C,B39,收付款明细!D:D),"")</f>
        <v>34500</v>
      </c>
      <c r="G39" s="15">
        <f t="shared" si="5"/>
        <v>1027</v>
      </c>
      <c r="H39" s="14" t="str">
        <f t="shared" si="6"/>
        <v>有欠款</v>
      </c>
      <c r="I39" s="15">
        <f>IFERROR(SUMIF(商品库存!B:B,B39,商品库存!I:I),0)</f>
        <v>-30</v>
      </c>
      <c r="J39" s="15">
        <f>IFERROR(SUMIF(商品库存!B:B,B39,商品库存!J:J),0)</f>
        <v>-2700</v>
      </c>
      <c r="K39" s="2"/>
      <c r="L39" s="2"/>
      <c r="M39" s="2"/>
      <c r="N39" s="2"/>
      <c r="O39" s="2"/>
      <c r="P39" s="2"/>
      <c r="Q39" s="2"/>
      <c r="R39" s="2"/>
      <c r="S39" s="2"/>
      <c r="T39" s="2"/>
    </row>
    <row r="40" ht="15" hidden="1" customHeight="1" spans="1:20">
      <c r="A40" s="14">
        <v>36</v>
      </c>
      <c r="B40" s="27" t="s">
        <v>48</v>
      </c>
      <c r="C40" s="15">
        <v>2325</v>
      </c>
      <c r="D40" s="15">
        <f>IF(B40&lt;&gt;"",SUMIF(出库明细!C:C,B40,出库明细!G:G),"")</f>
        <v>1934</v>
      </c>
      <c r="E40" s="15">
        <f t="shared" si="4"/>
        <v>391</v>
      </c>
      <c r="F40" s="15">
        <f>IF(B40&lt;&gt;"",SUMIF(收付款明细!C:C,B40,收付款明细!D:D),"")</f>
        <v>2325</v>
      </c>
      <c r="G40" s="15">
        <f t="shared" si="5"/>
        <v>-391</v>
      </c>
      <c r="H40" s="14" t="str">
        <f t="shared" si="6"/>
        <v>预存款</v>
      </c>
      <c r="I40" s="15">
        <f>IFERROR(SUMIF(商品库存!B:B,B40,商品库存!I:I),0)</f>
        <v>0</v>
      </c>
      <c r="J40" s="15">
        <f>IFERROR(SUMIF(商品库存!B:B,B40,商品库存!J:J),0)</f>
        <v>0</v>
      </c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15" hidden="1" customHeight="1" spans="1:20">
      <c r="A41" s="14">
        <v>37</v>
      </c>
      <c r="B41" s="14" t="s">
        <v>49</v>
      </c>
      <c r="C41" s="15">
        <v>360000</v>
      </c>
      <c r="D41" s="15">
        <f>IF(B41&lt;&gt;"",SUMIF(出库明细!C:C,B41,出库明细!G:G),"")</f>
        <v>157715</v>
      </c>
      <c r="E41" s="15">
        <f t="shared" si="4"/>
        <v>202285</v>
      </c>
      <c r="F41" s="15">
        <f>IF(B41&lt;&gt;"",SUMIF(收付款明细!C:C,B41,收付款明细!D:D),"")</f>
        <v>440000</v>
      </c>
      <c r="G41" s="15">
        <f t="shared" si="5"/>
        <v>-282285</v>
      </c>
      <c r="H41" s="14" t="str">
        <f t="shared" ref="H41:H104" si="7">IF(B41="","",IF(G41=0,"已结清",IF(G41&gt;0,"有欠款","预存款")))</f>
        <v>预存款</v>
      </c>
      <c r="I41" s="15">
        <f>IFERROR(SUMIF(商品库存!B:B,B41,商品库存!I:I),0)</f>
        <v>4189</v>
      </c>
      <c r="J41" s="15">
        <f>IFERROR(SUMIF(商品库存!B:B,B41,商品库存!J:J),0)</f>
        <v>306385</v>
      </c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15" hidden="1" customHeight="1" spans="1:20">
      <c r="A42" s="14">
        <v>38</v>
      </c>
      <c r="B42" s="27" t="s">
        <v>50</v>
      </c>
      <c r="C42" s="15">
        <v>2955</v>
      </c>
      <c r="D42" s="15">
        <f>IF(B42&lt;&gt;"",SUMIF(出库明细!C:C,B42,出库明细!G:G),"")</f>
        <v>2955</v>
      </c>
      <c r="E42" s="15">
        <f t="shared" si="4"/>
        <v>0</v>
      </c>
      <c r="F42" s="15">
        <f>IF(B42&lt;&gt;"",SUMIF(收付款明细!C:C,B42,收付款明细!D:D),"")</f>
        <v>2955</v>
      </c>
      <c r="G42" s="15">
        <f t="shared" si="5"/>
        <v>0</v>
      </c>
      <c r="H42" s="14" t="str">
        <f t="shared" si="7"/>
        <v>已结清</v>
      </c>
      <c r="I42" s="15">
        <f>IFERROR(SUMIF(商品库存!B:B,B42,商品库存!I:I),0)</f>
        <v>0</v>
      </c>
      <c r="J42" s="15">
        <f>IFERROR(SUMIF(商品库存!B:B,B42,商品库存!J:J),0)</f>
        <v>0</v>
      </c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15" hidden="1" customHeight="1" spans="1:20">
      <c r="A43" s="14">
        <v>39</v>
      </c>
      <c r="B43" s="27" t="s">
        <v>51</v>
      </c>
      <c r="C43" s="15">
        <v>4500</v>
      </c>
      <c r="D43" s="15">
        <f>IF(B43&lt;&gt;"",SUMIF(出库明细!C:C,B43,出库明细!G:G),"")</f>
        <v>4500</v>
      </c>
      <c r="E43" s="15">
        <f t="shared" si="4"/>
        <v>0</v>
      </c>
      <c r="F43" s="15">
        <f>IF(B43&lt;&gt;"",SUMIF(收付款明细!C:C,B43,收付款明细!D:D),"")</f>
        <v>4500</v>
      </c>
      <c r="G43" s="15">
        <v>-4500</v>
      </c>
      <c r="H43" s="14" t="str">
        <f t="shared" si="7"/>
        <v>预存款</v>
      </c>
      <c r="I43" s="15">
        <f>IFERROR(SUMIF(商品库存!B:B,B43,商品库存!I:I),0)</f>
        <v>0</v>
      </c>
      <c r="J43" s="15">
        <f>IFERROR(SUMIF(商品库存!B:B,B43,商品库存!J:J),0)</f>
        <v>0</v>
      </c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15" hidden="1" customHeight="1" spans="1:20">
      <c r="A44" s="14">
        <v>40</v>
      </c>
      <c r="B44" s="27" t="s">
        <v>52</v>
      </c>
      <c r="C44" s="15">
        <v>2526.5</v>
      </c>
      <c r="D44" s="15">
        <f>IF(B44&lt;&gt;"",SUMIF(出库明细!C:C,B44,出库明细!G:G),"")</f>
        <v>2526.5</v>
      </c>
      <c r="E44" s="15">
        <f t="shared" si="4"/>
        <v>0</v>
      </c>
      <c r="F44" s="15">
        <f>IF(B44&lt;&gt;"",SUMIF(收付款明细!C:C,B44,收付款明细!D:D),"")</f>
        <v>2526.5</v>
      </c>
      <c r="G44" s="15">
        <f t="shared" si="5"/>
        <v>0</v>
      </c>
      <c r="H44" s="14" t="str">
        <f t="shared" si="7"/>
        <v>已结清</v>
      </c>
      <c r="I44" s="15">
        <f>IFERROR(SUMIF(商品库存!B:B,B44,商品库存!I:I),0)</f>
        <v>0</v>
      </c>
      <c r="J44" s="15">
        <f>IFERROR(SUMIF(商品库存!B:B,B44,商品库存!J:J),0)</f>
        <v>0</v>
      </c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15" hidden="1" customHeight="1" spans="1:20">
      <c r="A45" s="14">
        <v>41</v>
      </c>
      <c r="B45" s="27" t="s">
        <v>32</v>
      </c>
      <c r="C45" s="15">
        <v>100000</v>
      </c>
      <c r="D45" s="15">
        <f>IF(B45&lt;&gt;"",SUMIF(出库明细!C:C,B45,出库明细!G:G),"")</f>
        <v>10660</v>
      </c>
      <c r="E45" s="15">
        <f t="shared" si="4"/>
        <v>89340</v>
      </c>
      <c r="F45" s="15">
        <f>IF(B45&lt;&gt;"",SUMIF(收付款明细!C:C,B45,收付款明细!D:D),"")</f>
        <v>180682.5</v>
      </c>
      <c r="G45" s="15">
        <f t="shared" si="5"/>
        <v>-170022.5</v>
      </c>
      <c r="H45" s="14" t="str">
        <f t="shared" si="7"/>
        <v>预存款</v>
      </c>
      <c r="I45" s="15">
        <f>IFERROR(SUMIF(商品库存!B:B,B45,商品库存!I:I),0)</f>
        <v>2083.5</v>
      </c>
      <c r="J45" s="15">
        <f>IFERROR(SUMIF(商品库存!B:B,B45,商品库存!J:J),0)</f>
        <v>310532.5</v>
      </c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15" hidden="1" customHeight="1" spans="1:20">
      <c r="A46" s="14">
        <v>42</v>
      </c>
      <c r="B46" s="36" t="s">
        <v>53</v>
      </c>
      <c r="C46" s="15">
        <v>2325</v>
      </c>
      <c r="D46" s="15">
        <f>IF(B46&lt;&gt;"",SUMIF(出库明细!C:C,B46,出库明细!G:G),"")</f>
        <v>2325</v>
      </c>
      <c r="E46" s="15">
        <f t="shared" si="4"/>
        <v>0</v>
      </c>
      <c r="F46" s="15">
        <f>IF(B46&lt;&gt;"",SUMIF(收付款明细!C:C,B46,收付款明细!D:D),"")</f>
        <v>2325</v>
      </c>
      <c r="G46" s="15">
        <f t="shared" si="5"/>
        <v>0</v>
      </c>
      <c r="H46" s="14" t="str">
        <f t="shared" si="7"/>
        <v>已结清</v>
      </c>
      <c r="I46" s="15">
        <f>IFERROR(SUMIF(商品库存!B:B,B46,商品库存!I:I),0)</f>
        <v>0</v>
      </c>
      <c r="J46" s="15">
        <f>IFERROR(SUMIF(商品库存!B:B,B46,商品库存!J:J),0)</f>
        <v>0</v>
      </c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15" hidden="1" customHeight="1" spans="1:20">
      <c r="A47" s="14">
        <v>43</v>
      </c>
      <c r="B47" s="27" t="s">
        <v>54</v>
      </c>
      <c r="C47" s="15">
        <v>2046</v>
      </c>
      <c r="D47" s="15">
        <f>IF(B47&lt;&gt;"",SUMIF(出库明细!C:C,B47,出库明细!G:G),"")</f>
        <v>465</v>
      </c>
      <c r="E47" s="15">
        <f t="shared" si="4"/>
        <v>1581</v>
      </c>
      <c r="F47" s="15">
        <f>IF(B47&lt;&gt;"",SUMIF(收付款明细!C:C,B47,收付款明细!D:D),"")</f>
        <v>2046</v>
      </c>
      <c r="G47" s="15">
        <f t="shared" si="5"/>
        <v>-1581</v>
      </c>
      <c r="H47" s="14" t="str">
        <f t="shared" si="7"/>
        <v>预存款</v>
      </c>
      <c r="I47" s="15">
        <f>IFERROR(SUMIF(商品库存!B:B,B47,商品库存!I:I),0)</f>
        <v>17</v>
      </c>
      <c r="J47" s="15">
        <f>IFERROR(SUMIF(商品库存!B:B,B47,商品库存!J:J),0)</f>
        <v>1581</v>
      </c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15" hidden="1" customHeight="1" spans="1:20">
      <c r="A48" s="14">
        <v>44</v>
      </c>
      <c r="B48" s="27" t="s">
        <v>55</v>
      </c>
      <c r="C48" s="15">
        <v>1582</v>
      </c>
      <c r="D48" s="15">
        <f>IF(B48&lt;&gt;"",SUMIF(出库明细!C:C,B48,出库明细!G:G),"")</f>
        <v>2427</v>
      </c>
      <c r="E48" s="15">
        <f t="shared" si="4"/>
        <v>-845</v>
      </c>
      <c r="F48" s="15">
        <f>IF(B48&lt;&gt;"",SUMIF(收付款明细!C:C,B48,收付款明细!D:D),"")</f>
        <v>1582</v>
      </c>
      <c r="G48" s="15">
        <f t="shared" si="5"/>
        <v>845</v>
      </c>
      <c r="H48" s="14" t="str">
        <f t="shared" si="7"/>
        <v>有欠款</v>
      </c>
      <c r="I48" s="15">
        <f>IFERROR(SUMIF(商品库存!B:B,B48,商品库存!I:I),0)</f>
        <v>11</v>
      </c>
      <c r="J48" s="15">
        <f>IFERROR(SUMIF(商品库存!B:B,B48,商品库存!J:J),0)</f>
        <v>550</v>
      </c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15" hidden="1" customHeight="1" spans="1:20">
      <c r="A49" s="14">
        <v>45</v>
      </c>
      <c r="B49" s="14" t="s">
        <v>22</v>
      </c>
      <c r="C49" s="15">
        <v>186000</v>
      </c>
      <c r="D49" s="15">
        <f>IF(B49&lt;&gt;"",SUMIF(出库明细!C:C,B49,出库明细!G:G),"")</f>
        <v>4986</v>
      </c>
      <c r="E49" s="15">
        <f t="shared" si="4"/>
        <v>181014</v>
      </c>
      <c r="F49" s="15">
        <f>IF(B49&lt;&gt;"",SUMIF(收付款明细!C:C,B49,收付款明细!D:D),"")</f>
        <v>19440</v>
      </c>
      <c r="G49" s="15">
        <f t="shared" si="5"/>
        <v>-14454</v>
      </c>
      <c r="H49" s="14" t="str">
        <f t="shared" si="7"/>
        <v>预存款</v>
      </c>
      <c r="I49" s="15">
        <f>IFERROR(SUMIF(商品库存!B:B,B49,商品库存!I:I),0)</f>
        <v>150</v>
      </c>
      <c r="J49" s="15">
        <f>IFERROR(SUMIF(商品库存!B:B,B49,商品库存!J:J),0)</f>
        <v>13950</v>
      </c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15" hidden="1" customHeight="1" spans="1:20">
      <c r="A50" s="14">
        <v>46</v>
      </c>
      <c r="B50" s="14" t="s">
        <v>56</v>
      </c>
      <c r="C50" s="15">
        <v>12000</v>
      </c>
      <c r="D50" s="15">
        <f>IF(B50&lt;&gt;"",SUMIF(出库明细!C:C,B50,出库明细!G:G),"")</f>
        <v>12327.5</v>
      </c>
      <c r="E50" s="15">
        <f t="shared" si="4"/>
        <v>-327.5</v>
      </c>
      <c r="F50" s="15">
        <f>IF(B50&lt;&gt;"",SUMIF(收付款明细!C:C,B50,收付款明细!D:D),"")</f>
        <v>12327.5</v>
      </c>
      <c r="G50" s="15">
        <f t="shared" si="5"/>
        <v>0</v>
      </c>
      <c r="H50" s="14" t="str">
        <f t="shared" si="7"/>
        <v>已结清</v>
      </c>
      <c r="I50" s="15">
        <f>IFERROR(SUMIF(商品库存!B:B,B50,商品库存!I:I),0)</f>
        <v>0</v>
      </c>
      <c r="J50" s="15">
        <f>IFERROR(SUMIF(商品库存!B:B,B50,商品库存!J:J),0)</f>
        <v>0</v>
      </c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5" hidden="1" customHeight="1" spans="1:20">
      <c r="A51" s="14">
        <v>47</v>
      </c>
      <c r="B51" s="14" t="s">
        <v>57</v>
      </c>
      <c r="C51" s="15"/>
      <c r="D51" s="15">
        <f>IF(B51&lt;&gt;"",SUMIF(出库明细!C:C,B51,出库明细!G:G),"")</f>
        <v>720</v>
      </c>
      <c r="E51" s="15" t="str">
        <f t="shared" si="4"/>
        <v/>
      </c>
      <c r="F51" s="15">
        <f>IF(B51&lt;&gt;"",SUMIF(收付款明细!C:C,B51,收付款明细!D:D),"")</f>
        <v>0</v>
      </c>
      <c r="G51" s="15">
        <f t="shared" si="5"/>
        <v>720</v>
      </c>
      <c r="H51" s="14" t="str">
        <f t="shared" si="7"/>
        <v>有欠款</v>
      </c>
      <c r="I51" s="15">
        <f>IFERROR(SUMIF(商品库存!B:B,B51,商品库存!I:I),0)</f>
        <v>0</v>
      </c>
      <c r="J51" s="15">
        <f>IFERROR(SUMIF(商品库存!B:B,B51,商品库存!J:J),0)</f>
        <v>0</v>
      </c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15" hidden="1" customHeight="1" spans="1:20">
      <c r="A52" s="14">
        <v>48</v>
      </c>
      <c r="B52" s="27" t="s">
        <v>58</v>
      </c>
      <c r="C52" s="50">
        <v>137732</v>
      </c>
      <c r="D52" s="15">
        <f>IF(B52&lt;&gt;"",SUMIF(出库明细!C:C,B52,出库明细!G:G),"")</f>
        <v>24252</v>
      </c>
      <c r="E52" s="15">
        <f t="shared" si="4"/>
        <v>113480</v>
      </c>
      <c r="F52" s="15">
        <f>IF(B52&lt;&gt;"",SUMIF(收付款明细!C:C,B52,收付款明细!D:D),"")</f>
        <v>152732</v>
      </c>
      <c r="G52" s="15">
        <f t="shared" si="5"/>
        <v>-128480</v>
      </c>
      <c r="H52" s="14" t="str">
        <f t="shared" si="7"/>
        <v>预存款</v>
      </c>
      <c r="I52" s="15">
        <f>IFERROR(SUMIF(商品库存!B:B,B52,商品库存!I:I),0)</f>
        <v>1578</v>
      </c>
      <c r="J52" s="15">
        <f>IFERROR(SUMIF(商品库存!B:B,B52,商品库存!J:J),0)</f>
        <v>113930</v>
      </c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15" hidden="1" customHeight="1" spans="1:20">
      <c r="A53" s="14">
        <v>49</v>
      </c>
      <c r="B53" s="27" t="s">
        <v>45</v>
      </c>
      <c r="C53" s="15">
        <v>27220</v>
      </c>
      <c r="D53" s="15">
        <f>IF(B53&lt;&gt;"",SUMIF(出库明细!C:C,B53,出库明细!G:G),"")</f>
        <v>14037</v>
      </c>
      <c r="E53" s="15">
        <f t="shared" si="4"/>
        <v>13183</v>
      </c>
      <c r="F53" s="15">
        <f>IF(B53&lt;&gt;"",SUMIF(收付款明细!C:C,B53,收付款明细!D:D),"")</f>
        <v>27220</v>
      </c>
      <c r="G53" s="15">
        <f t="shared" si="5"/>
        <v>-13183</v>
      </c>
      <c r="H53" s="14" t="str">
        <f t="shared" si="7"/>
        <v>预存款</v>
      </c>
      <c r="I53" s="15">
        <f>IFERROR(SUMIF(商品库存!B:B,B53,商品库存!I:I),0)</f>
        <v>159</v>
      </c>
      <c r="J53" s="15">
        <f>IFERROR(SUMIF(商品库存!B:B,B53,商品库存!J:J),0)</f>
        <v>12949</v>
      </c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15" hidden="1" customHeight="1" spans="1:20">
      <c r="A54" s="14">
        <v>50</v>
      </c>
      <c r="B54" s="27" t="s">
        <v>59</v>
      </c>
      <c r="C54" s="15">
        <v>602</v>
      </c>
      <c r="D54" s="15">
        <f>IF(B54&lt;&gt;"",SUMIF(出库明细!C:C,B54,出库明细!G:G),"")</f>
        <v>5252</v>
      </c>
      <c r="E54" s="15">
        <f t="shared" si="4"/>
        <v>-4650</v>
      </c>
      <c r="F54" s="15">
        <f>IF(B54&lt;&gt;"",SUMIF(收付款明细!C:C,B54,收付款明细!D:D),"")</f>
        <v>5252</v>
      </c>
      <c r="G54" s="15">
        <f t="shared" si="5"/>
        <v>0</v>
      </c>
      <c r="H54" s="14" t="str">
        <f t="shared" si="7"/>
        <v>已结清</v>
      </c>
      <c r="I54" s="15">
        <f>IFERROR(SUMIF(商品库存!B:B,B54,商品库存!I:I),0)</f>
        <v>0</v>
      </c>
      <c r="J54" s="15">
        <f>IFERROR(SUMIF(商品库存!B:B,B54,商品库存!J:J),0)</f>
        <v>0</v>
      </c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15" hidden="1" customHeight="1" spans="1:20">
      <c r="A55" s="14">
        <v>51</v>
      </c>
      <c r="B55" s="36" t="s">
        <v>60</v>
      </c>
      <c r="C55" s="15">
        <v>5386</v>
      </c>
      <c r="D55" s="15">
        <f>IF(B55&lt;&gt;"",SUMIF(出库明细!C:C,B55,出库明细!G:G),"")</f>
        <v>2833</v>
      </c>
      <c r="E55" s="15">
        <f t="shared" si="4"/>
        <v>2553</v>
      </c>
      <c r="F55" s="15">
        <f>IF(B55&lt;&gt;"",SUMIF(收付款明细!C:C,B55,收付款明细!D:D),"")</f>
        <v>5386</v>
      </c>
      <c r="G55" s="15">
        <f t="shared" si="5"/>
        <v>-2553</v>
      </c>
      <c r="H55" s="14" t="str">
        <f t="shared" si="7"/>
        <v>预存款</v>
      </c>
      <c r="I55" s="15">
        <f>IFERROR(SUMIF(商品库存!B:B,B55,商品库存!I:I),0)</f>
        <v>0</v>
      </c>
      <c r="J55" s="15">
        <f>IFERROR(SUMIF(商品库存!B:B,B55,商品库存!J:J),0)</f>
        <v>0</v>
      </c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15" hidden="1" customHeight="1" spans="1:20">
      <c r="A56" s="14">
        <v>52</v>
      </c>
      <c r="B56" s="27" t="s">
        <v>61</v>
      </c>
      <c r="C56" s="15">
        <v>2697</v>
      </c>
      <c r="D56" s="15">
        <f>IF(B56&lt;&gt;"",SUMIF(出库明细!C:C,B56,出库明细!G:G),"")</f>
        <v>24180</v>
      </c>
      <c r="E56" s="15">
        <f t="shared" si="4"/>
        <v>-21483</v>
      </c>
      <c r="F56" s="15">
        <f>IF(B56&lt;&gt;"",SUMIF(收付款明细!C:C,B56,收付款明细!D:D),"")</f>
        <v>2697</v>
      </c>
      <c r="G56" s="15">
        <f t="shared" si="5"/>
        <v>21483</v>
      </c>
      <c r="H56" s="14" t="str">
        <f t="shared" si="7"/>
        <v>有欠款</v>
      </c>
      <c r="I56" s="15">
        <f>IFERROR(SUMIF(商品库存!B:B,B56,商品库存!I:I),0)</f>
        <v>10</v>
      </c>
      <c r="J56" s="15">
        <f>IFERROR(SUMIF(商品库存!B:B,B56,商品库存!J:J),0)</f>
        <v>-21483</v>
      </c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15" hidden="1" customHeight="1" spans="1:20">
      <c r="A57" s="14">
        <v>53</v>
      </c>
      <c r="B57" s="27" t="s">
        <v>62</v>
      </c>
      <c r="C57" s="15">
        <v>2325</v>
      </c>
      <c r="D57" s="15">
        <f>IF(B57&lt;&gt;"",SUMIF(出库明细!C:C,B57,出库明细!G:G),"")</f>
        <v>1395</v>
      </c>
      <c r="E57" s="15">
        <f t="shared" si="4"/>
        <v>930</v>
      </c>
      <c r="F57" s="15">
        <f>IF(B57&lt;&gt;"",SUMIF(收付款明细!C:C,B57,收付款明细!D:D),"")</f>
        <v>2325</v>
      </c>
      <c r="G57" s="15">
        <f t="shared" si="5"/>
        <v>-930</v>
      </c>
      <c r="H57" s="14" t="str">
        <f t="shared" si="7"/>
        <v>预存款</v>
      </c>
      <c r="I57" s="15">
        <f>IFERROR(SUMIF(商品库存!B:B,B57,商品库存!I:I),0)</f>
        <v>10</v>
      </c>
      <c r="J57" s="15">
        <f>IFERROR(SUMIF(商品库存!B:B,B57,商品库存!J:J),0)</f>
        <v>930</v>
      </c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15" hidden="1" customHeight="1" spans="1:20">
      <c r="A58" s="14">
        <v>54</v>
      </c>
      <c r="B58" s="27" t="s">
        <v>63</v>
      </c>
      <c r="C58" s="15">
        <v>2325</v>
      </c>
      <c r="D58" s="15">
        <f>IF(B58&lt;&gt;"",SUMIF(出库明细!C:C,B58,出库明细!G:G),"")</f>
        <v>0</v>
      </c>
      <c r="E58" s="15">
        <f t="shared" si="4"/>
        <v>2325</v>
      </c>
      <c r="F58" s="15">
        <f>IF(B58&lt;&gt;"",SUMIF(收付款明细!C:C,B58,收付款明细!D:D),"")</f>
        <v>2325</v>
      </c>
      <c r="G58" s="15">
        <f t="shared" si="5"/>
        <v>-2325</v>
      </c>
      <c r="H58" s="14" t="str">
        <f t="shared" si="7"/>
        <v>预存款</v>
      </c>
      <c r="I58" s="15">
        <f>IFERROR(SUMIF(商品库存!B:B,B58,商品库存!I:I),0)</f>
        <v>25</v>
      </c>
      <c r="J58" s="15">
        <f>IFERROR(SUMIF(商品库存!B:B,B58,商品库存!J:J),0)</f>
        <v>2325</v>
      </c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15" hidden="1" customHeight="1" spans="1:20">
      <c r="A59" s="14">
        <v>55</v>
      </c>
      <c r="B59" s="14" t="s">
        <v>64</v>
      </c>
      <c r="C59" s="15">
        <v>2325</v>
      </c>
      <c r="D59" s="15">
        <f>IF(B59&lt;&gt;"",SUMIF(出库明细!C:C,B59,出库明细!G:G),"")</f>
        <v>2325</v>
      </c>
      <c r="E59" s="15">
        <f t="shared" si="4"/>
        <v>0</v>
      </c>
      <c r="F59" s="15">
        <f>IF(B59&lt;&gt;"",SUMIF(收付款明细!C:C,B59,收付款明细!D:D),"")</f>
        <v>2325</v>
      </c>
      <c r="G59" s="15">
        <f t="shared" si="5"/>
        <v>0</v>
      </c>
      <c r="H59" s="14" t="str">
        <f t="shared" si="7"/>
        <v>已结清</v>
      </c>
      <c r="I59" s="15">
        <f>IFERROR(SUMIF(商品库存!B:B,B59,商品库存!I:I),0)</f>
        <v>0</v>
      </c>
      <c r="J59" s="15">
        <f>IFERROR(SUMIF(商品库存!B:B,B59,商品库存!J:J),0)</f>
        <v>0</v>
      </c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15" hidden="1" customHeight="1" spans="1:20">
      <c r="A60" s="14">
        <v>56</v>
      </c>
      <c r="B60" s="27" t="s">
        <v>65</v>
      </c>
      <c r="C60" s="15">
        <v>5330</v>
      </c>
      <c r="D60" s="15">
        <f>IF(B60&lt;&gt;"",SUMIF(出库明细!C:C,B60,出库明细!G:G),"")</f>
        <v>3470</v>
      </c>
      <c r="E60" s="15">
        <f t="shared" si="4"/>
        <v>1860</v>
      </c>
      <c r="F60" s="15">
        <f>IF(B60&lt;&gt;"",SUMIF(收付款明细!C:C,B60,收付款明细!D:D),"")</f>
        <v>5330</v>
      </c>
      <c r="G60" s="15">
        <f t="shared" si="5"/>
        <v>-1860</v>
      </c>
      <c r="H60" s="14" t="str">
        <f t="shared" si="7"/>
        <v>预存款</v>
      </c>
      <c r="I60" s="15">
        <f>IFERROR(SUMIF(商品库存!B:B,B60,商品库存!I:I),0)</f>
        <v>20</v>
      </c>
      <c r="J60" s="15">
        <f>IFERROR(SUMIF(商品库存!B:B,B60,商品库存!J:J),0)</f>
        <v>1860</v>
      </c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15" hidden="1" customHeight="1" spans="1:20">
      <c r="A61" s="14">
        <v>57</v>
      </c>
      <c r="B61" s="27" t="s">
        <v>66</v>
      </c>
      <c r="C61" s="15">
        <v>930</v>
      </c>
      <c r="D61" s="15">
        <f>IF(B61&lt;&gt;"",SUMIF(出库明细!C:C,B61,出库明细!G:G),"")</f>
        <v>0</v>
      </c>
      <c r="E61" s="15">
        <f t="shared" si="4"/>
        <v>930</v>
      </c>
      <c r="F61" s="15">
        <f>IF(B61&lt;&gt;"",SUMIF(收付款明细!C:C,B61,收付款明细!D:D),"")</f>
        <v>930</v>
      </c>
      <c r="G61" s="15">
        <f t="shared" si="5"/>
        <v>-930</v>
      </c>
      <c r="H61" s="14" t="str">
        <f t="shared" si="7"/>
        <v>预存款</v>
      </c>
      <c r="I61" s="15">
        <f>IFERROR(SUMIF(商品库存!B:B,B61,商品库存!I:I),0)</f>
        <v>10</v>
      </c>
      <c r="J61" s="15">
        <f>IFERROR(SUMIF(商品库存!B:B,B61,商品库存!J:J),0)</f>
        <v>930</v>
      </c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15" hidden="1" customHeight="1" spans="1:20">
      <c r="A62" s="14">
        <v>58</v>
      </c>
      <c r="B62" s="27" t="s">
        <v>38</v>
      </c>
      <c r="C62" s="15">
        <v>9000</v>
      </c>
      <c r="D62" s="15">
        <f>IF(B62&lt;&gt;"",SUMIF(出库明细!C:C,B62,出库明细!G:G),"")</f>
        <v>9000</v>
      </c>
      <c r="E62" s="15">
        <f t="shared" si="4"/>
        <v>0</v>
      </c>
      <c r="F62" s="15">
        <f>IF(B62&lt;&gt;"",SUMIF(收付款明细!C:C,B62,收付款明细!D:D),"")</f>
        <v>9704</v>
      </c>
      <c r="G62" s="15">
        <f t="shared" si="5"/>
        <v>-704</v>
      </c>
      <c r="H62" s="14" t="str">
        <f t="shared" si="7"/>
        <v>预存款</v>
      </c>
      <c r="I62" s="15">
        <f>IFERROR(SUMIF(商品库存!B:B,B62,商品库存!I:I),0)</f>
        <v>0</v>
      </c>
      <c r="J62" s="15">
        <f>IFERROR(SUMIF(商品库存!B:B,B62,商品库存!J:J),0)</f>
        <v>0</v>
      </c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15" hidden="1" customHeight="1" spans="1:20">
      <c r="A63" s="14">
        <v>59</v>
      </c>
      <c r="B63" s="27" t="s">
        <v>67</v>
      </c>
      <c r="C63" s="15">
        <v>1395</v>
      </c>
      <c r="D63" s="15">
        <f>IF(B63&lt;&gt;"",SUMIF(出库明细!C:C,B63,出库明细!G:G),"")</f>
        <v>1395</v>
      </c>
      <c r="E63" s="15">
        <f t="shared" si="4"/>
        <v>0</v>
      </c>
      <c r="F63" s="15">
        <f>IF(B63&lt;&gt;"",SUMIF(收付款明细!C:C,B63,收付款明细!D:D),"")</f>
        <v>1395</v>
      </c>
      <c r="G63" s="15">
        <f t="shared" si="5"/>
        <v>0</v>
      </c>
      <c r="H63" s="14" t="str">
        <f t="shared" si="7"/>
        <v>已结清</v>
      </c>
      <c r="I63" s="15">
        <f>IFERROR(SUMIF(商品库存!B:B,B63,商品库存!I:I),0)</f>
        <v>0</v>
      </c>
      <c r="J63" s="15">
        <f>IFERROR(SUMIF(商品库存!B:B,B63,商品库存!J:J),0)</f>
        <v>0</v>
      </c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15" hidden="1" customHeight="1" spans="1:20">
      <c r="A64" s="14">
        <v>60</v>
      </c>
      <c r="B64" s="27" t="s">
        <v>68</v>
      </c>
      <c r="C64" s="15">
        <v>3200</v>
      </c>
      <c r="D64" s="15">
        <f>IF(B64&lt;&gt;"",SUMIF(出库明细!C:C,B64,出库明细!G:G),"")</f>
        <v>2426</v>
      </c>
      <c r="E64" s="15">
        <f t="shared" si="4"/>
        <v>774</v>
      </c>
      <c r="F64" s="15">
        <f>IF(B64&lt;&gt;"",SUMIF(收付款明细!C:C,B64,收付款明细!D:D),"")</f>
        <v>3200</v>
      </c>
      <c r="G64" s="15">
        <f t="shared" si="5"/>
        <v>-774</v>
      </c>
      <c r="H64" s="14" t="str">
        <f t="shared" si="7"/>
        <v>预存款</v>
      </c>
      <c r="I64" s="15">
        <f>IFERROR(SUMIF(商品库存!B:B,B64,商品库存!I:I),0)</f>
        <v>16</v>
      </c>
      <c r="J64" s="15">
        <f>IFERROR(SUMIF(商品库存!B:B,B64,商品库存!J:J),0)</f>
        <v>774</v>
      </c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15" hidden="1" customHeight="1" spans="1:20">
      <c r="A65" s="14">
        <v>61</v>
      </c>
      <c r="B65" s="27" t="s">
        <v>69</v>
      </c>
      <c r="C65" s="15">
        <v>3380</v>
      </c>
      <c r="D65" s="15">
        <f>IF(B65&lt;&gt;"",SUMIF(出库明细!C:C,B65,出库明细!G:G),"")</f>
        <v>1932</v>
      </c>
      <c r="E65" s="15">
        <f t="shared" si="4"/>
        <v>1448</v>
      </c>
      <c r="F65" s="15">
        <f>IF(B65&lt;&gt;"",SUMIF(收付款明细!C:C,B65,收付款明细!D:D),"")</f>
        <v>3380</v>
      </c>
      <c r="G65" s="15">
        <f t="shared" si="5"/>
        <v>-1448</v>
      </c>
      <c r="H65" s="14" t="str">
        <f t="shared" si="7"/>
        <v>预存款</v>
      </c>
      <c r="I65" s="15">
        <f>IFERROR(SUMIF(商品库存!B:B,B65,商品库存!I:I),0)</f>
        <v>29</v>
      </c>
      <c r="J65" s="15">
        <f>IFERROR(SUMIF(商品库存!B:B,B65,商品库存!J:J),0)</f>
        <v>1448</v>
      </c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15" hidden="1" customHeight="1" spans="1:20">
      <c r="A66" s="14">
        <v>62</v>
      </c>
      <c r="B66" s="14" t="s">
        <v>70</v>
      </c>
      <c r="C66" s="15">
        <v>930</v>
      </c>
      <c r="D66" s="15">
        <f>IF(B66&lt;&gt;"",SUMIF(出库明细!C:C,B66,出库明细!G:G),"")</f>
        <v>930</v>
      </c>
      <c r="E66" s="15">
        <f t="shared" si="4"/>
        <v>0</v>
      </c>
      <c r="F66" s="15">
        <f>IF(B66&lt;&gt;"",SUMIF(收付款明细!C:C,B66,收付款明细!D:D),"")</f>
        <v>930</v>
      </c>
      <c r="G66" s="15">
        <f t="shared" si="5"/>
        <v>0</v>
      </c>
      <c r="H66" s="14" t="str">
        <f t="shared" si="7"/>
        <v>已结清</v>
      </c>
      <c r="I66" s="15">
        <f>IFERROR(SUMIF(商品库存!B:B,B66,商品库存!I:I),0)</f>
        <v>0</v>
      </c>
      <c r="J66" s="15">
        <f>IFERROR(SUMIF(商品库存!B:B,B66,商品库存!J:J),0)</f>
        <v>0</v>
      </c>
      <c r="K66" s="2"/>
      <c r="L66" s="2"/>
      <c r="M66" s="2"/>
      <c r="N66" s="2"/>
      <c r="O66" s="2"/>
      <c r="P66" s="2"/>
      <c r="Q66" s="2"/>
      <c r="R66" s="2"/>
      <c r="S66" s="2"/>
      <c r="T66" s="2"/>
    </row>
    <row r="67" ht="15" hidden="1" customHeight="1" spans="1:20">
      <c r="A67" s="14">
        <v>63</v>
      </c>
      <c r="B67" s="27" t="s">
        <v>71</v>
      </c>
      <c r="C67" s="15">
        <v>1395</v>
      </c>
      <c r="D67" s="15">
        <f>IF(B67&lt;&gt;"",SUMIF(出库明细!C:C,B67,出库明细!G:G),"")</f>
        <v>0</v>
      </c>
      <c r="E67" s="15">
        <f t="shared" si="4"/>
        <v>1395</v>
      </c>
      <c r="F67" s="15">
        <f>IF(B67&lt;&gt;"",SUMIF(收付款明细!C:C,B67,收付款明细!D:D),"")</f>
        <v>1395</v>
      </c>
      <c r="G67" s="15">
        <f t="shared" si="5"/>
        <v>-1395</v>
      </c>
      <c r="H67" s="14" t="str">
        <f t="shared" si="7"/>
        <v>预存款</v>
      </c>
      <c r="I67" s="15">
        <f>IFERROR(SUMIF(商品库存!B:B,B67,商品库存!I:I),0)</f>
        <v>15</v>
      </c>
      <c r="J67" s="15">
        <f>IFERROR(SUMIF(商品库存!B:B,B67,商品库存!J:J),0)</f>
        <v>1395</v>
      </c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15" hidden="1" customHeight="1" spans="1:20">
      <c r="A68" s="14">
        <v>64</v>
      </c>
      <c r="B68" s="27" t="s">
        <v>72</v>
      </c>
      <c r="C68" s="15">
        <v>3005</v>
      </c>
      <c r="D68" s="15">
        <f>IF(B68&lt;&gt;"",SUMIF(出库明细!C:C,B68,出库明细!G:G),"")</f>
        <v>2801</v>
      </c>
      <c r="E68" s="15">
        <f t="shared" si="4"/>
        <v>204</v>
      </c>
      <c r="F68" s="15">
        <f>IF(B68&lt;&gt;"",SUMIF(收付款明细!C:C,B68,收付款明细!D:D),"")</f>
        <v>3005</v>
      </c>
      <c r="G68" s="15">
        <f t="shared" si="5"/>
        <v>-204</v>
      </c>
      <c r="H68" s="14" t="str">
        <f t="shared" si="7"/>
        <v>预存款</v>
      </c>
      <c r="I68" s="15">
        <f>IFERROR(SUMIF(商品库存!B:B,B68,商品库存!I:I),0)</f>
        <v>3</v>
      </c>
      <c r="J68" s="15">
        <f>IFERROR(SUMIF(商品库存!B:B,B68,商品库存!J:J),0)</f>
        <v>204</v>
      </c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15" hidden="1" customHeight="1" spans="1:20">
      <c r="A69" s="14">
        <v>65</v>
      </c>
      <c r="B69" s="27" t="s">
        <v>73</v>
      </c>
      <c r="C69" s="15">
        <v>1395</v>
      </c>
      <c r="D69" s="15">
        <f>IF(B69&lt;&gt;"",SUMIF(出库明细!C:C,B69,出库明细!G:G),"")</f>
        <v>0</v>
      </c>
      <c r="E69" s="15">
        <f t="shared" si="4"/>
        <v>1395</v>
      </c>
      <c r="F69" s="15">
        <f>IF(B69&lt;&gt;"",SUMIF(收付款明细!C:C,B69,收付款明细!D:D),"")</f>
        <v>1395</v>
      </c>
      <c r="G69" s="15">
        <f t="shared" si="5"/>
        <v>-1395</v>
      </c>
      <c r="H69" s="14" t="str">
        <f t="shared" si="7"/>
        <v>预存款</v>
      </c>
      <c r="I69" s="15">
        <f>IFERROR(SUMIF(商品库存!B:B,B69,商品库存!I:I),0)</f>
        <v>15</v>
      </c>
      <c r="J69" s="15">
        <f>IFERROR(SUMIF(商品库存!B:B,B69,商品库存!J:J),0)</f>
        <v>1395</v>
      </c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15" hidden="1" customHeight="1" spans="1:20">
      <c r="A70" s="14">
        <v>66</v>
      </c>
      <c r="B70" s="27" t="s">
        <v>74</v>
      </c>
      <c r="C70" s="15">
        <v>2325</v>
      </c>
      <c r="D70" s="15">
        <f>IF(B70&lt;&gt;"",SUMIF(出库明细!C:C,B70,出库明细!G:G),"")</f>
        <v>2325</v>
      </c>
      <c r="E70" s="15">
        <f t="shared" ref="E70:E133" si="8">IF(AND(C70&lt;&gt;"",D70&lt;&gt;""),C70-D70,"")</f>
        <v>0</v>
      </c>
      <c r="F70" s="15">
        <f>IF(B70&lt;&gt;"",SUMIF(收付款明细!C:C,B70,收付款明细!D:D),"")</f>
        <v>2325</v>
      </c>
      <c r="G70" s="15">
        <f t="shared" si="5"/>
        <v>0</v>
      </c>
      <c r="H70" s="14" t="str">
        <f t="shared" si="7"/>
        <v>已结清</v>
      </c>
      <c r="I70" s="15">
        <f>IFERROR(SUMIF(商品库存!B:B,B70,商品库存!I:I),0)</f>
        <v>0</v>
      </c>
      <c r="J70" s="15">
        <f>IFERROR(SUMIF(商品库存!B:B,B70,商品库存!J:J),0)</f>
        <v>0</v>
      </c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15" hidden="1" customHeight="1" spans="1:20">
      <c r="A71" s="14">
        <v>67</v>
      </c>
      <c r="B71" s="27" t="s">
        <v>75</v>
      </c>
      <c r="C71" s="15">
        <v>3035</v>
      </c>
      <c r="D71" s="15">
        <f>IF(B71&lt;&gt;"",SUMIF(出库明细!C:C,B71,出库明细!G:G),"")</f>
        <v>576</v>
      </c>
      <c r="E71" s="15">
        <f t="shared" si="8"/>
        <v>2459</v>
      </c>
      <c r="F71" s="15">
        <f>IF(B71&lt;&gt;"",SUMIF(收付款明细!C:C,B71,收付款明细!D:D),"")</f>
        <v>3035</v>
      </c>
      <c r="G71" s="15">
        <f t="shared" ref="G71:G134" si="9">IF(AND(D71&lt;&gt;"",F71&lt;&gt;""),D71-F71,"")</f>
        <v>-2459</v>
      </c>
      <c r="H71" s="14" t="str">
        <f t="shared" si="7"/>
        <v>预存款</v>
      </c>
      <c r="I71" s="15">
        <f>IFERROR(SUMIF(商品库存!B:B,B71,商品库存!I:I),0)</f>
        <v>33</v>
      </c>
      <c r="J71" s="15">
        <f>IFERROR(SUMIF(商品库存!B:B,B71,商品库存!J:J),0)</f>
        <v>2459</v>
      </c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15" hidden="1" customHeight="1" spans="1:20">
      <c r="A72" s="14">
        <v>68</v>
      </c>
      <c r="B72" s="35" t="s">
        <v>76</v>
      </c>
      <c r="C72" s="15">
        <v>2907</v>
      </c>
      <c r="D72" s="15">
        <f>IF(B72&lt;&gt;"",SUMIF(出库明细!C:C,B72,出库明细!G:G),"")</f>
        <v>242</v>
      </c>
      <c r="E72" s="15">
        <f t="shared" si="8"/>
        <v>2665</v>
      </c>
      <c r="F72" s="15">
        <f>IF(B72&lt;&gt;"",SUMIF(收付款明细!C:C,B72,收付款明细!D:D),"")</f>
        <v>2907</v>
      </c>
      <c r="G72" s="15">
        <f t="shared" si="9"/>
        <v>-2665</v>
      </c>
      <c r="H72" s="14" t="str">
        <f t="shared" si="7"/>
        <v>预存款</v>
      </c>
      <c r="I72" s="15">
        <f>IFERROR(SUMIF(商品库存!B:B,B72,商品库存!I:I),0)</f>
        <v>30</v>
      </c>
      <c r="J72" s="15">
        <f>IFERROR(SUMIF(商品库存!B:B,B72,商品库存!J:J),0)</f>
        <v>2665</v>
      </c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15" hidden="1" customHeight="1" spans="1:20">
      <c r="A73" s="14">
        <v>69</v>
      </c>
      <c r="B73" s="27" t="s">
        <v>77</v>
      </c>
      <c r="C73" s="15">
        <v>1567</v>
      </c>
      <c r="D73" s="15">
        <f>IF(B73&lt;&gt;"",SUMIF(出库明细!C:C,B73,出库明细!G:G),"")</f>
        <v>1567</v>
      </c>
      <c r="E73" s="15">
        <f t="shared" si="8"/>
        <v>0</v>
      </c>
      <c r="F73" s="15">
        <f>IF(B73&lt;&gt;"",SUMIF(收付款明细!C:C,B73,收付款明细!D:D),"")</f>
        <v>1567</v>
      </c>
      <c r="G73" s="15">
        <f t="shared" si="9"/>
        <v>0</v>
      </c>
      <c r="H73" s="14" t="str">
        <f t="shared" si="7"/>
        <v>已结清</v>
      </c>
      <c r="I73" s="15">
        <f>IFERROR(SUMIF(商品库存!B:B,B73,商品库存!I:I),0)</f>
        <v>0</v>
      </c>
      <c r="J73" s="15">
        <f>IFERROR(SUMIF(商品库存!B:B,B73,商品库存!J:J),0)</f>
        <v>0</v>
      </c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15" hidden="1" customHeight="1" spans="1:20">
      <c r="A74" s="14">
        <v>70</v>
      </c>
      <c r="B74" s="35" t="s">
        <v>78</v>
      </c>
      <c r="C74" s="15">
        <v>4500</v>
      </c>
      <c r="D74" s="15">
        <f>IF(B74&lt;&gt;"",SUMIF(出库明细!C:C,B74,出库明细!G:G),"")</f>
        <v>0</v>
      </c>
      <c r="E74" s="15">
        <f t="shared" si="8"/>
        <v>4500</v>
      </c>
      <c r="F74" s="15">
        <f>IF(B74&lt;&gt;"",SUMIF(收付款明细!C:C,B74,收付款明细!D:D),"")</f>
        <v>4500</v>
      </c>
      <c r="G74" s="15">
        <f t="shared" si="9"/>
        <v>-4500</v>
      </c>
      <c r="H74" s="14" t="str">
        <f t="shared" si="7"/>
        <v>预存款</v>
      </c>
      <c r="I74" s="15">
        <f>IFERROR(SUMIF(商品库存!B:B,B74,商品库存!I:I),0)</f>
        <v>50</v>
      </c>
      <c r="J74" s="15">
        <f>IFERROR(SUMIF(商品库存!B:B,B74,商品库存!J:J),0)</f>
        <v>4500</v>
      </c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15" hidden="1" customHeight="1" spans="1:20">
      <c r="A75" s="14">
        <v>71</v>
      </c>
      <c r="B75" s="35" t="s">
        <v>79</v>
      </c>
      <c r="C75" s="15">
        <v>9000</v>
      </c>
      <c r="D75" s="15">
        <f>IF(B75&lt;&gt;"",SUMIF(出库明细!C:C,B75,出库明细!G:G),"")</f>
        <v>4500</v>
      </c>
      <c r="E75" s="15">
        <f t="shared" si="8"/>
        <v>4500</v>
      </c>
      <c r="F75" s="15">
        <f>IF(B75&lt;&gt;"",SUMIF(收付款明细!C:C,B75,收付款明细!D:D),"")</f>
        <v>9000</v>
      </c>
      <c r="G75" s="15">
        <f t="shared" si="9"/>
        <v>-4500</v>
      </c>
      <c r="H75" s="14" t="str">
        <f t="shared" si="7"/>
        <v>预存款</v>
      </c>
      <c r="I75" s="15">
        <f>IFERROR(SUMIF(商品库存!B:B,B75,商品库存!I:I),0)</f>
        <v>50</v>
      </c>
      <c r="J75" s="15">
        <f>IFERROR(SUMIF(商品库存!B:B,B75,商品库存!J:J),0)</f>
        <v>4500</v>
      </c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15" hidden="1" customHeight="1" spans="1:20">
      <c r="A76" s="14">
        <v>72</v>
      </c>
      <c r="B76" s="14" t="s">
        <v>80</v>
      </c>
      <c r="C76" s="15">
        <v>12000</v>
      </c>
      <c r="D76" s="15">
        <f>IF(B76&lt;&gt;"",SUMIF(出库明细!C:C,B76,出库明细!G:G),"")</f>
        <v>10472.5</v>
      </c>
      <c r="E76" s="15">
        <f t="shared" si="8"/>
        <v>1527.5</v>
      </c>
      <c r="F76" s="15">
        <f>IF(B76&lt;&gt;"",SUMIF(收付款明细!C:C,B76,收付款明细!D:D),"")</f>
        <v>12000</v>
      </c>
      <c r="G76" s="15">
        <f t="shared" si="9"/>
        <v>-1527.5</v>
      </c>
      <c r="H76" s="14" t="str">
        <f t="shared" si="7"/>
        <v>预存款</v>
      </c>
      <c r="I76" s="15">
        <f>IFERROR(SUMIF(商品库存!B:B,B76,商品库存!I:I),0)</f>
        <v>0</v>
      </c>
      <c r="J76" s="15">
        <f>IFERROR(SUMIF(商品库存!B:B,B76,商品库存!J:J),0)</f>
        <v>0</v>
      </c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15" hidden="1" customHeight="1" spans="1:20">
      <c r="A77" s="14">
        <v>73</v>
      </c>
      <c r="B77" s="35" t="s">
        <v>81</v>
      </c>
      <c r="C77" s="15">
        <v>2325</v>
      </c>
      <c r="D77" s="15">
        <f>IF(B77&lt;&gt;"",SUMIF(出库明细!C:C,B77,出库明细!G:G),"")</f>
        <v>2325</v>
      </c>
      <c r="E77" s="15">
        <f t="shared" si="8"/>
        <v>0</v>
      </c>
      <c r="F77" s="15">
        <f>IF(B77&lt;&gt;"",SUMIF(收付款明细!C:C,B77,收付款明细!D:D),"")</f>
        <v>2325</v>
      </c>
      <c r="G77" s="15">
        <f t="shared" si="9"/>
        <v>0</v>
      </c>
      <c r="H77" s="14" t="str">
        <f t="shared" si="7"/>
        <v>已结清</v>
      </c>
      <c r="I77" s="15">
        <f>IFERROR(SUMIF(商品库存!B:B,B77,商品库存!I:I),0)</f>
        <v>0</v>
      </c>
      <c r="J77" s="15">
        <f>IFERROR(SUMIF(商品库存!B:B,B77,商品库存!J:J),0)</f>
        <v>0</v>
      </c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15" hidden="1" customHeight="1" spans="1:20">
      <c r="A78" s="14">
        <v>74</v>
      </c>
      <c r="B78" s="35" t="s">
        <v>82</v>
      </c>
      <c r="C78" s="15">
        <v>1860</v>
      </c>
      <c r="D78" s="15">
        <f>IF(B78&lt;&gt;"",SUMIF(出库明细!C:C,B78,出库明细!G:G),"")</f>
        <v>1860</v>
      </c>
      <c r="E78" s="15">
        <f t="shared" si="8"/>
        <v>0</v>
      </c>
      <c r="F78" s="15">
        <f>IF(B78&lt;&gt;"",SUMIF(收付款明细!C:C,B78,收付款明细!D:D),"")</f>
        <v>1860</v>
      </c>
      <c r="G78" s="15">
        <f t="shared" si="9"/>
        <v>0</v>
      </c>
      <c r="H78" s="14" t="str">
        <f t="shared" si="7"/>
        <v>已结清</v>
      </c>
      <c r="I78" s="15">
        <f>IFERROR(SUMIF(商品库存!B:B,B78,商品库存!I:I),0)</f>
        <v>0</v>
      </c>
      <c r="J78" s="15">
        <f>IFERROR(SUMIF(商品库存!B:B,B78,商品库存!J:J),0)</f>
        <v>0</v>
      </c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15" hidden="1" customHeight="1" spans="1:20">
      <c r="A79" s="14">
        <v>75</v>
      </c>
      <c r="B79" s="36" t="s">
        <v>83</v>
      </c>
      <c r="C79" s="15">
        <v>4500</v>
      </c>
      <c r="D79" s="15">
        <f>IF(B79&lt;&gt;"",SUMIF(出库明细!C:C,B79,出库明细!G:G),"")</f>
        <v>0</v>
      </c>
      <c r="E79" s="15">
        <f t="shared" si="8"/>
        <v>4500</v>
      </c>
      <c r="F79" s="15">
        <f>IF(B79&lt;&gt;"",SUMIF(收付款明细!C:C,B79,收付款明细!D:D),"")</f>
        <v>4500</v>
      </c>
      <c r="G79" s="15">
        <f t="shared" si="9"/>
        <v>-4500</v>
      </c>
      <c r="H79" s="14" t="str">
        <f t="shared" si="7"/>
        <v>预存款</v>
      </c>
      <c r="I79" s="15">
        <f>IFERROR(SUMIF(商品库存!B:B,B79,商品库存!I:I),0)</f>
        <v>50</v>
      </c>
      <c r="J79" s="15">
        <f>IFERROR(SUMIF(商品库存!B:B,B79,商品库存!J:J),0)</f>
        <v>4500</v>
      </c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15" hidden="1" customHeight="1" spans="1:20">
      <c r="A80" s="14">
        <v>76</v>
      </c>
      <c r="B80" s="35" t="s">
        <v>84</v>
      </c>
      <c r="C80" s="15">
        <v>1640</v>
      </c>
      <c r="D80" s="15">
        <f>IF(B80&lt;&gt;"",SUMIF(出库明细!C:C,B80,出库明细!G:G),"")</f>
        <v>0</v>
      </c>
      <c r="E80" s="15">
        <f t="shared" si="8"/>
        <v>1640</v>
      </c>
      <c r="F80" s="15">
        <f>IF(B80&lt;&gt;"",SUMIF(收付款明细!C:C,B80,收付款明细!D:D),"")</f>
        <v>1640</v>
      </c>
      <c r="G80" s="15">
        <f t="shared" si="9"/>
        <v>-1640</v>
      </c>
      <c r="H80" s="14" t="str">
        <f t="shared" si="7"/>
        <v>预存款</v>
      </c>
      <c r="I80" s="15">
        <f>IFERROR(SUMIF(商品库存!B:B,B80,商品库存!I:I),0)</f>
        <v>30</v>
      </c>
      <c r="J80" s="15">
        <f>IFERROR(SUMIF(商品库存!B:B,B80,商品库存!J:J),0)</f>
        <v>1640</v>
      </c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15" hidden="1" customHeight="1" spans="1:20">
      <c r="A81" s="14">
        <v>77</v>
      </c>
      <c r="B81" s="35" t="s">
        <v>85</v>
      </c>
      <c r="C81" s="15">
        <v>2325</v>
      </c>
      <c r="D81" s="15">
        <f>IF(B81&lt;&gt;"",SUMIF(出库明细!C:C,B81,出库明细!G:G),"")</f>
        <v>2325</v>
      </c>
      <c r="E81" s="15">
        <f t="shared" si="8"/>
        <v>0</v>
      </c>
      <c r="F81" s="15">
        <f>IF(B81&lt;&gt;"",SUMIF(收付款明细!C:C,B81,收付款明细!D:D),"")</f>
        <v>2325</v>
      </c>
      <c r="G81" s="15">
        <f t="shared" si="9"/>
        <v>0</v>
      </c>
      <c r="H81" s="14" t="str">
        <f t="shared" si="7"/>
        <v>已结清</v>
      </c>
      <c r="I81" s="15">
        <f>IFERROR(SUMIF(商品库存!B:B,B81,商品库存!I:I),0)</f>
        <v>0</v>
      </c>
      <c r="J81" s="15">
        <f>IFERROR(SUMIF(商品库存!B:B,B81,商品库存!J:J),0)</f>
        <v>0</v>
      </c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15" hidden="1" customHeight="1" spans="1:20">
      <c r="A82" s="14">
        <v>78</v>
      </c>
      <c r="B82" s="35" t="s">
        <v>86</v>
      </c>
      <c r="C82" s="15">
        <v>107.5</v>
      </c>
      <c r="D82" s="15">
        <f>IF(B82&lt;&gt;"",SUMIF(出库明细!C:C,B82,出库明细!G:G),"")</f>
        <v>0</v>
      </c>
      <c r="E82" s="15">
        <f t="shared" si="8"/>
        <v>107.5</v>
      </c>
      <c r="F82" s="15">
        <f>IF(B82&lt;&gt;"",SUMIF(收付款明细!C:C,B82,收付款明细!D:D),"")</f>
        <v>107.5</v>
      </c>
      <c r="G82" s="15">
        <f t="shared" si="9"/>
        <v>-107.5</v>
      </c>
      <c r="H82" s="14" t="str">
        <f t="shared" si="7"/>
        <v>预存款</v>
      </c>
      <c r="I82" s="15">
        <f>IFERROR(SUMIF(商品库存!B:B,B82,商品库存!I:I),0)</f>
        <v>5</v>
      </c>
      <c r="J82" s="15">
        <f>IFERROR(SUMIF(商品库存!B:B,B82,商品库存!J:J),0)</f>
        <v>107.5</v>
      </c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15" hidden="1" customHeight="1" spans="1:20">
      <c r="A83" s="14">
        <v>79</v>
      </c>
      <c r="B83" s="35" t="s">
        <v>87</v>
      </c>
      <c r="C83" s="15">
        <v>2790</v>
      </c>
      <c r="D83" s="15">
        <f>IF(B83&lt;&gt;"",SUMIF(出库明细!C:C,B83,出库明细!G:G),"")</f>
        <v>0</v>
      </c>
      <c r="E83" s="15">
        <f t="shared" si="8"/>
        <v>2790</v>
      </c>
      <c r="F83" s="15">
        <f>IF(B83&lt;&gt;"",SUMIF(收付款明细!C:C,B83,收付款明细!D:D),"")</f>
        <v>2790</v>
      </c>
      <c r="G83" s="15">
        <f t="shared" si="9"/>
        <v>-2790</v>
      </c>
      <c r="H83" s="14" t="str">
        <f t="shared" si="7"/>
        <v>预存款</v>
      </c>
      <c r="I83" s="15">
        <f>IFERROR(SUMIF(商品库存!B:B,B83,商品库存!I:I),0)</f>
        <v>30</v>
      </c>
      <c r="J83" s="15">
        <f>IFERROR(SUMIF(商品库存!B:B,B83,商品库存!J:J),0)</f>
        <v>2790</v>
      </c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15" hidden="1" customHeight="1" spans="1:20">
      <c r="A84" s="14"/>
      <c r="B84" s="35" t="s">
        <v>88</v>
      </c>
      <c r="C84" s="15">
        <v>4500</v>
      </c>
      <c r="D84" s="15">
        <f>IF(B84&lt;&gt;"",SUMIF(出库明细!C:C,B84,出库明细!G:G),"")</f>
        <v>0</v>
      </c>
      <c r="E84" s="15">
        <f t="shared" si="8"/>
        <v>4500</v>
      </c>
      <c r="F84" s="15">
        <f>IF(B84&lt;&gt;"",SUMIF(收付款明细!C:C,B84,收付款明细!D:D),"")</f>
        <v>4500</v>
      </c>
      <c r="G84" s="15">
        <f t="shared" si="9"/>
        <v>-4500</v>
      </c>
      <c r="H84" s="14" t="str">
        <f t="shared" si="7"/>
        <v>预存款</v>
      </c>
      <c r="I84" s="15">
        <f>IFERROR(SUMIF(商品库存!B:B,B84,商品库存!I:I),0)</f>
        <v>50</v>
      </c>
      <c r="J84" s="15">
        <f>IFERROR(SUMIF(商品库存!B:B,B84,商品库存!J:J),0)</f>
        <v>4500</v>
      </c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15" hidden="1" customHeight="1" spans="1:20">
      <c r="A85" s="14"/>
      <c r="B85" s="35" t="s">
        <v>89</v>
      </c>
      <c r="C85" s="15">
        <v>2700</v>
      </c>
      <c r="D85" s="15">
        <f>IF(B85&lt;&gt;"",SUMIF(出库明细!C:C,B85,出库明细!G:G),"")</f>
        <v>0</v>
      </c>
      <c r="E85" s="15">
        <f t="shared" si="8"/>
        <v>2700</v>
      </c>
      <c r="F85" s="15">
        <f>IF(B85&lt;&gt;"",SUMIF(收付款明细!C:C,B85,收付款明细!D:D),"")</f>
        <v>2700</v>
      </c>
      <c r="G85" s="15">
        <f t="shared" si="9"/>
        <v>-2700</v>
      </c>
      <c r="H85" s="14" t="str">
        <f t="shared" si="7"/>
        <v>预存款</v>
      </c>
      <c r="I85" s="15">
        <f>IFERROR(SUMIF(商品库存!B:B,B85,商品库存!I:I),0)</f>
        <v>30</v>
      </c>
      <c r="J85" s="15">
        <f>IFERROR(SUMIF(商品库存!B:B,B85,商品库存!J:J),0)</f>
        <v>2700</v>
      </c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15" hidden="1" customHeight="1" spans="1:20">
      <c r="A86" s="14"/>
      <c r="B86" s="35" t="s">
        <v>90</v>
      </c>
      <c r="C86" s="15">
        <v>2750</v>
      </c>
      <c r="D86" s="15">
        <f>IF(B86&lt;&gt;"",SUMIF(出库明细!C:C,B86,出库明细!G:G),"")</f>
        <v>0</v>
      </c>
      <c r="E86" s="15">
        <f t="shared" si="8"/>
        <v>2750</v>
      </c>
      <c r="F86" s="15">
        <f>IF(B86&lt;&gt;"",SUMIF(收付款明细!C:C,B86,收付款明细!D:D),"")</f>
        <v>2750</v>
      </c>
      <c r="G86" s="15">
        <f t="shared" si="9"/>
        <v>-2750</v>
      </c>
      <c r="H86" s="14" t="str">
        <f t="shared" si="7"/>
        <v>预存款</v>
      </c>
      <c r="I86" s="15">
        <f>IFERROR(SUMIF(商品库存!B:B,B86,商品库存!I:I),0)</f>
        <v>250</v>
      </c>
      <c r="J86" s="15">
        <f>IFERROR(SUMIF(商品库存!B:B,B86,商品库存!J:J),0)</f>
        <v>1900</v>
      </c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15" hidden="1" customHeight="1" spans="1:20">
      <c r="A87" s="14"/>
      <c r="B87" s="14"/>
      <c r="C87" s="15"/>
      <c r="D87" s="15" t="str">
        <f>IF(B87&lt;&gt;"",SUMIF(出库明细!C:C,B87,出库明细!G:G),"")</f>
        <v/>
      </c>
      <c r="E87" s="15" t="str">
        <f t="shared" si="8"/>
        <v/>
      </c>
      <c r="F87" s="15" t="str">
        <f>IF(B87&lt;&gt;"",SUMIF(收付款明细!C:C,B87,收付款明细!D:D),"")</f>
        <v/>
      </c>
      <c r="G87" s="15" t="str">
        <f t="shared" si="9"/>
        <v/>
      </c>
      <c r="H87" s="14" t="str">
        <f t="shared" si="7"/>
        <v/>
      </c>
      <c r="I87" s="15">
        <f>IFERROR(SUMIF(商品库存!B:B,B87,商品库存!I:I),0)</f>
        <v>0</v>
      </c>
      <c r="J87" s="15">
        <f>IFERROR(SUMIF(商品库存!B:B,B87,商品库存!J:J),0)</f>
        <v>0</v>
      </c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15" hidden="1" customHeight="1" spans="1:20">
      <c r="A88" s="14"/>
      <c r="B88" s="14"/>
      <c r="C88" s="15"/>
      <c r="D88" s="15" t="str">
        <f>IF(B88&lt;&gt;"",SUMIF(出库明细!C:C,B88,出库明细!G:G),"")</f>
        <v/>
      </c>
      <c r="E88" s="15" t="str">
        <f t="shared" si="8"/>
        <v/>
      </c>
      <c r="F88" s="15" t="str">
        <f>IF(B88&lt;&gt;"",SUMIF(收付款明细!C:C,B88,收付款明细!D:D),"")</f>
        <v/>
      </c>
      <c r="G88" s="15" t="str">
        <f t="shared" si="9"/>
        <v/>
      </c>
      <c r="H88" s="14" t="str">
        <f t="shared" si="7"/>
        <v/>
      </c>
      <c r="I88" s="15">
        <f>IFERROR(SUMIF(商品库存!B:B,B88,商品库存!I:I),0)</f>
        <v>0</v>
      </c>
      <c r="J88" s="15">
        <f>IFERROR(SUMIF(商品库存!B:B,B88,商品库存!J:J),0)</f>
        <v>0</v>
      </c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15" hidden="1" customHeight="1" spans="1:20">
      <c r="A89" s="14"/>
      <c r="B89" s="14"/>
      <c r="C89" s="15"/>
      <c r="D89" s="15" t="str">
        <f>IF(B89&lt;&gt;"",SUMIF(出库明细!C:C,B89,出库明细!G:G),"")</f>
        <v/>
      </c>
      <c r="E89" s="15" t="str">
        <f t="shared" si="8"/>
        <v/>
      </c>
      <c r="F89" s="15" t="str">
        <f>IF(B89&lt;&gt;"",SUMIF(收付款明细!C:C,B89,收付款明细!D:D),"")</f>
        <v/>
      </c>
      <c r="G89" s="15" t="str">
        <f t="shared" si="9"/>
        <v/>
      </c>
      <c r="H89" s="14" t="str">
        <f t="shared" si="7"/>
        <v/>
      </c>
      <c r="I89" s="15">
        <f>IFERROR(SUMIF(商品库存!B:B,B89,商品库存!I:I),0)</f>
        <v>0</v>
      </c>
      <c r="J89" s="15">
        <f>IFERROR(SUMIF(商品库存!B:B,B89,商品库存!J:J),0)</f>
        <v>0</v>
      </c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15" hidden="1" customHeight="1" spans="1:20">
      <c r="A90" s="14"/>
      <c r="B90" s="14"/>
      <c r="C90" s="15"/>
      <c r="D90" s="15" t="str">
        <f>IF(B90&lt;&gt;"",SUMIF(出库明细!C:C,B90,出库明细!G:G),"")</f>
        <v/>
      </c>
      <c r="E90" s="15" t="str">
        <f t="shared" si="8"/>
        <v/>
      </c>
      <c r="F90" s="15" t="str">
        <f>IF(B90&lt;&gt;"",SUMIF(收付款明细!C:C,B90,收付款明细!D:D),"")</f>
        <v/>
      </c>
      <c r="G90" s="15" t="str">
        <f t="shared" si="9"/>
        <v/>
      </c>
      <c r="H90" s="14" t="str">
        <f t="shared" si="7"/>
        <v/>
      </c>
      <c r="I90" s="15">
        <f>IFERROR(SUMIF(商品库存!B:B,B90,商品库存!I:I),0)</f>
        <v>0</v>
      </c>
      <c r="J90" s="15">
        <f>IFERROR(SUMIF(商品库存!B:B,B90,商品库存!J:J),0)</f>
        <v>0</v>
      </c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15" hidden="1" customHeight="1" spans="1:20">
      <c r="A91" s="14"/>
      <c r="B91" s="14"/>
      <c r="C91" s="15"/>
      <c r="D91" s="15" t="str">
        <f>IF(B91&lt;&gt;"",SUMIF(出库明细!C:C,B91,出库明细!G:G),"")</f>
        <v/>
      </c>
      <c r="E91" s="15" t="str">
        <f t="shared" si="8"/>
        <v/>
      </c>
      <c r="F91" s="15" t="str">
        <f>IF(B91&lt;&gt;"",SUMIF(收付款明细!C:C,B91,收付款明细!D:D),"")</f>
        <v/>
      </c>
      <c r="G91" s="15" t="str">
        <f t="shared" si="9"/>
        <v/>
      </c>
      <c r="H91" s="14" t="str">
        <f t="shared" si="7"/>
        <v/>
      </c>
      <c r="I91" s="15">
        <f>IFERROR(SUMIF(商品库存!B:B,B91,商品库存!I:I),0)</f>
        <v>0</v>
      </c>
      <c r="J91" s="15">
        <f>IFERROR(SUMIF(商品库存!B:B,B91,商品库存!J:J),0)</f>
        <v>0</v>
      </c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15" hidden="1" customHeight="1" spans="1:20">
      <c r="A92" s="14"/>
      <c r="B92" s="14"/>
      <c r="C92" s="15"/>
      <c r="D92" s="15" t="str">
        <f>IF(B92&lt;&gt;"",SUMIF(出库明细!C:C,B92,出库明细!G:G),"")</f>
        <v/>
      </c>
      <c r="E92" s="15" t="str">
        <f t="shared" si="8"/>
        <v/>
      </c>
      <c r="F92" s="15" t="str">
        <f>IF(B92&lt;&gt;"",SUMIF(收付款明细!C:C,B92,收付款明细!D:D),"")</f>
        <v/>
      </c>
      <c r="G92" s="15" t="str">
        <f t="shared" si="9"/>
        <v/>
      </c>
      <c r="H92" s="14" t="str">
        <f t="shared" si="7"/>
        <v/>
      </c>
      <c r="I92" s="15">
        <f>IFERROR(SUMIF(商品库存!B:B,B92,商品库存!I:I),0)</f>
        <v>0</v>
      </c>
      <c r="J92" s="15">
        <f>IFERROR(SUMIF(商品库存!B:B,B92,商品库存!J:J),0)</f>
        <v>0</v>
      </c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15" hidden="1" customHeight="1" spans="1:20">
      <c r="A93" s="14"/>
      <c r="B93" s="14"/>
      <c r="C93" s="15"/>
      <c r="D93" s="15" t="str">
        <f>IF(B93&lt;&gt;"",SUMIF(出库明细!C:C,B93,出库明细!G:G),"")</f>
        <v/>
      </c>
      <c r="E93" s="15" t="str">
        <f t="shared" si="8"/>
        <v/>
      </c>
      <c r="F93" s="15" t="str">
        <f>IF(B93&lt;&gt;"",SUMIF(收付款明细!C:C,B93,收付款明细!D:D),"")</f>
        <v/>
      </c>
      <c r="G93" s="15" t="str">
        <f t="shared" si="9"/>
        <v/>
      </c>
      <c r="H93" s="14" t="str">
        <f t="shared" si="7"/>
        <v/>
      </c>
      <c r="I93" s="15">
        <f>IFERROR(SUMIF(商品库存!B:B,B93,商品库存!I:I),0)</f>
        <v>0</v>
      </c>
      <c r="J93" s="15">
        <f>IFERROR(SUMIF(商品库存!B:B,B93,商品库存!J:J),0)</f>
        <v>0</v>
      </c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15" hidden="1" customHeight="1" spans="1:20">
      <c r="A94" s="14"/>
      <c r="B94" s="14"/>
      <c r="C94" s="15"/>
      <c r="D94" s="15" t="str">
        <f>IF(B94&lt;&gt;"",SUMIF(出库明细!C:C,B94,出库明细!G:G),"")</f>
        <v/>
      </c>
      <c r="E94" s="15" t="str">
        <f t="shared" si="8"/>
        <v/>
      </c>
      <c r="F94" s="15" t="str">
        <f>IF(B94&lt;&gt;"",SUMIF(收付款明细!C:C,B94,收付款明细!D:D),"")</f>
        <v/>
      </c>
      <c r="G94" s="15" t="str">
        <f t="shared" si="9"/>
        <v/>
      </c>
      <c r="H94" s="14" t="str">
        <f t="shared" si="7"/>
        <v/>
      </c>
      <c r="I94" s="15">
        <f>IFERROR(SUMIF(商品库存!B:B,B94,商品库存!I:I),0)</f>
        <v>0</v>
      </c>
      <c r="J94" s="15">
        <f>IFERROR(SUMIF(商品库存!B:B,B94,商品库存!J:J),0)</f>
        <v>0</v>
      </c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15" hidden="1" customHeight="1" spans="1:20">
      <c r="A95" s="14"/>
      <c r="B95" s="14"/>
      <c r="C95" s="15"/>
      <c r="D95" s="15" t="str">
        <f>IF(B95&lt;&gt;"",SUMIF(出库明细!C:C,B95,出库明细!G:G),"")</f>
        <v/>
      </c>
      <c r="E95" s="15" t="str">
        <f t="shared" si="8"/>
        <v/>
      </c>
      <c r="F95" s="15" t="str">
        <f>IF(B95&lt;&gt;"",SUMIF(收付款明细!C:C,B95,收付款明细!D:D),"")</f>
        <v/>
      </c>
      <c r="G95" s="15" t="str">
        <f t="shared" si="9"/>
        <v/>
      </c>
      <c r="H95" s="14" t="str">
        <f t="shared" si="7"/>
        <v/>
      </c>
      <c r="I95" s="15">
        <f>IFERROR(SUMIF(商品库存!B:B,B95,商品库存!I:I),0)</f>
        <v>0</v>
      </c>
      <c r="J95" s="15">
        <f>IFERROR(SUMIF(商品库存!B:B,B95,商品库存!J:J),0)</f>
        <v>0</v>
      </c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15" hidden="1" customHeight="1" spans="1:20">
      <c r="A96" s="14"/>
      <c r="B96" s="14"/>
      <c r="C96" s="15"/>
      <c r="D96" s="15" t="str">
        <f>IF(B96&lt;&gt;"",SUMIF(出库明细!C:C,B96,出库明细!G:G),"")</f>
        <v/>
      </c>
      <c r="E96" s="15" t="str">
        <f t="shared" si="8"/>
        <v/>
      </c>
      <c r="F96" s="15" t="str">
        <f>IF(B96&lt;&gt;"",SUMIF(收付款明细!C:C,B96,收付款明细!D:D),"")</f>
        <v/>
      </c>
      <c r="G96" s="15" t="str">
        <f t="shared" si="9"/>
        <v/>
      </c>
      <c r="H96" s="14" t="str">
        <f t="shared" si="7"/>
        <v/>
      </c>
      <c r="I96" s="15">
        <f>IFERROR(SUMIF(商品库存!B:B,B96,商品库存!I:I),0)</f>
        <v>0</v>
      </c>
      <c r="J96" s="15">
        <f>IFERROR(SUMIF(商品库存!B:B,B96,商品库存!J:J),0)</f>
        <v>0</v>
      </c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15" hidden="1" customHeight="1" spans="1:20">
      <c r="A97" s="14"/>
      <c r="B97" s="14"/>
      <c r="C97" s="15"/>
      <c r="D97" s="15" t="str">
        <f>IF(B97&lt;&gt;"",SUMIF(出库明细!C:C,B97,出库明细!G:G),"")</f>
        <v/>
      </c>
      <c r="E97" s="15" t="str">
        <f t="shared" si="8"/>
        <v/>
      </c>
      <c r="F97" s="15" t="str">
        <f>IF(B97&lt;&gt;"",SUMIF(收付款明细!C:C,B97,收付款明细!D:D),"")</f>
        <v/>
      </c>
      <c r="G97" s="15" t="str">
        <f t="shared" si="9"/>
        <v/>
      </c>
      <c r="H97" s="14" t="str">
        <f t="shared" si="7"/>
        <v/>
      </c>
      <c r="I97" s="15">
        <f>IFERROR(SUMIF(商品库存!B:B,B97,商品库存!I:I),0)</f>
        <v>0</v>
      </c>
      <c r="J97" s="15">
        <f>IFERROR(SUMIF(商品库存!B:B,B97,商品库存!J:J),0)</f>
        <v>0</v>
      </c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15" hidden="1" customHeight="1" spans="1:20">
      <c r="A98" s="14"/>
      <c r="B98" s="14"/>
      <c r="C98" s="15"/>
      <c r="D98" s="15" t="str">
        <f>IF(B98&lt;&gt;"",SUMIF(出库明细!C:C,B98,出库明细!G:G),"")</f>
        <v/>
      </c>
      <c r="E98" s="15" t="str">
        <f t="shared" si="8"/>
        <v/>
      </c>
      <c r="F98" s="15" t="str">
        <f>IF(B98&lt;&gt;"",SUMIF(收付款明细!C:C,B98,收付款明细!D:D),"")</f>
        <v/>
      </c>
      <c r="G98" s="15" t="str">
        <f t="shared" si="9"/>
        <v/>
      </c>
      <c r="H98" s="14" t="str">
        <f t="shared" si="7"/>
        <v/>
      </c>
      <c r="I98" s="15">
        <f>IFERROR(SUMIF(商品库存!B:B,B98,商品库存!I:I),0)</f>
        <v>0</v>
      </c>
      <c r="J98" s="15">
        <f>IFERROR(SUMIF(商品库存!B:B,B98,商品库存!J:J),0)</f>
        <v>0</v>
      </c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15" hidden="1" customHeight="1" spans="1:20">
      <c r="A99" s="14"/>
      <c r="B99" s="14"/>
      <c r="C99" s="15"/>
      <c r="D99" s="15" t="str">
        <f>IF(B99&lt;&gt;"",SUMIF(出库明细!C:C,B99,出库明细!G:G),"")</f>
        <v/>
      </c>
      <c r="E99" s="15" t="str">
        <f t="shared" si="8"/>
        <v/>
      </c>
      <c r="F99" s="15" t="str">
        <f>IF(B99&lt;&gt;"",SUMIF(收付款明细!C:C,B99,收付款明细!D:D),"")</f>
        <v/>
      </c>
      <c r="G99" s="15" t="str">
        <f t="shared" si="9"/>
        <v/>
      </c>
      <c r="H99" s="14" t="str">
        <f t="shared" si="7"/>
        <v/>
      </c>
      <c r="I99" s="15">
        <f>IFERROR(SUMIF(商品库存!B:B,B99,商品库存!I:I),0)</f>
        <v>0</v>
      </c>
      <c r="J99" s="15">
        <f>IFERROR(SUMIF(商品库存!B:B,B99,商品库存!J:J),0)</f>
        <v>0</v>
      </c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15" hidden="1" customHeight="1" spans="1:20">
      <c r="A100" s="14"/>
      <c r="B100" s="14"/>
      <c r="C100" s="15"/>
      <c r="D100" s="15" t="str">
        <f>IF(B100&lt;&gt;"",SUMIF(出库明细!C:C,B100,出库明细!G:G),"")</f>
        <v/>
      </c>
      <c r="E100" s="15" t="str">
        <f t="shared" si="8"/>
        <v/>
      </c>
      <c r="F100" s="15" t="str">
        <f>IF(B100&lt;&gt;"",SUMIF(收付款明细!C:C,B100,收付款明细!D:D),"")</f>
        <v/>
      </c>
      <c r="G100" s="15" t="str">
        <f t="shared" si="9"/>
        <v/>
      </c>
      <c r="H100" s="14" t="str">
        <f t="shared" si="7"/>
        <v/>
      </c>
      <c r="I100" s="15">
        <f>IFERROR(SUMIF(商品库存!B:B,B100,商品库存!I:I),0)</f>
        <v>0</v>
      </c>
      <c r="J100" s="15">
        <f>IFERROR(SUMIF(商品库存!B:B,B100,商品库存!J:J),0)</f>
        <v>0</v>
      </c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15" hidden="1" customHeight="1" spans="1:20">
      <c r="A101" s="14"/>
      <c r="B101" s="14"/>
      <c r="C101" s="15"/>
      <c r="D101" s="15" t="str">
        <f>IF(B101&lt;&gt;"",SUMIF(出库明细!C:C,B101,出库明细!G:G),"")</f>
        <v/>
      </c>
      <c r="E101" s="15" t="str">
        <f t="shared" si="8"/>
        <v/>
      </c>
      <c r="F101" s="15" t="str">
        <f>IF(B101&lt;&gt;"",SUMIF(收付款明细!C:C,B101,收付款明细!D:D),"")</f>
        <v/>
      </c>
      <c r="G101" s="15" t="str">
        <f t="shared" si="9"/>
        <v/>
      </c>
      <c r="H101" s="14" t="str">
        <f t="shared" si="7"/>
        <v/>
      </c>
      <c r="I101" s="15">
        <f>IFERROR(SUMIF(商品库存!B:B,B101,商品库存!I:I),0)</f>
        <v>0</v>
      </c>
      <c r="J101" s="15">
        <f>IFERROR(SUMIF(商品库存!B:B,B101,商品库存!J:J),0)</f>
        <v>0</v>
      </c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15" hidden="1" customHeight="1" spans="1:20">
      <c r="A102" s="14"/>
      <c r="B102" s="14"/>
      <c r="C102" s="15"/>
      <c r="D102" s="15" t="str">
        <f>IF(B102&lt;&gt;"",SUMIF(出库明细!C:C,B102,出库明细!G:G),"")</f>
        <v/>
      </c>
      <c r="E102" s="15" t="str">
        <f t="shared" si="8"/>
        <v/>
      </c>
      <c r="F102" s="15" t="str">
        <f>IF(B102&lt;&gt;"",SUMIF(收付款明细!C:C,B102,收付款明细!D:D),"")</f>
        <v/>
      </c>
      <c r="G102" s="15" t="str">
        <f t="shared" si="9"/>
        <v/>
      </c>
      <c r="H102" s="14" t="str">
        <f t="shared" si="7"/>
        <v/>
      </c>
      <c r="I102" s="15">
        <f>IFERROR(SUMIF(商品库存!B:B,B102,商品库存!I:I),0)</f>
        <v>0</v>
      </c>
      <c r="J102" s="15">
        <f>IFERROR(SUMIF(商品库存!B:B,B102,商品库存!J:J),0)</f>
        <v>0</v>
      </c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15" hidden="1" customHeight="1" spans="1:20">
      <c r="A103" s="14"/>
      <c r="B103" s="14"/>
      <c r="C103" s="15"/>
      <c r="D103" s="15" t="str">
        <f>IF(B103&lt;&gt;"",SUMIF(出库明细!C:C,B103,出库明细!G:G),"")</f>
        <v/>
      </c>
      <c r="E103" s="15" t="str">
        <f t="shared" si="8"/>
        <v/>
      </c>
      <c r="F103" s="15" t="str">
        <f>IF(B103&lt;&gt;"",SUMIF(收付款明细!C:C,B103,收付款明细!D:D),"")</f>
        <v/>
      </c>
      <c r="G103" s="15" t="str">
        <f t="shared" si="9"/>
        <v/>
      </c>
      <c r="H103" s="14" t="str">
        <f t="shared" si="7"/>
        <v/>
      </c>
      <c r="I103" s="15">
        <f>IFERROR(SUMIF(商品库存!B:B,B103,商品库存!I:I),0)</f>
        <v>0</v>
      </c>
      <c r="J103" s="15">
        <f>IFERROR(SUMIF(商品库存!B:B,B103,商品库存!J:J),0)</f>
        <v>0</v>
      </c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15" hidden="1" customHeight="1" spans="1:20">
      <c r="A104" s="14"/>
      <c r="B104" s="14"/>
      <c r="C104" s="15"/>
      <c r="D104" s="15" t="str">
        <f>IF(B104&lt;&gt;"",SUMIF(出库明细!C:C,B104,出库明细!G:G),"")</f>
        <v/>
      </c>
      <c r="E104" s="15" t="str">
        <f t="shared" si="8"/>
        <v/>
      </c>
      <c r="F104" s="15" t="str">
        <f>IF(B104&lt;&gt;"",SUMIF(收付款明细!C:C,B104,收付款明细!D:D),"")</f>
        <v/>
      </c>
      <c r="G104" s="15" t="str">
        <f t="shared" si="9"/>
        <v/>
      </c>
      <c r="H104" s="14" t="str">
        <f t="shared" si="7"/>
        <v/>
      </c>
      <c r="I104" s="15">
        <f>IFERROR(SUMIF(商品库存!B:B,B104,商品库存!I:I),0)</f>
        <v>0</v>
      </c>
      <c r="J104" s="15">
        <f>IFERROR(SUMIF(商品库存!B:B,B104,商品库存!J:J),0)</f>
        <v>0</v>
      </c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ht="15" hidden="1" customHeight="1" spans="1:20">
      <c r="A105" s="14"/>
      <c r="B105" s="14"/>
      <c r="C105" s="15"/>
      <c r="D105" s="15" t="str">
        <f>IF(B105&lt;&gt;"",SUMIF(出库明细!C:C,B105,出库明细!G:G),"")</f>
        <v/>
      </c>
      <c r="E105" s="15" t="str">
        <f t="shared" si="8"/>
        <v/>
      </c>
      <c r="F105" s="15" t="str">
        <f>IF(B105&lt;&gt;"",SUMIF(收付款明细!C:C,B105,收付款明细!D:D),"")</f>
        <v/>
      </c>
      <c r="G105" s="15" t="str">
        <f t="shared" si="9"/>
        <v/>
      </c>
      <c r="H105" s="14" t="str">
        <f t="shared" ref="H105:H154" si="10">IF(B105="","",IF(G105=0,"已结清",IF(G105&gt;0,"有欠款","预存款")))</f>
        <v/>
      </c>
      <c r="I105" s="15">
        <f>IFERROR(SUMIF(商品库存!B:B,B105,商品库存!I:I),0)</f>
        <v>0</v>
      </c>
      <c r="J105" s="15">
        <f>IFERROR(SUMIF(商品库存!B:B,B105,商品库存!J:J),0)</f>
        <v>0</v>
      </c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ht="15" hidden="1" customHeight="1" spans="1:20">
      <c r="A106" s="14"/>
      <c r="B106" s="14"/>
      <c r="C106" s="15"/>
      <c r="D106" s="15" t="str">
        <f>IF(B106&lt;&gt;"",SUMIF(出库明细!C:C,B106,出库明细!G:G),"")</f>
        <v/>
      </c>
      <c r="E106" s="15" t="str">
        <f t="shared" si="8"/>
        <v/>
      </c>
      <c r="F106" s="15" t="str">
        <f>IF(B106&lt;&gt;"",SUMIF(收付款明细!C:C,B106,收付款明细!D:D),"")</f>
        <v/>
      </c>
      <c r="G106" s="15" t="str">
        <f t="shared" si="9"/>
        <v/>
      </c>
      <c r="H106" s="14" t="str">
        <f t="shared" si="10"/>
        <v/>
      </c>
      <c r="I106" s="15">
        <f>IFERROR(SUMIF(商品库存!B:B,B106,商品库存!I:I),0)</f>
        <v>0</v>
      </c>
      <c r="J106" s="15">
        <f>IFERROR(SUMIF(商品库存!B:B,B106,商品库存!J:J),0)</f>
        <v>0</v>
      </c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ht="15" hidden="1" customHeight="1" spans="1:20">
      <c r="A107" s="14"/>
      <c r="B107" s="14"/>
      <c r="C107" s="15"/>
      <c r="D107" s="15" t="str">
        <f>IF(B107&lt;&gt;"",SUMIF(出库明细!C:C,B107,出库明细!G:G),"")</f>
        <v/>
      </c>
      <c r="E107" s="15" t="str">
        <f t="shared" si="8"/>
        <v/>
      </c>
      <c r="F107" s="15" t="str">
        <f>IF(B107&lt;&gt;"",SUMIF(收付款明细!C:C,B107,收付款明细!D:D),"")</f>
        <v/>
      </c>
      <c r="G107" s="15" t="str">
        <f t="shared" si="9"/>
        <v/>
      </c>
      <c r="H107" s="14" t="str">
        <f t="shared" si="10"/>
        <v/>
      </c>
      <c r="I107" s="15">
        <f>IFERROR(SUMIF(商品库存!B:B,B107,商品库存!I:I),0)</f>
        <v>0</v>
      </c>
      <c r="J107" s="15">
        <f>IFERROR(SUMIF(商品库存!B:B,B107,商品库存!J:J),0)</f>
        <v>0</v>
      </c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ht="15" hidden="1" customHeight="1" spans="1:20">
      <c r="A108" s="14"/>
      <c r="B108" s="14"/>
      <c r="C108" s="15"/>
      <c r="D108" s="15" t="str">
        <f>IF(B108&lt;&gt;"",SUMIF(出库明细!C:C,B108,出库明细!G:G),"")</f>
        <v/>
      </c>
      <c r="E108" s="15" t="str">
        <f t="shared" si="8"/>
        <v/>
      </c>
      <c r="F108" s="15" t="str">
        <f>IF(B108&lt;&gt;"",SUMIF(收付款明细!C:C,B108,收付款明细!D:D),"")</f>
        <v/>
      </c>
      <c r="G108" s="15" t="str">
        <f t="shared" si="9"/>
        <v/>
      </c>
      <c r="H108" s="14" t="str">
        <f t="shared" si="10"/>
        <v/>
      </c>
      <c r="I108" s="15">
        <f>IFERROR(SUMIF(商品库存!B:B,B108,商品库存!I:I),0)</f>
        <v>0</v>
      </c>
      <c r="J108" s="15">
        <f>IFERROR(SUMIF(商品库存!B:B,B108,商品库存!J:J),0)</f>
        <v>0</v>
      </c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ht="15" hidden="1" customHeight="1" spans="1:20">
      <c r="A109" s="14"/>
      <c r="B109" s="14"/>
      <c r="C109" s="15"/>
      <c r="D109" s="15" t="str">
        <f>IF(B109&lt;&gt;"",SUMIF(出库明细!C:C,B109,出库明细!G:G),"")</f>
        <v/>
      </c>
      <c r="E109" s="15" t="str">
        <f t="shared" si="8"/>
        <v/>
      </c>
      <c r="F109" s="15" t="str">
        <f>IF(B109&lt;&gt;"",SUMIF(收付款明细!C:C,B109,收付款明细!D:D),"")</f>
        <v/>
      </c>
      <c r="G109" s="15" t="str">
        <f t="shared" si="9"/>
        <v/>
      </c>
      <c r="H109" s="14" t="str">
        <f t="shared" si="10"/>
        <v/>
      </c>
      <c r="I109" s="15">
        <f>IFERROR(SUMIF(商品库存!B:B,B109,商品库存!I:I),0)</f>
        <v>0</v>
      </c>
      <c r="J109" s="15">
        <f>IFERROR(SUMIF(商品库存!B:B,B109,商品库存!J:J),0)</f>
        <v>0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ht="15" hidden="1" customHeight="1" spans="1:20">
      <c r="A110" s="14"/>
      <c r="B110" s="14"/>
      <c r="C110" s="15"/>
      <c r="D110" s="15" t="str">
        <f>IF(B110&lt;&gt;"",SUMIF(出库明细!C:C,B110,出库明细!G:G),"")</f>
        <v/>
      </c>
      <c r="E110" s="15" t="str">
        <f t="shared" si="8"/>
        <v/>
      </c>
      <c r="F110" s="15" t="str">
        <f>IF(B110&lt;&gt;"",SUMIF(收付款明细!C:C,B110,收付款明细!D:D),"")</f>
        <v/>
      </c>
      <c r="G110" s="15" t="str">
        <f t="shared" si="9"/>
        <v/>
      </c>
      <c r="H110" s="14" t="str">
        <f t="shared" si="10"/>
        <v/>
      </c>
      <c r="I110" s="15">
        <f>IFERROR(SUMIF(商品库存!B:B,B110,商品库存!I:I),0)</f>
        <v>0</v>
      </c>
      <c r="J110" s="15">
        <f>IFERROR(SUMIF(商品库存!B:B,B110,商品库存!J:J),0)</f>
        <v>0</v>
      </c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ht="15" hidden="1" customHeight="1" spans="1:20">
      <c r="A111" s="14"/>
      <c r="B111" s="14"/>
      <c r="C111" s="15"/>
      <c r="D111" s="15" t="str">
        <f>IF(B111&lt;&gt;"",SUMIF(出库明细!C:C,B111,出库明细!G:G),"")</f>
        <v/>
      </c>
      <c r="E111" s="15" t="str">
        <f t="shared" si="8"/>
        <v/>
      </c>
      <c r="F111" s="15" t="str">
        <f>IF(B111&lt;&gt;"",SUMIF(收付款明细!C:C,B111,收付款明细!D:D),"")</f>
        <v/>
      </c>
      <c r="G111" s="15" t="str">
        <f t="shared" si="9"/>
        <v/>
      </c>
      <c r="H111" s="14" t="str">
        <f t="shared" si="10"/>
        <v/>
      </c>
      <c r="I111" s="15">
        <f>IFERROR(SUMIF(商品库存!B:B,B111,商品库存!I:I),0)</f>
        <v>0</v>
      </c>
      <c r="J111" s="15">
        <f>IFERROR(SUMIF(商品库存!B:B,B111,商品库存!J:J),0)</f>
        <v>0</v>
      </c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ht="15" hidden="1" customHeight="1" spans="1:20">
      <c r="A112" s="14"/>
      <c r="B112" s="14"/>
      <c r="C112" s="15"/>
      <c r="D112" s="15" t="str">
        <f>IF(B112&lt;&gt;"",SUMIF(出库明细!C:C,B112,出库明细!G:G),"")</f>
        <v/>
      </c>
      <c r="E112" s="15" t="str">
        <f t="shared" si="8"/>
        <v/>
      </c>
      <c r="F112" s="15" t="str">
        <f>IF(B112&lt;&gt;"",SUMIF(收付款明细!C:C,B112,收付款明细!D:D),"")</f>
        <v/>
      </c>
      <c r="G112" s="15" t="str">
        <f t="shared" si="9"/>
        <v/>
      </c>
      <c r="H112" s="14" t="str">
        <f t="shared" si="10"/>
        <v/>
      </c>
      <c r="I112" s="15">
        <f>IFERROR(SUMIF(商品库存!B:B,B112,商品库存!I:I),0)</f>
        <v>0</v>
      </c>
      <c r="J112" s="15">
        <f>IFERROR(SUMIF(商品库存!B:B,B112,商品库存!J:J),0)</f>
        <v>0</v>
      </c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ht="15" hidden="1" customHeight="1" spans="1:20">
      <c r="A113" s="14"/>
      <c r="B113" s="14"/>
      <c r="C113" s="15"/>
      <c r="D113" s="15" t="str">
        <f>IF(B113&lt;&gt;"",SUMIF(出库明细!C:C,B113,出库明细!G:G),"")</f>
        <v/>
      </c>
      <c r="E113" s="15" t="str">
        <f t="shared" si="8"/>
        <v/>
      </c>
      <c r="F113" s="15" t="str">
        <f>IF(B113&lt;&gt;"",SUMIF(收付款明细!C:C,B113,收付款明细!D:D),"")</f>
        <v/>
      </c>
      <c r="G113" s="15" t="str">
        <f t="shared" si="9"/>
        <v/>
      </c>
      <c r="H113" s="14" t="str">
        <f t="shared" si="10"/>
        <v/>
      </c>
      <c r="I113" s="15">
        <f>IFERROR(SUMIF(商品库存!B:B,B113,商品库存!I:I),0)</f>
        <v>0</v>
      </c>
      <c r="J113" s="15">
        <f>IFERROR(SUMIF(商品库存!B:B,B113,商品库存!J:J),0)</f>
        <v>0</v>
      </c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ht="15" hidden="1" customHeight="1" spans="1:20">
      <c r="A114" s="14"/>
      <c r="B114" s="14"/>
      <c r="C114" s="15"/>
      <c r="D114" s="15" t="str">
        <f>IF(B114&lt;&gt;"",SUMIF(出库明细!C:C,B114,出库明细!G:G),"")</f>
        <v/>
      </c>
      <c r="E114" s="15" t="str">
        <f t="shared" si="8"/>
        <v/>
      </c>
      <c r="F114" s="15" t="str">
        <f>IF(B114&lt;&gt;"",SUMIF(收付款明细!C:C,B114,收付款明细!D:D),"")</f>
        <v/>
      </c>
      <c r="G114" s="15" t="str">
        <f t="shared" si="9"/>
        <v/>
      </c>
      <c r="H114" s="14" t="str">
        <f t="shared" si="10"/>
        <v/>
      </c>
      <c r="I114" s="15">
        <f>IFERROR(SUMIF(商品库存!B:B,B114,商品库存!I:I),0)</f>
        <v>0</v>
      </c>
      <c r="J114" s="15">
        <f>IFERROR(SUMIF(商品库存!B:B,B114,商品库存!J:J),0)</f>
        <v>0</v>
      </c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ht="15" hidden="1" customHeight="1" spans="1:20">
      <c r="A115" s="14"/>
      <c r="B115" s="14"/>
      <c r="C115" s="15"/>
      <c r="D115" s="15" t="str">
        <f>IF(B115&lt;&gt;"",SUMIF(出库明细!C:C,B115,出库明细!G:G),"")</f>
        <v/>
      </c>
      <c r="E115" s="15" t="str">
        <f t="shared" si="8"/>
        <v/>
      </c>
      <c r="F115" s="15" t="str">
        <f>IF(B115&lt;&gt;"",SUMIF(收付款明细!C:C,B115,收付款明细!D:D),"")</f>
        <v/>
      </c>
      <c r="G115" s="15" t="str">
        <f t="shared" si="9"/>
        <v/>
      </c>
      <c r="H115" s="14" t="str">
        <f t="shared" si="10"/>
        <v/>
      </c>
      <c r="I115" s="15">
        <f>IFERROR(SUMIF(商品库存!B:B,B115,商品库存!I:I),0)</f>
        <v>0</v>
      </c>
      <c r="J115" s="15">
        <f>IFERROR(SUMIF(商品库存!B:B,B115,商品库存!J:J),0)</f>
        <v>0</v>
      </c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ht="15" hidden="1" customHeight="1" spans="1:20">
      <c r="A116" s="14"/>
      <c r="B116" s="14"/>
      <c r="C116" s="15"/>
      <c r="D116" s="15" t="str">
        <f>IF(B116&lt;&gt;"",SUMIF(出库明细!C:C,B116,出库明细!G:G),"")</f>
        <v/>
      </c>
      <c r="E116" s="15" t="str">
        <f t="shared" si="8"/>
        <v/>
      </c>
      <c r="F116" s="15" t="str">
        <f>IF(B116&lt;&gt;"",SUMIF(收付款明细!C:C,B116,收付款明细!D:D),"")</f>
        <v/>
      </c>
      <c r="G116" s="15" t="str">
        <f t="shared" si="9"/>
        <v/>
      </c>
      <c r="H116" s="14" t="str">
        <f t="shared" si="10"/>
        <v/>
      </c>
      <c r="I116" s="15">
        <f>IFERROR(SUMIF(商品库存!B:B,B116,商品库存!I:I),0)</f>
        <v>0</v>
      </c>
      <c r="J116" s="15">
        <f>IFERROR(SUMIF(商品库存!B:B,B116,商品库存!J:J),0)</f>
        <v>0</v>
      </c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ht="15" hidden="1" customHeight="1" spans="1:20">
      <c r="A117" s="14"/>
      <c r="B117" s="14"/>
      <c r="C117" s="15"/>
      <c r="D117" s="15" t="str">
        <f>IF(B117&lt;&gt;"",SUMIF(出库明细!C:C,B117,出库明细!G:G),"")</f>
        <v/>
      </c>
      <c r="E117" s="15" t="str">
        <f t="shared" si="8"/>
        <v/>
      </c>
      <c r="F117" s="15" t="str">
        <f>IF(B117&lt;&gt;"",SUMIF(收付款明细!C:C,B117,收付款明细!D:D),"")</f>
        <v/>
      </c>
      <c r="G117" s="15" t="str">
        <f t="shared" si="9"/>
        <v/>
      </c>
      <c r="H117" s="14" t="str">
        <f t="shared" si="10"/>
        <v/>
      </c>
      <c r="I117" s="15">
        <f>IFERROR(SUMIF(商品库存!B:B,B117,商品库存!I:I),0)</f>
        <v>0</v>
      </c>
      <c r="J117" s="15">
        <f>IFERROR(SUMIF(商品库存!B:B,B117,商品库存!J:J),0)</f>
        <v>0</v>
      </c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ht="15" hidden="1" customHeight="1" spans="1:20">
      <c r="A118" s="14"/>
      <c r="B118" s="14"/>
      <c r="C118" s="15"/>
      <c r="D118" s="15" t="str">
        <f>IF(B118&lt;&gt;"",SUMIF(出库明细!C:C,B118,出库明细!G:G),"")</f>
        <v/>
      </c>
      <c r="E118" s="15" t="str">
        <f t="shared" si="8"/>
        <v/>
      </c>
      <c r="F118" s="15" t="str">
        <f>IF(B118&lt;&gt;"",SUMIF(收付款明细!C:C,B118,收付款明细!D:D),"")</f>
        <v/>
      </c>
      <c r="G118" s="15" t="str">
        <f t="shared" si="9"/>
        <v/>
      </c>
      <c r="H118" s="14" t="str">
        <f t="shared" si="10"/>
        <v/>
      </c>
      <c r="I118" s="15">
        <f>IFERROR(SUMIF(商品库存!B:B,B118,商品库存!I:I),0)</f>
        <v>0</v>
      </c>
      <c r="J118" s="15">
        <f>IFERROR(SUMIF(商品库存!B:B,B118,商品库存!J:J),0)</f>
        <v>0</v>
      </c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ht="15" hidden="1" customHeight="1" spans="1:20">
      <c r="A119" s="14"/>
      <c r="B119" s="14"/>
      <c r="C119" s="15"/>
      <c r="D119" s="15" t="str">
        <f>IF(B119&lt;&gt;"",SUMIF(出库明细!C:C,B119,出库明细!G:G),"")</f>
        <v/>
      </c>
      <c r="E119" s="15" t="str">
        <f t="shared" si="8"/>
        <v/>
      </c>
      <c r="F119" s="15" t="str">
        <f>IF(B119&lt;&gt;"",SUMIF(收付款明细!C:C,B119,收付款明细!D:D),"")</f>
        <v/>
      </c>
      <c r="G119" s="15" t="str">
        <f t="shared" si="9"/>
        <v/>
      </c>
      <c r="H119" s="14" t="str">
        <f t="shared" si="10"/>
        <v/>
      </c>
      <c r="I119" s="15">
        <f>IFERROR(SUMIF(商品库存!B:B,B119,商品库存!I:I),0)</f>
        <v>0</v>
      </c>
      <c r="J119" s="15">
        <f>IFERROR(SUMIF(商品库存!B:B,B119,商品库存!J:J),0)</f>
        <v>0</v>
      </c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ht="15" hidden="1" customHeight="1" spans="1:20">
      <c r="A120" s="14"/>
      <c r="B120" s="14"/>
      <c r="C120" s="15"/>
      <c r="D120" s="15" t="str">
        <f>IF(B120&lt;&gt;"",SUMIF(出库明细!C:C,B120,出库明细!G:G),"")</f>
        <v/>
      </c>
      <c r="E120" s="15" t="str">
        <f t="shared" si="8"/>
        <v/>
      </c>
      <c r="F120" s="15" t="str">
        <f>IF(B120&lt;&gt;"",SUMIF(收付款明细!C:C,B120,收付款明细!D:D),"")</f>
        <v/>
      </c>
      <c r="G120" s="15" t="str">
        <f t="shared" si="9"/>
        <v/>
      </c>
      <c r="H120" s="14" t="str">
        <f t="shared" si="10"/>
        <v/>
      </c>
      <c r="I120" s="15">
        <f>IFERROR(SUMIF(商品库存!B:B,B120,商品库存!I:I),0)</f>
        <v>0</v>
      </c>
      <c r="J120" s="15">
        <f>IFERROR(SUMIF(商品库存!B:B,B120,商品库存!J:J),0)</f>
        <v>0</v>
      </c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ht="15" hidden="1" customHeight="1" spans="1:20">
      <c r="A121" s="14"/>
      <c r="B121" s="14"/>
      <c r="C121" s="15"/>
      <c r="D121" s="15" t="str">
        <f>IF(B121&lt;&gt;"",SUMIF(出库明细!C:C,B121,出库明细!G:G),"")</f>
        <v/>
      </c>
      <c r="E121" s="15" t="str">
        <f t="shared" si="8"/>
        <v/>
      </c>
      <c r="F121" s="15" t="str">
        <f>IF(B121&lt;&gt;"",SUMIF(收付款明细!C:C,B121,收付款明细!D:D),"")</f>
        <v/>
      </c>
      <c r="G121" s="15" t="str">
        <f t="shared" si="9"/>
        <v/>
      </c>
      <c r="H121" s="14" t="str">
        <f t="shared" si="10"/>
        <v/>
      </c>
      <c r="I121" s="15">
        <f>IFERROR(SUMIF(商品库存!B:B,B121,商品库存!I:I),0)</f>
        <v>0</v>
      </c>
      <c r="J121" s="15">
        <f>IFERROR(SUMIF(商品库存!B:B,B121,商品库存!J:J),0)</f>
        <v>0</v>
      </c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ht="15" hidden="1" customHeight="1" spans="1:20">
      <c r="A122" s="14"/>
      <c r="B122" s="14"/>
      <c r="C122" s="15"/>
      <c r="D122" s="15" t="str">
        <f>IF(B122&lt;&gt;"",SUMIF(出库明细!C:C,B122,出库明细!G:G),"")</f>
        <v/>
      </c>
      <c r="E122" s="15" t="str">
        <f t="shared" si="8"/>
        <v/>
      </c>
      <c r="F122" s="15" t="str">
        <f>IF(B122&lt;&gt;"",SUMIF(收付款明细!C:C,B122,收付款明细!D:D),"")</f>
        <v/>
      </c>
      <c r="G122" s="15" t="str">
        <f t="shared" si="9"/>
        <v/>
      </c>
      <c r="H122" s="14" t="str">
        <f t="shared" si="10"/>
        <v/>
      </c>
      <c r="I122" s="15">
        <f>IFERROR(SUMIF(商品库存!B:B,B122,商品库存!I:I),0)</f>
        <v>0</v>
      </c>
      <c r="J122" s="15">
        <f>IFERROR(SUMIF(商品库存!B:B,B122,商品库存!J:J),0)</f>
        <v>0</v>
      </c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ht="15" hidden="1" customHeight="1" spans="1:20">
      <c r="A123" s="14"/>
      <c r="B123" s="14"/>
      <c r="C123" s="15"/>
      <c r="D123" s="15" t="str">
        <f>IF(B123&lt;&gt;"",SUMIF(出库明细!C:C,B123,出库明细!G:G),"")</f>
        <v/>
      </c>
      <c r="E123" s="15" t="str">
        <f t="shared" si="8"/>
        <v/>
      </c>
      <c r="F123" s="15" t="str">
        <f>IF(B123&lt;&gt;"",SUMIF(收付款明细!C:C,B123,收付款明细!D:D),"")</f>
        <v/>
      </c>
      <c r="G123" s="15" t="str">
        <f t="shared" si="9"/>
        <v/>
      </c>
      <c r="H123" s="14" t="str">
        <f t="shared" si="10"/>
        <v/>
      </c>
      <c r="I123" s="15">
        <f>IFERROR(SUMIF(商品库存!B:B,B123,商品库存!I:I),0)</f>
        <v>0</v>
      </c>
      <c r="J123" s="15">
        <f>IFERROR(SUMIF(商品库存!B:B,B123,商品库存!J:J),0)</f>
        <v>0</v>
      </c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ht="15" hidden="1" customHeight="1" spans="1:20">
      <c r="A124" s="14"/>
      <c r="B124" s="14"/>
      <c r="C124" s="15"/>
      <c r="D124" s="15" t="str">
        <f>IF(B124&lt;&gt;"",SUMIF(出库明细!C:C,B124,出库明细!G:G),"")</f>
        <v/>
      </c>
      <c r="E124" s="15" t="str">
        <f t="shared" si="8"/>
        <v/>
      </c>
      <c r="F124" s="15" t="str">
        <f>IF(B124&lt;&gt;"",SUMIF(收付款明细!C:C,B124,收付款明细!D:D),"")</f>
        <v/>
      </c>
      <c r="G124" s="15" t="str">
        <f t="shared" si="9"/>
        <v/>
      </c>
      <c r="H124" s="14" t="str">
        <f t="shared" si="10"/>
        <v/>
      </c>
      <c r="I124" s="15">
        <f>IFERROR(SUMIF(商品库存!B:B,B124,商品库存!I:I),0)</f>
        <v>0</v>
      </c>
      <c r="J124" s="15">
        <f>IFERROR(SUMIF(商品库存!B:B,B124,商品库存!J:J),0)</f>
        <v>0</v>
      </c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ht="15" hidden="1" customHeight="1" spans="1:20">
      <c r="A125" s="14"/>
      <c r="B125" s="14"/>
      <c r="C125" s="15"/>
      <c r="D125" s="15" t="str">
        <f>IF(B125&lt;&gt;"",SUMIF(出库明细!C:C,B125,出库明细!G:G),"")</f>
        <v/>
      </c>
      <c r="E125" s="15" t="str">
        <f t="shared" si="8"/>
        <v/>
      </c>
      <c r="F125" s="15" t="str">
        <f>IF(B125&lt;&gt;"",SUMIF(收付款明细!C:C,B125,收付款明细!D:D),"")</f>
        <v/>
      </c>
      <c r="G125" s="15" t="str">
        <f t="shared" si="9"/>
        <v/>
      </c>
      <c r="H125" s="14" t="str">
        <f t="shared" si="10"/>
        <v/>
      </c>
      <c r="I125" s="15">
        <f>IFERROR(SUMIF(商品库存!B:B,B125,商品库存!I:I),0)</f>
        <v>0</v>
      </c>
      <c r="J125" s="15">
        <f>IFERROR(SUMIF(商品库存!B:B,B125,商品库存!J:J),0)</f>
        <v>0</v>
      </c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ht="15" hidden="1" customHeight="1" spans="1:20">
      <c r="A126" s="14"/>
      <c r="B126" s="14"/>
      <c r="C126" s="15"/>
      <c r="D126" s="15" t="str">
        <f>IF(B126&lt;&gt;"",SUMIF(出库明细!C:C,B126,出库明细!G:G),"")</f>
        <v/>
      </c>
      <c r="E126" s="15" t="str">
        <f t="shared" si="8"/>
        <v/>
      </c>
      <c r="F126" s="15" t="str">
        <f>IF(B126&lt;&gt;"",SUMIF(收付款明细!C:C,B126,收付款明细!D:D),"")</f>
        <v/>
      </c>
      <c r="G126" s="15" t="str">
        <f t="shared" si="9"/>
        <v/>
      </c>
      <c r="H126" s="14" t="str">
        <f t="shared" si="10"/>
        <v/>
      </c>
      <c r="I126" s="15">
        <f>IFERROR(SUMIF(商品库存!B:B,B126,商品库存!I:I),0)</f>
        <v>0</v>
      </c>
      <c r="J126" s="15">
        <f>IFERROR(SUMIF(商品库存!B:B,B126,商品库存!J:J),0)</f>
        <v>0</v>
      </c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ht="15" hidden="1" customHeight="1" spans="1:20">
      <c r="A127" s="14"/>
      <c r="B127" s="14"/>
      <c r="C127" s="15"/>
      <c r="D127" s="15" t="str">
        <f>IF(B127&lt;&gt;"",SUMIF(出库明细!C:C,B127,出库明细!G:G),"")</f>
        <v/>
      </c>
      <c r="E127" s="15" t="str">
        <f t="shared" si="8"/>
        <v/>
      </c>
      <c r="F127" s="15" t="str">
        <f>IF(B127&lt;&gt;"",SUMIF(收付款明细!C:C,B127,收付款明细!D:D),"")</f>
        <v/>
      </c>
      <c r="G127" s="15" t="str">
        <f t="shared" si="9"/>
        <v/>
      </c>
      <c r="H127" s="14" t="str">
        <f t="shared" si="10"/>
        <v/>
      </c>
      <c r="I127" s="15">
        <f>IFERROR(SUMIF(商品库存!B:B,B127,商品库存!I:I),0)</f>
        <v>0</v>
      </c>
      <c r="J127" s="15">
        <f>IFERROR(SUMIF(商品库存!B:B,B127,商品库存!J:J),0)</f>
        <v>0</v>
      </c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ht="15" hidden="1" customHeight="1" spans="1:20">
      <c r="A128" s="14"/>
      <c r="B128" s="14"/>
      <c r="C128" s="15"/>
      <c r="D128" s="15" t="str">
        <f>IF(B128&lt;&gt;"",SUMIF(出库明细!C:C,B128,出库明细!G:G),"")</f>
        <v/>
      </c>
      <c r="E128" s="15" t="str">
        <f t="shared" si="8"/>
        <v/>
      </c>
      <c r="F128" s="15" t="str">
        <f>IF(B128&lt;&gt;"",SUMIF(收付款明细!C:C,B128,收付款明细!D:D),"")</f>
        <v/>
      </c>
      <c r="G128" s="15" t="str">
        <f t="shared" si="9"/>
        <v/>
      </c>
      <c r="H128" s="14" t="str">
        <f t="shared" si="10"/>
        <v/>
      </c>
      <c r="I128" s="15">
        <f>IFERROR(SUMIF(商品库存!B:B,B128,商品库存!I:I),0)</f>
        <v>0</v>
      </c>
      <c r="J128" s="15">
        <f>IFERROR(SUMIF(商品库存!B:B,B128,商品库存!J:J),0)</f>
        <v>0</v>
      </c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ht="15" hidden="1" customHeight="1" spans="1:20">
      <c r="A129" s="14"/>
      <c r="B129" s="14"/>
      <c r="C129" s="15"/>
      <c r="D129" s="15" t="str">
        <f>IF(B129&lt;&gt;"",SUMIF(出库明细!C:C,B129,出库明细!G:G),"")</f>
        <v/>
      </c>
      <c r="E129" s="15" t="str">
        <f t="shared" si="8"/>
        <v/>
      </c>
      <c r="F129" s="15" t="str">
        <f>IF(B129&lt;&gt;"",SUMIF(收付款明细!C:C,B129,收付款明细!D:D),"")</f>
        <v/>
      </c>
      <c r="G129" s="15" t="str">
        <f t="shared" si="9"/>
        <v/>
      </c>
      <c r="H129" s="14" t="str">
        <f t="shared" si="10"/>
        <v/>
      </c>
      <c r="I129" s="15">
        <f>IFERROR(SUMIF(商品库存!B:B,B129,商品库存!I:I),0)</f>
        <v>0</v>
      </c>
      <c r="J129" s="15">
        <f>IFERROR(SUMIF(商品库存!B:B,B129,商品库存!J:J),0)</f>
        <v>0</v>
      </c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ht="15" hidden="1" customHeight="1" spans="1:20">
      <c r="A130" s="14"/>
      <c r="B130" s="14"/>
      <c r="C130" s="15"/>
      <c r="D130" s="15" t="str">
        <f>IF(B130&lt;&gt;"",SUMIF(出库明细!C:C,B130,出库明细!G:G),"")</f>
        <v/>
      </c>
      <c r="E130" s="15" t="str">
        <f t="shared" si="8"/>
        <v/>
      </c>
      <c r="F130" s="15" t="str">
        <f>IF(B130&lt;&gt;"",SUMIF(收付款明细!C:C,B130,收付款明细!D:D),"")</f>
        <v/>
      </c>
      <c r="G130" s="15" t="str">
        <f t="shared" si="9"/>
        <v/>
      </c>
      <c r="H130" s="14" t="str">
        <f t="shared" si="10"/>
        <v/>
      </c>
      <c r="I130" s="15">
        <f>IFERROR(SUMIF(商品库存!B:B,B130,商品库存!I:I),0)</f>
        <v>0</v>
      </c>
      <c r="J130" s="15">
        <f>IFERROR(SUMIF(商品库存!B:B,B130,商品库存!J:J),0)</f>
        <v>0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ht="15" hidden="1" customHeight="1" spans="1:20">
      <c r="A131" s="14"/>
      <c r="B131" s="14"/>
      <c r="C131" s="15"/>
      <c r="D131" s="15" t="str">
        <f>IF(B131&lt;&gt;"",SUMIF(出库明细!C:C,B131,出库明细!G:G),"")</f>
        <v/>
      </c>
      <c r="E131" s="15" t="str">
        <f t="shared" si="8"/>
        <v/>
      </c>
      <c r="F131" s="15" t="str">
        <f>IF(B131&lt;&gt;"",SUMIF(收付款明细!C:C,B131,收付款明细!D:D),"")</f>
        <v/>
      </c>
      <c r="G131" s="15" t="str">
        <f t="shared" si="9"/>
        <v/>
      </c>
      <c r="H131" s="14" t="str">
        <f t="shared" si="10"/>
        <v/>
      </c>
      <c r="I131" s="15">
        <f>IFERROR(SUMIF(商品库存!B:B,B131,商品库存!I:I),0)</f>
        <v>0</v>
      </c>
      <c r="J131" s="15">
        <f>IFERROR(SUMIF(商品库存!B:B,B131,商品库存!J:J),0)</f>
        <v>0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ht="15" hidden="1" customHeight="1" spans="1:20">
      <c r="A132" s="14"/>
      <c r="B132" s="14"/>
      <c r="C132" s="15"/>
      <c r="D132" s="15" t="str">
        <f>IF(B132&lt;&gt;"",SUMIF(出库明细!C:C,B132,出库明细!G:G),"")</f>
        <v/>
      </c>
      <c r="E132" s="15" t="str">
        <f t="shared" si="8"/>
        <v/>
      </c>
      <c r="F132" s="15" t="str">
        <f>IF(B132&lt;&gt;"",SUMIF(收付款明细!C:C,B132,收付款明细!D:D),"")</f>
        <v/>
      </c>
      <c r="G132" s="15" t="str">
        <f t="shared" si="9"/>
        <v/>
      </c>
      <c r="H132" s="14" t="str">
        <f t="shared" si="10"/>
        <v/>
      </c>
      <c r="I132" s="15">
        <f>IFERROR(SUMIF(商品库存!B:B,B132,商品库存!I:I),0)</f>
        <v>0</v>
      </c>
      <c r="J132" s="15">
        <f>IFERROR(SUMIF(商品库存!B:B,B132,商品库存!J:J),0)</f>
        <v>0</v>
      </c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ht="15" hidden="1" customHeight="1" spans="1:20">
      <c r="A133" s="14"/>
      <c r="B133" s="14"/>
      <c r="C133" s="15"/>
      <c r="D133" s="15" t="str">
        <f>IF(B133&lt;&gt;"",SUMIF(出库明细!C:C,B133,出库明细!G:G),"")</f>
        <v/>
      </c>
      <c r="E133" s="15" t="str">
        <f t="shared" si="8"/>
        <v/>
      </c>
      <c r="F133" s="15" t="str">
        <f>IF(B133&lt;&gt;"",SUMIF(收付款明细!C:C,B133,收付款明细!D:D),"")</f>
        <v/>
      </c>
      <c r="G133" s="15" t="str">
        <f t="shared" si="9"/>
        <v/>
      </c>
      <c r="H133" s="14" t="str">
        <f t="shared" si="10"/>
        <v/>
      </c>
      <c r="I133" s="15">
        <f>IFERROR(SUMIF(商品库存!B:B,B133,商品库存!I:I),0)</f>
        <v>0</v>
      </c>
      <c r="J133" s="15">
        <f>IFERROR(SUMIF(商品库存!B:B,B133,商品库存!J:J),0)</f>
        <v>0</v>
      </c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ht="15" hidden="1" customHeight="1" spans="1:20">
      <c r="A134" s="14"/>
      <c r="B134" s="14"/>
      <c r="C134" s="15"/>
      <c r="D134" s="15" t="str">
        <f>IF(B134&lt;&gt;"",SUMIF(出库明细!C:C,B134,出库明细!G:G),"")</f>
        <v/>
      </c>
      <c r="E134" s="15" t="str">
        <f t="shared" ref="E134:E154" si="11">IF(AND(C134&lt;&gt;"",D134&lt;&gt;""),C134-D134,"")</f>
        <v/>
      </c>
      <c r="F134" s="15" t="str">
        <f>IF(B134&lt;&gt;"",SUMIF(收付款明细!C:C,B134,收付款明细!D:D),"")</f>
        <v/>
      </c>
      <c r="G134" s="15" t="str">
        <f t="shared" si="9"/>
        <v/>
      </c>
      <c r="H134" s="14" t="str">
        <f t="shared" si="10"/>
        <v/>
      </c>
      <c r="I134" s="15">
        <f>IFERROR(SUMIF(商品库存!B:B,B134,商品库存!I:I),0)</f>
        <v>0</v>
      </c>
      <c r="J134" s="15">
        <f>IFERROR(SUMIF(商品库存!B:B,B134,商品库存!J:J),0)</f>
        <v>0</v>
      </c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ht="15" hidden="1" customHeight="1" spans="1:20">
      <c r="A135" s="14"/>
      <c r="B135" s="14"/>
      <c r="C135" s="15"/>
      <c r="D135" s="15" t="str">
        <f>IF(B135&lt;&gt;"",SUMIF(出库明细!C:C,B135,出库明细!G:G),"")</f>
        <v/>
      </c>
      <c r="E135" s="15" t="str">
        <f t="shared" si="11"/>
        <v/>
      </c>
      <c r="F135" s="15" t="str">
        <f>IF(B135&lt;&gt;"",SUMIF(收付款明细!C:C,B135,收付款明细!D:D),"")</f>
        <v/>
      </c>
      <c r="G135" s="15" t="str">
        <f t="shared" ref="G135:G154" si="12">IF(AND(D135&lt;&gt;"",F135&lt;&gt;""),D135-F135,"")</f>
        <v/>
      </c>
      <c r="H135" s="14" t="str">
        <f t="shared" si="10"/>
        <v/>
      </c>
      <c r="I135" s="15">
        <f>IFERROR(SUMIF(商品库存!B:B,B135,商品库存!I:I),0)</f>
        <v>0</v>
      </c>
      <c r="J135" s="15">
        <f>IFERROR(SUMIF(商品库存!B:B,B135,商品库存!J:J),0)</f>
        <v>0</v>
      </c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ht="15" hidden="1" customHeight="1" spans="1:20">
      <c r="A136" s="14"/>
      <c r="B136" s="14"/>
      <c r="C136" s="15"/>
      <c r="D136" s="15" t="str">
        <f>IF(B136&lt;&gt;"",SUMIF(出库明细!C:C,B136,出库明细!G:G),"")</f>
        <v/>
      </c>
      <c r="E136" s="15" t="str">
        <f t="shared" si="11"/>
        <v/>
      </c>
      <c r="F136" s="15" t="str">
        <f>IF(B136&lt;&gt;"",SUMIF(收付款明细!C:C,B136,收付款明细!D:D),"")</f>
        <v/>
      </c>
      <c r="G136" s="15" t="str">
        <f t="shared" si="12"/>
        <v/>
      </c>
      <c r="H136" s="14" t="str">
        <f t="shared" si="10"/>
        <v/>
      </c>
      <c r="I136" s="15">
        <f>IFERROR(SUMIF(商品库存!B:B,B136,商品库存!I:I),0)</f>
        <v>0</v>
      </c>
      <c r="J136" s="15">
        <f>IFERROR(SUMIF(商品库存!B:B,B136,商品库存!J:J),0)</f>
        <v>0</v>
      </c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ht="15" hidden="1" customHeight="1" spans="1:20">
      <c r="A137" s="14"/>
      <c r="B137" s="14"/>
      <c r="C137" s="15"/>
      <c r="D137" s="15" t="str">
        <f>IF(B137&lt;&gt;"",SUMIF(出库明细!C:C,B137,出库明细!G:G),"")</f>
        <v/>
      </c>
      <c r="E137" s="15" t="str">
        <f t="shared" si="11"/>
        <v/>
      </c>
      <c r="F137" s="15" t="str">
        <f>IF(B137&lt;&gt;"",SUMIF(收付款明细!C:C,B137,收付款明细!D:D),"")</f>
        <v/>
      </c>
      <c r="G137" s="15" t="str">
        <f t="shared" si="12"/>
        <v/>
      </c>
      <c r="H137" s="14" t="str">
        <f t="shared" si="10"/>
        <v/>
      </c>
      <c r="I137" s="15">
        <f>IFERROR(SUMIF(商品库存!B:B,B137,商品库存!I:I),0)</f>
        <v>0</v>
      </c>
      <c r="J137" s="15">
        <f>IFERROR(SUMIF(商品库存!B:B,B137,商品库存!J:J),0)</f>
        <v>0</v>
      </c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ht="15" hidden="1" customHeight="1" spans="1:20">
      <c r="A138" s="14"/>
      <c r="B138" s="14"/>
      <c r="C138" s="15"/>
      <c r="D138" s="15" t="str">
        <f>IF(B138&lt;&gt;"",SUMIF(出库明细!C:C,B138,出库明细!G:G),"")</f>
        <v/>
      </c>
      <c r="E138" s="15" t="str">
        <f t="shared" si="11"/>
        <v/>
      </c>
      <c r="F138" s="15" t="str">
        <f>IF(B138&lt;&gt;"",SUMIF(收付款明细!C:C,B138,收付款明细!D:D),"")</f>
        <v/>
      </c>
      <c r="G138" s="15" t="str">
        <f t="shared" si="12"/>
        <v/>
      </c>
      <c r="H138" s="14" t="str">
        <f t="shared" si="10"/>
        <v/>
      </c>
      <c r="I138" s="15">
        <f>IFERROR(SUMIF(商品库存!B:B,B138,商品库存!I:I),0)</f>
        <v>0</v>
      </c>
      <c r="J138" s="15">
        <f>IFERROR(SUMIF(商品库存!B:B,B138,商品库存!J:J),0)</f>
        <v>0</v>
      </c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ht="15" hidden="1" customHeight="1" spans="1:20">
      <c r="A139" s="14"/>
      <c r="B139" s="14"/>
      <c r="C139" s="15"/>
      <c r="D139" s="15" t="str">
        <f>IF(B139&lt;&gt;"",SUMIF(出库明细!C:C,B139,出库明细!G:G),"")</f>
        <v/>
      </c>
      <c r="E139" s="15" t="str">
        <f t="shared" si="11"/>
        <v/>
      </c>
      <c r="F139" s="15" t="str">
        <f>IF(B139&lt;&gt;"",SUMIF(收付款明细!C:C,B139,收付款明细!D:D),"")</f>
        <v/>
      </c>
      <c r="G139" s="15" t="str">
        <f t="shared" si="12"/>
        <v/>
      </c>
      <c r="H139" s="14" t="str">
        <f t="shared" si="10"/>
        <v/>
      </c>
      <c r="I139" s="15">
        <f>IFERROR(SUMIF(商品库存!B:B,B139,商品库存!I:I),0)</f>
        <v>0</v>
      </c>
      <c r="J139" s="15">
        <f>IFERROR(SUMIF(商品库存!B:B,B139,商品库存!J:J),0)</f>
        <v>0</v>
      </c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ht="15" hidden="1" customHeight="1" spans="1:20">
      <c r="A140" s="14"/>
      <c r="B140" s="14"/>
      <c r="C140" s="15"/>
      <c r="D140" s="15" t="str">
        <f>IF(B140&lt;&gt;"",SUMIF(出库明细!C:C,B140,出库明细!G:G),"")</f>
        <v/>
      </c>
      <c r="E140" s="15" t="str">
        <f t="shared" si="11"/>
        <v/>
      </c>
      <c r="F140" s="15" t="str">
        <f>IF(B140&lt;&gt;"",SUMIF(收付款明细!C:C,B140,收付款明细!D:D),"")</f>
        <v/>
      </c>
      <c r="G140" s="15" t="str">
        <f t="shared" si="12"/>
        <v/>
      </c>
      <c r="H140" s="14" t="str">
        <f t="shared" si="10"/>
        <v/>
      </c>
      <c r="I140" s="15">
        <f>IFERROR(SUMIF(商品库存!B:B,B140,商品库存!I:I),0)</f>
        <v>0</v>
      </c>
      <c r="J140" s="15">
        <f>IFERROR(SUMIF(商品库存!B:B,B140,商品库存!J:J),0)</f>
        <v>0</v>
      </c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ht="15" hidden="1" customHeight="1" spans="1:20">
      <c r="A141" s="14"/>
      <c r="B141" s="14"/>
      <c r="C141" s="15"/>
      <c r="D141" s="15" t="str">
        <f>IF(B141&lt;&gt;"",SUMIF(出库明细!C:C,B141,出库明细!G:G),"")</f>
        <v/>
      </c>
      <c r="E141" s="15" t="str">
        <f t="shared" si="11"/>
        <v/>
      </c>
      <c r="F141" s="15" t="str">
        <f>IF(B141&lt;&gt;"",SUMIF(收付款明细!C:C,B141,收付款明细!D:D),"")</f>
        <v/>
      </c>
      <c r="G141" s="15" t="str">
        <f t="shared" si="12"/>
        <v/>
      </c>
      <c r="H141" s="14" t="str">
        <f t="shared" si="10"/>
        <v/>
      </c>
      <c r="I141" s="15">
        <f>IFERROR(SUMIF(商品库存!B:B,B141,商品库存!I:I),0)</f>
        <v>0</v>
      </c>
      <c r="J141" s="15">
        <f>IFERROR(SUMIF(商品库存!B:B,B141,商品库存!J:J),0)</f>
        <v>0</v>
      </c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ht="15" hidden="1" customHeight="1" spans="1:20">
      <c r="A142" s="14"/>
      <c r="B142" s="14"/>
      <c r="C142" s="15"/>
      <c r="D142" s="15" t="str">
        <f>IF(B142&lt;&gt;"",SUMIF(出库明细!C:C,B142,出库明细!G:G),"")</f>
        <v/>
      </c>
      <c r="E142" s="15" t="str">
        <f t="shared" si="11"/>
        <v/>
      </c>
      <c r="F142" s="15" t="str">
        <f>IF(B142&lt;&gt;"",SUMIF(收付款明细!C:C,B142,收付款明细!D:D),"")</f>
        <v/>
      </c>
      <c r="G142" s="15" t="str">
        <f t="shared" si="12"/>
        <v/>
      </c>
      <c r="H142" s="14" t="str">
        <f t="shared" si="10"/>
        <v/>
      </c>
      <c r="I142" s="15">
        <f>IFERROR(SUMIF(商品库存!B:B,B142,商品库存!I:I),0)</f>
        <v>0</v>
      </c>
      <c r="J142" s="15">
        <f>IFERROR(SUMIF(商品库存!B:B,B142,商品库存!J:J),0)</f>
        <v>0</v>
      </c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ht="15" hidden="1" customHeight="1" spans="1:20">
      <c r="A143" s="14"/>
      <c r="B143" s="14"/>
      <c r="C143" s="15"/>
      <c r="D143" s="15" t="str">
        <f>IF(B143&lt;&gt;"",SUMIF(出库明细!C:C,B143,出库明细!G:G),"")</f>
        <v/>
      </c>
      <c r="E143" s="15" t="str">
        <f t="shared" si="11"/>
        <v/>
      </c>
      <c r="F143" s="15" t="str">
        <f>IF(B143&lt;&gt;"",SUMIF(收付款明细!C:C,B143,收付款明细!D:D),"")</f>
        <v/>
      </c>
      <c r="G143" s="15" t="str">
        <f t="shared" si="12"/>
        <v/>
      </c>
      <c r="H143" s="14" t="str">
        <f t="shared" si="10"/>
        <v/>
      </c>
      <c r="I143" s="15">
        <f>IFERROR(SUMIF(商品库存!B:B,B143,商品库存!I:I),0)</f>
        <v>0</v>
      </c>
      <c r="J143" s="15">
        <f>IFERROR(SUMIF(商品库存!B:B,B143,商品库存!J:J),0)</f>
        <v>0</v>
      </c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ht="15" hidden="1" customHeight="1" spans="1:20">
      <c r="A144" s="14"/>
      <c r="B144" s="14"/>
      <c r="C144" s="15"/>
      <c r="D144" s="15" t="str">
        <f>IF(B144&lt;&gt;"",SUMIF(出库明细!C:C,B144,出库明细!G:G),"")</f>
        <v/>
      </c>
      <c r="E144" s="15" t="str">
        <f t="shared" si="11"/>
        <v/>
      </c>
      <c r="F144" s="15" t="str">
        <f>IF(B144&lt;&gt;"",SUMIF(收付款明细!C:C,B144,收付款明细!D:D),"")</f>
        <v/>
      </c>
      <c r="G144" s="15" t="str">
        <f t="shared" si="12"/>
        <v/>
      </c>
      <c r="H144" s="14" t="str">
        <f t="shared" si="10"/>
        <v/>
      </c>
      <c r="I144" s="15">
        <f>IFERROR(SUMIF(商品库存!B:B,B144,商品库存!I:I),0)</f>
        <v>0</v>
      </c>
      <c r="J144" s="15">
        <f>IFERROR(SUMIF(商品库存!B:B,B144,商品库存!J:J),0)</f>
        <v>0</v>
      </c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ht="15" hidden="1" customHeight="1" spans="1:20">
      <c r="A145" s="14"/>
      <c r="B145" s="14"/>
      <c r="C145" s="15"/>
      <c r="D145" s="15" t="str">
        <f>IF(B145&lt;&gt;"",SUMIF(出库明细!C:C,B145,出库明细!G:G),"")</f>
        <v/>
      </c>
      <c r="E145" s="15" t="str">
        <f t="shared" si="11"/>
        <v/>
      </c>
      <c r="F145" s="15" t="str">
        <f>IF(B145&lt;&gt;"",SUMIF(收付款明细!C:C,B145,收付款明细!D:D),"")</f>
        <v/>
      </c>
      <c r="G145" s="15" t="str">
        <f t="shared" si="12"/>
        <v/>
      </c>
      <c r="H145" s="14" t="str">
        <f t="shared" si="10"/>
        <v/>
      </c>
      <c r="I145" s="15">
        <f>IFERROR(SUMIF(商品库存!B:B,B145,商品库存!I:I),0)</f>
        <v>0</v>
      </c>
      <c r="J145" s="15">
        <f>IFERROR(SUMIF(商品库存!B:B,B145,商品库存!J:J),0)</f>
        <v>0</v>
      </c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ht="15" hidden="1" customHeight="1" spans="1:20">
      <c r="A146" s="14"/>
      <c r="B146" s="14"/>
      <c r="C146" s="15"/>
      <c r="D146" s="15" t="str">
        <f>IF(B146&lt;&gt;"",SUMIF(出库明细!C:C,B146,出库明细!G:G),"")</f>
        <v/>
      </c>
      <c r="E146" s="15" t="str">
        <f t="shared" si="11"/>
        <v/>
      </c>
      <c r="F146" s="15" t="str">
        <f>IF(B146&lt;&gt;"",SUMIF(收付款明细!C:C,B146,收付款明细!D:D),"")</f>
        <v/>
      </c>
      <c r="G146" s="15" t="str">
        <f t="shared" si="12"/>
        <v/>
      </c>
      <c r="H146" s="14" t="str">
        <f t="shared" si="10"/>
        <v/>
      </c>
      <c r="I146" s="15">
        <f>IFERROR(SUMIF(商品库存!B:B,B146,商品库存!I:I),0)</f>
        <v>0</v>
      </c>
      <c r="J146" s="15">
        <f>IFERROR(SUMIF(商品库存!B:B,B146,商品库存!J:J),0)</f>
        <v>0</v>
      </c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ht="15" hidden="1" customHeight="1" spans="1:20">
      <c r="A147" s="14"/>
      <c r="B147" s="14"/>
      <c r="C147" s="15"/>
      <c r="D147" s="15" t="str">
        <f>IF(B147&lt;&gt;"",SUMIF(出库明细!C:C,B147,出库明细!G:G),"")</f>
        <v/>
      </c>
      <c r="E147" s="15" t="str">
        <f t="shared" si="11"/>
        <v/>
      </c>
      <c r="F147" s="15" t="str">
        <f>IF(B147&lt;&gt;"",SUMIF(收付款明细!C:C,B147,收付款明细!D:D),"")</f>
        <v/>
      </c>
      <c r="G147" s="15" t="str">
        <f t="shared" si="12"/>
        <v/>
      </c>
      <c r="H147" s="14" t="str">
        <f t="shared" si="10"/>
        <v/>
      </c>
      <c r="I147" s="15">
        <f>IFERROR(SUMIF(商品库存!B:B,B147,商品库存!I:I),0)</f>
        <v>0</v>
      </c>
      <c r="J147" s="15">
        <f>IFERROR(SUMIF(商品库存!B:B,B147,商品库存!J:J),0)</f>
        <v>0</v>
      </c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ht="15" hidden="1" customHeight="1" spans="1:20">
      <c r="A148" s="14"/>
      <c r="B148" s="14"/>
      <c r="C148" s="15"/>
      <c r="D148" s="15" t="str">
        <f>IF(B148&lt;&gt;"",SUMIF(出库明细!C:C,B148,出库明细!G:G),"")</f>
        <v/>
      </c>
      <c r="E148" s="15" t="str">
        <f t="shared" si="11"/>
        <v/>
      </c>
      <c r="F148" s="15" t="str">
        <f>IF(B148&lt;&gt;"",SUMIF(收付款明细!C:C,B148,收付款明细!D:D),"")</f>
        <v/>
      </c>
      <c r="G148" s="15" t="str">
        <f t="shared" si="12"/>
        <v/>
      </c>
      <c r="H148" s="14" t="str">
        <f t="shared" si="10"/>
        <v/>
      </c>
      <c r="I148" s="15">
        <f>IFERROR(SUMIF(商品库存!B:B,B148,商品库存!I:I),0)</f>
        <v>0</v>
      </c>
      <c r="J148" s="15">
        <f>IFERROR(SUMIF(商品库存!B:B,B148,商品库存!J:J),0)</f>
        <v>0</v>
      </c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ht="15" hidden="1" customHeight="1" spans="1:20">
      <c r="A149" s="14"/>
      <c r="B149" s="14"/>
      <c r="C149" s="15"/>
      <c r="D149" s="15" t="str">
        <f>IF(B149&lt;&gt;"",SUMIF(出库明细!C:C,B149,出库明细!G:G),"")</f>
        <v/>
      </c>
      <c r="E149" s="15" t="str">
        <f t="shared" si="11"/>
        <v/>
      </c>
      <c r="F149" s="15" t="str">
        <f>IF(B149&lt;&gt;"",SUMIF(收付款明细!C:C,B149,收付款明细!D:D),"")</f>
        <v/>
      </c>
      <c r="G149" s="15" t="str">
        <f t="shared" si="12"/>
        <v/>
      </c>
      <c r="H149" s="14" t="str">
        <f t="shared" si="10"/>
        <v/>
      </c>
      <c r="I149" s="15">
        <f>IFERROR(SUMIF(商品库存!B:B,B149,商品库存!I:I),0)</f>
        <v>0</v>
      </c>
      <c r="J149" s="15">
        <f>IFERROR(SUMIF(商品库存!B:B,B149,商品库存!J:J),0)</f>
        <v>0</v>
      </c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ht="15" hidden="1" customHeight="1" spans="1:20">
      <c r="A150" s="14"/>
      <c r="B150" s="14"/>
      <c r="C150" s="15"/>
      <c r="D150" s="15" t="str">
        <f>IF(B150&lt;&gt;"",SUMIF(出库明细!C:C,B150,出库明细!G:G),"")</f>
        <v/>
      </c>
      <c r="E150" s="15" t="str">
        <f t="shared" si="11"/>
        <v/>
      </c>
      <c r="F150" s="15" t="str">
        <f>IF(B150&lt;&gt;"",SUMIF(收付款明细!C:C,B150,收付款明细!D:D),"")</f>
        <v/>
      </c>
      <c r="G150" s="15" t="str">
        <f t="shared" si="12"/>
        <v/>
      </c>
      <c r="H150" s="14" t="str">
        <f t="shared" si="10"/>
        <v/>
      </c>
      <c r="I150" s="15">
        <f>IFERROR(SUMIF(商品库存!B:B,B150,商品库存!I:I),0)</f>
        <v>0</v>
      </c>
      <c r="J150" s="15">
        <f>IFERROR(SUMIF(商品库存!B:B,B150,商品库存!J:J),0)</f>
        <v>0</v>
      </c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ht="15" hidden="1" customHeight="1" spans="1:20">
      <c r="A151" s="14"/>
      <c r="B151" s="14"/>
      <c r="C151" s="15"/>
      <c r="D151" s="15" t="str">
        <f>IF(B151&lt;&gt;"",SUMIF(出库明细!C:C,B151,出库明细!G:G),"")</f>
        <v/>
      </c>
      <c r="E151" s="15" t="str">
        <f t="shared" si="11"/>
        <v/>
      </c>
      <c r="F151" s="15" t="str">
        <f>IF(B151&lt;&gt;"",SUMIF(收付款明细!C:C,B151,收付款明细!D:D),"")</f>
        <v/>
      </c>
      <c r="G151" s="15" t="str">
        <f t="shared" si="12"/>
        <v/>
      </c>
      <c r="H151" s="14" t="str">
        <f t="shared" si="10"/>
        <v/>
      </c>
      <c r="I151" s="15">
        <f>IFERROR(SUMIF(商品库存!B:B,B151,商品库存!I:I),0)</f>
        <v>0</v>
      </c>
      <c r="J151" s="15">
        <f>IFERROR(SUMIF(商品库存!B:B,B151,商品库存!J:J),0)</f>
        <v>0</v>
      </c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ht="15" hidden="1" customHeight="1" spans="1:20">
      <c r="A152" s="14"/>
      <c r="B152" s="14"/>
      <c r="C152" s="15"/>
      <c r="D152" s="15" t="str">
        <f>IF(B152&lt;&gt;"",SUMIF(出库明细!C:C,B152,出库明细!G:G),"")</f>
        <v/>
      </c>
      <c r="E152" s="15" t="str">
        <f t="shared" si="11"/>
        <v/>
      </c>
      <c r="F152" s="15" t="str">
        <f>IF(B152&lt;&gt;"",SUMIF(收付款明细!C:C,B152,收付款明细!D:D),"")</f>
        <v/>
      </c>
      <c r="G152" s="15" t="str">
        <f t="shared" si="12"/>
        <v/>
      </c>
      <c r="H152" s="14" t="str">
        <f t="shared" si="10"/>
        <v/>
      </c>
      <c r="I152" s="15">
        <f>IFERROR(SUMIF(商品库存!B:B,B152,商品库存!I:I),0)</f>
        <v>0</v>
      </c>
      <c r="J152" s="15">
        <f>IFERROR(SUMIF(商品库存!B:B,B152,商品库存!J:J),0)</f>
        <v>0</v>
      </c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ht="15" hidden="1" customHeight="1" spans="1:20">
      <c r="A153" s="47">
        <v>29</v>
      </c>
      <c r="B153" s="47"/>
      <c r="C153" s="48"/>
      <c r="D153" s="48" t="str">
        <f>IF(B153&lt;&gt;"",SUMIF(出库明细!C:C,B153,出库明细!G:G),"")</f>
        <v/>
      </c>
      <c r="E153" s="15" t="str">
        <f t="shared" si="11"/>
        <v/>
      </c>
      <c r="F153" s="15" t="str">
        <f>IF(B153&lt;&gt;"",SUMIF(收付款明细!C:C,B153,收付款明细!D:D),"")</f>
        <v/>
      </c>
      <c r="G153" s="15" t="str">
        <f t="shared" si="12"/>
        <v/>
      </c>
      <c r="H153" s="14" t="str">
        <f t="shared" si="10"/>
        <v/>
      </c>
      <c r="I153" s="15">
        <f>IFERROR(SUMIF(商品库存!B:B,B153,商品库存!I:I),0)</f>
        <v>0</v>
      </c>
      <c r="J153" s="15">
        <f>IFERROR(SUMIF(商品库存!B:B,B153,商品库存!J:J),0)</f>
        <v>0</v>
      </c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ht="15" hidden="1" customHeight="1" spans="1:20">
      <c r="A154" s="14">
        <v>30</v>
      </c>
      <c r="B154" s="14"/>
      <c r="C154" s="15"/>
      <c r="D154" s="15" t="str">
        <f>IF(B154&lt;&gt;"",SUMIF(出库明细!C:C,B154,出库明细!G:G),"")</f>
        <v/>
      </c>
      <c r="E154" s="15" t="str">
        <f t="shared" si="11"/>
        <v/>
      </c>
      <c r="F154" s="15" t="str">
        <f>IF(B154&lt;&gt;"",SUMIF(收付款明细!C:C,B154,收付款明细!D:D),"")</f>
        <v/>
      </c>
      <c r="G154" s="15" t="str">
        <f t="shared" si="12"/>
        <v/>
      </c>
      <c r="H154" s="14" t="str">
        <f t="shared" si="10"/>
        <v/>
      </c>
      <c r="I154" s="15">
        <f>IFERROR(SUMIF(商品库存!B:B,B154,商品库存!I:I),0)</f>
        <v>0</v>
      </c>
      <c r="J154" s="15">
        <f>IFERROR(SUMIF(商品库存!C:C,C154,商品库存!J:J),0)</f>
        <v>0</v>
      </c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ht="15" hidden="1" customHeight="1" spans="1:20">
      <c r="A155" s="37" t="s">
        <v>12</v>
      </c>
      <c r="B155" s="2"/>
      <c r="C155" s="39">
        <f>SUM(C5:C154)</f>
        <v>3333127.19</v>
      </c>
      <c r="D155" s="39">
        <f>SUM(D5:D154)</f>
        <v>1718940.7</v>
      </c>
      <c r="E155" s="39">
        <f>SUM(E5:E154)</f>
        <v>1629522.99</v>
      </c>
      <c r="F155" s="39">
        <f>SUM(F5:F154)</f>
        <v>4092006.19</v>
      </c>
      <c r="G155" s="39">
        <f>SUM(G5:G154)</f>
        <v>-2377565.49</v>
      </c>
      <c r="H155" s="37"/>
      <c r="I155" s="39">
        <f>SUM(I5:I154)</f>
        <v>30091</v>
      </c>
      <c r="J155" s="39">
        <f>SUM(J5:J154)</f>
        <v>2606252.3</v>
      </c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>
      <c r="A322" s="2"/>
      <c r="B322" s="2"/>
      <c r="C322" s="2"/>
      <c r="D322" s="2"/>
      <c r="E322" s="2"/>
      <c r="F322" s="2"/>
      <c r="G322" s="2"/>
      <c r="H322" s="2"/>
      <c r="I322" s="2"/>
      <c r="J322" s="2"/>
    </row>
  </sheetData>
  <autoFilter xmlns:etc="http://www.wps.cn/officeDocument/2017/etCustomData" ref="A4:T155" etc:filterBottomFollowUsedRange="0">
    <filterColumn colId="1">
      <filters>
        <filter val="李记副食"/>
      </filters>
    </filterColumn>
    <extLst/>
  </autoFilter>
  <mergeCells count="3">
    <mergeCell ref="A1:H1"/>
    <mergeCell ref="A2:H2"/>
    <mergeCell ref="A155:B155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545"/>
  <sheetViews>
    <sheetView tabSelected="1" zoomScale="90" zoomScaleNormal="90" workbookViewId="0">
      <pane ySplit="3" topLeftCell="A459" activePane="bottomLeft" state="frozen"/>
      <selection/>
      <selection pane="bottomLeft" activeCell="B487" sqref="B487:B489"/>
    </sheetView>
  </sheetViews>
  <sheetFormatPr defaultColWidth="14" defaultRowHeight="12"/>
  <cols>
    <col min="1" max="1" width="7" customWidth="1"/>
    <col min="2" max="2" width="13" customWidth="1"/>
    <col min="3" max="4" width="17" style="35" customWidth="1"/>
    <col min="5" max="5" width="13" style="35" customWidth="1"/>
    <col min="6" max="6" width="13" customWidth="1"/>
    <col min="7" max="7" width="17" customWidth="1"/>
    <col min="8" max="8" width="21" customWidth="1"/>
  </cols>
  <sheetData>
    <row r="1" ht="33" customHeight="1" spans="1:20">
      <c r="A1" s="51" t="s">
        <v>91</v>
      </c>
      <c r="B1" s="2"/>
      <c r="C1" s="52"/>
      <c r="D1" s="52"/>
      <c r="E1" s="5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4" customHeight="1" spans="1:20">
      <c r="A2" s="3" t="s">
        <v>92</v>
      </c>
      <c r="B2" s="2"/>
      <c r="C2" s="52"/>
      <c r="D2" s="52"/>
      <c r="E2" s="5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37" customHeight="1" spans="1:20">
      <c r="A3" s="53" t="s">
        <v>2</v>
      </c>
      <c r="B3" s="53" t="s">
        <v>93</v>
      </c>
      <c r="C3" s="53"/>
      <c r="D3" s="53" t="s">
        <v>94</v>
      </c>
      <c r="E3" s="53" t="s">
        <v>95</v>
      </c>
      <c r="F3" s="53" t="s">
        <v>96</v>
      </c>
      <c r="G3" s="53" t="s">
        <v>97</v>
      </c>
      <c r="H3" s="53" t="s">
        <v>98</v>
      </c>
      <c r="I3" s="2"/>
      <c r="J3" s="2"/>
      <c r="K3" s="2"/>
      <c r="L3" s="2"/>
      <c r="M3" s="2"/>
      <c r="N3" s="34"/>
      <c r="O3" s="2"/>
      <c r="P3" s="2"/>
      <c r="Q3" s="2"/>
      <c r="R3" s="2"/>
      <c r="S3" s="2"/>
      <c r="T3" s="2"/>
    </row>
    <row r="4" s="16" customFormat="1" ht="15" customHeight="1" spans="1:20">
      <c r="A4" s="54">
        <v>1</v>
      </c>
      <c r="B4" s="55">
        <v>46202</v>
      </c>
      <c r="C4" s="29" t="s">
        <v>16</v>
      </c>
      <c r="D4" s="56" t="s">
        <v>99</v>
      </c>
      <c r="E4" s="54">
        <v>11</v>
      </c>
      <c r="F4" s="57">
        <v>65</v>
      </c>
      <c r="G4" s="32">
        <f t="shared" ref="G4:G67" si="0">IF(AND(E4&lt;&gt;"",F4&lt;&gt;""),E4*F4,"")</f>
        <v>715</v>
      </c>
      <c r="H4" s="58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="16" customFormat="1" ht="15" customHeight="1" spans="1:20">
      <c r="A5" s="54">
        <v>2</v>
      </c>
      <c r="B5" s="59">
        <v>46202</v>
      </c>
      <c r="C5" s="29" t="s">
        <v>16</v>
      </c>
      <c r="D5" s="29" t="s">
        <v>100</v>
      </c>
      <c r="E5" s="29">
        <v>20</v>
      </c>
      <c r="F5" s="32">
        <v>48</v>
      </c>
      <c r="G5" s="32">
        <f t="shared" si="0"/>
        <v>960</v>
      </c>
      <c r="H5" s="1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="16" customFormat="1" ht="15" customHeight="1" spans="1:20">
      <c r="A6" s="54">
        <v>3</v>
      </c>
      <c r="B6" s="59">
        <v>46203</v>
      </c>
      <c r="C6" s="29" t="s">
        <v>16</v>
      </c>
      <c r="D6" s="29" t="s">
        <v>101</v>
      </c>
      <c r="E6" s="29">
        <v>166</v>
      </c>
      <c r="F6" s="32">
        <v>47</v>
      </c>
      <c r="G6" s="32">
        <f t="shared" si="0"/>
        <v>7802</v>
      </c>
      <c r="H6" s="29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</row>
    <row r="7" ht="15" customHeight="1" spans="1:20">
      <c r="A7" s="54">
        <v>4</v>
      </c>
      <c r="B7" s="59">
        <v>46210</v>
      </c>
      <c r="C7" s="29" t="s">
        <v>16</v>
      </c>
      <c r="D7" s="29" t="s">
        <v>99</v>
      </c>
      <c r="E7" s="29">
        <v>80</v>
      </c>
      <c r="F7" s="32">
        <v>65</v>
      </c>
      <c r="G7" s="32">
        <f t="shared" si="0"/>
        <v>5200</v>
      </c>
      <c r="H7" s="29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</row>
    <row r="8" ht="15" customHeight="1" spans="1:20">
      <c r="A8" s="54">
        <v>5</v>
      </c>
      <c r="B8" s="59">
        <v>46210</v>
      </c>
      <c r="C8" s="29" t="s">
        <v>16</v>
      </c>
      <c r="D8" s="54" t="s">
        <v>102</v>
      </c>
      <c r="E8" s="54">
        <v>50</v>
      </c>
      <c r="F8" s="57">
        <v>55</v>
      </c>
      <c r="G8" s="32">
        <f t="shared" si="0"/>
        <v>2750</v>
      </c>
      <c r="H8" s="5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</row>
    <row r="9" ht="15" customHeight="1" spans="1:20">
      <c r="A9" s="54">
        <v>6</v>
      </c>
      <c r="B9" s="59">
        <v>46220</v>
      </c>
      <c r="C9" s="29" t="s">
        <v>16</v>
      </c>
      <c r="D9" s="54" t="s">
        <v>103</v>
      </c>
      <c r="E9" s="54">
        <v>90</v>
      </c>
      <c r="F9" s="57">
        <v>43</v>
      </c>
      <c r="G9" s="57">
        <f t="shared" si="0"/>
        <v>3870</v>
      </c>
      <c r="H9" s="5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</row>
    <row r="10" ht="15" customHeight="1" spans="1:20">
      <c r="A10" s="54">
        <v>7</v>
      </c>
      <c r="B10" s="59">
        <v>46220</v>
      </c>
      <c r="C10" s="29" t="s">
        <v>16</v>
      </c>
      <c r="D10" s="29" t="s">
        <v>100</v>
      </c>
      <c r="E10" s="29">
        <v>20</v>
      </c>
      <c r="F10" s="32">
        <v>48</v>
      </c>
      <c r="G10" s="32">
        <f t="shared" si="0"/>
        <v>960</v>
      </c>
      <c r="H10" s="29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</row>
    <row r="11" ht="15" customHeight="1" spans="1:20">
      <c r="A11" s="54">
        <v>8</v>
      </c>
      <c r="B11" s="59">
        <v>46220</v>
      </c>
      <c r="C11" s="29" t="s">
        <v>16</v>
      </c>
      <c r="D11" s="54" t="s">
        <v>99</v>
      </c>
      <c r="E11" s="54">
        <v>25</v>
      </c>
      <c r="F11" s="57">
        <v>65</v>
      </c>
      <c r="G11" s="57">
        <f t="shared" si="0"/>
        <v>1625</v>
      </c>
      <c r="H11" s="5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</row>
    <row r="12" ht="15" customHeight="1" spans="1:20">
      <c r="A12" s="54">
        <v>9</v>
      </c>
      <c r="B12" s="59">
        <v>46220</v>
      </c>
      <c r="C12" s="29" t="s">
        <v>16</v>
      </c>
      <c r="D12" s="29" t="s">
        <v>101</v>
      </c>
      <c r="E12" s="29">
        <v>50</v>
      </c>
      <c r="F12" s="32">
        <v>47</v>
      </c>
      <c r="G12" s="32">
        <f t="shared" si="0"/>
        <v>2350</v>
      </c>
      <c r="H12" s="29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</row>
    <row r="13" s="16" customFormat="1" ht="15" customHeight="1" spans="1:20">
      <c r="A13" s="54">
        <v>10</v>
      </c>
      <c r="B13" s="55">
        <v>46227</v>
      </c>
      <c r="C13" s="54" t="s">
        <v>16</v>
      </c>
      <c r="D13" s="54" t="s">
        <v>104</v>
      </c>
      <c r="E13" s="54">
        <v>50</v>
      </c>
      <c r="F13" s="57">
        <v>83</v>
      </c>
      <c r="G13" s="57">
        <f t="shared" si="0"/>
        <v>4150</v>
      </c>
      <c r="H13" s="5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</row>
    <row r="14" ht="15" customHeight="1" spans="1:20">
      <c r="A14" s="54">
        <v>11</v>
      </c>
      <c r="B14" s="59">
        <v>46225</v>
      </c>
      <c r="C14" s="29" t="s">
        <v>16</v>
      </c>
      <c r="D14" s="29" t="s">
        <v>105</v>
      </c>
      <c r="E14" s="29">
        <v>20</v>
      </c>
      <c r="F14" s="32">
        <v>90</v>
      </c>
      <c r="G14" s="32">
        <f t="shared" si="0"/>
        <v>1800</v>
      </c>
      <c r="H14" s="29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</row>
    <row r="15" s="16" customFormat="1" ht="15" customHeight="1" spans="1:20">
      <c r="A15" s="54">
        <v>12</v>
      </c>
      <c r="B15" s="59">
        <v>46225</v>
      </c>
      <c r="C15" s="29" t="s">
        <v>16</v>
      </c>
      <c r="D15" s="54" t="s">
        <v>99</v>
      </c>
      <c r="E15" s="54">
        <v>30</v>
      </c>
      <c r="F15" s="57">
        <v>65</v>
      </c>
      <c r="G15" s="57">
        <f t="shared" si="0"/>
        <v>1950</v>
      </c>
      <c r="H15" s="5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</row>
    <row r="16" ht="15" customHeight="1" spans="1:20">
      <c r="A16" s="54">
        <v>13</v>
      </c>
      <c r="B16" s="55">
        <v>46220</v>
      </c>
      <c r="C16" s="30" t="s">
        <v>16</v>
      </c>
      <c r="D16" s="30" t="s">
        <v>106</v>
      </c>
      <c r="E16" s="54">
        <v>30</v>
      </c>
      <c r="F16" s="57">
        <v>90</v>
      </c>
      <c r="G16" s="57">
        <f t="shared" si="0"/>
        <v>2700</v>
      </c>
      <c r="H16" s="5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</row>
    <row r="17" ht="15" customHeight="1" spans="1:20">
      <c r="A17" s="54">
        <v>14</v>
      </c>
      <c r="B17" s="59">
        <v>46220</v>
      </c>
      <c r="C17" s="30" t="s">
        <v>68</v>
      </c>
      <c r="D17" s="54" t="s">
        <v>101</v>
      </c>
      <c r="E17" s="54">
        <v>6</v>
      </c>
      <c r="F17" s="57">
        <v>50</v>
      </c>
      <c r="G17" s="57">
        <f t="shared" si="0"/>
        <v>300</v>
      </c>
      <c r="H17" s="5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</row>
    <row r="18" ht="15" customHeight="1" spans="1:20">
      <c r="A18" s="54">
        <v>15</v>
      </c>
      <c r="B18" s="59">
        <v>46220</v>
      </c>
      <c r="C18" s="30" t="s">
        <v>68</v>
      </c>
      <c r="D18" s="29" t="s">
        <v>103</v>
      </c>
      <c r="E18" s="29">
        <v>2</v>
      </c>
      <c r="F18" s="32">
        <v>46</v>
      </c>
      <c r="G18" s="32">
        <f t="shared" si="0"/>
        <v>92</v>
      </c>
      <c r="H18" s="29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</row>
    <row r="19" ht="15" customHeight="1" spans="1:20">
      <c r="A19" s="54">
        <v>16</v>
      </c>
      <c r="B19" s="55">
        <v>46218</v>
      </c>
      <c r="C19" s="30" t="s">
        <v>69</v>
      </c>
      <c r="D19" s="54" t="s">
        <v>101</v>
      </c>
      <c r="E19" s="54">
        <v>15</v>
      </c>
      <c r="F19" s="57">
        <v>50</v>
      </c>
      <c r="G19" s="57">
        <f t="shared" si="0"/>
        <v>750</v>
      </c>
      <c r="H19" s="5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</row>
    <row r="20" s="16" customFormat="1" ht="15" customHeight="1" spans="1:20">
      <c r="A20" s="54">
        <v>17</v>
      </c>
      <c r="B20" s="55">
        <v>46218</v>
      </c>
      <c r="C20" s="30" t="s">
        <v>69</v>
      </c>
      <c r="D20" s="29" t="s">
        <v>99</v>
      </c>
      <c r="E20" s="29">
        <v>6</v>
      </c>
      <c r="F20" s="32">
        <v>68</v>
      </c>
      <c r="G20" s="32">
        <f t="shared" si="0"/>
        <v>408</v>
      </c>
      <c r="H20" s="29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</row>
    <row r="21" s="16" customFormat="1" ht="15" customHeight="1" spans="1:20">
      <c r="A21" s="54">
        <v>18</v>
      </c>
      <c r="B21" s="55">
        <v>46218</v>
      </c>
      <c r="C21" s="30" t="s">
        <v>69</v>
      </c>
      <c r="D21" s="54" t="s">
        <v>102</v>
      </c>
      <c r="E21" s="54">
        <v>3</v>
      </c>
      <c r="F21" s="57">
        <v>58</v>
      </c>
      <c r="G21" s="57">
        <f t="shared" si="0"/>
        <v>174</v>
      </c>
      <c r="H21" s="5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</row>
    <row r="22" s="16" customFormat="1" ht="15" customHeight="1" spans="1:20">
      <c r="A22" s="54">
        <v>19</v>
      </c>
      <c r="B22" s="55">
        <v>46212</v>
      </c>
      <c r="C22" s="29" t="s">
        <v>24</v>
      </c>
      <c r="D22" s="29" t="s">
        <v>107</v>
      </c>
      <c r="E22" s="29">
        <v>100</v>
      </c>
      <c r="F22" s="32">
        <v>90</v>
      </c>
      <c r="G22" s="32">
        <f t="shared" si="0"/>
        <v>9000</v>
      </c>
      <c r="H22" s="29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</row>
    <row r="23" s="16" customFormat="1" ht="15" customHeight="1" spans="1:20">
      <c r="A23" s="54">
        <v>20</v>
      </c>
      <c r="B23" s="59">
        <v>46212</v>
      </c>
      <c r="C23" s="29" t="s">
        <v>24</v>
      </c>
      <c r="D23" s="29" t="s">
        <v>102</v>
      </c>
      <c r="E23" s="29">
        <v>35</v>
      </c>
      <c r="F23" s="32">
        <v>55</v>
      </c>
      <c r="G23" s="32">
        <f t="shared" si="0"/>
        <v>1925</v>
      </c>
      <c r="H23" s="29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</row>
    <row r="24" s="16" customFormat="1" ht="15" customHeight="1" spans="1:20">
      <c r="A24" s="54">
        <v>21</v>
      </c>
      <c r="B24" s="59">
        <v>46212</v>
      </c>
      <c r="C24" s="29" t="s">
        <v>24</v>
      </c>
      <c r="D24" s="54" t="s">
        <v>99</v>
      </c>
      <c r="E24" s="54">
        <v>15</v>
      </c>
      <c r="F24" s="57">
        <v>65</v>
      </c>
      <c r="G24" s="57">
        <f t="shared" si="0"/>
        <v>975</v>
      </c>
      <c r="H24" s="5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</row>
    <row r="25" s="16" customFormat="1" ht="15" customHeight="1" spans="1:20">
      <c r="A25" s="54">
        <v>22</v>
      </c>
      <c r="B25" s="55">
        <v>46230</v>
      </c>
      <c r="C25" s="29" t="s">
        <v>24</v>
      </c>
      <c r="D25" s="54" t="s">
        <v>107</v>
      </c>
      <c r="E25" s="29">
        <v>100</v>
      </c>
      <c r="F25" s="32">
        <v>90</v>
      </c>
      <c r="G25" s="32">
        <f t="shared" si="0"/>
        <v>9000</v>
      </c>
      <c r="H25" s="29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</row>
    <row r="26" s="16" customFormat="1" ht="15" customHeight="1" spans="1:20">
      <c r="A26" s="54">
        <v>23</v>
      </c>
      <c r="B26" s="59">
        <v>46214</v>
      </c>
      <c r="C26" s="30" t="s">
        <v>72</v>
      </c>
      <c r="D26" s="29" t="s">
        <v>107</v>
      </c>
      <c r="E26" s="29">
        <v>1</v>
      </c>
      <c r="F26" s="32"/>
      <c r="G26" s="32" t="str">
        <f t="shared" si="0"/>
        <v/>
      </c>
      <c r="H26" s="29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</row>
    <row r="27" s="16" customFormat="1" ht="15" customHeight="1" spans="1:20">
      <c r="A27" s="54">
        <v>24</v>
      </c>
      <c r="B27" s="59">
        <v>46214</v>
      </c>
      <c r="C27" s="30" t="s">
        <v>72</v>
      </c>
      <c r="D27" s="54" t="s">
        <v>99</v>
      </c>
      <c r="E27" s="54">
        <v>3</v>
      </c>
      <c r="F27" s="57">
        <v>68</v>
      </c>
      <c r="G27" s="57">
        <f t="shared" si="0"/>
        <v>204</v>
      </c>
      <c r="H27" s="5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</row>
    <row r="28" s="16" customFormat="1" ht="15" customHeight="1" spans="1:20">
      <c r="A28" s="54">
        <v>25</v>
      </c>
      <c r="B28" s="59">
        <v>46214</v>
      </c>
      <c r="C28" s="30" t="s">
        <v>72</v>
      </c>
      <c r="D28" s="54" t="s">
        <v>99</v>
      </c>
      <c r="E28" s="29">
        <v>1</v>
      </c>
      <c r="F28" s="32"/>
      <c r="G28" s="32" t="str">
        <f t="shared" si="0"/>
        <v/>
      </c>
      <c r="H28" s="29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</row>
    <row r="29" s="16" customFormat="1" ht="15" customHeight="1" spans="1:20">
      <c r="A29" s="54">
        <v>26</v>
      </c>
      <c r="B29" s="55">
        <v>46221</v>
      </c>
      <c r="C29" s="30" t="s">
        <v>50</v>
      </c>
      <c r="D29" s="54" t="s">
        <v>102</v>
      </c>
      <c r="E29" s="54">
        <v>5</v>
      </c>
      <c r="F29" s="57">
        <v>58</v>
      </c>
      <c r="G29" s="57">
        <f t="shared" si="0"/>
        <v>290</v>
      </c>
      <c r="H29" s="5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</row>
    <row r="30" s="16" customFormat="1" ht="15" customHeight="1" spans="1:20">
      <c r="A30" s="54">
        <v>27</v>
      </c>
      <c r="B30" s="59">
        <v>46197</v>
      </c>
      <c r="C30" s="29" t="s">
        <v>36</v>
      </c>
      <c r="D30" s="29" t="s">
        <v>99</v>
      </c>
      <c r="E30" s="29">
        <v>30</v>
      </c>
      <c r="F30" s="32">
        <v>65</v>
      </c>
      <c r="G30" s="32">
        <f t="shared" si="0"/>
        <v>1950</v>
      </c>
      <c r="H30" s="29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</row>
    <row r="31" s="16" customFormat="1" ht="15" customHeight="1" spans="1:20">
      <c r="A31" s="54">
        <v>28</v>
      </c>
      <c r="B31" s="59">
        <v>46221</v>
      </c>
      <c r="C31" s="29" t="s">
        <v>36</v>
      </c>
      <c r="D31" s="29" t="s">
        <v>107</v>
      </c>
      <c r="E31" s="29">
        <v>100</v>
      </c>
      <c r="F31" s="32">
        <v>90</v>
      </c>
      <c r="G31" s="32">
        <f t="shared" si="0"/>
        <v>9000</v>
      </c>
      <c r="H31" s="29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</row>
    <row r="32" s="16" customFormat="1" ht="15" customHeight="1" spans="1:20">
      <c r="A32" s="54">
        <v>29</v>
      </c>
      <c r="B32" s="55">
        <v>46213</v>
      </c>
      <c r="C32" s="30" t="s">
        <v>45</v>
      </c>
      <c r="D32" s="54" t="s">
        <v>107</v>
      </c>
      <c r="E32" s="54">
        <v>20</v>
      </c>
      <c r="F32" s="57">
        <v>93</v>
      </c>
      <c r="G32" s="57">
        <f t="shared" si="0"/>
        <v>1860</v>
      </c>
      <c r="H32" s="5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</row>
    <row r="33" s="16" customFormat="1" ht="15" customHeight="1" spans="1:20">
      <c r="A33" s="54">
        <v>30</v>
      </c>
      <c r="B33" s="55">
        <v>46213</v>
      </c>
      <c r="C33" s="30" t="s">
        <v>45</v>
      </c>
      <c r="D33" s="29" t="s">
        <v>101</v>
      </c>
      <c r="E33" s="29">
        <v>5</v>
      </c>
      <c r="F33" s="32">
        <v>50</v>
      </c>
      <c r="G33" s="32">
        <f t="shared" si="0"/>
        <v>250</v>
      </c>
      <c r="H33" s="29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</row>
    <row r="34" s="16" customFormat="1" ht="15" customHeight="1" spans="1:20">
      <c r="A34" s="54">
        <v>31</v>
      </c>
      <c r="B34" s="55">
        <v>46213</v>
      </c>
      <c r="C34" s="30" t="s">
        <v>45</v>
      </c>
      <c r="D34" s="54" t="s">
        <v>99</v>
      </c>
      <c r="E34" s="54">
        <v>3</v>
      </c>
      <c r="F34" s="57">
        <v>68</v>
      </c>
      <c r="G34" s="57">
        <f t="shared" si="0"/>
        <v>204</v>
      </c>
      <c r="H34" s="5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</row>
    <row r="35" s="16" customFormat="1" ht="15" customHeight="1" spans="1:20">
      <c r="A35" s="54">
        <v>32</v>
      </c>
      <c r="B35" s="55">
        <v>46213</v>
      </c>
      <c r="C35" s="30" t="s">
        <v>45</v>
      </c>
      <c r="D35" s="29" t="s">
        <v>102</v>
      </c>
      <c r="E35" s="29">
        <v>3</v>
      </c>
      <c r="F35" s="32">
        <v>58</v>
      </c>
      <c r="G35" s="32">
        <f t="shared" si="0"/>
        <v>174</v>
      </c>
      <c r="H35" s="29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</row>
    <row r="36" s="16" customFormat="1" ht="15" customHeight="1" spans="1:20">
      <c r="A36" s="54">
        <v>33</v>
      </c>
      <c r="B36" s="55">
        <v>46222</v>
      </c>
      <c r="C36" s="30" t="s">
        <v>45</v>
      </c>
      <c r="D36" s="54" t="s">
        <v>102</v>
      </c>
      <c r="E36" s="54">
        <v>12</v>
      </c>
      <c r="F36" s="57">
        <v>58</v>
      </c>
      <c r="G36" s="57">
        <f t="shared" si="0"/>
        <v>696</v>
      </c>
      <c r="H36" s="5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</row>
    <row r="37" s="16" customFormat="1" ht="15" customHeight="1" spans="1:20">
      <c r="A37" s="54">
        <v>34</v>
      </c>
      <c r="B37" s="55">
        <v>46222</v>
      </c>
      <c r="C37" s="30" t="s">
        <v>45</v>
      </c>
      <c r="D37" s="29" t="s">
        <v>103</v>
      </c>
      <c r="E37" s="29">
        <v>10</v>
      </c>
      <c r="F37" s="32">
        <v>46</v>
      </c>
      <c r="G37" s="32">
        <f t="shared" si="0"/>
        <v>460</v>
      </c>
      <c r="H37" s="29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</row>
    <row r="38" s="16" customFormat="1" ht="15" customHeight="1" spans="1:20">
      <c r="A38" s="54">
        <v>35</v>
      </c>
      <c r="B38" s="59">
        <v>46219</v>
      </c>
      <c r="C38" s="29" t="s">
        <v>45</v>
      </c>
      <c r="D38" s="29" t="s">
        <v>107</v>
      </c>
      <c r="E38" s="29">
        <v>25</v>
      </c>
      <c r="F38" s="32">
        <v>93</v>
      </c>
      <c r="G38" s="32">
        <f t="shared" si="0"/>
        <v>2325</v>
      </c>
      <c r="H38" s="29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</row>
    <row r="39" s="16" customFormat="1" ht="15" customHeight="1" spans="1:20">
      <c r="A39" s="54">
        <v>36</v>
      </c>
      <c r="B39" s="59">
        <v>46219</v>
      </c>
      <c r="C39" s="29" t="s">
        <v>45</v>
      </c>
      <c r="D39" s="54" t="s">
        <v>99</v>
      </c>
      <c r="E39" s="54">
        <v>11</v>
      </c>
      <c r="F39" s="57">
        <v>68</v>
      </c>
      <c r="G39" s="57">
        <f t="shared" si="0"/>
        <v>748</v>
      </c>
      <c r="H39" s="5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</row>
    <row r="40" s="16" customFormat="1" ht="15" customHeight="1" spans="1:20">
      <c r="A40" s="54">
        <v>37</v>
      </c>
      <c r="B40" s="59">
        <v>46219</v>
      </c>
      <c r="C40" s="29" t="s">
        <v>45</v>
      </c>
      <c r="D40" s="29" t="s">
        <v>108</v>
      </c>
      <c r="E40" s="29">
        <v>2</v>
      </c>
      <c r="F40" s="32">
        <v>72</v>
      </c>
      <c r="G40" s="32">
        <f t="shared" si="0"/>
        <v>144</v>
      </c>
      <c r="H40" s="29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</row>
    <row r="41" s="16" customFormat="1" ht="15" customHeight="1" spans="1:20">
      <c r="A41" s="54">
        <v>38</v>
      </c>
      <c r="B41" s="59">
        <v>46219</v>
      </c>
      <c r="C41" s="29" t="s">
        <v>45</v>
      </c>
      <c r="D41" s="54" t="s">
        <v>109</v>
      </c>
      <c r="E41" s="54">
        <v>2</v>
      </c>
      <c r="F41" s="57">
        <v>50</v>
      </c>
      <c r="G41" s="57">
        <f t="shared" si="0"/>
        <v>100</v>
      </c>
      <c r="H41" s="5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</row>
    <row r="42" s="16" customFormat="1" ht="15" customHeight="1" spans="1:20">
      <c r="A42" s="54">
        <v>39</v>
      </c>
      <c r="B42" s="59">
        <v>46219</v>
      </c>
      <c r="C42" s="29" t="s">
        <v>45</v>
      </c>
      <c r="D42" s="29" t="s">
        <v>100</v>
      </c>
      <c r="E42" s="29">
        <v>2</v>
      </c>
      <c r="F42" s="32">
        <v>51</v>
      </c>
      <c r="G42" s="32">
        <f t="shared" si="0"/>
        <v>102</v>
      </c>
      <c r="H42" s="29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</row>
    <row r="43" s="16" customFormat="1" ht="15" customHeight="1" spans="1:20">
      <c r="A43" s="54">
        <v>40</v>
      </c>
      <c r="B43" s="59">
        <v>46219</v>
      </c>
      <c r="C43" s="29" t="s">
        <v>45</v>
      </c>
      <c r="D43" s="30" t="s">
        <v>110</v>
      </c>
      <c r="E43" s="54">
        <v>4</v>
      </c>
      <c r="F43" s="57">
        <v>46</v>
      </c>
      <c r="G43" s="57">
        <f t="shared" si="0"/>
        <v>184</v>
      </c>
      <c r="H43" s="5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</row>
    <row r="44" s="16" customFormat="1" ht="16" customHeight="1" spans="1:20">
      <c r="A44" s="54">
        <v>41</v>
      </c>
      <c r="B44" s="55">
        <v>46210</v>
      </c>
      <c r="C44" s="29" t="s">
        <v>40</v>
      </c>
      <c r="D44" s="54" t="s">
        <v>99</v>
      </c>
      <c r="E44" s="54">
        <v>2</v>
      </c>
      <c r="F44" s="57">
        <v>68</v>
      </c>
      <c r="G44" s="57">
        <f t="shared" si="0"/>
        <v>136</v>
      </c>
      <c r="H44" s="5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</row>
    <row r="45" s="16" customFormat="1" ht="15" customHeight="1" spans="1:20">
      <c r="A45" s="54">
        <v>42</v>
      </c>
      <c r="B45" s="55">
        <v>46210</v>
      </c>
      <c r="C45" s="29" t="s">
        <v>40</v>
      </c>
      <c r="D45" s="29" t="s">
        <v>102</v>
      </c>
      <c r="E45" s="29">
        <v>2</v>
      </c>
      <c r="F45" s="32">
        <v>58</v>
      </c>
      <c r="G45" s="32">
        <f t="shared" si="0"/>
        <v>116</v>
      </c>
      <c r="H45" s="29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</row>
    <row r="46" s="16" customFormat="1" ht="15" customHeight="1" spans="1:20">
      <c r="A46" s="54">
        <v>43</v>
      </c>
      <c r="B46" s="55">
        <v>46210</v>
      </c>
      <c r="C46" s="29" t="s">
        <v>40</v>
      </c>
      <c r="D46" s="54" t="s">
        <v>101</v>
      </c>
      <c r="E46" s="54">
        <v>3</v>
      </c>
      <c r="F46" s="57">
        <v>50</v>
      </c>
      <c r="G46" s="57">
        <f t="shared" si="0"/>
        <v>150</v>
      </c>
      <c r="H46" s="5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</row>
    <row r="47" s="16" customFormat="1" ht="15" customHeight="1" spans="1:20">
      <c r="A47" s="54">
        <v>44</v>
      </c>
      <c r="B47" s="55">
        <v>46210</v>
      </c>
      <c r="C47" s="29" t="s">
        <v>40</v>
      </c>
      <c r="D47" s="29" t="s">
        <v>103</v>
      </c>
      <c r="E47" s="29">
        <v>3</v>
      </c>
      <c r="F47" s="32">
        <v>46</v>
      </c>
      <c r="G47" s="32">
        <f t="shared" si="0"/>
        <v>138</v>
      </c>
      <c r="H47" s="29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</row>
    <row r="48" ht="15" customHeight="1" spans="1:20">
      <c r="A48" s="54">
        <v>45</v>
      </c>
      <c r="B48" s="59">
        <v>46220</v>
      </c>
      <c r="C48" s="30" t="s">
        <v>38</v>
      </c>
      <c r="D48" s="29" t="s">
        <v>107</v>
      </c>
      <c r="E48" s="29">
        <v>60</v>
      </c>
      <c r="F48" s="32">
        <v>90</v>
      </c>
      <c r="G48" s="32">
        <f t="shared" si="0"/>
        <v>5400</v>
      </c>
      <c r="H48" s="29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</row>
    <row r="49" ht="15" customHeight="1" spans="1:20">
      <c r="A49" s="54">
        <v>46</v>
      </c>
      <c r="B49" s="55">
        <v>46212</v>
      </c>
      <c r="C49" s="60" t="s">
        <v>76</v>
      </c>
      <c r="D49" s="60" t="s">
        <v>101</v>
      </c>
      <c r="E49" s="54">
        <v>3</v>
      </c>
      <c r="F49" s="57">
        <v>50</v>
      </c>
      <c r="G49" s="57">
        <f t="shared" si="0"/>
        <v>150</v>
      </c>
      <c r="H49" s="5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</row>
    <row r="50" ht="15" customHeight="1" spans="1:20">
      <c r="A50" s="54">
        <v>47</v>
      </c>
      <c r="B50" s="55">
        <v>46212</v>
      </c>
      <c r="C50" s="60" t="s">
        <v>76</v>
      </c>
      <c r="D50" s="60" t="s">
        <v>103</v>
      </c>
      <c r="E50" s="29">
        <v>2</v>
      </c>
      <c r="F50" s="32">
        <v>46</v>
      </c>
      <c r="G50" s="32">
        <f t="shared" si="0"/>
        <v>92</v>
      </c>
      <c r="H50" s="29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</row>
    <row r="51" ht="15" customHeight="1" spans="1:20">
      <c r="A51" s="54">
        <v>48</v>
      </c>
      <c r="B51" s="59">
        <v>46226</v>
      </c>
      <c r="C51" s="29" t="s">
        <v>56</v>
      </c>
      <c r="D51" s="29" t="s">
        <v>99</v>
      </c>
      <c r="E51" s="29">
        <v>10</v>
      </c>
      <c r="F51" s="32">
        <v>65</v>
      </c>
      <c r="G51" s="32">
        <f t="shared" si="0"/>
        <v>650</v>
      </c>
      <c r="H51" s="29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</row>
    <row r="52" ht="15" customHeight="1" spans="1:20">
      <c r="A52" s="54">
        <v>49</v>
      </c>
      <c r="B52" s="55">
        <v>46226</v>
      </c>
      <c r="C52" s="54" t="s">
        <v>56</v>
      </c>
      <c r="D52" s="54" t="s">
        <v>111</v>
      </c>
      <c r="E52" s="54">
        <v>35</v>
      </c>
      <c r="F52" s="57">
        <v>51</v>
      </c>
      <c r="G52" s="57">
        <f t="shared" si="0"/>
        <v>1785</v>
      </c>
      <c r="H52" s="5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</row>
    <row r="53" ht="15" customHeight="1" spans="1:20">
      <c r="A53" s="54">
        <v>50</v>
      </c>
      <c r="B53" s="55">
        <v>46209</v>
      </c>
      <c r="C53" s="29" t="s">
        <v>44</v>
      </c>
      <c r="D53" s="54" t="s">
        <v>107</v>
      </c>
      <c r="E53" s="54">
        <v>200</v>
      </c>
      <c r="F53" s="57">
        <v>90</v>
      </c>
      <c r="G53" s="57">
        <f t="shared" si="0"/>
        <v>18000</v>
      </c>
      <c r="H53" s="5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</row>
    <row r="54" ht="15" customHeight="1" spans="1:20">
      <c r="A54" s="54">
        <v>51</v>
      </c>
      <c r="B54" s="55">
        <v>46201</v>
      </c>
      <c r="C54" s="30" t="s">
        <v>42</v>
      </c>
      <c r="D54" s="54" t="s">
        <v>107</v>
      </c>
      <c r="E54" s="54">
        <v>100</v>
      </c>
      <c r="F54" s="57">
        <v>90</v>
      </c>
      <c r="G54" s="32">
        <f t="shared" si="0"/>
        <v>9000</v>
      </c>
      <c r="H54" s="58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15" customHeight="1" spans="1:20">
      <c r="A55" s="54">
        <v>52</v>
      </c>
      <c r="B55" s="59">
        <v>46227</v>
      </c>
      <c r="C55" s="29" t="s">
        <v>42</v>
      </c>
      <c r="D55" s="29" t="s">
        <v>101</v>
      </c>
      <c r="E55" s="29">
        <v>17.5</v>
      </c>
      <c r="F55" s="32">
        <v>47</v>
      </c>
      <c r="G55" s="32">
        <f t="shared" si="0"/>
        <v>822.5</v>
      </c>
      <c r="H55" s="29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</row>
    <row r="56" s="16" customFormat="1" ht="15" customHeight="1" spans="1:20">
      <c r="A56" s="54">
        <v>53</v>
      </c>
      <c r="B56" s="59">
        <v>46227</v>
      </c>
      <c r="C56" s="29" t="s">
        <v>42</v>
      </c>
      <c r="D56" s="54" t="s">
        <v>103</v>
      </c>
      <c r="E56" s="54">
        <v>5</v>
      </c>
      <c r="F56" s="57">
        <v>43</v>
      </c>
      <c r="G56" s="57">
        <f t="shared" si="0"/>
        <v>215</v>
      </c>
      <c r="H56" s="5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</row>
    <row r="57" s="16" customFormat="1" ht="15" customHeight="1" spans="1:20">
      <c r="A57" s="54">
        <v>54</v>
      </c>
      <c r="B57" s="59">
        <v>46225</v>
      </c>
      <c r="C57" s="29" t="s">
        <v>42</v>
      </c>
      <c r="D57" s="29" t="s">
        <v>103</v>
      </c>
      <c r="E57" s="29">
        <v>2</v>
      </c>
      <c r="F57" s="32">
        <v>43</v>
      </c>
      <c r="G57" s="32">
        <f t="shared" si="0"/>
        <v>86</v>
      </c>
      <c r="H57" s="29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</row>
    <row r="58" s="16" customFormat="1" ht="15" customHeight="1" spans="1:20">
      <c r="A58" s="54">
        <v>55</v>
      </c>
      <c r="B58" s="59">
        <v>46225</v>
      </c>
      <c r="C58" s="29" t="s">
        <v>42</v>
      </c>
      <c r="D58" s="54" t="s">
        <v>101</v>
      </c>
      <c r="E58" s="54">
        <v>3</v>
      </c>
      <c r="F58" s="57">
        <v>47</v>
      </c>
      <c r="G58" s="57">
        <f t="shared" si="0"/>
        <v>141</v>
      </c>
      <c r="H58" s="5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</row>
    <row r="59" s="16" customFormat="1" ht="15" customHeight="1" spans="1:20">
      <c r="A59" s="54">
        <v>56</v>
      </c>
      <c r="B59" s="59">
        <v>46225</v>
      </c>
      <c r="C59" s="29" t="s">
        <v>42</v>
      </c>
      <c r="D59" s="29" t="s">
        <v>102</v>
      </c>
      <c r="E59" s="29">
        <v>3</v>
      </c>
      <c r="F59" s="32">
        <v>55</v>
      </c>
      <c r="G59" s="32">
        <f t="shared" si="0"/>
        <v>165</v>
      </c>
      <c r="H59" s="29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</row>
    <row r="60" s="16" customFormat="1" ht="15" customHeight="1" spans="1:20">
      <c r="A60" s="54">
        <v>57</v>
      </c>
      <c r="B60" s="59">
        <v>46225</v>
      </c>
      <c r="C60" s="29" t="s">
        <v>42</v>
      </c>
      <c r="D60" s="54" t="s">
        <v>109</v>
      </c>
      <c r="E60" s="54">
        <v>1</v>
      </c>
      <c r="F60" s="57">
        <v>47</v>
      </c>
      <c r="G60" s="57">
        <f t="shared" si="0"/>
        <v>47</v>
      </c>
      <c r="H60" s="5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</row>
    <row r="61" s="16" customFormat="1" ht="15" customHeight="1" spans="1:20">
      <c r="A61" s="54">
        <v>58</v>
      </c>
      <c r="B61" s="55">
        <v>46230</v>
      </c>
      <c r="C61" s="54" t="s">
        <v>42</v>
      </c>
      <c r="D61" s="54" t="s">
        <v>107</v>
      </c>
      <c r="E61" s="54">
        <v>100</v>
      </c>
      <c r="F61" s="57">
        <v>90</v>
      </c>
      <c r="G61" s="57">
        <f t="shared" si="0"/>
        <v>9000</v>
      </c>
      <c r="H61" s="5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</row>
    <row r="62" s="16" customFormat="1" ht="15" customHeight="1" spans="1:20">
      <c r="A62" s="54">
        <v>59</v>
      </c>
      <c r="B62" s="55">
        <v>46195</v>
      </c>
      <c r="C62" s="54" t="s">
        <v>19</v>
      </c>
      <c r="D62" s="56" t="s">
        <v>112</v>
      </c>
      <c r="E62" s="54">
        <v>4</v>
      </c>
      <c r="F62" s="57">
        <v>54</v>
      </c>
      <c r="G62" s="57">
        <f t="shared" si="0"/>
        <v>216</v>
      </c>
      <c r="H62" s="54" t="s">
        <v>113</v>
      </c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</row>
    <row r="63" s="16" customFormat="1" ht="15" customHeight="1" spans="1:20">
      <c r="A63" s="54">
        <v>60</v>
      </c>
      <c r="B63" s="59">
        <v>46195</v>
      </c>
      <c r="C63" s="29" t="s">
        <v>19</v>
      </c>
      <c r="D63" s="56" t="s">
        <v>112</v>
      </c>
      <c r="E63" s="29">
        <v>5</v>
      </c>
      <c r="F63" s="32">
        <v>54</v>
      </c>
      <c r="G63" s="32">
        <f t="shared" si="0"/>
        <v>270</v>
      </c>
      <c r="H63" s="29" t="s">
        <v>114</v>
      </c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</row>
    <row r="64" s="16" customFormat="1" ht="15" customHeight="1" spans="1:20">
      <c r="A64" s="54">
        <v>61</v>
      </c>
      <c r="B64" s="55">
        <v>46200</v>
      </c>
      <c r="C64" s="54" t="s">
        <v>19</v>
      </c>
      <c r="D64" s="56" t="s">
        <v>112</v>
      </c>
      <c r="E64" s="54">
        <v>6</v>
      </c>
      <c r="F64" s="57">
        <v>54</v>
      </c>
      <c r="G64" s="32">
        <f t="shared" si="0"/>
        <v>324</v>
      </c>
      <c r="H64" s="54" t="s">
        <v>115</v>
      </c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</row>
    <row r="65" s="16" customFormat="1" ht="15" customHeight="1" spans="1:20">
      <c r="A65" s="54">
        <v>62</v>
      </c>
      <c r="B65" s="59">
        <v>46203</v>
      </c>
      <c r="C65" s="54" t="s">
        <v>19</v>
      </c>
      <c r="D65" s="54" t="s">
        <v>112</v>
      </c>
      <c r="E65" s="54">
        <v>10</v>
      </c>
      <c r="F65" s="57">
        <v>54</v>
      </c>
      <c r="G65" s="32">
        <f t="shared" si="0"/>
        <v>540</v>
      </c>
      <c r="H65" s="54" t="s">
        <v>116</v>
      </c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</row>
    <row r="66" s="16" customFormat="1" ht="15" customHeight="1" spans="1:20">
      <c r="A66" s="54">
        <v>63</v>
      </c>
      <c r="B66" s="59">
        <v>46203</v>
      </c>
      <c r="C66" s="54" t="s">
        <v>19</v>
      </c>
      <c r="D66" s="29" t="s">
        <v>117</v>
      </c>
      <c r="E66" s="29">
        <v>2</v>
      </c>
      <c r="F66" s="32">
        <v>25</v>
      </c>
      <c r="G66" s="32">
        <f t="shared" si="0"/>
        <v>50</v>
      </c>
      <c r="H66" s="29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</row>
    <row r="67" s="16" customFormat="1" ht="15" customHeight="1" spans="1:20">
      <c r="A67" s="54">
        <v>64</v>
      </c>
      <c r="B67" s="55">
        <v>46204</v>
      </c>
      <c r="C67" s="54" t="s">
        <v>19</v>
      </c>
      <c r="D67" s="54" t="s">
        <v>112</v>
      </c>
      <c r="E67" s="54">
        <v>2</v>
      </c>
      <c r="F67" s="57">
        <v>54</v>
      </c>
      <c r="G67" s="32">
        <f t="shared" si="0"/>
        <v>108</v>
      </c>
      <c r="H67" s="54" t="s">
        <v>118</v>
      </c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</row>
    <row r="68" s="16" customFormat="1" ht="15" customHeight="1" spans="1:20">
      <c r="A68" s="54">
        <v>65</v>
      </c>
      <c r="B68" s="59">
        <v>46204</v>
      </c>
      <c r="C68" s="29" t="s">
        <v>19</v>
      </c>
      <c r="D68" s="29" t="s">
        <v>119</v>
      </c>
      <c r="E68" s="29">
        <v>50</v>
      </c>
      <c r="F68" s="32">
        <v>14</v>
      </c>
      <c r="G68" s="32">
        <f t="shared" ref="G68:G94" si="1">IF(AND(E68&lt;&gt;"",F68&lt;&gt;""),E68*F68,"")</f>
        <v>700</v>
      </c>
      <c r="H68" s="29" t="s">
        <v>118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="16" customFormat="1" ht="15" customHeight="1" spans="1:20">
      <c r="A69" s="54">
        <v>66</v>
      </c>
      <c r="B69" s="55">
        <v>46204</v>
      </c>
      <c r="C69" s="29" t="s">
        <v>19</v>
      </c>
      <c r="D69" s="54" t="s">
        <v>119</v>
      </c>
      <c r="E69" s="54">
        <v>-6.5</v>
      </c>
      <c r="F69" s="57">
        <v>14</v>
      </c>
      <c r="G69" s="57">
        <f t="shared" si="1"/>
        <v>-91</v>
      </c>
      <c r="H69" s="5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="16" customFormat="1" ht="15" customHeight="1" spans="1:20">
      <c r="A70" s="54">
        <v>67</v>
      </c>
      <c r="B70" s="59">
        <v>46205</v>
      </c>
      <c r="C70" s="29" t="s">
        <v>19</v>
      </c>
      <c r="D70" s="29" t="s">
        <v>112</v>
      </c>
      <c r="E70" s="29">
        <v>2</v>
      </c>
      <c r="F70" s="32">
        <v>54</v>
      </c>
      <c r="G70" s="32">
        <f t="shared" si="1"/>
        <v>108</v>
      </c>
      <c r="H70" s="29" t="s">
        <v>113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="16" customFormat="1" ht="15" customHeight="1" spans="1:20">
      <c r="A71" s="54">
        <v>68</v>
      </c>
      <c r="B71" s="55">
        <v>46206</v>
      </c>
      <c r="C71" s="29" t="s">
        <v>19</v>
      </c>
      <c r="D71" s="54" t="s">
        <v>112</v>
      </c>
      <c r="E71" s="54">
        <v>7</v>
      </c>
      <c r="F71" s="57">
        <v>54</v>
      </c>
      <c r="G71" s="57">
        <f t="shared" si="1"/>
        <v>378</v>
      </c>
      <c r="H71" s="54" t="s">
        <v>120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="16" customFormat="1" ht="15" customHeight="1" spans="1:20">
      <c r="A72" s="54">
        <v>69</v>
      </c>
      <c r="B72" s="59">
        <v>46206</v>
      </c>
      <c r="C72" s="29" t="s">
        <v>19</v>
      </c>
      <c r="D72" s="29" t="s">
        <v>121</v>
      </c>
      <c r="E72" s="29">
        <v>2</v>
      </c>
      <c r="F72" s="32">
        <v>65</v>
      </c>
      <c r="G72" s="32">
        <f t="shared" si="1"/>
        <v>130</v>
      </c>
      <c r="H72" s="29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="16" customFormat="1" ht="15" customHeight="1" spans="1:20">
      <c r="A73" s="54">
        <v>70</v>
      </c>
      <c r="B73" s="55">
        <v>46206</v>
      </c>
      <c r="C73" s="29" t="s">
        <v>19</v>
      </c>
      <c r="D73" s="54" t="s">
        <v>112</v>
      </c>
      <c r="E73" s="54">
        <v>4</v>
      </c>
      <c r="F73" s="57">
        <v>54</v>
      </c>
      <c r="G73" s="57">
        <f t="shared" si="1"/>
        <v>216</v>
      </c>
      <c r="H73" s="54" t="s">
        <v>122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="16" customFormat="1" ht="15" customHeight="1" spans="1:20">
      <c r="A74" s="54">
        <v>71</v>
      </c>
      <c r="B74" s="59">
        <v>46207</v>
      </c>
      <c r="C74" s="29" t="s">
        <v>19</v>
      </c>
      <c r="D74" s="29" t="s">
        <v>107</v>
      </c>
      <c r="E74" s="29">
        <v>100</v>
      </c>
      <c r="F74" s="32">
        <v>95</v>
      </c>
      <c r="G74" s="32">
        <f t="shared" si="1"/>
        <v>9500</v>
      </c>
      <c r="H74" s="29" t="s">
        <v>123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="16" customFormat="1" ht="15" customHeight="1" spans="1:20">
      <c r="A75" s="54">
        <v>72</v>
      </c>
      <c r="B75" s="55">
        <v>46210</v>
      </c>
      <c r="C75" s="29" t="s">
        <v>19</v>
      </c>
      <c r="D75" s="54" t="s">
        <v>121</v>
      </c>
      <c r="E75" s="54">
        <v>2</v>
      </c>
      <c r="F75" s="57">
        <v>65</v>
      </c>
      <c r="G75" s="57">
        <f t="shared" si="1"/>
        <v>130</v>
      </c>
      <c r="H75" s="54" t="s">
        <v>118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="16" customFormat="1" ht="15" customHeight="1" spans="1:20">
      <c r="A76" s="54">
        <v>73</v>
      </c>
      <c r="B76" s="59">
        <v>46217</v>
      </c>
      <c r="C76" s="29" t="s">
        <v>19</v>
      </c>
      <c r="D76" s="29" t="s">
        <v>112</v>
      </c>
      <c r="E76" s="29">
        <v>2</v>
      </c>
      <c r="F76" s="32">
        <v>54</v>
      </c>
      <c r="G76" s="32">
        <f t="shared" si="1"/>
        <v>108</v>
      </c>
      <c r="H76" s="29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</row>
    <row r="77" s="16" customFormat="1" ht="15" customHeight="1" spans="1:20">
      <c r="A77" s="54">
        <v>74</v>
      </c>
      <c r="B77" s="59">
        <v>46218</v>
      </c>
      <c r="C77" s="29" t="s">
        <v>19</v>
      </c>
      <c r="D77" s="29" t="s">
        <v>112</v>
      </c>
      <c r="E77" s="29">
        <v>5</v>
      </c>
      <c r="F77" s="32">
        <v>54</v>
      </c>
      <c r="G77" s="32">
        <f t="shared" si="1"/>
        <v>270</v>
      </c>
      <c r="H77" s="29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</row>
    <row r="78" s="16" customFormat="1" ht="15" customHeight="1" spans="1:20">
      <c r="A78" s="54">
        <v>75</v>
      </c>
      <c r="B78" s="59">
        <v>46218</v>
      </c>
      <c r="C78" s="29" t="s">
        <v>19</v>
      </c>
      <c r="D78" s="54" t="s">
        <v>124</v>
      </c>
      <c r="E78" s="54">
        <v>3.5</v>
      </c>
      <c r="F78" s="57">
        <v>25</v>
      </c>
      <c r="G78" s="57">
        <f t="shared" si="1"/>
        <v>87.5</v>
      </c>
      <c r="H78" s="5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</row>
    <row r="79" s="16" customFormat="1" ht="15" customHeight="1" spans="1:20">
      <c r="A79" s="54">
        <v>76</v>
      </c>
      <c r="B79" s="55">
        <v>46219</v>
      </c>
      <c r="C79" s="54" t="s">
        <v>19</v>
      </c>
      <c r="D79" s="54" t="s">
        <v>112</v>
      </c>
      <c r="E79" s="54">
        <v>3</v>
      </c>
      <c r="F79" s="57">
        <v>54</v>
      </c>
      <c r="G79" s="57">
        <f t="shared" si="1"/>
        <v>162</v>
      </c>
      <c r="H79" s="5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</row>
    <row r="80" s="16" customFormat="1" ht="15" customHeight="1" spans="1:20">
      <c r="A80" s="54">
        <v>77</v>
      </c>
      <c r="B80" s="55">
        <v>46211</v>
      </c>
      <c r="C80" s="30" t="s">
        <v>29</v>
      </c>
      <c r="D80" s="54" t="s">
        <v>107</v>
      </c>
      <c r="E80" s="54">
        <v>300</v>
      </c>
      <c r="F80" s="57">
        <v>90</v>
      </c>
      <c r="G80" s="57">
        <f t="shared" si="1"/>
        <v>27000</v>
      </c>
      <c r="H80" s="5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</row>
    <row r="81" s="16" customFormat="1" ht="15" customHeight="1" spans="1:20">
      <c r="A81" s="54">
        <v>78</v>
      </c>
      <c r="B81" s="59">
        <v>46211</v>
      </c>
      <c r="C81" s="29" t="s">
        <v>29</v>
      </c>
      <c r="D81" s="29" t="s">
        <v>101</v>
      </c>
      <c r="E81" s="29">
        <v>30</v>
      </c>
      <c r="F81" s="32">
        <v>47</v>
      </c>
      <c r="G81" s="32">
        <f t="shared" si="1"/>
        <v>1410</v>
      </c>
      <c r="H81" s="29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</row>
    <row r="82" s="16" customFormat="1" ht="15" customHeight="1" spans="1:20">
      <c r="A82" s="54">
        <v>79</v>
      </c>
      <c r="B82" s="55">
        <v>46226</v>
      </c>
      <c r="C82" s="54" t="s">
        <v>29</v>
      </c>
      <c r="D82" s="54" t="s">
        <v>104</v>
      </c>
      <c r="E82" s="54">
        <v>80</v>
      </c>
      <c r="F82" s="57">
        <v>83</v>
      </c>
      <c r="G82" s="57">
        <f t="shared" si="1"/>
        <v>6640</v>
      </c>
      <c r="H82" s="5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</row>
    <row r="83" s="16" customFormat="1" ht="15" customHeight="1" spans="1:20">
      <c r="A83" s="54">
        <v>80</v>
      </c>
      <c r="B83" s="55">
        <v>46219</v>
      </c>
      <c r="C83" s="54" t="s">
        <v>17</v>
      </c>
      <c r="D83" s="54" t="s">
        <v>107</v>
      </c>
      <c r="E83" s="54">
        <v>50</v>
      </c>
      <c r="F83" s="57">
        <v>90</v>
      </c>
      <c r="G83" s="57">
        <f t="shared" si="1"/>
        <v>4500</v>
      </c>
      <c r="H83" s="5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</row>
    <row r="84" s="16" customFormat="1" ht="15" customHeight="1" spans="1:20">
      <c r="A84" s="54">
        <v>81</v>
      </c>
      <c r="B84" s="55">
        <v>46221</v>
      </c>
      <c r="C84" s="30" t="s">
        <v>31</v>
      </c>
      <c r="D84" s="29" t="s">
        <v>107</v>
      </c>
      <c r="E84" s="29">
        <v>35</v>
      </c>
      <c r="F84" s="31">
        <v>90</v>
      </c>
      <c r="G84" s="57">
        <f t="shared" si="1"/>
        <v>3150</v>
      </c>
      <c r="H84" s="54" t="s">
        <v>125</v>
      </c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</row>
    <row r="85" s="16" customFormat="1" ht="15" customHeight="1" spans="1:20">
      <c r="A85" s="54">
        <v>82</v>
      </c>
      <c r="B85" s="55">
        <v>46202</v>
      </c>
      <c r="C85" s="29" t="s">
        <v>25</v>
      </c>
      <c r="D85" s="56" t="s">
        <v>99</v>
      </c>
      <c r="E85" s="54">
        <v>4</v>
      </c>
      <c r="F85" s="57">
        <v>65</v>
      </c>
      <c r="G85" s="32">
        <f t="shared" si="1"/>
        <v>260</v>
      </c>
      <c r="H85" s="5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</row>
    <row r="86" s="16" customFormat="1" ht="15" customHeight="1" spans="1:20">
      <c r="A86" s="54">
        <v>83</v>
      </c>
      <c r="B86" s="55">
        <v>46209</v>
      </c>
      <c r="C86" s="54" t="s">
        <v>25</v>
      </c>
      <c r="D86" s="54" t="s">
        <v>99</v>
      </c>
      <c r="E86" s="54">
        <v>16.5</v>
      </c>
      <c r="F86" s="57">
        <v>65</v>
      </c>
      <c r="G86" s="32">
        <f t="shared" si="1"/>
        <v>1072.5</v>
      </c>
      <c r="H86" s="5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</row>
    <row r="87" s="16" customFormat="1" ht="15" customHeight="1" spans="1:20">
      <c r="A87" s="54">
        <v>84</v>
      </c>
      <c r="B87" s="55">
        <v>46226</v>
      </c>
      <c r="C87" s="54" t="s">
        <v>25</v>
      </c>
      <c r="D87" s="54" t="s">
        <v>111</v>
      </c>
      <c r="E87" s="54">
        <v>5</v>
      </c>
      <c r="F87" s="57">
        <v>51</v>
      </c>
      <c r="G87" s="57">
        <f t="shared" si="1"/>
        <v>255</v>
      </c>
      <c r="H87" s="5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</row>
    <row r="88" s="16" customFormat="1" ht="15" customHeight="1" spans="1:20">
      <c r="A88" s="54">
        <v>85</v>
      </c>
      <c r="B88" s="55">
        <v>46227</v>
      </c>
      <c r="C88" s="30" t="s">
        <v>58</v>
      </c>
      <c r="D88" s="54" t="s">
        <v>99</v>
      </c>
      <c r="E88" s="54">
        <v>50</v>
      </c>
      <c r="F88" s="57">
        <v>65</v>
      </c>
      <c r="G88" s="57">
        <f t="shared" si="1"/>
        <v>3250</v>
      </c>
      <c r="H88" s="58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="16" customFormat="1" ht="15" customHeight="1" spans="1:20">
      <c r="A89" s="54">
        <v>86</v>
      </c>
      <c r="B89" s="55">
        <v>46227</v>
      </c>
      <c r="C89" s="30" t="s">
        <v>58</v>
      </c>
      <c r="D89" s="29" t="s">
        <v>102</v>
      </c>
      <c r="E89" s="29">
        <v>50</v>
      </c>
      <c r="F89" s="32">
        <v>55</v>
      </c>
      <c r="G89" s="32">
        <f t="shared" si="1"/>
        <v>2750</v>
      </c>
      <c r="H89" s="1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="16" customFormat="1" ht="15" customHeight="1" spans="1:20">
      <c r="A90" s="54">
        <v>87</v>
      </c>
      <c r="B90" s="55">
        <v>46227</v>
      </c>
      <c r="C90" s="30" t="s">
        <v>58</v>
      </c>
      <c r="D90" s="54" t="s">
        <v>103</v>
      </c>
      <c r="E90" s="54">
        <v>50</v>
      </c>
      <c r="F90" s="57">
        <v>43</v>
      </c>
      <c r="G90" s="57">
        <f t="shared" si="1"/>
        <v>2150</v>
      </c>
      <c r="H90" s="58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="16" customFormat="1" ht="15" customHeight="1" spans="1:20">
      <c r="A91" s="54">
        <v>88</v>
      </c>
      <c r="B91" s="55">
        <v>46227</v>
      </c>
      <c r="C91" s="30" t="s">
        <v>58</v>
      </c>
      <c r="D91" s="29" t="s">
        <v>104</v>
      </c>
      <c r="E91" s="29">
        <v>14</v>
      </c>
      <c r="F91" s="32">
        <v>83</v>
      </c>
      <c r="G91" s="32">
        <f t="shared" si="1"/>
        <v>1162</v>
      </c>
      <c r="H91" s="1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="16" customFormat="1" ht="15" customHeight="1" spans="1:20">
      <c r="A92" s="54">
        <v>89</v>
      </c>
      <c r="B92" s="59">
        <v>46227</v>
      </c>
      <c r="C92" s="29" t="s">
        <v>60</v>
      </c>
      <c r="D92" s="29" t="s">
        <v>101</v>
      </c>
      <c r="E92" s="29">
        <v>6</v>
      </c>
      <c r="F92" s="32">
        <v>50</v>
      </c>
      <c r="G92" s="32">
        <f t="shared" si="1"/>
        <v>300</v>
      </c>
      <c r="H92" s="29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</row>
    <row r="93" s="16" customFormat="1" ht="15" customHeight="1" spans="1:20">
      <c r="A93" s="54">
        <v>90</v>
      </c>
      <c r="B93" s="59">
        <v>46227</v>
      </c>
      <c r="C93" s="29" t="s">
        <v>60</v>
      </c>
      <c r="D93" s="30" t="s">
        <v>110</v>
      </c>
      <c r="E93" s="29">
        <v>1</v>
      </c>
      <c r="F93" s="32">
        <v>46</v>
      </c>
      <c r="G93" s="32">
        <f t="shared" si="1"/>
        <v>46</v>
      </c>
      <c r="H93" s="29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</row>
    <row r="94" s="16" customFormat="1" ht="15" customHeight="1" spans="1:20">
      <c r="A94" s="54">
        <v>91</v>
      </c>
      <c r="B94" s="55">
        <v>46219</v>
      </c>
      <c r="C94" s="29" t="s">
        <v>60</v>
      </c>
      <c r="D94" s="54" t="s">
        <v>102</v>
      </c>
      <c r="E94" s="54">
        <v>4</v>
      </c>
      <c r="F94" s="57">
        <v>58</v>
      </c>
      <c r="G94" s="57">
        <f t="shared" si="1"/>
        <v>232</v>
      </c>
      <c r="H94" s="5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</row>
    <row r="95" s="16" customFormat="1" ht="15" customHeight="1" spans="1:20">
      <c r="A95" s="54">
        <v>92</v>
      </c>
      <c r="B95" s="55">
        <v>46219</v>
      </c>
      <c r="C95" s="29" t="s">
        <v>60</v>
      </c>
      <c r="D95" s="29" t="s">
        <v>99</v>
      </c>
      <c r="E95" s="29">
        <v>11</v>
      </c>
      <c r="F95" s="32">
        <v>68</v>
      </c>
      <c r="G95" s="32">
        <v>680</v>
      </c>
      <c r="H95" s="29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</row>
    <row r="96" s="16" customFormat="1" ht="15" customHeight="1" spans="1:20">
      <c r="A96" s="54">
        <v>93</v>
      </c>
      <c r="B96" s="55">
        <v>46219</v>
      </c>
      <c r="C96" s="29" t="s">
        <v>60</v>
      </c>
      <c r="D96" s="54" t="s">
        <v>101</v>
      </c>
      <c r="E96" s="54">
        <v>3</v>
      </c>
      <c r="F96" s="57">
        <v>50</v>
      </c>
      <c r="G96" s="57">
        <f t="shared" ref="G96:G159" si="2">IF(AND(E96&lt;&gt;"",F96&lt;&gt;""),E96*F96,"")</f>
        <v>150</v>
      </c>
      <c r="H96" s="5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</row>
    <row r="97" s="16" customFormat="1" ht="15" customHeight="1" spans="1:20">
      <c r="A97" s="54">
        <v>94</v>
      </c>
      <c r="B97" s="55">
        <v>46219</v>
      </c>
      <c r="C97" s="29" t="s">
        <v>60</v>
      </c>
      <c r="D97" s="29" t="s">
        <v>103</v>
      </c>
      <c r="E97" s="29">
        <v>6</v>
      </c>
      <c r="F97" s="32">
        <v>46</v>
      </c>
      <c r="G97" s="32">
        <f t="shared" si="2"/>
        <v>276</v>
      </c>
      <c r="H97" s="29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</row>
    <row r="98" s="16" customFormat="1" ht="15" customHeight="1" spans="1:20">
      <c r="A98" s="54">
        <v>95</v>
      </c>
      <c r="B98" s="55">
        <v>46213</v>
      </c>
      <c r="C98" s="54" t="s">
        <v>26</v>
      </c>
      <c r="D98" s="54" t="s">
        <v>107</v>
      </c>
      <c r="E98" s="54">
        <v>50</v>
      </c>
      <c r="F98" s="57">
        <v>90</v>
      </c>
      <c r="G98" s="57">
        <f t="shared" si="2"/>
        <v>4500</v>
      </c>
      <c r="H98" s="5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</row>
    <row r="99" s="16" customFormat="1" ht="15" customHeight="1" spans="1:20">
      <c r="A99" s="54">
        <v>96</v>
      </c>
      <c r="B99" s="59">
        <v>46200</v>
      </c>
      <c r="C99" s="29" t="s">
        <v>22</v>
      </c>
      <c r="D99" s="29" t="s">
        <v>101</v>
      </c>
      <c r="E99" s="29">
        <v>2</v>
      </c>
      <c r="F99" s="32">
        <v>50</v>
      </c>
      <c r="G99" s="32">
        <f t="shared" si="2"/>
        <v>100</v>
      </c>
      <c r="H99" s="1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="16" customFormat="1" ht="15" customHeight="1" spans="1:20">
      <c r="A100" s="54">
        <v>97</v>
      </c>
      <c r="B100" s="59">
        <v>46210</v>
      </c>
      <c r="C100" s="29" t="s">
        <v>22</v>
      </c>
      <c r="D100" s="29" t="s">
        <v>99</v>
      </c>
      <c r="E100" s="29">
        <v>2</v>
      </c>
      <c r="F100" s="32">
        <v>68</v>
      </c>
      <c r="G100" s="32">
        <f t="shared" si="2"/>
        <v>136</v>
      </c>
      <c r="H100" s="29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</row>
    <row r="101" s="16" customFormat="1" ht="15" customHeight="1" spans="1:20">
      <c r="A101" s="54">
        <v>98</v>
      </c>
      <c r="B101" s="59">
        <v>46210</v>
      </c>
      <c r="C101" s="29" t="s">
        <v>22</v>
      </c>
      <c r="D101" s="54" t="s">
        <v>101</v>
      </c>
      <c r="E101" s="54">
        <v>2</v>
      </c>
      <c r="F101" s="57">
        <v>50</v>
      </c>
      <c r="G101" s="32">
        <f t="shared" si="2"/>
        <v>100</v>
      </c>
      <c r="H101" s="5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</row>
    <row r="102" s="16" customFormat="1" ht="15" customHeight="1" spans="1:20">
      <c r="A102" s="54">
        <v>99</v>
      </c>
      <c r="B102" s="55">
        <v>46204</v>
      </c>
      <c r="C102" s="30" t="s">
        <v>37</v>
      </c>
      <c r="D102" s="30" t="s">
        <v>99</v>
      </c>
      <c r="E102" s="54">
        <v>10</v>
      </c>
      <c r="F102" s="57">
        <v>65</v>
      </c>
      <c r="G102" s="32">
        <f t="shared" si="2"/>
        <v>650</v>
      </c>
      <c r="H102" s="5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</row>
    <row r="103" s="16" customFormat="1" ht="15" customHeight="1" spans="1:20">
      <c r="A103" s="54">
        <v>100</v>
      </c>
      <c r="B103" s="55">
        <v>46213</v>
      </c>
      <c r="C103" s="54" t="s">
        <v>37</v>
      </c>
      <c r="D103" s="54" t="s">
        <v>99</v>
      </c>
      <c r="E103" s="54">
        <v>20</v>
      </c>
      <c r="F103" s="57">
        <v>65</v>
      </c>
      <c r="G103" s="57">
        <f t="shared" si="2"/>
        <v>1300</v>
      </c>
      <c r="H103" s="5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</row>
    <row r="104" s="16" customFormat="1" ht="15" customHeight="1" spans="1:20">
      <c r="A104" s="54">
        <v>101</v>
      </c>
      <c r="B104" s="55">
        <v>46213</v>
      </c>
      <c r="C104" s="54" t="s">
        <v>37</v>
      </c>
      <c r="D104" s="29" t="s">
        <v>102</v>
      </c>
      <c r="E104" s="29">
        <v>20</v>
      </c>
      <c r="F104" s="32">
        <v>55</v>
      </c>
      <c r="G104" s="32">
        <f t="shared" si="2"/>
        <v>1100</v>
      </c>
      <c r="H104" s="29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</row>
    <row r="105" s="16" customFormat="1" ht="15" customHeight="1" spans="1:20">
      <c r="A105" s="54">
        <v>102</v>
      </c>
      <c r="B105" s="59">
        <v>46222</v>
      </c>
      <c r="C105" s="29" t="s">
        <v>37</v>
      </c>
      <c r="D105" s="29" t="s">
        <v>103</v>
      </c>
      <c r="E105" s="29">
        <v>20</v>
      </c>
      <c r="F105" s="32">
        <v>43</v>
      </c>
      <c r="G105" s="32">
        <f t="shared" si="2"/>
        <v>860</v>
      </c>
      <c r="H105" s="29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</row>
    <row r="106" s="16" customFormat="1" ht="15" customHeight="1" spans="1:20">
      <c r="A106" s="54">
        <v>103</v>
      </c>
      <c r="B106" s="59">
        <v>46216</v>
      </c>
      <c r="C106" s="29" t="s">
        <v>20</v>
      </c>
      <c r="D106" s="54" t="s">
        <v>107</v>
      </c>
      <c r="E106" s="29">
        <v>100</v>
      </c>
      <c r="F106" s="32">
        <v>90</v>
      </c>
      <c r="G106" s="32">
        <f t="shared" si="2"/>
        <v>9000</v>
      </c>
      <c r="H106" s="29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</row>
    <row r="107" s="16" customFormat="1" ht="15" customHeight="1" spans="1:20">
      <c r="A107" s="54">
        <v>104</v>
      </c>
      <c r="B107" s="59">
        <v>46197</v>
      </c>
      <c r="C107" s="29" t="s">
        <v>15</v>
      </c>
      <c r="D107" s="56" t="s">
        <v>112</v>
      </c>
      <c r="E107" s="29">
        <v>5</v>
      </c>
      <c r="F107" s="32">
        <v>52</v>
      </c>
      <c r="G107" s="32">
        <f t="shared" si="2"/>
        <v>260</v>
      </c>
      <c r="H107" s="29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</row>
    <row r="108" s="16" customFormat="1" ht="15" customHeight="1" spans="1:20">
      <c r="A108" s="54">
        <v>105</v>
      </c>
      <c r="B108" s="59">
        <v>46203</v>
      </c>
      <c r="C108" s="54" t="s">
        <v>15</v>
      </c>
      <c r="D108" s="54" t="s">
        <v>112</v>
      </c>
      <c r="E108" s="54">
        <v>90</v>
      </c>
      <c r="F108" s="57">
        <v>52</v>
      </c>
      <c r="G108" s="32">
        <f t="shared" si="2"/>
        <v>4680</v>
      </c>
      <c r="H108" s="5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</row>
    <row r="109" s="16" customFormat="1" ht="15" customHeight="1" spans="1:20">
      <c r="A109" s="54">
        <v>106</v>
      </c>
      <c r="B109" s="59">
        <v>46203</v>
      </c>
      <c r="C109" s="54" t="s">
        <v>15</v>
      </c>
      <c r="D109" s="29" t="s">
        <v>121</v>
      </c>
      <c r="E109" s="29">
        <v>20</v>
      </c>
      <c r="F109" s="32">
        <v>60</v>
      </c>
      <c r="G109" s="32">
        <f t="shared" si="2"/>
        <v>1200</v>
      </c>
      <c r="H109" s="29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</row>
    <row r="110" s="16" customFormat="1" ht="15" customHeight="1" spans="1:20">
      <c r="A110" s="54">
        <v>107</v>
      </c>
      <c r="B110" s="59">
        <v>46204</v>
      </c>
      <c r="C110" s="29" t="s">
        <v>15</v>
      </c>
      <c r="D110" s="29" t="s">
        <v>101</v>
      </c>
      <c r="E110" s="29">
        <v>200</v>
      </c>
      <c r="F110" s="32">
        <v>47</v>
      </c>
      <c r="G110" s="32">
        <f t="shared" si="2"/>
        <v>9400</v>
      </c>
      <c r="H110" s="29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</row>
    <row r="111" s="16" customFormat="1" ht="15" customHeight="1" spans="1:20">
      <c r="A111" s="54">
        <v>108</v>
      </c>
      <c r="B111" s="55">
        <v>46205</v>
      </c>
      <c r="C111" s="54" t="s">
        <v>15</v>
      </c>
      <c r="D111" s="54" t="s">
        <v>112</v>
      </c>
      <c r="E111" s="54">
        <v>10</v>
      </c>
      <c r="F111" s="57">
        <v>52</v>
      </c>
      <c r="G111" s="32">
        <f t="shared" si="2"/>
        <v>520</v>
      </c>
      <c r="H111" s="5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</row>
    <row r="112" s="16" customFormat="1" ht="15" customHeight="1" spans="1:20">
      <c r="A112" s="54">
        <v>109</v>
      </c>
      <c r="B112" s="55">
        <v>46205</v>
      </c>
      <c r="C112" s="54" t="s">
        <v>15</v>
      </c>
      <c r="D112" s="54" t="s">
        <v>112</v>
      </c>
      <c r="E112" s="29">
        <v>23</v>
      </c>
      <c r="F112" s="32">
        <v>52</v>
      </c>
      <c r="G112" s="32">
        <f t="shared" si="2"/>
        <v>1196</v>
      </c>
      <c r="H112" s="29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</row>
    <row r="113" s="16" customFormat="1" ht="15" customHeight="1" spans="1:20">
      <c r="A113" s="54">
        <v>110</v>
      </c>
      <c r="B113" s="55">
        <v>46205</v>
      </c>
      <c r="C113" s="56" t="s">
        <v>15</v>
      </c>
      <c r="D113" s="56" t="s">
        <v>124</v>
      </c>
      <c r="E113" s="56">
        <v>30</v>
      </c>
      <c r="F113" s="57">
        <v>20</v>
      </c>
      <c r="G113" s="32">
        <f t="shared" si="2"/>
        <v>600</v>
      </c>
      <c r="H113" s="5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</row>
    <row r="114" s="16" customFormat="1" ht="15" customHeight="1" spans="1:20">
      <c r="A114" s="54">
        <v>111</v>
      </c>
      <c r="B114" s="59">
        <v>46206</v>
      </c>
      <c r="C114" s="54" t="s">
        <v>15</v>
      </c>
      <c r="D114" s="54" t="s">
        <v>112</v>
      </c>
      <c r="E114" s="29">
        <v>5</v>
      </c>
      <c r="F114" s="32">
        <v>52</v>
      </c>
      <c r="G114" s="32">
        <f t="shared" si="2"/>
        <v>260</v>
      </c>
      <c r="H114" s="29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</row>
    <row r="115" s="16" customFormat="1" ht="15" customHeight="1" spans="1:20">
      <c r="A115" s="54">
        <v>112</v>
      </c>
      <c r="B115" s="55">
        <v>46207</v>
      </c>
      <c r="C115" s="54" t="s">
        <v>15</v>
      </c>
      <c r="D115" s="54" t="s">
        <v>112</v>
      </c>
      <c r="E115" s="54">
        <v>25</v>
      </c>
      <c r="F115" s="57">
        <v>52</v>
      </c>
      <c r="G115" s="32">
        <f t="shared" si="2"/>
        <v>1300</v>
      </c>
      <c r="H115" s="5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</row>
    <row r="116" s="16" customFormat="1" ht="15" customHeight="1" spans="1:20">
      <c r="A116" s="54">
        <v>113</v>
      </c>
      <c r="B116" s="59">
        <v>46207</v>
      </c>
      <c r="C116" s="54" t="s">
        <v>15</v>
      </c>
      <c r="D116" s="54" t="s">
        <v>121</v>
      </c>
      <c r="E116" s="29">
        <v>5</v>
      </c>
      <c r="F116" s="32">
        <v>62</v>
      </c>
      <c r="G116" s="32">
        <f t="shared" si="2"/>
        <v>310</v>
      </c>
      <c r="H116" s="29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</row>
    <row r="117" s="16" customFormat="1" ht="15" customHeight="1" spans="1:20">
      <c r="A117" s="54">
        <v>114</v>
      </c>
      <c r="B117" s="59">
        <v>46209</v>
      </c>
      <c r="C117" s="29" t="s">
        <v>15</v>
      </c>
      <c r="D117" s="54" t="s">
        <v>112</v>
      </c>
      <c r="E117" s="29">
        <v>55</v>
      </c>
      <c r="F117" s="32">
        <v>52</v>
      </c>
      <c r="G117" s="32">
        <f t="shared" si="2"/>
        <v>2860</v>
      </c>
      <c r="H117" s="29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</row>
    <row r="118" s="16" customFormat="1" ht="15" customHeight="1" spans="1:20">
      <c r="A118" s="54">
        <v>115</v>
      </c>
      <c r="B118" s="55">
        <v>46209</v>
      </c>
      <c r="C118" s="54" t="s">
        <v>15</v>
      </c>
      <c r="D118" s="54" t="s">
        <v>103</v>
      </c>
      <c r="E118" s="54">
        <v>65</v>
      </c>
      <c r="F118" s="57">
        <v>43</v>
      </c>
      <c r="G118" s="57">
        <f t="shared" si="2"/>
        <v>2795</v>
      </c>
      <c r="H118" s="5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</row>
    <row r="119" s="16" customFormat="1" ht="15" customHeight="1" spans="1:20">
      <c r="A119" s="54">
        <v>116</v>
      </c>
      <c r="B119" s="55">
        <v>46209</v>
      </c>
      <c r="C119" s="54" t="s">
        <v>15</v>
      </c>
      <c r="D119" s="29" t="s">
        <v>101</v>
      </c>
      <c r="E119" s="29">
        <v>200</v>
      </c>
      <c r="F119" s="32">
        <v>47</v>
      </c>
      <c r="G119" s="32">
        <f t="shared" si="2"/>
        <v>9400</v>
      </c>
      <c r="H119" s="29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</row>
    <row r="120" s="16" customFormat="1" ht="15" customHeight="1" spans="1:20">
      <c r="A120" s="54">
        <v>117</v>
      </c>
      <c r="B120" s="55">
        <v>46212</v>
      </c>
      <c r="C120" s="29" t="s">
        <v>15</v>
      </c>
      <c r="D120" s="54" t="s">
        <v>112</v>
      </c>
      <c r="E120" s="54">
        <v>55</v>
      </c>
      <c r="F120" s="57">
        <v>52</v>
      </c>
      <c r="G120" s="57">
        <f t="shared" si="2"/>
        <v>2860</v>
      </c>
      <c r="H120" s="5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</row>
    <row r="121" s="16" customFormat="1" ht="15" customHeight="1" spans="1:20">
      <c r="A121" s="54">
        <v>118</v>
      </c>
      <c r="B121" s="55">
        <v>46212</v>
      </c>
      <c r="C121" s="29" t="s">
        <v>15</v>
      </c>
      <c r="D121" s="54" t="s">
        <v>112</v>
      </c>
      <c r="E121" s="54">
        <v>20</v>
      </c>
      <c r="F121" s="57">
        <v>52</v>
      </c>
      <c r="G121" s="57">
        <f t="shared" si="2"/>
        <v>1040</v>
      </c>
      <c r="H121" s="5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</row>
    <row r="122" s="16" customFormat="1" ht="15" customHeight="1" spans="1:20">
      <c r="A122" s="54">
        <v>119</v>
      </c>
      <c r="B122" s="55">
        <v>46214</v>
      </c>
      <c r="C122" s="29" t="s">
        <v>15</v>
      </c>
      <c r="D122" s="54" t="s">
        <v>124</v>
      </c>
      <c r="E122" s="54">
        <v>30</v>
      </c>
      <c r="F122" s="57">
        <v>20</v>
      </c>
      <c r="G122" s="57">
        <f t="shared" si="2"/>
        <v>600</v>
      </c>
      <c r="H122" s="5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</row>
    <row r="123" s="16" customFormat="1" ht="15" customHeight="1" spans="1:20">
      <c r="A123" s="54">
        <v>120</v>
      </c>
      <c r="B123" s="59">
        <v>46219</v>
      </c>
      <c r="C123" s="29" t="s">
        <v>15</v>
      </c>
      <c r="D123" s="29" t="s">
        <v>101</v>
      </c>
      <c r="E123" s="29">
        <v>100</v>
      </c>
      <c r="F123" s="32">
        <v>47</v>
      </c>
      <c r="G123" s="32">
        <f t="shared" si="2"/>
        <v>4700</v>
      </c>
      <c r="H123" s="29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</row>
    <row r="124" s="16" customFormat="1" ht="15" customHeight="1" spans="1:20">
      <c r="A124" s="54">
        <v>121</v>
      </c>
      <c r="B124" s="59">
        <v>46219</v>
      </c>
      <c r="C124" s="29" t="s">
        <v>15</v>
      </c>
      <c r="D124" s="54" t="s">
        <v>103</v>
      </c>
      <c r="E124" s="54">
        <v>30</v>
      </c>
      <c r="F124" s="57">
        <v>43</v>
      </c>
      <c r="G124" s="57">
        <f t="shared" si="2"/>
        <v>1290</v>
      </c>
      <c r="H124" s="5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</row>
    <row r="125" s="16" customFormat="1" ht="15" customHeight="1" spans="1:20">
      <c r="A125" s="54">
        <v>122</v>
      </c>
      <c r="B125" s="59">
        <v>46219</v>
      </c>
      <c r="C125" s="29" t="s">
        <v>15</v>
      </c>
      <c r="D125" s="29" t="s">
        <v>102</v>
      </c>
      <c r="E125" s="29">
        <v>30</v>
      </c>
      <c r="F125" s="32">
        <v>55</v>
      </c>
      <c r="G125" s="32">
        <f t="shared" si="2"/>
        <v>1650</v>
      </c>
      <c r="H125" s="29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</row>
    <row r="126" s="16" customFormat="1" ht="15" customHeight="1" spans="1:20">
      <c r="A126" s="54">
        <v>123</v>
      </c>
      <c r="B126" s="59">
        <v>46219</v>
      </c>
      <c r="C126" s="29" t="s">
        <v>15</v>
      </c>
      <c r="D126" s="54" t="s">
        <v>112</v>
      </c>
      <c r="E126" s="54">
        <v>30</v>
      </c>
      <c r="F126" s="57">
        <v>52</v>
      </c>
      <c r="G126" s="57">
        <f t="shared" si="2"/>
        <v>1560</v>
      </c>
      <c r="H126" s="5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</row>
    <row r="127" s="16" customFormat="1" ht="15" customHeight="1" spans="1:20">
      <c r="A127" s="54">
        <v>124</v>
      </c>
      <c r="B127" s="59">
        <v>46219</v>
      </c>
      <c r="C127" s="29" t="s">
        <v>15</v>
      </c>
      <c r="D127" s="29" t="s">
        <v>121</v>
      </c>
      <c r="E127" s="29">
        <v>10</v>
      </c>
      <c r="F127" s="32">
        <v>60</v>
      </c>
      <c r="G127" s="32">
        <f t="shared" si="2"/>
        <v>600</v>
      </c>
      <c r="H127" s="29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</row>
    <row r="128" s="16" customFormat="1" ht="15" customHeight="1" spans="1:20">
      <c r="A128" s="54">
        <v>125</v>
      </c>
      <c r="B128" s="59">
        <v>46219</v>
      </c>
      <c r="C128" s="29" t="s">
        <v>15</v>
      </c>
      <c r="D128" s="29" t="s">
        <v>108</v>
      </c>
      <c r="E128" s="54">
        <v>10</v>
      </c>
      <c r="F128" s="57">
        <v>69</v>
      </c>
      <c r="G128" s="57">
        <f t="shared" si="2"/>
        <v>690</v>
      </c>
      <c r="H128" s="5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</row>
    <row r="129" s="16" customFormat="1" ht="15" customHeight="1" spans="1:20">
      <c r="A129" s="54">
        <v>126</v>
      </c>
      <c r="B129" s="59">
        <v>46220</v>
      </c>
      <c r="C129" s="29" t="s">
        <v>15</v>
      </c>
      <c r="D129" s="54" t="s">
        <v>112</v>
      </c>
      <c r="E129" s="29">
        <v>50</v>
      </c>
      <c r="F129" s="32">
        <v>52</v>
      </c>
      <c r="G129" s="32">
        <f t="shared" si="2"/>
        <v>2600</v>
      </c>
      <c r="H129" s="29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</row>
    <row r="130" s="16" customFormat="1" ht="15" customHeight="1" spans="1:20">
      <c r="A130" s="54">
        <v>127</v>
      </c>
      <c r="B130" s="59">
        <v>46211</v>
      </c>
      <c r="C130" s="29" t="s">
        <v>15</v>
      </c>
      <c r="D130" s="29" t="s">
        <v>99</v>
      </c>
      <c r="E130" s="29">
        <v>140</v>
      </c>
      <c r="F130" s="32">
        <v>65</v>
      </c>
      <c r="G130" s="32">
        <f t="shared" si="2"/>
        <v>9100</v>
      </c>
      <c r="H130" s="29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</row>
    <row r="131" s="16" customFormat="1" ht="15" customHeight="1" spans="1:20">
      <c r="A131" s="54">
        <v>128</v>
      </c>
      <c r="B131" s="59">
        <v>46211</v>
      </c>
      <c r="C131" s="29" t="s">
        <v>15</v>
      </c>
      <c r="D131" s="54" t="s">
        <v>102</v>
      </c>
      <c r="E131" s="54">
        <v>30</v>
      </c>
      <c r="F131" s="57">
        <v>55</v>
      </c>
      <c r="G131" s="57">
        <f t="shared" si="2"/>
        <v>1650</v>
      </c>
      <c r="H131" s="5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</row>
    <row r="132" s="16" customFormat="1" ht="15" customHeight="1" spans="1:20">
      <c r="A132" s="54">
        <v>129</v>
      </c>
      <c r="B132" s="55">
        <v>46163</v>
      </c>
      <c r="C132" s="54" t="s">
        <v>15</v>
      </c>
      <c r="D132" s="54" t="s">
        <v>101</v>
      </c>
      <c r="E132" s="54">
        <v>52</v>
      </c>
      <c r="F132" s="57">
        <v>47</v>
      </c>
      <c r="G132" s="57">
        <f t="shared" si="2"/>
        <v>2444</v>
      </c>
      <c r="H132" s="5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</row>
    <row r="133" s="16" customFormat="1" ht="15" customHeight="1" spans="1:20">
      <c r="A133" s="54">
        <v>130</v>
      </c>
      <c r="B133" s="59">
        <v>46225</v>
      </c>
      <c r="C133" s="29" t="s">
        <v>15</v>
      </c>
      <c r="D133" s="29" t="s">
        <v>112</v>
      </c>
      <c r="E133" s="29">
        <v>35</v>
      </c>
      <c r="F133" s="32">
        <v>52</v>
      </c>
      <c r="G133" s="32">
        <f t="shared" si="2"/>
        <v>1820</v>
      </c>
      <c r="H133" s="29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</row>
    <row r="134" s="16" customFormat="1" ht="15" customHeight="1" spans="1:20">
      <c r="A134" s="54">
        <v>131</v>
      </c>
      <c r="B134" s="59">
        <v>46225</v>
      </c>
      <c r="C134" s="29" t="s">
        <v>15</v>
      </c>
      <c r="D134" s="54" t="s">
        <v>124</v>
      </c>
      <c r="E134" s="54">
        <v>30</v>
      </c>
      <c r="F134" s="57">
        <v>20</v>
      </c>
      <c r="G134" s="57">
        <f t="shared" si="2"/>
        <v>600</v>
      </c>
      <c r="H134" s="5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</row>
    <row r="135" s="16" customFormat="1" ht="15" customHeight="1" spans="1:20">
      <c r="A135" s="54">
        <v>132</v>
      </c>
      <c r="B135" s="59">
        <v>46225</v>
      </c>
      <c r="C135" s="29" t="s">
        <v>15</v>
      </c>
      <c r="D135" s="29" t="s">
        <v>102</v>
      </c>
      <c r="E135" s="29">
        <v>100</v>
      </c>
      <c r="F135" s="32">
        <v>55</v>
      </c>
      <c r="G135" s="32">
        <f t="shared" si="2"/>
        <v>5500</v>
      </c>
      <c r="H135" s="29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</row>
    <row r="136" s="16" customFormat="1" ht="15" customHeight="1" spans="1:20">
      <c r="A136" s="54">
        <v>133</v>
      </c>
      <c r="B136" s="59">
        <v>46225</v>
      </c>
      <c r="C136" s="29" t="s">
        <v>15</v>
      </c>
      <c r="D136" s="54" t="s">
        <v>102</v>
      </c>
      <c r="E136" s="54">
        <v>80</v>
      </c>
      <c r="F136" s="57">
        <v>55</v>
      </c>
      <c r="G136" s="57">
        <f t="shared" si="2"/>
        <v>4400</v>
      </c>
      <c r="H136" s="5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</row>
    <row r="137" s="16" customFormat="1" ht="15" customHeight="1" spans="1:20">
      <c r="A137" s="54">
        <v>134</v>
      </c>
      <c r="B137" s="59">
        <v>46225</v>
      </c>
      <c r="C137" s="29" t="s">
        <v>15</v>
      </c>
      <c r="D137" s="29" t="s">
        <v>99</v>
      </c>
      <c r="E137" s="29">
        <v>50</v>
      </c>
      <c r="F137" s="32">
        <v>65</v>
      </c>
      <c r="G137" s="32">
        <f t="shared" si="2"/>
        <v>3250</v>
      </c>
      <c r="H137" s="29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</row>
    <row r="138" s="16" customFormat="1" ht="15" customHeight="1" spans="1:20">
      <c r="A138" s="54">
        <v>135</v>
      </c>
      <c r="B138" s="59">
        <v>46225</v>
      </c>
      <c r="C138" s="29" t="s">
        <v>15</v>
      </c>
      <c r="D138" s="54" t="s">
        <v>107</v>
      </c>
      <c r="E138" s="54">
        <v>500</v>
      </c>
      <c r="F138" s="57">
        <v>90</v>
      </c>
      <c r="G138" s="57">
        <f t="shared" si="2"/>
        <v>45000</v>
      </c>
      <c r="H138" s="5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</row>
    <row r="139" s="16" customFormat="1" ht="15" customHeight="1" spans="1:20">
      <c r="A139" s="54">
        <v>136</v>
      </c>
      <c r="B139" s="59">
        <v>46225</v>
      </c>
      <c r="C139" s="29" t="s">
        <v>15</v>
      </c>
      <c r="D139" s="29" t="s">
        <v>101</v>
      </c>
      <c r="E139" s="29">
        <v>50</v>
      </c>
      <c r="F139" s="32">
        <v>47</v>
      </c>
      <c r="G139" s="32">
        <f t="shared" si="2"/>
        <v>2350</v>
      </c>
      <c r="H139" s="29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</row>
    <row r="140" s="16" customFormat="1" ht="15" customHeight="1" spans="1:20">
      <c r="A140" s="54">
        <v>137</v>
      </c>
      <c r="B140" s="55">
        <v>46226</v>
      </c>
      <c r="C140" s="54" t="s">
        <v>15</v>
      </c>
      <c r="D140" s="54" t="s">
        <v>105</v>
      </c>
      <c r="E140" s="54">
        <v>30</v>
      </c>
      <c r="F140" s="57">
        <v>90</v>
      </c>
      <c r="G140" s="57">
        <f t="shared" si="2"/>
        <v>2700</v>
      </c>
      <c r="H140" s="5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</row>
    <row r="141" s="16" customFormat="1" ht="15" customHeight="1" spans="1:20">
      <c r="A141" s="54">
        <v>138</v>
      </c>
      <c r="B141" s="55">
        <v>46226</v>
      </c>
      <c r="C141" s="54" t="s">
        <v>15</v>
      </c>
      <c r="D141" s="54" t="s">
        <v>104</v>
      </c>
      <c r="E141" s="54">
        <v>50</v>
      </c>
      <c r="F141" s="57">
        <v>83</v>
      </c>
      <c r="G141" s="57">
        <f t="shared" si="2"/>
        <v>4150</v>
      </c>
      <c r="H141" s="5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</row>
    <row r="142" s="16" customFormat="1" ht="15" customHeight="1" spans="1:20">
      <c r="A142" s="54">
        <v>139</v>
      </c>
      <c r="B142" s="59">
        <v>46226</v>
      </c>
      <c r="C142" s="54" t="s">
        <v>15</v>
      </c>
      <c r="D142" s="29" t="s">
        <v>99</v>
      </c>
      <c r="E142" s="29">
        <v>100</v>
      </c>
      <c r="F142" s="32">
        <v>65</v>
      </c>
      <c r="G142" s="32">
        <f t="shared" si="2"/>
        <v>6500</v>
      </c>
      <c r="H142" s="29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</row>
    <row r="143" s="16" customFormat="1" ht="15" customHeight="1" spans="1:20">
      <c r="A143" s="54">
        <v>140</v>
      </c>
      <c r="B143" s="55">
        <v>46227</v>
      </c>
      <c r="C143" s="54" t="s">
        <v>15</v>
      </c>
      <c r="D143" s="54" t="s">
        <v>112</v>
      </c>
      <c r="E143" s="54">
        <v>80</v>
      </c>
      <c r="F143" s="57">
        <v>52</v>
      </c>
      <c r="G143" s="57">
        <f t="shared" si="2"/>
        <v>4160</v>
      </c>
      <c r="H143" s="5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</row>
    <row r="144" s="16" customFormat="1" ht="15" customHeight="1" spans="1:20">
      <c r="A144" s="54">
        <v>141</v>
      </c>
      <c r="B144" s="59">
        <v>46221</v>
      </c>
      <c r="C144" s="29" t="s">
        <v>15</v>
      </c>
      <c r="D144" s="30" t="s">
        <v>106</v>
      </c>
      <c r="E144" s="29">
        <v>50</v>
      </c>
      <c r="F144" s="32">
        <v>90</v>
      </c>
      <c r="G144" s="32">
        <f t="shared" si="2"/>
        <v>4500</v>
      </c>
      <c r="H144" s="29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</row>
    <row r="145" s="16" customFormat="1" ht="15" customHeight="1" spans="1:20">
      <c r="A145" s="54">
        <v>142</v>
      </c>
      <c r="B145" s="59">
        <v>46221</v>
      </c>
      <c r="C145" s="29" t="s">
        <v>15</v>
      </c>
      <c r="D145" s="30" t="s">
        <v>106</v>
      </c>
      <c r="E145" s="54">
        <v>4</v>
      </c>
      <c r="F145" s="57"/>
      <c r="G145" s="57" t="str">
        <f t="shared" si="2"/>
        <v/>
      </c>
      <c r="H145" s="5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</row>
    <row r="146" s="16" customFormat="1" ht="15" customHeight="1" spans="1:20">
      <c r="A146" s="54">
        <v>143</v>
      </c>
      <c r="B146" s="59">
        <v>46231</v>
      </c>
      <c r="C146" s="29" t="s">
        <v>15</v>
      </c>
      <c r="D146" s="29" t="s">
        <v>101</v>
      </c>
      <c r="E146" s="29">
        <v>200</v>
      </c>
      <c r="F146" s="32">
        <v>47</v>
      </c>
      <c r="G146" s="32">
        <f t="shared" si="2"/>
        <v>9400</v>
      </c>
      <c r="H146" s="29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</row>
    <row r="147" s="16" customFormat="1" ht="15" customHeight="1" spans="1:20">
      <c r="A147" s="54">
        <v>144</v>
      </c>
      <c r="B147" s="59">
        <v>46231</v>
      </c>
      <c r="C147" s="29" t="s">
        <v>15</v>
      </c>
      <c r="D147" s="54" t="s">
        <v>99</v>
      </c>
      <c r="E147" s="54">
        <v>100</v>
      </c>
      <c r="F147" s="57">
        <v>65</v>
      </c>
      <c r="G147" s="57">
        <f t="shared" si="2"/>
        <v>6500</v>
      </c>
      <c r="H147" s="5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</row>
    <row r="148" ht="15" customHeight="1" spans="1:20">
      <c r="A148" s="54">
        <v>145</v>
      </c>
      <c r="B148" s="59">
        <v>46201</v>
      </c>
      <c r="C148" s="59" t="s">
        <v>14</v>
      </c>
      <c r="D148" s="29" t="s">
        <v>103</v>
      </c>
      <c r="E148" s="29">
        <v>17.5</v>
      </c>
      <c r="F148" s="32">
        <v>43</v>
      </c>
      <c r="G148" s="32">
        <f t="shared" si="2"/>
        <v>752.5</v>
      </c>
      <c r="H148" s="58" t="s">
        <v>126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ht="15" customHeight="1" spans="1:20">
      <c r="A149" s="54">
        <v>146</v>
      </c>
      <c r="B149" s="55">
        <v>46206</v>
      </c>
      <c r="C149" s="29" t="s">
        <v>14</v>
      </c>
      <c r="D149" s="29" t="s">
        <v>107</v>
      </c>
      <c r="E149" s="54">
        <v>95</v>
      </c>
      <c r="F149" s="57">
        <v>90</v>
      </c>
      <c r="G149" s="32">
        <f t="shared" si="2"/>
        <v>8550</v>
      </c>
      <c r="H149" s="5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</row>
    <row r="150" ht="15" customHeight="1" spans="1:20">
      <c r="A150" s="54">
        <v>147</v>
      </c>
      <c r="B150" s="55">
        <v>46208</v>
      </c>
      <c r="C150" s="54" t="s">
        <v>14</v>
      </c>
      <c r="D150" s="54" t="s">
        <v>101</v>
      </c>
      <c r="E150" s="54">
        <v>17.5</v>
      </c>
      <c r="F150" s="57">
        <v>47</v>
      </c>
      <c r="G150" s="32">
        <f t="shared" si="2"/>
        <v>822.5</v>
      </c>
      <c r="H150" s="5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</row>
    <row r="151" ht="15" customHeight="1" spans="1:20">
      <c r="A151" s="54">
        <v>148</v>
      </c>
      <c r="B151" s="55">
        <v>46213</v>
      </c>
      <c r="C151" s="29" t="s">
        <v>14</v>
      </c>
      <c r="D151" s="54" t="s">
        <v>107</v>
      </c>
      <c r="E151" s="54">
        <v>50</v>
      </c>
      <c r="F151" s="57">
        <v>90</v>
      </c>
      <c r="G151" s="57">
        <f t="shared" si="2"/>
        <v>4500</v>
      </c>
      <c r="H151" s="5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</row>
    <row r="152" s="16" customFormat="1" ht="15" customHeight="1" spans="1:20">
      <c r="A152" s="54">
        <v>149</v>
      </c>
      <c r="B152" s="59">
        <v>46221</v>
      </c>
      <c r="C152" s="29" t="s">
        <v>14</v>
      </c>
      <c r="D152" s="29" t="s">
        <v>101</v>
      </c>
      <c r="E152" s="29">
        <v>17.5</v>
      </c>
      <c r="F152" s="32">
        <v>47</v>
      </c>
      <c r="G152" s="32">
        <f t="shared" si="2"/>
        <v>822.5</v>
      </c>
      <c r="H152" s="29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</row>
    <row r="153" s="16" customFormat="1" ht="15" customHeight="1" spans="1:20">
      <c r="A153" s="54">
        <v>150</v>
      </c>
      <c r="B153" s="59">
        <v>46222</v>
      </c>
      <c r="C153" s="29" t="s">
        <v>14</v>
      </c>
      <c r="D153" s="29" t="s">
        <v>99</v>
      </c>
      <c r="E153" s="29">
        <v>17.5</v>
      </c>
      <c r="F153" s="32">
        <v>65</v>
      </c>
      <c r="G153" s="32">
        <f t="shared" si="2"/>
        <v>1137.5</v>
      </c>
      <c r="H153" s="29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</row>
    <row r="154" s="16" customFormat="1" ht="15" customHeight="1" spans="1:20">
      <c r="A154" s="54">
        <v>151</v>
      </c>
      <c r="B154" s="59">
        <v>46209</v>
      </c>
      <c r="C154" s="29" t="s">
        <v>49</v>
      </c>
      <c r="D154" s="29" t="s">
        <v>107</v>
      </c>
      <c r="E154" s="29">
        <v>300</v>
      </c>
      <c r="F154" s="32">
        <v>90</v>
      </c>
      <c r="G154" s="32">
        <f t="shared" si="2"/>
        <v>27000</v>
      </c>
      <c r="H154" s="29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</row>
    <row r="155" s="16" customFormat="1" ht="15" customHeight="1" spans="1:20">
      <c r="A155" s="54">
        <v>152</v>
      </c>
      <c r="B155" s="55">
        <v>46230</v>
      </c>
      <c r="C155" s="54" t="s">
        <v>49</v>
      </c>
      <c r="D155" s="54" t="s">
        <v>107</v>
      </c>
      <c r="E155" s="54">
        <v>100</v>
      </c>
      <c r="F155" s="57">
        <v>90</v>
      </c>
      <c r="G155" s="57">
        <f t="shared" si="2"/>
        <v>9000</v>
      </c>
      <c r="H155" s="5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</row>
    <row r="156" s="16" customFormat="1" ht="15" customHeight="1" spans="1:20">
      <c r="A156" s="54">
        <v>153</v>
      </c>
      <c r="B156" s="61">
        <v>46200</v>
      </c>
      <c r="C156" s="58" t="s">
        <v>13</v>
      </c>
      <c r="D156" s="58" t="s">
        <v>100</v>
      </c>
      <c r="E156" s="58">
        <v>20</v>
      </c>
      <c r="F156" s="62">
        <v>48</v>
      </c>
      <c r="G156" s="62">
        <f t="shared" si="2"/>
        <v>960</v>
      </c>
      <c r="H156" s="58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="16" customFormat="1" ht="15" customHeight="1" spans="1:20">
      <c r="A157" s="54">
        <v>154</v>
      </c>
      <c r="B157" s="61">
        <v>46200</v>
      </c>
      <c r="C157" s="58" t="s">
        <v>13</v>
      </c>
      <c r="D157" s="14" t="s">
        <v>104</v>
      </c>
      <c r="E157" s="14">
        <v>10</v>
      </c>
      <c r="F157" s="15">
        <v>83</v>
      </c>
      <c r="G157" s="15">
        <f t="shared" si="2"/>
        <v>830</v>
      </c>
      <c r="H157" s="14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="16" customFormat="1" ht="15" customHeight="1" spans="1:20">
      <c r="A158" s="54">
        <v>155</v>
      </c>
      <c r="B158" s="59">
        <v>46225</v>
      </c>
      <c r="C158" s="29" t="s">
        <v>13</v>
      </c>
      <c r="D158" s="29" t="s">
        <v>102</v>
      </c>
      <c r="E158" s="29">
        <v>90</v>
      </c>
      <c r="F158" s="32">
        <v>55</v>
      </c>
      <c r="G158" s="32">
        <f t="shared" si="2"/>
        <v>4950</v>
      </c>
      <c r="H158" s="29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</row>
    <row r="159" s="16" customFormat="1" ht="15" customHeight="1" spans="1:20">
      <c r="A159" s="54">
        <v>156</v>
      </c>
      <c r="B159" s="59">
        <v>46225</v>
      </c>
      <c r="C159" s="29" t="s">
        <v>13</v>
      </c>
      <c r="D159" s="54" t="s">
        <v>99</v>
      </c>
      <c r="E159" s="54">
        <v>100</v>
      </c>
      <c r="F159" s="57">
        <v>65</v>
      </c>
      <c r="G159" s="57">
        <f t="shared" si="2"/>
        <v>6500</v>
      </c>
      <c r="H159" s="5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</row>
    <row r="160" s="16" customFormat="1" ht="15" customHeight="1" spans="1:20">
      <c r="A160" s="54">
        <v>157</v>
      </c>
      <c r="B160" s="59">
        <v>46225</v>
      </c>
      <c r="C160" s="29" t="s">
        <v>13</v>
      </c>
      <c r="D160" s="29" t="s">
        <v>103</v>
      </c>
      <c r="E160" s="29">
        <v>50</v>
      </c>
      <c r="F160" s="32">
        <v>43</v>
      </c>
      <c r="G160" s="32">
        <f t="shared" ref="G160:G200" si="3">IF(AND(E160&lt;&gt;"",F160&lt;&gt;""),E160*F160,"")</f>
        <v>2150</v>
      </c>
      <c r="H160" s="29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</row>
    <row r="161" s="16" customFormat="1" ht="15" customHeight="1" spans="1:20">
      <c r="A161" s="54">
        <v>158</v>
      </c>
      <c r="B161" s="59">
        <v>46225</v>
      </c>
      <c r="C161" s="29" t="s">
        <v>13</v>
      </c>
      <c r="D161" s="29" t="s">
        <v>101</v>
      </c>
      <c r="E161" s="29">
        <v>100</v>
      </c>
      <c r="F161" s="32">
        <v>47</v>
      </c>
      <c r="G161" s="32">
        <f t="shared" si="3"/>
        <v>4700</v>
      </c>
      <c r="H161" s="29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</row>
    <row r="162" s="16" customFormat="1" ht="15" customHeight="1" spans="1:20">
      <c r="A162" s="54">
        <v>159</v>
      </c>
      <c r="B162" s="59">
        <v>46225</v>
      </c>
      <c r="C162" s="29" t="s">
        <v>13</v>
      </c>
      <c r="D162" s="54" t="s">
        <v>107</v>
      </c>
      <c r="E162" s="54">
        <v>200</v>
      </c>
      <c r="F162" s="57">
        <v>90</v>
      </c>
      <c r="G162" s="57">
        <f t="shared" si="3"/>
        <v>18000</v>
      </c>
      <c r="H162" s="5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</row>
    <row r="163" s="16" customFormat="1" ht="15" customHeight="1" spans="1:20">
      <c r="A163" s="54">
        <v>160</v>
      </c>
      <c r="B163" s="59">
        <v>46206</v>
      </c>
      <c r="C163" s="30" t="s">
        <v>27</v>
      </c>
      <c r="D163" s="30" t="s">
        <v>107</v>
      </c>
      <c r="E163" s="30">
        <v>30</v>
      </c>
      <c r="F163" s="32">
        <v>90</v>
      </c>
      <c r="G163" s="32">
        <f t="shared" si="3"/>
        <v>2700</v>
      </c>
      <c r="H163" s="29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</row>
    <row r="164" s="16" customFormat="1" ht="15" customHeight="1" spans="1:20">
      <c r="A164" s="54">
        <v>161</v>
      </c>
      <c r="B164" s="59">
        <v>46223</v>
      </c>
      <c r="C164" s="54" t="s">
        <v>27</v>
      </c>
      <c r="D164" s="54" t="s">
        <v>107</v>
      </c>
      <c r="E164" s="54">
        <v>30</v>
      </c>
      <c r="F164" s="57">
        <v>90</v>
      </c>
      <c r="G164" s="57">
        <f t="shared" si="3"/>
        <v>2700</v>
      </c>
      <c r="H164" s="5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</row>
    <row r="165" s="16" customFormat="1" ht="15" customHeight="1" spans="1:20">
      <c r="A165" s="54">
        <v>162</v>
      </c>
      <c r="B165" s="55">
        <v>46216</v>
      </c>
      <c r="C165" s="30" t="s">
        <v>127</v>
      </c>
      <c r="D165" s="54" t="s">
        <v>107</v>
      </c>
      <c r="E165" s="54">
        <v>162</v>
      </c>
      <c r="F165" s="57">
        <v>90</v>
      </c>
      <c r="G165" s="57">
        <f t="shared" si="3"/>
        <v>14580</v>
      </c>
      <c r="H165" s="5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</row>
    <row r="166" s="16" customFormat="1" ht="15" customHeight="1" spans="1:20">
      <c r="A166" s="54">
        <v>163</v>
      </c>
      <c r="B166" s="59">
        <v>46223</v>
      </c>
      <c r="C166" s="29" t="s">
        <v>127</v>
      </c>
      <c r="D166" s="29" t="s">
        <v>99</v>
      </c>
      <c r="E166" s="29">
        <v>23</v>
      </c>
      <c r="F166" s="32">
        <v>65</v>
      </c>
      <c r="G166" s="32">
        <f t="shared" si="3"/>
        <v>1495</v>
      </c>
      <c r="H166" s="29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</row>
    <row r="167" s="16" customFormat="1" ht="15" customHeight="1" spans="1:20">
      <c r="A167" s="54">
        <v>164</v>
      </c>
      <c r="B167" s="59">
        <v>46223</v>
      </c>
      <c r="C167" s="29" t="s">
        <v>127</v>
      </c>
      <c r="D167" s="54" t="s">
        <v>102</v>
      </c>
      <c r="E167" s="54">
        <v>23</v>
      </c>
      <c r="F167" s="57">
        <v>55</v>
      </c>
      <c r="G167" s="57">
        <f t="shared" si="3"/>
        <v>1265</v>
      </c>
      <c r="H167" s="5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</row>
    <row r="168" s="16" customFormat="1" ht="15" customHeight="1" spans="1:20">
      <c r="A168" s="54">
        <v>165</v>
      </c>
      <c r="B168" s="59">
        <v>46213</v>
      </c>
      <c r="C168" s="29" t="s">
        <v>21</v>
      </c>
      <c r="D168" s="29" t="s">
        <v>107</v>
      </c>
      <c r="E168" s="29">
        <v>100</v>
      </c>
      <c r="F168" s="32">
        <v>87.8</v>
      </c>
      <c r="G168" s="32">
        <f t="shared" si="3"/>
        <v>8780</v>
      </c>
      <c r="H168" s="29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</row>
    <row r="169" s="16" customFormat="1" ht="15" customHeight="1" spans="1:20">
      <c r="A169" s="54">
        <v>166</v>
      </c>
      <c r="B169" s="55">
        <v>46227</v>
      </c>
      <c r="C169" s="54" t="s">
        <v>21</v>
      </c>
      <c r="D169" s="54" t="s">
        <v>107</v>
      </c>
      <c r="E169" s="54">
        <v>115</v>
      </c>
      <c r="F169" s="57">
        <v>87.8</v>
      </c>
      <c r="G169" s="32">
        <f t="shared" si="3"/>
        <v>10097</v>
      </c>
      <c r="H169" s="5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</row>
    <row r="170" s="16" customFormat="1" ht="15" customHeight="1" spans="1:20">
      <c r="A170" s="54">
        <v>167</v>
      </c>
      <c r="B170" s="55">
        <v>46227</v>
      </c>
      <c r="C170" s="54" t="s">
        <v>21</v>
      </c>
      <c r="D170" s="29" t="s">
        <v>99</v>
      </c>
      <c r="E170" s="29">
        <v>10</v>
      </c>
      <c r="F170" s="32"/>
      <c r="G170" s="32" t="str">
        <f t="shared" si="3"/>
        <v/>
      </c>
      <c r="H170" s="29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</row>
    <row r="171" s="16" customFormat="1" ht="15" customHeight="1" spans="1:20">
      <c r="A171" s="54">
        <v>168</v>
      </c>
      <c r="B171" s="59">
        <v>46217</v>
      </c>
      <c r="C171" s="29" t="s">
        <v>21</v>
      </c>
      <c r="D171" s="29" t="s">
        <v>99</v>
      </c>
      <c r="E171" s="29">
        <v>60</v>
      </c>
      <c r="F171" s="32">
        <v>65</v>
      </c>
      <c r="G171" s="32">
        <f t="shared" si="3"/>
        <v>3900</v>
      </c>
      <c r="H171" s="29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</row>
    <row r="172" s="16" customFormat="1" ht="15" customHeight="1" spans="1:20">
      <c r="A172" s="54">
        <v>169</v>
      </c>
      <c r="B172" s="59">
        <v>46217</v>
      </c>
      <c r="C172" s="29" t="s">
        <v>21</v>
      </c>
      <c r="D172" s="54" t="s">
        <v>99</v>
      </c>
      <c r="E172" s="54">
        <v>6</v>
      </c>
      <c r="F172" s="57"/>
      <c r="G172" s="57" t="str">
        <f t="shared" si="3"/>
        <v/>
      </c>
      <c r="H172" s="5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</row>
    <row r="173" s="16" customFormat="1" ht="15" customHeight="1" spans="1:20">
      <c r="A173" s="54">
        <v>170</v>
      </c>
      <c r="B173" s="59">
        <v>46217</v>
      </c>
      <c r="C173" s="29" t="s">
        <v>21</v>
      </c>
      <c r="D173" s="29" t="s">
        <v>101</v>
      </c>
      <c r="E173" s="29">
        <v>35</v>
      </c>
      <c r="F173" s="32">
        <v>47</v>
      </c>
      <c r="G173" s="32">
        <f t="shared" si="3"/>
        <v>1645</v>
      </c>
      <c r="H173" s="29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</row>
    <row r="174" s="16" customFormat="1" ht="15" customHeight="1" spans="1:20">
      <c r="A174" s="54">
        <v>171</v>
      </c>
      <c r="B174" s="59">
        <v>46217</v>
      </c>
      <c r="C174" s="29" t="s">
        <v>21</v>
      </c>
      <c r="D174" s="29" t="s">
        <v>101</v>
      </c>
      <c r="E174" s="54">
        <v>4</v>
      </c>
      <c r="F174" s="57"/>
      <c r="G174" s="57" t="str">
        <f t="shared" si="3"/>
        <v/>
      </c>
      <c r="H174" s="5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</row>
    <row r="175" s="16" customFormat="1" ht="15" customHeight="1" spans="1:20">
      <c r="A175" s="54">
        <v>172</v>
      </c>
      <c r="B175" s="59">
        <v>46217</v>
      </c>
      <c r="C175" s="29" t="s">
        <v>21</v>
      </c>
      <c r="D175" s="29" t="s">
        <v>103</v>
      </c>
      <c r="E175" s="29">
        <v>50.5</v>
      </c>
      <c r="F175" s="32">
        <v>43</v>
      </c>
      <c r="G175" s="32">
        <f t="shared" si="3"/>
        <v>2171.5</v>
      </c>
      <c r="H175" s="29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</row>
    <row r="176" s="16" customFormat="1" ht="15" customHeight="1" spans="1:20">
      <c r="A176" s="54">
        <v>173</v>
      </c>
      <c r="B176" s="59">
        <v>46217</v>
      </c>
      <c r="C176" s="29" t="s">
        <v>21</v>
      </c>
      <c r="D176" s="29" t="s">
        <v>103</v>
      </c>
      <c r="E176" s="54">
        <v>1.5</v>
      </c>
      <c r="F176" s="57"/>
      <c r="G176" s="57" t="str">
        <f t="shared" si="3"/>
        <v/>
      </c>
      <c r="H176" s="5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</row>
    <row r="177" s="16" customFormat="1" ht="15" customHeight="1" spans="1:20">
      <c r="A177" s="54">
        <v>174</v>
      </c>
      <c r="B177" s="59">
        <v>46224</v>
      </c>
      <c r="C177" s="29" t="s">
        <v>57</v>
      </c>
      <c r="D177" s="29" t="s">
        <v>99</v>
      </c>
      <c r="E177" s="29">
        <v>6</v>
      </c>
      <c r="F177" s="32">
        <v>65</v>
      </c>
      <c r="G177" s="32">
        <f t="shared" si="3"/>
        <v>390</v>
      </c>
      <c r="H177" s="29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</row>
    <row r="178" s="16" customFormat="1" ht="15" customHeight="1" spans="1:20">
      <c r="A178" s="54">
        <v>175</v>
      </c>
      <c r="B178" s="59">
        <v>46224</v>
      </c>
      <c r="C178" s="29" t="s">
        <v>57</v>
      </c>
      <c r="D178" s="54" t="s">
        <v>102</v>
      </c>
      <c r="E178" s="54">
        <v>6</v>
      </c>
      <c r="F178" s="57">
        <v>55</v>
      </c>
      <c r="G178" s="57">
        <f t="shared" si="3"/>
        <v>330</v>
      </c>
      <c r="H178" s="5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</row>
    <row r="179" s="16" customFormat="1" ht="15" customHeight="1" spans="1:20">
      <c r="A179" s="54">
        <v>176</v>
      </c>
      <c r="B179" s="55">
        <v>46212</v>
      </c>
      <c r="C179" s="30" t="s">
        <v>75</v>
      </c>
      <c r="D179" s="30" t="s">
        <v>101</v>
      </c>
      <c r="E179" s="54">
        <v>6</v>
      </c>
      <c r="F179" s="57">
        <v>50</v>
      </c>
      <c r="G179" s="57">
        <f t="shared" si="3"/>
        <v>300</v>
      </c>
      <c r="H179" s="5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</row>
    <row r="180" s="16" customFormat="1" ht="15" customHeight="1" spans="1:20">
      <c r="A180" s="54">
        <v>177</v>
      </c>
      <c r="B180" s="55">
        <v>46212</v>
      </c>
      <c r="C180" s="30" t="s">
        <v>75</v>
      </c>
      <c r="D180" s="30" t="s">
        <v>103</v>
      </c>
      <c r="E180" s="29">
        <v>6</v>
      </c>
      <c r="F180" s="32">
        <v>46</v>
      </c>
      <c r="G180" s="32">
        <f t="shared" si="3"/>
        <v>276</v>
      </c>
      <c r="H180" s="29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</row>
    <row r="181" s="16" customFormat="1" ht="15" customHeight="1" spans="1:20">
      <c r="A181" s="54">
        <v>178</v>
      </c>
      <c r="B181" s="55">
        <v>46212</v>
      </c>
      <c r="C181" s="30" t="s">
        <v>75</v>
      </c>
      <c r="D181" s="30" t="s">
        <v>101</v>
      </c>
      <c r="E181" s="54">
        <v>1</v>
      </c>
      <c r="F181" s="57"/>
      <c r="G181" s="57" t="str">
        <f t="shared" si="3"/>
        <v/>
      </c>
      <c r="H181" s="5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</row>
    <row r="182" s="16" customFormat="1" ht="15" customHeight="1" spans="1:20">
      <c r="A182" s="54">
        <v>179</v>
      </c>
      <c r="B182" s="55">
        <v>46212</v>
      </c>
      <c r="C182" s="30" t="s">
        <v>75</v>
      </c>
      <c r="D182" s="30" t="s">
        <v>99</v>
      </c>
      <c r="E182" s="29">
        <v>1</v>
      </c>
      <c r="F182" s="32"/>
      <c r="G182" s="32" t="str">
        <f t="shared" si="3"/>
        <v/>
      </c>
      <c r="H182" s="29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</row>
    <row r="183" s="16" customFormat="1" ht="15" customHeight="1" spans="1:20">
      <c r="A183" s="54">
        <v>180</v>
      </c>
      <c r="B183" s="59">
        <v>46199</v>
      </c>
      <c r="C183" s="29" t="s">
        <v>18</v>
      </c>
      <c r="D183" s="29" t="s">
        <v>107</v>
      </c>
      <c r="E183" s="29">
        <v>200</v>
      </c>
      <c r="F183" s="32">
        <v>90</v>
      </c>
      <c r="G183" s="32">
        <f t="shared" si="3"/>
        <v>18000</v>
      </c>
      <c r="H183" s="14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="16" customFormat="1" ht="15" customHeight="1" spans="1:20">
      <c r="A184" s="54">
        <v>181</v>
      </c>
      <c r="B184" s="59">
        <v>46199</v>
      </c>
      <c r="C184" s="29" t="s">
        <v>18</v>
      </c>
      <c r="D184" s="54" t="s">
        <v>100</v>
      </c>
      <c r="E184" s="54">
        <v>10</v>
      </c>
      <c r="F184" s="57">
        <v>48</v>
      </c>
      <c r="G184" s="32">
        <f t="shared" si="3"/>
        <v>480</v>
      </c>
      <c r="H184" s="58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="16" customFormat="1" ht="15" customHeight="1" spans="1:20">
      <c r="A185" s="54">
        <v>182</v>
      </c>
      <c r="B185" s="59">
        <v>46199</v>
      </c>
      <c r="C185" s="29" t="s">
        <v>18</v>
      </c>
      <c r="D185" s="29" t="s">
        <v>104</v>
      </c>
      <c r="E185" s="29">
        <v>30</v>
      </c>
      <c r="F185" s="32">
        <v>83</v>
      </c>
      <c r="G185" s="32">
        <f t="shared" si="3"/>
        <v>2490</v>
      </c>
      <c r="H185" s="14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="16" customFormat="1" ht="15" customHeight="1" spans="1:20">
      <c r="A186" s="54">
        <v>183</v>
      </c>
      <c r="B186" s="59">
        <v>46199</v>
      </c>
      <c r="C186" s="29" t="s">
        <v>18</v>
      </c>
      <c r="D186" s="54" t="s">
        <v>99</v>
      </c>
      <c r="E186" s="54">
        <v>20</v>
      </c>
      <c r="F186" s="57">
        <v>65</v>
      </c>
      <c r="G186" s="32">
        <f t="shared" si="3"/>
        <v>1300</v>
      </c>
      <c r="H186" s="58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="16" customFormat="1" ht="15" customHeight="1" spans="1:20">
      <c r="A187" s="54">
        <v>184</v>
      </c>
      <c r="B187" s="59">
        <v>46203</v>
      </c>
      <c r="C187" s="29" t="s">
        <v>18</v>
      </c>
      <c r="D187" s="29" t="s">
        <v>101</v>
      </c>
      <c r="E187" s="29">
        <v>70</v>
      </c>
      <c r="F187" s="32">
        <v>47</v>
      </c>
      <c r="G187" s="32">
        <f t="shared" si="3"/>
        <v>3290</v>
      </c>
      <c r="H187" s="29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</row>
    <row r="188" s="16" customFormat="1" ht="15" customHeight="1" spans="1:20">
      <c r="A188" s="54">
        <v>185</v>
      </c>
      <c r="B188" s="59">
        <v>46203</v>
      </c>
      <c r="C188" s="29" t="s">
        <v>18</v>
      </c>
      <c r="D188" s="54" t="s">
        <v>102</v>
      </c>
      <c r="E188" s="54">
        <v>15</v>
      </c>
      <c r="F188" s="57">
        <v>55</v>
      </c>
      <c r="G188" s="32">
        <f t="shared" si="3"/>
        <v>825</v>
      </c>
      <c r="H188" s="5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</row>
    <row r="189" s="16" customFormat="1" ht="15" customHeight="1" spans="1:20">
      <c r="A189" s="54">
        <v>186</v>
      </c>
      <c r="B189" s="59">
        <v>46203</v>
      </c>
      <c r="C189" s="29" t="s">
        <v>18</v>
      </c>
      <c r="D189" s="29" t="s">
        <v>99</v>
      </c>
      <c r="E189" s="29">
        <v>15</v>
      </c>
      <c r="F189" s="32">
        <v>65</v>
      </c>
      <c r="G189" s="32">
        <f t="shared" si="3"/>
        <v>975</v>
      </c>
      <c r="H189" s="29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</row>
    <row r="190" s="16" customFormat="1" ht="15" customHeight="1" spans="1:20">
      <c r="A190" s="54">
        <v>187</v>
      </c>
      <c r="B190" s="59">
        <v>46203</v>
      </c>
      <c r="C190" s="29" t="s">
        <v>18</v>
      </c>
      <c r="D190" s="54" t="s">
        <v>103</v>
      </c>
      <c r="E190" s="54">
        <v>30</v>
      </c>
      <c r="F190" s="57">
        <v>43</v>
      </c>
      <c r="G190" s="32">
        <f t="shared" si="3"/>
        <v>1290</v>
      </c>
      <c r="H190" s="5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</row>
    <row r="191" s="16" customFormat="1" ht="15" customHeight="1" spans="1:20">
      <c r="A191" s="54">
        <v>188</v>
      </c>
      <c r="B191" s="59">
        <v>46213</v>
      </c>
      <c r="C191" s="29" t="s">
        <v>18</v>
      </c>
      <c r="D191" s="29" t="s">
        <v>103</v>
      </c>
      <c r="E191" s="29">
        <v>18</v>
      </c>
      <c r="F191" s="32">
        <v>43</v>
      </c>
      <c r="G191" s="32">
        <f t="shared" si="3"/>
        <v>774</v>
      </c>
      <c r="H191" s="29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</row>
    <row r="192" s="16" customFormat="1" ht="15" customHeight="1" spans="1:20">
      <c r="A192" s="54">
        <v>189</v>
      </c>
      <c r="B192" s="55">
        <v>46218</v>
      </c>
      <c r="C192" s="54" t="s">
        <v>18</v>
      </c>
      <c r="D192" s="54" t="s">
        <v>101</v>
      </c>
      <c r="E192" s="54">
        <v>20</v>
      </c>
      <c r="F192" s="57">
        <v>47</v>
      </c>
      <c r="G192" s="57">
        <f t="shared" si="3"/>
        <v>940</v>
      </c>
      <c r="H192" s="5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</row>
    <row r="193" s="16" customFormat="1" ht="15" customHeight="1" spans="1:20">
      <c r="A193" s="54">
        <v>190</v>
      </c>
      <c r="B193" s="59">
        <v>46219</v>
      </c>
      <c r="C193" s="54" t="s">
        <v>18</v>
      </c>
      <c r="D193" s="29" t="s">
        <v>103</v>
      </c>
      <c r="E193" s="29">
        <v>20</v>
      </c>
      <c r="F193" s="32">
        <v>43</v>
      </c>
      <c r="G193" s="32">
        <f t="shared" si="3"/>
        <v>860</v>
      </c>
      <c r="H193" s="29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</row>
    <row r="194" s="16" customFormat="1" ht="15" customHeight="1" spans="1:20">
      <c r="A194" s="54">
        <v>191</v>
      </c>
      <c r="B194" s="55">
        <v>46221</v>
      </c>
      <c r="C194" s="54" t="s">
        <v>18</v>
      </c>
      <c r="D194" s="54" t="s">
        <v>108</v>
      </c>
      <c r="E194" s="54">
        <v>10</v>
      </c>
      <c r="F194" s="57">
        <v>69</v>
      </c>
      <c r="G194" s="57">
        <f t="shared" si="3"/>
        <v>690</v>
      </c>
      <c r="H194" s="5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</row>
    <row r="195" s="16" customFormat="1" ht="15" customHeight="1" spans="1:20">
      <c r="A195" s="54">
        <v>192</v>
      </c>
      <c r="B195" s="55">
        <v>46221</v>
      </c>
      <c r="C195" s="54" t="s">
        <v>18</v>
      </c>
      <c r="D195" s="29" t="s">
        <v>103</v>
      </c>
      <c r="E195" s="29">
        <v>25</v>
      </c>
      <c r="F195" s="32">
        <v>43</v>
      </c>
      <c r="G195" s="32">
        <f t="shared" si="3"/>
        <v>1075</v>
      </c>
      <c r="H195" s="29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</row>
    <row r="196" s="16" customFormat="1" ht="15" customHeight="1" spans="1:20">
      <c r="A196" s="54">
        <v>193</v>
      </c>
      <c r="B196" s="55">
        <v>46221</v>
      </c>
      <c r="C196" s="54" t="s">
        <v>18</v>
      </c>
      <c r="D196" s="54" t="s">
        <v>101</v>
      </c>
      <c r="E196" s="54">
        <v>20</v>
      </c>
      <c r="F196" s="57">
        <v>47</v>
      </c>
      <c r="G196" s="57">
        <f t="shared" si="3"/>
        <v>940</v>
      </c>
      <c r="H196" s="5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</row>
    <row r="197" s="16" customFormat="1" ht="15" customHeight="1" spans="1:20">
      <c r="A197" s="54">
        <v>194</v>
      </c>
      <c r="B197" s="59">
        <v>46225</v>
      </c>
      <c r="C197" s="29" t="s">
        <v>18</v>
      </c>
      <c r="D197" s="29" t="s">
        <v>103</v>
      </c>
      <c r="E197" s="29">
        <v>30</v>
      </c>
      <c r="F197" s="32">
        <v>43</v>
      </c>
      <c r="G197" s="32">
        <f t="shared" si="3"/>
        <v>1290</v>
      </c>
      <c r="H197" s="29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</row>
    <row r="198" s="16" customFormat="1" ht="15" customHeight="1" spans="1:20">
      <c r="A198" s="54">
        <v>195</v>
      </c>
      <c r="B198" s="59">
        <v>46226</v>
      </c>
      <c r="C198" s="29" t="s">
        <v>18</v>
      </c>
      <c r="D198" s="29" t="s">
        <v>104</v>
      </c>
      <c r="E198" s="29">
        <v>50</v>
      </c>
      <c r="F198" s="32">
        <v>83</v>
      </c>
      <c r="G198" s="32">
        <f t="shared" si="3"/>
        <v>4150</v>
      </c>
      <c r="H198" s="29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</row>
    <row r="199" s="16" customFormat="1" ht="15" customHeight="1" spans="1:20">
      <c r="A199" s="54">
        <v>196</v>
      </c>
      <c r="B199" s="59">
        <v>46226</v>
      </c>
      <c r="C199" s="29" t="s">
        <v>18</v>
      </c>
      <c r="D199" s="54" t="s">
        <v>101</v>
      </c>
      <c r="E199" s="54">
        <v>78</v>
      </c>
      <c r="F199" s="57">
        <v>47</v>
      </c>
      <c r="G199" s="57">
        <f t="shared" si="3"/>
        <v>3666</v>
      </c>
      <c r="H199" s="5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</row>
    <row r="200" s="16" customFormat="1" ht="15" customHeight="1" spans="1:20">
      <c r="A200" s="54">
        <v>197</v>
      </c>
      <c r="B200" s="59">
        <v>46226</v>
      </c>
      <c r="C200" s="29" t="s">
        <v>18</v>
      </c>
      <c r="D200" s="29" t="s">
        <v>107</v>
      </c>
      <c r="E200" s="29">
        <v>100</v>
      </c>
      <c r="F200" s="32">
        <v>90</v>
      </c>
      <c r="G200" s="32">
        <f t="shared" si="3"/>
        <v>9000</v>
      </c>
      <c r="H200" s="29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</row>
    <row r="201" s="16" customFormat="1" ht="15" customHeight="1" spans="1:20">
      <c r="A201" s="54">
        <v>198</v>
      </c>
      <c r="B201" s="59">
        <v>46226</v>
      </c>
      <c r="C201" s="30" t="s">
        <v>28</v>
      </c>
      <c r="D201" s="29" t="s">
        <v>107</v>
      </c>
      <c r="E201" s="29">
        <v>164</v>
      </c>
      <c r="F201" s="32">
        <v>90</v>
      </c>
      <c r="G201" s="32">
        <f t="shared" ref="G197:G260" si="4">IF(AND(E201&lt;&gt;"",F201&lt;&gt;""),E201*F201,"")</f>
        <v>14760</v>
      </c>
      <c r="H201" s="29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</row>
    <row r="202" s="16" customFormat="1" ht="15" customHeight="1" spans="1:20">
      <c r="A202" s="54">
        <v>199</v>
      </c>
      <c r="B202" s="59">
        <v>46226</v>
      </c>
      <c r="C202" s="30" t="s">
        <v>28</v>
      </c>
      <c r="D202" s="30" t="s">
        <v>99</v>
      </c>
      <c r="E202" s="54">
        <v>20</v>
      </c>
      <c r="F202" s="57">
        <v>65</v>
      </c>
      <c r="G202" s="57">
        <f t="shared" si="4"/>
        <v>1300</v>
      </c>
      <c r="H202" s="5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</row>
    <row r="203" s="16" customFormat="1" ht="15" customHeight="1" spans="1:20">
      <c r="A203" s="54">
        <v>200</v>
      </c>
      <c r="B203" s="59">
        <v>46226</v>
      </c>
      <c r="C203" s="30" t="s">
        <v>28</v>
      </c>
      <c r="D203" s="30" t="s">
        <v>102</v>
      </c>
      <c r="E203" s="54">
        <v>50</v>
      </c>
      <c r="F203" s="32">
        <v>55</v>
      </c>
      <c r="G203" s="32">
        <f t="shared" si="4"/>
        <v>2750</v>
      </c>
      <c r="H203" s="29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</row>
    <row r="204" s="16" customFormat="1" ht="15" customHeight="1" spans="1:20">
      <c r="A204" s="54">
        <v>201</v>
      </c>
      <c r="B204" s="59">
        <v>46226</v>
      </c>
      <c r="C204" s="30" t="s">
        <v>28</v>
      </c>
      <c r="D204" s="30" t="s">
        <v>103</v>
      </c>
      <c r="E204" s="54">
        <v>15.5</v>
      </c>
      <c r="F204" s="57">
        <v>43</v>
      </c>
      <c r="G204" s="57">
        <f t="shared" si="4"/>
        <v>666.5</v>
      </c>
      <c r="H204" s="5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</row>
    <row r="205" s="16" customFormat="1" ht="15" customHeight="1" spans="1:20">
      <c r="A205" s="54">
        <v>202</v>
      </c>
      <c r="B205" s="59">
        <v>46226</v>
      </c>
      <c r="C205" s="30" t="s">
        <v>28</v>
      </c>
      <c r="D205" s="30" t="s">
        <v>111</v>
      </c>
      <c r="E205" s="29">
        <v>20</v>
      </c>
      <c r="F205" s="32">
        <v>51</v>
      </c>
      <c r="G205" s="32">
        <f t="shared" si="4"/>
        <v>1020</v>
      </c>
      <c r="H205" s="29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</row>
    <row r="206" ht="15" customHeight="1" spans="1:20">
      <c r="A206" s="54">
        <v>203</v>
      </c>
      <c r="B206" s="61">
        <v>46234</v>
      </c>
      <c r="C206" s="58" t="s">
        <v>72</v>
      </c>
      <c r="D206" s="27" t="s">
        <v>107</v>
      </c>
      <c r="E206" s="58">
        <v>10</v>
      </c>
      <c r="F206" s="62">
        <v>93</v>
      </c>
      <c r="G206" s="62">
        <f t="shared" si="4"/>
        <v>930</v>
      </c>
      <c r="H206" s="58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</row>
    <row r="207" ht="15" customHeight="1" spans="1:20">
      <c r="A207" s="54">
        <v>204</v>
      </c>
      <c r="B207" s="41">
        <v>46235</v>
      </c>
      <c r="C207" s="14" t="s">
        <v>16</v>
      </c>
      <c r="D207" s="27" t="s">
        <v>101</v>
      </c>
      <c r="E207" s="14">
        <v>150</v>
      </c>
      <c r="F207" s="15">
        <v>47</v>
      </c>
      <c r="G207" s="15">
        <f t="shared" si="4"/>
        <v>7050</v>
      </c>
      <c r="H207" s="14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</row>
    <row r="208" ht="15" customHeight="1" spans="1:20">
      <c r="A208" s="54">
        <v>205</v>
      </c>
      <c r="B208" s="41">
        <v>46235</v>
      </c>
      <c r="C208" s="14" t="s">
        <v>16</v>
      </c>
      <c r="D208" s="27" t="s">
        <v>102</v>
      </c>
      <c r="E208" s="58">
        <v>30</v>
      </c>
      <c r="F208" s="62">
        <v>55</v>
      </c>
      <c r="G208" s="62">
        <f t="shared" si="4"/>
        <v>1650</v>
      </c>
      <c r="H208" s="58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</row>
    <row r="209" ht="15" customHeight="1" spans="1:20">
      <c r="A209" s="54">
        <v>206</v>
      </c>
      <c r="B209" s="41">
        <v>46235</v>
      </c>
      <c r="C209" s="14" t="s">
        <v>80</v>
      </c>
      <c r="D209" s="14" t="s">
        <v>107</v>
      </c>
      <c r="E209" s="14">
        <v>100</v>
      </c>
      <c r="F209" s="15">
        <v>90</v>
      </c>
      <c r="G209" s="15">
        <f t="shared" si="4"/>
        <v>9000</v>
      </c>
      <c r="H209" s="14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</row>
    <row r="210" ht="15" customHeight="1" spans="1:20">
      <c r="A210" s="54">
        <v>207</v>
      </c>
      <c r="B210" s="41">
        <v>46235</v>
      </c>
      <c r="C210" s="14" t="s">
        <v>80</v>
      </c>
      <c r="D210" s="58" t="s">
        <v>99</v>
      </c>
      <c r="E210" s="58">
        <v>10</v>
      </c>
      <c r="F210" s="62">
        <v>65</v>
      </c>
      <c r="G210" s="62">
        <f t="shared" si="4"/>
        <v>650</v>
      </c>
      <c r="H210" s="58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</row>
    <row r="211" ht="15" customHeight="1" spans="1:20">
      <c r="A211" s="54">
        <v>208</v>
      </c>
      <c r="B211" s="41">
        <v>46235</v>
      </c>
      <c r="C211" s="14" t="s">
        <v>80</v>
      </c>
      <c r="D211" s="14" t="s">
        <v>101</v>
      </c>
      <c r="E211" s="14">
        <v>17.5</v>
      </c>
      <c r="F211" s="15">
        <v>47</v>
      </c>
      <c r="G211" s="15">
        <f t="shared" si="4"/>
        <v>822.5</v>
      </c>
      <c r="H211" s="14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</row>
    <row r="212" ht="15" customHeight="1" spans="1:20">
      <c r="A212" s="54">
        <v>209</v>
      </c>
      <c r="B212" s="61">
        <v>46235</v>
      </c>
      <c r="C212" s="58" t="s">
        <v>21</v>
      </c>
      <c r="D212" s="58" t="s">
        <v>107</v>
      </c>
      <c r="E212" s="58">
        <v>100</v>
      </c>
      <c r="F212" s="62">
        <v>90</v>
      </c>
      <c r="G212" s="62">
        <f t="shared" si="4"/>
        <v>9000</v>
      </c>
      <c r="H212" s="58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</row>
    <row r="213" ht="15" customHeight="1" spans="1:20">
      <c r="A213" s="54">
        <v>210</v>
      </c>
      <c r="B213" s="41">
        <v>46234</v>
      </c>
      <c r="C213" s="14" t="s">
        <v>70</v>
      </c>
      <c r="D213" s="14" t="s">
        <v>107</v>
      </c>
      <c r="E213" s="14">
        <v>10</v>
      </c>
      <c r="F213" s="15">
        <v>93</v>
      </c>
      <c r="G213" s="15">
        <f t="shared" si="4"/>
        <v>930</v>
      </c>
      <c r="H213" s="14" t="s">
        <v>128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</row>
    <row r="214" ht="15" customHeight="1" spans="1:20">
      <c r="A214" s="54">
        <v>211</v>
      </c>
      <c r="B214" s="61">
        <v>46236</v>
      </c>
      <c r="C214" s="58" t="s">
        <v>18</v>
      </c>
      <c r="D214" s="58" t="s">
        <v>99</v>
      </c>
      <c r="E214" s="58">
        <v>50</v>
      </c>
      <c r="F214" s="62">
        <v>65</v>
      </c>
      <c r="G214" s="62">
        <f t="shared" si="4"/>
        <v>3250</v>
      </c>
      <c r="H214" s="58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</row>
    <row r="215" ht="15" customHeight="1" spans="1:20">
      <c r="A215" s="54">
        <v>212</v>
      </c>
      <c r="B215" s="61">
        <v>46236</v>
      </c>
      <c r="C215" s="58" t="s">
        <v>18</v>
      </c>
      <c r="D215" s="14" t="s">
        <v>102</v>
      </c>
      <c r="E215" s="14">
        <v>90</v>
      </c>
      <c r="F215" s="15">
        <v>55</v>
      </c>
      <c r="G215" s="15">
        <f t="shared" si="4"/>
        <v>4950</v>
      </c>
      <c r="H215" s="14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</row>
    <row r="216" ht="15" customHeight="1" spans="1:20">
      <c r="A216" s="54">
        <v>213</v>
      </c>
      <c r="B216" s="61">
        <v>46236</v>
      </c>
      <c r="C216" s="58" t="s">
        <v>18</v>
      </c>
      <c r="D216" s="58" t="s">
        <v>101</v>
      </c>
      <c r="E216" s="58">
        <v>100</v>
      </c>
      <c r="F216" s="62">
        <v>47</v>
      </c>
      <c r="G216" s="62">
        <f t="shared" si="4"/>
        <v>4700</v>
      </c>
      <c r="H216" s="58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</row>
    <row r="217" ht="15" customHeight="1" spans="1:20">
      <c r="A217" s="54">
        <v>214</v>
      </c>
      <c r="B217" s="41">
        <v>46235</v>
      </c>
      <c r="C217" s="14" t="s">
        <v>16</v>
      </c>
      <c r="D217" s="14" t="s">
        <v>99</v>
      </c>
      <c r="E217" s="14">
        <v>100</v>
      </c>
      <c r="F217" s="15">
        <v>65</v>
      </c>
      <c r="G217" s="15">
        <f t="shared" si="4"/>
        <v>6500</v>
      </c>
      <c r="H217" s="14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</row>
    <row r="218" ht="15" customHeight="1" spans="1:20">
      <c r="A218" s="54">
        <v>215</v>
      </c>
      <c r="B218" s="41">
        <v>46235</v>
      </c>
      <c r="C218" s="14" t="s">
        <v>16</v>
      </c>
      <c r="D218" s="14" t="s">
        <v>99</v>
      </c>
      <c r="E218" s="58">
        <v>10</v>
      </c>
      <c r="F218" s="62"/>
      <c r="G218" s="62" t="str">
        <f t="shared" si="4"/>
        <v/>
      </c>
      <c r="H218" s="58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</row>
    <row r="219" ht="15" customHeight="1" spans="1:20">
      <c r="A219" s="54">
        <v>216</v>
      </c>
      <c r="B219" s="41">
        <v>46236</v>
      </c>
      <c r="C219" s="14" t="s">
        <v>45</v>
      </c>
      <c r="D219" s="14" t="s">
        <v>101</v>
      </c>
      <c r="E219" s="14">
        <v>3</v>
      </c>
      <c r="F219" s="15">
        <v>50</v>
      </c>
      <c r="G219" s="15">
        <f t="shared" si="4"/>
        <v>150</v>
      </c>
      <c r="H219" s="14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</row>
    <row r="220" ht="15" customHeight="1" spans="1:20">
      <c r="A220" s="54">
        <v>217</v>
      </c>
      <c r="B220" s="61">
        <v>46232</v>
      </c>
      <c r="C220" s="58" t="s">
        <v>15</v>
      </c>
      <c r="D220" s="58" t="s">
        <v>121</v>
      </c>
      <c r="E220" s="58">
        <v>21</v>
      </c>
      <c r="F220" s="62">
        <v>62</v>
      </c>
      <c r="G220" s="62">
        <f t="shared" si="4"/>
        <v>1302</v>
      </c>
      <c r="H220" s="58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</row>
    <row r="221" ht="15" customHeight="1" spans="1:20">
      <c r="A221" s="54">
        <v>218</v>
      </c>
      <c r="B221" s="61">
        <v>46232</v>
      </c>
      <c r="C221" s="58" t="s">
        <v>15</v>
      </c>
      <c r="D221" s="14" t="s">
        <v>112</v>
      </c>
      <c r="E221" s="14">
        <v>15</v>
      </c>
      <c r="F221" s="15">
        <v>52</v>
      </c>
      <c r="G221" s="15">
        <f t="shared" si="4"/>
        <v>780</v>
      </c>
      <c r="H221" s="14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</row>
    <row r="222" ht="15" customHeight="1" spans="1:20">
      <c r="A222" s="54">
        <v>219</v>
      </c>
      <c r="B222" s="61">
        <v>46233</v>
      </c>
      <c r="C222" s="58" t="s">
        <v>15</v>
      </c>
      <c r="D222" s="58" t="s">
        <v>112</v>
      </c>
      <c r="E222" s="58">
        <v>25</v>
      </c>
      <c r="F222" s="62">
        <v>52</v>
      </c>
      <c r="G222" s="62">
        <f t="shared" si="4"/>
        <v>1300</v>
      </c>
      <c r="H222" s="58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ht="15" customHeight="1" spans="1:20">
      <c r="A223" s="54">
        <v>220</v>
      </c>
      <c r="B223" s="41">
        <v>46232</v>
      </c>
      <c r="C223" s="27" t="s">
        <v>65</v>
      </c>
      <c r="D223" s="14" t="s">
        <v>99</v>
      </c>
      <c r="E223" s="14">
        <v>5</v>
      </c>
      <c r="F223" s="15">
        <v>68</v>
      </c>
      <c r="G223" s="15">
        <f t="shared" si="4"/>
        <v>340</v>
      </c>
      <c r="H223" s="14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</row>
    <row r="224" ht="15" customHeight="1" spans="1:20">
      <c r="A224" s="54">
        <v>221</v>
      </c>
      <c r="B224" s="61">
        <v>46231</v>
      </c>
      <c r="C224" s="58" t="s">
        <v>49</v>
      </c>
      <c r="D224" s="58" t="s">
        <v>107</v>
      </c>
      <c r="E224" s="58">
        <v>300</v>
      </c>
      <c r="F224" s="62">
        <v>90</v>
      </c>
      <c r="G224" s="62">
        <f t="shared" si="4"/>
        <v>27000</v>
      </c>
      <c r="H224" s="58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</row>
    <row r="225" ht="15" customHeight="1" spans="1:20">
      <c r="A225" s="14">
        <v>221</v>
      </c>
      <c r="B225" s="41">
        <v>46227</v>
      </c>
      <c r="C225" s="14" t="s">
        <v>45</v>
      </c>
      <c r="D225" s="14" t="s">
        <v>104</v>
      </c>
      <c r="E225" s="14">
        <v>1</v>
      </c>
      <c r="F225" s="15">
        <v>86</v>
      </c>
      <c r="G225" s="15">
        <f t="shared" si="4"/>
        <v>86</v>
      </c>
      <c r="H225" s="14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ht="15" customHeight="1" spans="1:20">
      <c r="A226" s="58">
        <v>222</v>
      </c>
      <c r="B226" s="61">
        <v>46230</v>
      </c>
      <c r="C226" s="58" t="s">
        <v>14</v>
      </c>
      <c r="D226" s="58" t="s">
        <v>107</v>
      </c>
      <c r="E226" s="58">
        <v>100</v>
      </c>
      <c r="F226" s="62">
        <v>90</v>
      </c>
      <c r="G226" s="62">
        <f t="shared" si="4"/>
        <v>9000</v>
      </c>
      <c r="H226" s="58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</row>
    <row r="227" ht="15" customHeight="1" spans="1:20">
      <c r="A227" s="14">
        <v>223</v>
      </c>
      <c r="B227" s="41">
        <v>46238</v>
      </c>
      <c r="C227" s="14" t="s">
        <v>15</v>
      </c>
      <c r="D227" s="14" t="s">
        <v>112</v>
      </c>
      <c r="E227" s="14">
        <v>45</v>
      </c>
      <c r="F227" s="15">
        <v>52</v>
      </c>
      <c r="G227" s="15">
        <f t="shared" si="4"/>
        <v>2340</v>
      </c>
      <c r="H227" s="14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ht="15" customHeight="1" spans="1:20">
      <c r="A228" s="58">
        <v>224</v>
      </c>
      <c r="B228" s="41">
        <v>46238</v>
      </c>
      <c r="C228" s="14" t="s">
        <v>15</v>
      </c>
      <c r="D228" s="58" t="s">
        <v>124</v>
      </c>
      <c r="E228" s="58">
        <v>20</v>
      </c>
      <c r="F228" s="62">
        <v>20</v>
      </c>
      <c r="G228" s="62">
        <f t="shared" si="4"/>
        <v>400</v>
      </c>
      <c r="H228" s="58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</row>
    <row r="229" ht="15" customHeight="1" spans="1:20">
      <c r="A229" s="14">
        <v>225</v>
      </c>
      <c r="B229" s="41">
        <v>46237</v>
      </c>
      <c r="C229" s="14" t="s">
        <v>15</v>
      </c>
      <c r="D229" s="14" t="s">
        <v>112</v>
      </c>
      <c r="E229" s="14">
        <v>50</v>
      </c>
      <c r="F229" s="15">
        <v>52</v>
      </c>
      <c r="G229" s="15">
        <f t="shared" si="4"/>
        <v>2600</v>
      </c>
      <c r="H229" s="14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ht="15" customHeight="1" spans="1:20">
      <c r="A230" s="58">
        <v>226</v>
      </c>
      <c r="B230" s="61">
        <v>46237</v>
      </c>
      <c r="C230" s="58" t="s">
        <v>37</v>
      </c>
      <c r="D230" s="58" t="s">
        <v>99</v>
      </c>
      <c r="E230" s="58">
        <v>20</v>
      </c>
      <c r="F230" s="62">
        <v>65</v>
      </c>
      <c r="G230" s="62">
        <f t="shared" si="4"/>
        <v>1300</v>
      </c>
      <c r="H230" s="58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ht="15" customHeight="1" spans="1:20">
      <c r="A231" s="14">
        <v>227</v>
      </c>
      <c r="B231" s="61">
        <v>46237</v>
      </c>
      <c r="C231" s="58" t="s">
        <v>37</v>
      </c>
      <c r="D231" s="14" t="s">
        <v>102</v>
      </c>
      <c r="E231" s="14">
        <v>20</v>
      </c>
      <c r="F231" s="15">
        <v>55</v>
      </c>
      <c r="G231" s="15">
        <f t="shared" si="4"/>
        <v>1100</v>
      </c>
      <c r="H231" s="14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</row>
    <row r="232" ht="15" customHeight="1" spans="1:20">
      <c r="A232" s="58">
        <v>228</v>
      </c>
      <c r="B232" s="61">
        <v>46237</v>
      </c>
      <c r="C232" s="58" t="s">
        <v>37</v>
      </c>
      <c r="D232" s="58" t="s">
        <v>103</v>
      </c>
      <c r="E232" s="58">
        <v>20</v>
      </c>
      <c r="F232" s="62">
        <v>43</v>
      </c>
      <c r="G232" s="62">
        <f t="shared" si="4"/>
        <v>860</v>
      </c>
      <c r="H232" s="58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</row>
    <row r="233" ht="15" customHeight="1" spans="1:20">
      <c r="A233" s="14">
        <v>229</v>
      </c>
      <c r="B233" s="61">
        <v>46237</v>
      </c>
      <c r="C233" s="14" t="s">
        <v>13</v>
      </c>
      <c r="D233" s="14" t="s">
        <v>111</v>
      </c>
      <c r="E233" s="14">
        <v>182</v>
      </c>
      <c r="F233" s="15">
        <v>51</v>
      </c>
      <c r="G233" s="15">
        <f t="shared" si="4"/>
        <v>9282</v>
      </c>
      <c r="H233" s="14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</row>
    <row r="234" ht="15" customHeight="1" spans="1:20">
      <c r="A234" s="58">
        <v>230</v>
      </c>
      <c r="B234" s="61">
        <v>46239</v>
      </c>
      <c r="C234" s="58" t="s">
        <v>16</v>
      </c>
      <c r="D234" s="58" t="s">
        <v>107</v>
      </c>
      <c r="E234" s="58">
        <v>100</v>
      </c>
      <c r="F234" s="62">
        <v>90</v>
      </c>
      <c r="G234" s="62">
        <f t="shared" si="4"/>
        <v>9000</v>
      </c>
      <c r="H234" s="58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ht="15" customHeight="1" spans="1:20">
      <c r="A235" s="14">
        <v>231</v>
      </c>
      <c r="B235" s="41">
        <v>46238</v>
      </c>
      <c r="C235" s="14" t="s">
        <v>24</v>
      </c>
      <c r="D235" s="14" t="s">
        <v>107</v>
      </c>
      <c r="E235" s="14">
        <v>100</v>
      </c>
      <c r="F235" s="15">
        <v>90</v>
      </c>
      <c r="G235" s="15">
        <f t="shared" si="4"/>
        <v>9000</v>
      </c>
      <c r="H235" s="14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</row>
    <row r="236" ht="15" customHeight="1" spans="1:20">
      <c r="A236" s="58">
        <v>232</v>
      </c>
      <c r="B236" s="61">
        <v>46237</v>
      </c>
      <c r="C236" s="58" t="s">
        <v>26</v>
      </c>
      <c r="D236" s="58" t="s">
        <v>107</v>
      </c>
      <c r="E236" s="58">
        <v>30</v>
      </c>
      <c r="F236" s="62">
        <v>90</v>
      </c>
      <c r="G236" s="62">
        <f t="shared" si="4"/>
        <v>2700</v>
      </c>
      <c r="H236" s="58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</row>
    <row r="237" ht="15" customHeight="1" spans="1:20">
      <c r="A237" s="14">
        <v>233</v>
      </c>
      <c r="B237" s="41">
        <v>46237</v>
      </c>
      <c r="C237" s="14" t="s">
        <v>15</v>
      </c>
      <c r="D237" s="14" t="s">
        <v>107</v>
      </c>
      <c r="E237" s="14">
        <v>500</v>
      </c>
      <c r="F237" s="15">
        <v>90</v>
      </c>
      <c r="G237" s="15">
        <f t="shared" si="4"/>
        <v>45000</v>
      </c>
      <c r="H237" s="14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</row>
    <row r="238" ht="15" customHeight="1" spans="1:20">
      <c r="A238" s="58">
        <v>234</v>
      </c>
      <c r="B238" s="61">
        <v>46237</v>
      </c>
      <c r="C238" s="58" t="s">
        <v>15</v>
      </c>
      <c r="D238" s="58" t="s">
        <v>108</v>
      </c>
      <c r="E238" s="58">
        <v>10</v>
      </c>
      <c r="F238" s="62">
        <v>69</v>
      </c>
      <c r="G238" s="62">
        <f t="shared" si="4"/>
        <v>690</v>
      </c>
      <c r="H238" s="58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</row>
    <row r="239" ht="15" customHeight="1" spans="1:20">
      <c r="A239" s="14">
        <v>235</v>
      </c>
      <c r="B239" s="61">
        <v>46237</v>
      </c>
      <c r="C239" s="58" t="s">
        <v>15</v>
      </c>
      <c r="D239" s="12" t="s">
        <v>129</v>
      </c>
      <c r="E239" s="14">
        <v>10</v>
      </c>
      <c r="F239" s="15">
        <v>32</v>
      </c>
      <c r="G239" s="15">
        <f t="shared" si="4"/>
        <v>320</v>
      </c>
      <c r="H239" s="14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ht="15" customHeight="1" spans="1:20">
      <c r="A240" s="58">
        <v>236</v>
      </c>
      <c r="B240" s="61">
        <v>46240</v>
      </c>
      <c r="C240" s="35" t="s">
        <v>82</v>
      </c>
      <c r="D240" s="58" t="s">
        <v>107</v>
      </c>
      <c r="E240" s="58">
        <v>10</v>
      </c>
      <c r="F240" s="62">
        <v>93</v>
      </c>
      <c r="G240" s="62">
        <f t="shared" si="4"/>
        <v>930</v>
      </c>
      <c r="H240" s="58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</row>
    <row r="241" ht="15" customHeight="1" spans="1:20">
      <c r="A241" s="14">
        <v>237</v>
      </c>
      <c r="B241" s="41">
        <v>46240</v>
      </c>
      <c r="C241" s="14" t="s">
        <v>49</v>
      </c>
      <c r="D241" s="14" t="s">
        <v>107</v>
      </c>
      <c r="E241" s="14">
        <v>100</v>
      </c>
      <c r="F241" s="15">
        <v>90</v>
      </c>
      <c r="G241" s="15">
        <f t="shared" si="4"/>
        <v>9000</v>
      </c>
      <c r="H241" s="14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</row>
    <row r="242" ht="15" customHeight="1" spans="1:20">
      <c r="A242" s="58">
        <v>238</v>
      </c>
      <c r="B242" s="61">
        <v>46240</v>
      </c>
      <c r="C242" s="58" t="s">
        <v>17</v>
      </c>
      <c r="D242" s="58" t="s">
        <v>101</v>
      </c>
      <c r="E242" s="58">
        <v>100</v>
      </c>
      <c r="F242" s="62">
        <v>47</v>
      </c>
      <c r="G242" s="62">
        <f t="shared" si="4"/>
        <v>4700</v>
      </c>
      <c r="H242" s="58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</row>
    <row r="243" ht="15" customHeight="1" spans="1:20">
      <c r="A243" s="14">
        <v>239</v>
      </c>
      <c r="B243" s="61">
        <v>46240</v>
      </c>
      <c r="C243" s="58" t="s">
        <v>17</v>
      </c>
      <c r="D243" s="14" t="s">
        <v>102</v>
      </c>
      <c r="E243" s="14">
        <v>50</v>
      </c>
      <c r="F243" s="15">
        <v>55</v>
      </c>
      <c r="G243" s="15">
        <f t="shared" si="4"/>
        <v>2750</v>
      </c>
      <c r="H243" s="14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</row>
    <row r="244" ht="15" customHeight="1" spans="1:20">
      <c r="A244" s="58">
        <v>240</v>
      </c>
      <c r="B244" s="61">
        <v>46240</v>
      </c>
      <c r="C244" s="58" t="s">
        <v>17</v>
      </c>
      <c r="D244" s="58" t="s">
        <v>108</v>
      </c>
      <c r="E244" s="58">
        <v>-16</v>
      </c>
      <c r="F244" s="62">
        <v>66.3</v>
      </c>
      <c r="G244" s="62">
        <f t="shared" si="4"/>
        <v>-1060.8</v>
      </c>
      <c r="H244" s="58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</row>
    <row r="245" ht="15" customHeight="1" spans="1:20">
      <c r="A245" s="14">
        <v>241</v>
      </c>
      <c r="B245" s="41">
        <v>46238</v>
      </c>
      <c r="C245" s="14" t="s">
        <v>16</v>
      </c>
      <c r="D245" s="14" t="s">
        <v>101</v>
      </c>
      <c r="E245" s="14">
        <v>100</v>
      </c>
      <c r="F245" s="15">
        <v>47</v>
      </c>
      <c r="G245" s="15">
        <f t="shared" si="4"/>
        <v>4700</v>
      </c>
      <c r="H245" s="14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</row>
    <row r="246" ht="15" customHeight="1" spans="1:20">
      <c r="A246" s="58">
        <v>242</v>
      </c>
      <c r="B246" s="61">
        <v>46239</v>
      </c>
      <c r="C246" s="58" t="s">
        <v>29</v>
      </c>
      <c r="D246" s="58" t="s">
        <v>107</v>
      </c>
      <c r="E246" s="58">
        <v>224</v>
      </c>
      <c r="F246" s="62">
        <v>90</v>
      </c>
      <c r="G246" s="62">
        <f t="shared" si="4"/>
        <v>20160</v>
      </c>
      <c r="H246" s="58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</row>
    <row r="247" ht="15" customHeight="1" spans="1:20">
      <c r="A247" s="14">
        <v>243</v>
      </c>
      <c r="B247" s="41">
        <v>46240</v>
      </c>
      <c r="C247" s="27" t="s">
        <v>55</v>
      </c>
      <c r="D247" s="14" t="s">
        <v>102</v>
      </c>
      <c r="E247" s="14">
        <v>3</v>
      </c>
      <c r="F247" s="15">
        <v>58</v>
      </c>
      <c r="G247" s="15">
        <f t="shared" si="4"/>
        <v>174</v>
      </c>
      <c r="H247" s="14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ht="15" customHeight="1" spans="1:20">
      <c r="A248" s="58">
        <v>244</v>
      </c>
      <c r="B248" s="41">
        <v>46240</v>
      </c>
      <c r="C248" s="27" t="s">
        <v>55</v>
      </c>
      <c r="D248" s="58" t="s">
        <v>101</v>
      </c>
      <c r="E248" s="58">
        <v>2</v>
      </c>
      <c r="F248" s="62">
        <v>50</v>
      </c>
      <c r="G248" s="62">
        <f t="shared" si="4"/>
        <v>100</v>
      </c>
      <c r="H248" s="58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</row>
    <row r="249" ht="15" customHeight="1" spans="1:20">
      <c r="A249" s="14">
        <v>245</v>
      </c>
      <c r="B249" s="41">
        <v>46241</v>
      </c>
      <c r="C249" s="27" t="s">
        <v>47</v>
      </c>
      <c r="D249" s="14" t="s">
        <v>107</v>
      </c>
      <c r="E249" s="14">
        <v>50</v>
      </c>
      <c r="F249" s="15">
        <v>90</v>
      </c>
      <c r="G249" s="15">
        <f t="shared" si="4"/>
        <v>4500</v>
      </c>
      <c r="H249" s="14" t="s">
        <v>130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</row>
    <row r="250" ht="15" customHeight="1" spans="1:20">
      <c r="A250" s="58">
        <v>246</v>
      </c>
      <c r="B250" s="61">
        <v>46241</v>
      </c>
      <c r="C250" s="58" t="s">
        <v>14</v>
      </c>
      <c r="D250" s="58" t="s">
        <v>107</v>
      </c>
      <c r="E250" s="58">
        <v>55</v>
      </c>
      <c r="F250" s="62">
        <v>90</v>
      </c>
      <c r="G250" s="62">
        <f t="shared" si="4"/>
        <v>4950</v>
      </c>
      <c r="H250" s="58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</row>
    <row r="251" ht="15" customHeight="1" spans="1:20">
      <c r="A251" s="14">
        <v>247</v>
      </c>
      <c r="B251" s="41">
        <v>46241</v>
      </c>
      <c r="C251" s="14" t="s">
        <v>15</v>
      </c>
      <c r="D251" s="14" t="s">
        <v>121</v>
      </c>
      <c r="E251" s="14">
        <v>2</v>
      </c>
      <c r="F251" s="15">
        <v>62</v>
      </c>
      <c r="G251" s="15">
        <f t="shared" si="4"/>
        <v>124</v>
      </c>
      <c r="H251" s="14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</row>
    <row r="252" ht="15" customHeight="1" spans="1:20">
      <c r="A252" s="58">
        <v>248</v>
      </c>
      <c r="B252" s="61">
        <v>46241</v>
      </c>
      <c r="C252" s="58" t="s">
        <v>56</v>
      </c>
      <c r="D252" s="58" t="s">
        <v>107</v>
      </c>
      <c r="E252" s="58">
        <v>100</v>
      </c>
      <c r="F252" s="62">
        <v>90</v>
      </c>
      <c r="G252" s="62">
        <f t="shared" si="4"/>
        <v>9000</v>
      </c>
      <c r="H252" s="58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</row>
    <row r="253" ht="15" customHeight="1" spans="1:20">
      <c r="A253" s="14">
        <v>249</v>
      </c>
      <c r="B253" s="41">
        <v>46241</v>
      </c>
      <c r="C253" s="27" t="s">
        <v>48</v>
      </c>
      <c r="D253" s="14" t="s">
        <v>101</v>
      </c>
      <c r="E253" s="14">
        <v>9</v>
      </c>
      <c r="F253" s="15">
        <v>50</v>
      </c>
      <c r="G253" s="15">
        <f t="shared" si="4"/>
        <v>450</v>
      </c>
      <c r="H253" s="14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</row>
    <row r="254" ht="15" customHeight="1" spans="1:20">
      <c r="A254" s="58">
        <v>250</v>
      </c>
      <c r="B254" s="41">
        <v>46241</v>
      </c>
      <c r="C254" s="27" t="s">
        <v>48</v>
      </c>
      <c r="D254" s="58" t="s">
        <v>103</v>
      </c>
      <c r="E254" s="58">
        <v>4</v>
      </c>
      <c r="F254" s="62">
        <v>46</v>
      </c>
      <c r="G254" s="62">
        <f t="shared" si="4"/>
        <v>184</v>
      </c>
      <c r="H254" s="58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</row>
    <row r="255" s="16" customFormat="1" ht="15" customHeight="1" spans="1:20">
      <c r="A255" s="29">
        <v>251</v>
      </c>
      <c r="B255" s="59">
        <v>46241</v>
      </c>
      <c r="C255" s="60" t="s">
        <v>81</v>
      </c>
      <c r="D255" s="29" t="s">
        <v>107</v>
      </c>
      <c r="E255" s="29">
        <v>25</v>
      </c>
      <c r="F255" s="32">
        <v>93</v>
      </c>
      <c r="G255" s="32">
        <f t="shared" si="4"/>
        <v>2325</v>
      </c>
      <c r="H255" s="29" t="s">
        <v>131</v>
      </c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</row>
    <row r="256" ht="15" customHeight="1" spans="1:20">
      <c r="A256" s="58">
        <v>252</v>
      </c>
      <c r="B256" s="41">
        <v>46241</v>
      </c>
      <c r="C256" s="58" t="s">
        <v>44</v>
      </c>
      <c r="D256" s="58" t="s">
        <v>107</v>
      </c>
      <c r="E256" s="58">
        <v>100</v>
      </c>
      <c r="F256" s="62">
        <v>90</v>
      </c>
      <c r="G256" s="62">
        <f t="shared" si="4"/>
        <v>9000</v>
      </c>
      <c r="H256" s="58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</row>
    <row r="257" ht="15" customHeight="1" spans="1:20">
      <c r="A257" s="14">
        <v>253</v>
      </c>
      <c r="B257" s="41">
        <v>46241</v>
      </c>
      <c r="C257" s="58" t="s">
        <v>44</v>
      </c>
      <c r="D257" s="14" t="s">
        <v>102</v>
      </c>
      <c r="E257" s="14">
        <v>30</v>
      </c>
      <c r="F257" s="15">
        <v>55</v>
      </c>
      <c r="G257" s="15">
        <f t="shared" si="4"/>
        <v>1650</v>
      </c>
      <c r="H257" s="14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</row>
    <row r="258" ht="15" customHeight="1" spans="1:20">
      <c r="A258" s="58">
        <v>254</v>
      </c>
      <c r="B258" s="41">
        <v>46241</v>
      </c>
      <c r="C258" s="58" t="s">
        <v>44</v>
      </c>
      <c r="D258" s="58" t="s">
        <v>101</v>
      </c>
      <c r="E258" s="58">
        <v>30</v>
      </c>
      <c r="F258" s="62">
        <v>47</v>
      </c>
      <c r="G258" s="62">
        <f t="shared" si="4"/>
        <v>1410</v>
      </c>
      <c r="H258" s="58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</row>
    <row r="259" ht="15" customHeight="1" spans="1:20">
      <c r="A259" s="14">
        <v>255</v>
      </c>
      <c r="B259" s="41">
        <v>46241</v>
      </c>
      <c r="C259" s="14" t="s">
        <v>55</v>
      </c>
      <c r="D259" s="14" t="s">
        <v>104</v>
      </c>
      <c r="E259" s="14">
        <v>3</v>
      </c>
      <c r="F259" s="15">
        <v>86</v>
      </c>
      <c r="G259" s="15">
        <f t="shared" si="4"/>
        <v>258</v>
      </c>
      <c r="H259" s="14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</row>
    <row r="260" ht="15" customHeight="1" spans="1:20">
      <c r="A260" s="58">
        <v>256</v>
      </c>
      <c r="B260" s="41">
        <v>46241</v>
      </c>
      <c r="C260" s="58" t="s">
        <v>69</v>
      </c>
      <c r="D260" s="58" t="s">
        <v>103</v>
      </c>
      <c r="E260" s="58">
        <v>2</v>
      </c>
      <c r="F260" s="62">
        <v>46</v>
      </c>
      <c r="G260" s="62">
        <f t="shared" si="4"/>
        <v>92</v>
      </c>
      <c r="H260" s="58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</row>
    <row r="261" ht="15" customHeight="1" spans="1:20">
      <c r="A261" s="14">
        <v>257</v>
      </c>
      <c r="B261" s="41">
        <v>46242</v>
      </c>
      <c r="C261" s="14" t="s">
        <v>21</v>
      </c>
      <c r="D261" s="14" t="s">
        <v>101</v>
      </c>
      <c r="E261" s="14">
        <v>50</v>
      </c>
      <c r="F261" s="15">
        <v>47</v>
      </c>
      <c r="G261" s="15">
        <f t="shared" ref="G261:G304" si="5">IF(AND(E261&lt;&gt;"",F261&lt;&gt;""),E261*F261,"")</f>
        <v>2350</v>
      </c>
      <c r="H261" s="14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</row>
    <row r="262" ht="15" customHeight="1" spans="1:20">
      <c r="A262" s="58">
        <v>258</v>
      </c>
      <c r="B262" s="61">
        <v>46244</v>
      </c>
      <c r="C262" s="58" t="s">
        <v>17</v>
      </c>
      <c r="D262" s="58" t="s">
        <v>99</v>
      </c>
      <c r="E262" s="58">
        <v>100</v>
      </c>
      <c r="F262" s="62">
        <v>65</v>
      </c>
      <c r="G262" s="62">
        <f t="shared" si="5"/>
        <v>6500</v>
      </c>
      <c r="H262" s="58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</row>
    <row r="263" ht="15" customHeight="1" spans="1:20">
      <c r="A263" s="14">
        <v>259</v>
      </c>
      <c r="B263" s="41">
        <v>46244</v>
      </c>
      <c r="C263" s="14" t="s">
        <v>32</v>
      </c>
      <c r="D263" s="14" t="s">
        <v>107</v>
      </c>
      <c r="E263" s="14">
        <v>100</v>
      </c>
      <c r="F263" s="15">
        <v>90</v>
      </c>
      <c r="G263" s="15">
        <f t="shared" si="5"/>
        <v>9000</v>
      </c>
      <c r="H263" s="14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</row>
    <row r="264" ht="15" customHeight="1" spans="1:20">
      <c r="A264" s="58">
        <v>260</v>
      </c>
      <c r="B264" s="41">
        <v>46244</v>
      </c>
      <c r="C264" s="58" t="s">
        <v>28</v>
      </c>
      <c r="D264" s="58" t="s">
        <v>107</v>
      </c>
      <c r="E264" s="58">
        <v>100</v>
      </c>
      <c r="F264" s="62">
        <v>90</v>
      </c>
      <c r="G264" s="62">
        <f t="shared" si="5"/>
        <v>9000</v>
      </c>
      <c r="H264" s="58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</row>
    <row r="265" ht="15" customHeight="1" spans="1:20">
      <c r="A265" s="14">
        <v>261</v>
      </c>
      <c r="B265" s="41">
        <v>46244</v>
      </c>
      <c r="C265" s="14" t="s">
        <v>15</v>
      </c>
      <c r="D265" s="14" t="s">
        <v>101</v>
      </c>
      <c r="E265" s="14">
        <v>50</v>
      </c>
      <c r="F265" s="15">
        <v>47</v>
      </c>
      <c r="G265" s="15">
        <f t="shared" si="5"/>
        <v>2350</v>
      </c>
      <c r="H265" s="14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ht="15" customHeight="1" spans="1:20">
      <c r="A266" s="58">
        <v>262</v>
      </c>
      <c r="B266" s="41">
        <v>46244</v>
      </c>
      <c r="C266" s="14" t="s">
        <v>15</v>
      </c>
      <c r="D266" s="58" t="s">
        <v>102</v>
      </c>
      <c r="E266" s="58">
        <v>100</v>
      </c>
      <c r="F266" s="62">
        <v>55</v>
      </c>
      <c r="G266" s="62">
        <f t="shared" si="5"/>
        <v>5500</v>
      </c>
      <c r="H266" s="58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</row>
    <row r="267" ht="15" customHeight="1" spans="1:20">
      <c r="A267" s="14">
        <v>263</v>
      </c>
      <c r="B267" s="41">
        <v>46244</v>
      </c>
      <c r="C267" s="14" t="s">
        <v>18</v>
      </c>
      <c r="D267" s="14" t="s">
        <v>103</v>
      </c>
      <c r="E267" s="14">
        <v>35</v>
      </c>
      <c r="F267" s="15">
        <v>43</v>
      </c>
      <c r="G267" s="15">
        <f t="shared" si="5"/>
        <v>1505</v>
      </c>
      <c r="H267" s="14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</row>
    <row r="268" ht="15" customHeight="1" spans="1:20">
      <c r="A268" s="58">
        <v>264</v>
      </c>
      <c r="B268" s="41">
        <v>46244</v>
      </c>
      <c r="C268" s="14" t="s">
        <v>18</v>
      </c>
      <c r="D268" s="58" t="s">
        <v>102</v>
      </c>
      <c r="E268" s="58">
        <v>20</v>
      </c>
      <c r="F268" s="62">
        <v>55</v>
      </c>
      <c r="G268" s="62">
        <f t="shared" si="5"/>
        <v>1100</v>
      </c>
      <c r="H268" s="58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</row>
    <row r="269" ht="15" customHeight="1" spans="1:20">
      <c r="A269" s="14">
        <v>265</v>
      </c>
      <c r="B269" s="41">
        <v>46244</v>
      </c>
      <c r="C269" s="14" t="s">
        <v>18</v>
      </c>
      <c r="D269" s="14" t="s">
        <v>99</v>
      </c>
      <c r="E269" s="14">
        <v>170</v>
      </c>
      <c r="F269" s="15">
        <v>65</v>
      </c>
      <c r="G269" s="15">
        <f t="shared" si="5"/>
        <v>11050</v>
      </c>
      <c r="H269" s="14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</row>
    <row r="270" ht="15" customHeight="1" spans="1:20">
      <c r="A270" s="58">
        <v>266</v>
      </c>
      <c r="B270" s="61">
        <v>46245</v>
      </c>
      <c r="C270" s="58" t="s">
        <v>56</v>
      </c>
      <c r="D270" s="58" t="s">
        <v>111</v>
      </c>
      <c r="E270" s="58">
        <v>17.5</v>
      </c>
      <c r="F270" s="62">
        <v>51</v>
      </c>
      <c r="G270" s="62">
        <f t="shared" si="5"/>
        <v>892.5</v>
      </c>
      <c r="H270" s="58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</row>
    <row r="271" ht="15" customHeight="1" spans="1:20">
      <c r="A271" s="14">
        <v>267</v>
      </c>
      <c r="B271" s="41">
        <v>46246</v>
      </c>
      <c r="C271" s="14" t="s">
        <v>21</v>
      </c>
      <c r="D271" s="14" t="s">
        <v>107</v>
      </c>
      <c r="E271" s="14">
        <v>100</v>
      </c>
      <c r="F271" s="15">
        <v>90</v>
      </c>
      <c r="G271" s="15">
        <f t="shared" si="5"/>
        <v>9000</v>
      </c>
      <c r="H271" s="14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</row>
    <row r="272" ht="15" customHeight="1" spans="1:20">
      <c r="A272" s="58">
        <v>268</v>
      </c>
      <c r="B272" s="61">
        <v>46246</v>
      </c>
      <c r="C272" s="36" t="s">
        <v>39</v>
      </c>
      <c r="D272" s="58" t="s">
        <v>101</v>
      </c>
      <c r="E272" s="58">
        <v>6</v>
      </c>
      <c r="F272" s="62">
        <v>50</v>
      </c>
      <c r="G272" s="62">
        <f t="shared" si="5"/>
        <v>300</v>
      </c>
      <c r="H272" s="58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</row>
    <row r="273" ht="15" customHeight="1" spans="1:20">
      <c r="A273" s="14">
        <v>269</v>
      </c>
      <c r="B273" s="61">
        <v>46246</v>
      </c>
      <c r="C273" s="14" t="s">
        <v>45</v>
      </c>
      <c r="D273" s="14" t="s">
        <v>99</v>
      </c>
      <c r="E273" s="14">
        <v>8</v>
      </c>
      <c r="F273" s="15">
        <v>68</v>
      </c>
      <c r="G273" s="15">
        <f t="shared" si="5"/>
        <v>544</v>
      </c>
      <c r="H273" s="14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ht="15" customHeight="1" spans="1:20">
      <c r="A274" s="58">
        <v>270</v>
      </c>
      <c r="B274" s="61">
        <v>46246</v>
      </c>
      <c r="C274" s="58" t="s">
        <v>15</v>
      </c>
      <c r="D274" s="58" t="s">
        <v>124</v>
      </c>
      <c r="E274" s="58">
        <v>20</v>
      </c>
      <c r="F274" s="62">
        <v>20</v>
      </c>
      <c r="G274" s="62">
        <f t="shared" si="5"/>
        <v>400</v>
      </c>
      <c r="H274" s="58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</row>
    <row r="275" ht="15" customHeight="1" spans="1:20">
      <c r="A275" s="14">
        <v>271</v>
      </c>
      <c r="B275" s="61">
        <v>46246</v>
      </c>
      <c r="C275" s="58" t="s">
        <v>15</v>
      </c>
      <c r="D275" s="14" t="s">
        <v>112</v>
      </c>
      <c r="E275" s="14">
        <v>45</v>
      </c>
      <c r="F275" s="15">
        <v>52</v>
      </c>
      <c r="G275" s="15">
        <f t="shared" si="5"/>
        <v>2340</v>
      </c>
      <c r="H275" s="14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</row>
    <row r="276" ht="15" customHeight="1" spans="1:20">
      <c r="A276" s="58">
        <v>272</v>
      </c>
      <c r="B276" s="61">
        <v>46246</v>
      </c>
      <c r="C276" s="58" t="s">
        <v>15</v>
      </c>
      <c r="D276" s="58" t="s">
        <v>121</v>
      </c>
      <c r="E276" s="58">
        <v>18</v>
      </c>
      <c r="F276" s="62">
        <v>62</v>
      </c>
      <c r="G276" s="62">
        <f t="shared" si="5"/>
        <v>1116</v>
      </c>
      <c r="H276" s="58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</row>
    <row r="277" ht="15" customHeight="1" spans="1:20">
      <c r="A277" s="14">
        <v>273</v>
      </c>
      <c r="B277" s="61">
        <v>46246</v>
      </c>
      <c r="C277" s="27" t="s">
        <v>53</v>
      </c>
      <c r="D277" s="14" t="s">
        <v>107</v>
      </c>
      <c r="E277" s="14">
        <v>25</v>
      </c>
      <c r="F277" s="15">
        <v>93</v>
      </c>
      <c r="G277" s="15">
        <f t="shared" si="5"/>
        <v>2325</v>
      </c>
      <c r="H277" s="14" t="s">
        <v>125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</row>
    <row r="278" ht="15" customHeight="1" spans="1:20">
      <c r="A278" s="58">
        <v>274</v>
      </c>
      <c r="B278" s="61">
        <v>46246</v>
      </c>
      <c r="C278" s="27" t="s">
        <v>59</v>
      </c>
      <c r="D278" s="58" t="s">
        <v>107</v>
      </c>
      <c r="E278" s="58">
        <v>50</v>
      </c>
      <c r="F278" s="62">
        <v>93</v>
      </c>
      <c r="G278" s="62">
        <f t="shared" si="5"/>
        <v>4650</v>
      </c>
      <c r="H278" s="42" t="s">
        <v>132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ht="15" customHeight="1" spans="1:20">
      <c r="A279" s="14">
        <v>275</v>
      </c>
      <c r="B279" s="61">
        <v>46246</v>
      </c>
      <c r="C279" s="14" t="s">
        <v>16</v>
      </c>
      <c r="D279" s="14" t="s">
        <v>99</v>
      </c>
      <c r="E279" s="14">
        <v>100</v>
      </c>
      <c r="F279" s="15">
        <v>65</v>
      </c>
      <c r="G279" s="15">
        <f t="shared" si="5"/>
        <v>6500</v>
      </c>
      <c r="H279" s="14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</row>
    <row r="280" ht="15" customHeight="1" spans="1:20">
      <c r="A280" s="58">
        <v>276</v>
      </c>
      <c r="B280" s="61">
        <v>46246</v>
      </c>
      <c r="C280" s="14" t="s">
        <v>16</v>
      </c>
      <c r="D280" s="14" t="s">
        <v>99</v>
      </c>
      <c r="E280" s="58">
        <v>10</v>
      </c>
      <c r="F280" s="62"/>
      <c r="G280" s="62" t="str">
        <f t="shared" si="5"/>
        <v/>
      </c>
      <c r="H280" s="58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</row>
    <row r="281" ht="15" customHeight="1" spans="1:20">
      <c r="A281" s="14">
        <v>277</v>
      </c>
      <c r="B281" s="41">
        <v>46246</v>
      </c>
      <c r="C281" s="27" t="s">
        <v>54</v>
      </c>
      <c r="D281" s="14" t="s">
        <v>107</v>
      </c>
      <c r="E281" s="14">
        <v>5</v>
      </c>
      <c r="F281" s="15">
        <v>93</v>
      </c>
      <c r="G281" s="15">
        <f t="shared" si="5"/>
        <v>465</v>
      </c>
      <c r="H281" s="14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</row>
    <row r="282" ht="15" customHeight="1" spans="1:20">
      <c r="A282" s="58">
        <v>278</v>
      </c>
      <c r="B282" s="61">
        <v>46246</v>
      </c>
      <c r="C282" s="27" t="s">
        <v>74</v>
      </c>
      <c r="D282" s="58" t="s">
        <v>107</v>
      </c>
      <c r="E282" s="58">
        <v>25</v>
      </c>
      <c r="F282" s="62">
        <v>93</v>
      </c>
      <c r="G282" s="62">
        <f t="shared" si="5"/>
        <v>2325</v>
      </c>
      <c r="H282" s="58" t="s">
        <v>131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</row>
    <row r="283" ht="15" customHeight="1" spans="1:20">
      <c r="A283" s="14">
        <v>279</v>
      </c>
      <c r="B283" s="41">
        <v>46246</v>
      </c>
      <c r="C283" s="14" t="s">
        <v>16</v>
      </c>
      <c r="D283" s="14" t="s">
        <v>107</v>
      </c>
      <c r="E283" s="14">
        <v>100</v>
      </c>
      <c r="F283" s="15">
        <v>90</v>
      </c>
      <c r="G283" s="15">
        <f t="shared" si="5"/>
        <v>9000</v>
      </c>
      <c r="H283" s="14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</row>
    <row r="284" ht="15" customHeight="1" spans="1:20">
      <c r="A284" s="58">
        <v>280</v>
      </c>
      <c r="B284" s="61">
        <v>46248</v>
      </c>
      <c r="C284" s="58" t="s">
        <v>31</v>
      </c>
      <c r="D284" s="58" t="s">
        <v>107</v>
      </c>
      <c r="E284" s="58">
        <v>32</v>
      </c>
      <c r="F284" s="62">
        <v>90</v>
      </c>
      <c r="G284" s="62">
        <f t="shared" si="5"/>
        <v>2880</v>
      </c>
      <c r="H284" s="58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</row>
    <row r="285" ht="15" customHeight="1" spans="1:20">
      <c r="A285" s="14">
        <v>281</v>
      </c>
      <c r="B285" s="41">
        <v>46247</v>
      </c>
      <c r="C285" s="14" t="s">
        <v>27</v>
      </c>
      <c r="D285" s="14" t="s">
        <v>99</v>
      </c>
      <c r="E285" s="14">
        <v>5</v>
      </c>
      <c r="F285" s="15">
        <v>65</v>
      </c>
      <c r="G285" s="15">
        <f t="shared" si="5"/>
        <v>325</v>
      </c>
      <c r="H285" s="14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</row>
    <row r="286" ht="15" customHeight="1" spans="1:20">
      <c r="A286" s="58">
        <v>282</v>
      </c>
      <c r="B286" s="61">
        <v>46247</v>
      </c>
      <c r="C286" s="27" t="s">
        <v>51</v>
      </c>
      <c r="D286" s="58" t="s">
        <v>107</v>
      </c>
      <c r="E286" s="58">
        <v>50</v>
      </c>
      <c r="F286" s="62">
        <v>90</v>
      </c>
      <c r="G286" s="62">
        <f t="shared" si="5"/>
        <v>4500</v>
      </c>
      <c r="H286" s="58" t="s">
        <v>130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</row>
    <row r="287" s="16" customFormat="1" ht="15" customHeight="1" spans="1:20">
      <c r="A287" s="29">
        <v>283</v>
      </c>
      <c r="B287" s="55">
        <v>46247</v>
      </c>
      <c r="C287" s="30" t="s">
        <v>46</v>
      </c>
      <c r="D287" s="29" t="s">
        <v>107</v>
      </c>
      <c r="E287" s="29">
        <v>60</v>
      </c>
      <c r="F287" s="32">
        <v>90</v>
      </c>
      <c r="G287" s="32">
        <f t="shared" si="5"/>
        <v>5400</v>
      </c>
      <c r="H287" s="54" t="s">
        <v>131</v>
      </c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</row>
    <row r="288" ht="15" customHeight="1" spans="1:20">
      <c r="A288" s="58">
        <v>284</v>
      </c>
      <c r="B288" s="61">
        <v>46248</v>
      </c>
      <c r="C288" s="58" t="s">
        <v>42</v>
      </c>
      <c r="D288" s="58" t="s">
        <v>102</v>
      </c>
      <c r="E288" s="58">
        <v>17.5</v>
      </c>
      <c r="F288" s="62">
        <v>55</v>
      </c>
      <c r="G288" s="62">
        <f t="shared" si="5"/>
        <v>962.5</v>
      </c>
      <c r="H288" s="58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</row>
    <row r="289" ht="15" customHeight="1" spans="1:20">
      <c r="A289" s="14">
        <v>285</v>
      </c>
      <c r="B289" s="61">
        <v>46248</v>
      </c>
      <c r="C289" s="58" t="s">
        <v>42</v>
      </c>
      <c r="D289" s="14" t="s">
        <v>103</v>
      </c>
      <c r="E289" s="14">
        <v>17.5</v>
      </c>
      <c r="F289" s="15">
        <v>45</v>
      </c>
      <c r="G289" s="15">
        <f t="shared" si="5"/>
        <v>787.5</v>
      </c>
      <c r="H289" s="14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ht="15" customHeight="1" spans="1:20">
      <c r="A290" s="58">
        <v>286</v>
      </c>
      <c r="B290" s="61">
        <v>46249</v>
      </c>
      <c r="C290" s="58" t="s">
        <v>15</v>
      </c>
      <c r="D290" s="58" t="s">
        <v>112</v>
      </c>
      <c r="E290" s="58">
        <v>57</v>
      </c>
      <c r="F290" s="62">
        <v>52</v>
      </c>
      <c r="G290" s="62">
        <f t="shared" si="5"/>
        <v>2964</v>
      </c>
      <c r="H290" s="58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</row>
    <row r="291" s="16" customFormat="1" ht="15" customHeight="1" spans="1:20">
      <c r="A291" s="29">
        <v>287</v>
      </c>
      <c r="B291" s="55">
        <v>46249</v>
      </c>
      <c r="C291" s="54" t="s">
        <v>15</v>
      </c>
      <c r="D291" s="29" t="s">
        <v>124</v>
      </c>
      <c r="E291" s="29">
        <v>28</v>
      </c>
      <c r="F291" s="32">
        <v>20</v>
      </c>
      <c r="G291" s="32">
        <f t="shared" si="5"/>
        <v>560</v>
      </c>
      <c r="H291" s="29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</row>
    <row r="292" s="16" customFormat="1" ht="15" customHeight="1" spans="1:20">
      <c r="A292" s="54">
        <v>288</v>
      </c>
      <c r="B292" s="55">
        <v>46250</v>
      </c>
      <c r="C292" s="54" t="s">
        <v>18</v>
      </c>
      <c r="D292" s="54" t="s">
        <v>101</v>
      </c>
      <c r="E292" s="54">
        <v>150</v>
      </c>
      <c r="F292" s="57">
        <v>47</v>
      </c>
      <c r="G292" s="57">
        <f t="shared" si="5"/>
        <v>7050</v>
      </c>
      <c r="H292" s="5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</row>
    <row r="293" ht="15" customHeight="1" spans="1:20">
      <c r="A293" s="14">
        <v>289</v>
      </c>
      <c r="B293" s="41">
        <v>46252</v>
      </c>
      <c r="C293" s="14" t="s">
        <v>58</v>
      </c>
      <c r="D293" s="14" t="s">
        <v>99</v>
      </c>
      <c r="E293" s="14">
        <v>100</v>
      </c>
      <c r="F293" s="15">
        <v>65</v>
      </c>
      <c r="G293" s="15">
        <f t="shared" si="5"/>
        <v>6500</v>
      </c>
      <c r="H293" s="14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</row>
    <row r="294" ht="15" customHeight="1" spans="1:20">
      <c r="A294" s="58">
        <v>290</v>
      </c>
      <c r="B294" s="41">
        <v>46252</v>
      </c>
      <c r="C294" s="14" t="s">
        <v>58</v>
      </c>
      <c r="D294" s="58" t="s">
        <v>102</v>
      </c>
      <c r="E294" s="58">
        <v>100</v>
      </c>
      <c r="F294" s="62">
        <v>55</v>
      </c>
      <c r="G294" s="62">
        <f t="shared" si="5"/>
        <v>5500</v>
      </c>
      <c r="H294" s="58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</row>
    <row r="295" s="16" customFormat="1" ht="15" customHeight="1" spans="1:20">
      <c r="A295" s="29">
        <v>291</v>
      </c>
      <c r="B295" s="59">
        <v>46252</v>
      </c>
      <c r="C295" s="29" t="s">
        <v>58</v>
      </c>
      <c r="D295" s="29" t="s">
        <v>105</v>
      </c>
      <c r="E295" s="29">
        <v>5</v>
      </c>
      <c r="F295" s="32">
        <v>90</v>
      </c>
      <c r="G295" s="57">
        <f t="shared" ref="G295:G303" si="6">IF(AND(E295&lt;&gt;"",F295&lt;&gt;""),E295*F295,"")</f>
        <v>450</v>
      </c>
      <c r="H295" s="29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</row>
    <row r="296" s="16" customFormat="1" ht="15" customHeight="1" spans="1:20">
      <c r="A296" s="54">
        <v>292</v>
      </c>
      <c r="B296" s="55">
        <v>46252</v>
      </c>
      <c r="C296" s="54" t="s">
        <v>49</v>
      </c>
      <c r="D296" s="54" t="s">
        <v>107</v>
      </c>
      <c r="E296" s="54">
        <v>100</v>
      </c>
      <c r="F296" s="57">
        <v>90</v>
      </c>
      <c r="G296" s="57">
        <f t="shared" si="6"/>
        <v>9000</v>
      </c>
      <c r="H296" s="5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</row>
    <row r="297" ht="15" customHeight="1" spans="1:20">
      <c r="A297" s="14">
        <v>293</v>
      </c>
      <c r="B297" s="41">
        <v>46252</v>
      </c>
      <c r="C297" s="14" t="s">
        <v>65</v>
      </c>
      <c r="D297" s="14" t="s">
        <v>107</v>
      </c>
      <c r="E297" s="14">
        <v>20</v>
      </c>
      <c r="F297" s="15">
        <v>93</v>
      </c>
      <c r="G297" s="62">
        <f t="shared" si="6"/>
        <v>1860</v>
      </c>
      <c r="H297" s="14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</row>
    <row r="298" s="16" customFormat="1" ht="15" customHeight="1" spans="1:20">
      <c r="A298" s="54">
        <v>294</v>
      </c>
      <c r="B298" s="59">
        <v>46252</v>
      </c>
      <c r="C298" s="29" t="s">
        <v>65</v>
      </c>
      <c r="D298" s="54" t="s">
        <v>99</v>
      </c>
      <c r="E298" s="54">
        <v>5</v>
      </c>
      <c r="F298" s="57">
        <v>68</v>
      </c>
      <c r="G298" s="57">
        <f t="shared" si="6"/>
        <v>340</v>
      </c>
      <c r="H298" s="5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</row>
    <row r="299" ht="15" customHeight="1" spans="1:20">
      <c r="A299" s="14">
        <v>295</v>
      </c>
      <c r="B299" s="41">
        <v>46254</v>
      </c>
      <c r="C299" s="27" t="s">
        <v>52</v>
      </c>
      <c r="D299" s="27" t="s">
        <v>107</v>
      </c>
      <c r="E299" s="27">
        <v>15.5</v>
      </c>
      <c r="F299" s="62">
        <v>93</v>
      </c>
      <c r="G299" s="62">
        <f t="shared" si="6"/>
        <v>1441.5</v>
      </c>
      <c r="H299" s="2"/>
      <c r="I299" s="2"/>
      <c r="J299" s="2"/>
      <c r="K299" s="2"/>
      <c r="L299" s="2"/>
    </row>
    <row r="300" ht="15" customHeight="1" spans="1:20">
      <c r="A300" s="58">
        <v>296</v>
      </c>
      <c r="B300" s="41">
        <v>46254</v>
      </c>
      <c r="C300" s="27" t="s">
        <v>52</v>
      </c>
      <c r="D300" s="27" t="s">
        <v>99</v>
      </c>
      <c r="E300" s="27">
        <v>2.5</v>
      </c>
      <c r="F300" s="62">
        <v>68</v>
      </c>
      <c r="G300" s="62">
        <f t="shared" si="6"/>
        <v>170</v>
      </c>
      <c r="H300" s="2"/>
      <c r="I300" s="2"/>
      <c r="J300" s="2"/>
      <c r="K300" s="2"/>
      <c r="L300" s="2"/>
    </row>
    <row r="301" ht="15" customHeight="1" spans="1:20">
      <c r="A301" s="14">
        <v>297</v>
      </c>
      <c r="B301" s="41">
        <v>46254</v>
      </c>
      <c r="C301" s="27" t="s">
        <v>52</v>
      </c>
      <c r="D301" s="27" t="s">
        <v>103</v>
      </c>
      <c r="E301" s="27">
        <v>5</v>
      </c>
      <c r="F301" s="62">
        <v>46</v>
      </c>
      <c r="G301" s="62">
        <f t="shared" si="6"/>
        <v>230</v>
      </c>
      <c r="H301" s="2"/>
      <c r="I301" s="2"/>
      <c r="J301" s="2"/>
      <c r="K301" s="2"/>
      <c r="L301" s="2"/>
    </row>
    <row r="302" ht="15" customHeight="1" spans="1:20">
      <c r="A302" s="58">
        <v>298</v>
      </c>
      <c r="B302" s="41">
        <v>46254</v>
      </c>
      <c r="C302" s="27" t="s">
        <v>52</v>
      </c>
      <c r="D302" s="27" t="s">
        <v>109</v>
      </c>
      <c r="E302" s="27">
        <v>2</v>
      </c>
      <c r="F302" s="62">
        <v>50</v>
      </c>
      <c r="G302" s="62">
        <f t="shared" si="6"/>
        <v>100</v>
      </c>
      <c r="H302" s="2"/>
      <c r="I302" s="2"/>
      <c r="J302" s="2"/>
      <c r="K302" s="2"/>
      <c r="L302" s="2"/>
    </row>
    <row r="303" ht="15" customHeight="1" spans="1:20">
      <c r="A303" s="14">
        <v>299</v>
      </c>
      <c r="B303" s="41">
        <v>46254</v>
      </c>
      <c r="C303" s="27" t="s">
        <v>52</v>
      </c>
      <c r="D303" s="27" t="s">
        <v>104</v>
      </c>
      <c r="E303" s="27">
        <v>1</v>
      </c>
      <c r="F303" s="62">
        <v>86</v>
      </c>
      <c r="G303" s="62">
        <f t="shared" si="6"/>
        <v>86</v>
      </c>
      <c r="H303" s="2"/>
      <c r="I303" s="2"/>
      <c r="J303" s="2"/>
      <c r="K303" s="2"/>
      <c r="L303" s="2"/>
    </row>
    <row r="304" ht="15" customHeight="1" spans="1:20">
      <c r="A304" s="58">
        <v>300</v>
      </c>
      <c r="B304" s="41">
        <v>46254</v>
      </c>
      <c r="C304" s="27" t="s">
        <v>52</v>
      </c>
      <c r="D304" s="27" t="s">
        <v>110</v>
      </c>
      <c r="E304" s="27">
        <v>1</v>
      </c>
      <c r="F304" s="62">
        <v>46</v>
      </c>
      <c r="G304" s="62">
        <f t="shared" ref="G304:G345" si="7">IF(AND(E304&lt;&gt;"",F304&lt;&gt;""),E304*F304,"")</f>
        <v>46</v>
      </c>
      <c r="H304" s="2"/>
      <c r="I304" s="2"/>
      <c r="J304" s="2"/>
      <c r="K304" s="2"/>
      <c r="L304" s="2"/>
    </row>
    <row r="305" ht="16.5" spans="1:8">
      <c r="A305" s="58">
        <v>301</v>
      </c>
      <c r="B305" s="41">
        <v>46254</v>
      </c>
      <c r="C305" s="27" t="s">
        <v>52</v>
      </c>
      <c r="D305" s="27" t="s">
        <v>133</v>
      </c>
      <c r="E305" s="27">
        <v>1</v>
      </c>
      <c r="F305" s="62">
        <v>93</v>
      </c>
      <c r="G305" s="62">
        <f t="shared" si="7"/>
        <v>93</v>
      </c>
    </row>
    <row r="306" ht="16.5" spans="1:8">
      <c r="A306" s="58">
        <v>302</v>
      </c>
      <c r="B306" s="41">
        <v>46254</v>
      </c>
      <c r="C306" s="27" t="s">
        <v>52</v>
      </c>
      <c r="D306" s="27" t="s">
        <v>102</v>
      </c>
      <c r="E306" s="27">
        <v>1</v>
      </c>
      <c r="F306" s="62">
        <v>58</v>
      </c>
      <c r="G306" s="62">
        <f t="shared" si="7"/>
        <v>58</v>
      </c>
    </row>
    <row r="307" ht="16.5" spans="1:8">
      <c r="A307" s="58">
        <v>303</v>
      </c>
      <c r="B307" s="41">
        <v>46254</v>
      </c>
      <c r="C307" s="27" t="s">
        <v>52</v>
      </c>
      <c r="D307" s="27" t="s">
        <v>134</v>
      </c>
      <c r="E307" s="27">
        <v>5</v>
      </c>
      <c r="F307" s="62">
        <v>36</v>
      </c>
      <c r="G307" s="62">
        <f t="shared" si="7"/>
        <v>180</v>
      </c>
    </row>
    <row r="308" ht="16.5" spans="1:8">
      <c r="A308" s="58">
        <v>304</v>
      </c>
      <c r="B308" s="41">
        <v>46254</v>
      </c>
      <c r="C308" s="27" t="s">
        <v>52</v>
      </c>
      <c r="D308" s="27" t="s">
        <v>108</v>
      </c>
      <c r="E308" s="27">
        <v>1</v>
      </c>
      <c r="F308" s="62">
        <v>72</v>
      </c>
      <c r="G308" s="62">
        <f t="shared" si="7"/>
        <v>72</v>
      </c>
    </row>
    <row r="309" s="16" customFormat="1" ht="16.5" spans="1:8">
      <c r="A309" s="54">
        <v>305</v>
      </c>
      <c r="B309" s="59">
        <v>46254</v>
      </c>
      <c r="C309" s="30" t="s">
        <v>52</v>
      </c>
      <c r="D309" s="30" t="s">
        <v>101</v>
      </c>
      <c r="E309" s="30">
        <v>1</v>
      </c>
      <c r="F309" s="57">
        <v>50</v>
      </c>
      <c r="G309" s="57">
        <f t="shared" si="7"/>
        <v>50</v>
      </c>
      <c r="H309" s="16" t="s">
        <v>125</v>
      </c>
    </row>
    <row r="310" s="16" customFormat="1" ht="16.5" spans="1:8">
      <c r="A310" s="54">
        <v>306</v>
      </c>
      <c r="B310" s="59">
        <v>46254</v>
      </c>
      <c r="C310" s="60" t="s">
        <v>82</v>
      </c>
      <c r="D310" s="30" t="s">
        <v>107</v>
      </c>
      <c r="E310" s="60">
        <v>10</v>
      </c>
      <c r="F310" s="57">
        <v>93</v>
      </c>
      <c r="G310" s="57">
        <f t="shared" si="7"/>
        <v>930</v>
      </c>
      <c r="H310" s="16" t="s">
        <v>125</v>
      </c>
    </row>
    <row r="311" s="16" customFormat="1" ht="16.5" spans="1:8">
      <c r="A311" s="54">
        <v>307</v>
      </c>
      <c r="B311" s="59">
        <v>46254</v>
      </c>
      <c r="C311" s="60" t="s">
        <v>45</v>
      </c>
      <c r="D311" s="30" t="s">
        <v>107</v>
      </c>
      <c r="E311" s="60">
        <v>30</v>
      </c>
      <c r="F311" s="57">
        <v>93</v>
      </c>
      <c r="G311" s="57">
        <f t="shared" si="7"/>
        <v>2790</v>
      </c>
    </row>
    <row r="312" s="16" customFormat="1" ht="16.5" spans="1:8">
      <c r="A312" s="54">
        <v>308</v>
      </c>
      <c r="B312" s="59">
        <v>46254</v>
      </c>
      <c r="C312" s="60" t="s">
        <v>14</v>
      </c>
      <c r="D312" s="60" t="s">
        <v>107</v>
      </c>
      <c r="E312" s="60">
        <v>100</v>
      </c>
      <c r="F312" s="57">
        <v>90</v>
      </c>
      <c r="G312" s="57">
        <f t="shared" si="7"/>
        <v>9000</v>
      </c>
    </row>
    <row r="313" s="16" customFormat="1" ht="16.5" spans="1:8">
      <c r="A313" s="54">
        <v>309</v>
      </c>
      <c r="B313" s="59">
        <v>46254</v>
      </c>
      <c r="C313" s="60" t="s">
        <v>27</v>
      </c>
      <c r="D313" s="60" t="s">
        <v>99</v>
      </c>
      <c r="E313" s="60">
        <v>13</v>
      </c>
      <c r="F313" s="57">
        <v>65</v>
      </c>
      <c r="G313" s="57">
        <f t="shared" si="7"/>
        <v>845</v>
      </c>
      <c r="H313" s="16" t="s">
        <v>135</v>
      </c>
    </row>
    <row r="314" s="16" customFormat="1" ht="16.5" spans="1:8">
      <c r="A314" s="54">
        <v>310</v>
      </c>
      <c r="B314" s="59">
        <v>46254</v>
      </c>
      <c r="C314" s="60" t="s">
        <v>18</v>
      </c>
      <c r="D314" s="60" t="s">
        <v>107</v>
      </c>
      <c r="E314" s="60">
        <v>500</v>
      </c>
      <c r="F314" s="57">
        <v>90</v>
      </c>
      <c r="G314" s="57">
        <f t="shared" si="7"/>
        <v>45000</v>
      </c>
    </row>
    <row r="315" ht="16.5" spans="1:8">
      <c r="A315" s="58">
        <v>311</v>
      </c>
      <c r="B315" s="41">
        <v>46254</v>
      </c>
      <c r="C315" s="35" t="s">
        <v>26</v>
      </c>
      <c r="D315" s="35" t="s">
        <v>107</v>
      </c>
      <c r="E315" s="35">
        <v>50</v>
      </c>
      <c r="F315" s="62">
        <v>90</v>
      </c>
      <c r="G315" s="62">
        <f t="shared" si="7"/>
        <v>4500</v>
      </c>
    </row>
    <row r="316" ht="16.5" spans="1:8">
      <c r="A316" s="58">
        <v>312</v>
      </c>
      <c r="B316" s="41">
        <v>46254</v>
      </c>
      <c r="C316" s="35" t="s">
        <v>50</v>
      </c>
      <c r="D316" s="35" t="s">
        <v>107</v>
      </c>
      <c r="E316" s="35">
        <v>25</v>
      </c>
      <c r="F316" s="62">
        <v>93</v>
      </c>
      <c r="G316" s="62">
        <f t="shared" si="7"/>
        <v>2325</v>
      </c>
      <c r="H316" t="s">
        <v>136</v>
      </c>
    </row>
    <row r="317" s="16" customFormat="1" ht="16.5" spans="1:8">
      <c r="A317" s="54">
        <v>313</v>
      </c>
      <c r="B317" s="59">
        <v>46254</v>
      </c>
      <c r="C317" s="60" t="s">
        <v>50</v>
      </c>
      <c r="D317" s="60" t="s">
        <v>99</v>
      </c>
      <c r="E317" s="60">
        <v>5</v>
      </c>
      <c r="F317" s="57">
        <v>68</v>
      </c>
      <c r="G317" s="57">
        <f t="shared" si="7"/>
        <v>340</v>
      </c>
    </row>
    <row r="318" ht="16.5" spans="1:8">
      <c r="A318" s="58">
        <v>314</v>
      </c>
      <c r="B318" s="41">
        <v>46254</v>
      </c>
      <c r="C318" s="27" t="s">
        <v>61</v>
      </c>
      <c r="D318" s="35" t="s">
        <v>107</v>
      </c>
      <c r="E318" s="35">
        <v>16</v>
      </c>
      <c r="F318" s="62">
        <v>1488</v>
      </c>
      <c r="G318" s="62">
        <f t="shared" si="7"/>
        <v>23808</v>
      </c>
    </row>
    <row r="319" ht="16.5" spans="1:8">
      <c r="A319" s="58">
        <v>315</v>
      </c>
      <c r="B319" s="41">
        <v>46254</v>
      </c>
      <c r="C319" s="14" t="s">
        <v>64</v>
      </c>
      <c r="D319" s="35" t="s">
        <v>107</v>
      </c>
      <c r="E319" s="35">
        <v>25</v>
      </c>
      <c r="F319" s="62">
        <v>93</v>
      </c>
      <c r="G319" s="62">
        <f t="shared" si="7"/>
        <v>2325</v>
      </c>
      <c r="H319" t="s">
        <v>137</v>
      </c>
    </row>
    <row r="320" ht="16.5" spans="1:8">
      <c r="A320" s="58">
        <v>316</v>
      </c>
      <c r="B320" s="41">
        <v>46254</v>
      </c>
      <c r="C320" s="14" t="s">
        <v>40</v>
      </c>
      <c r="D320" s="35" t="s">
        <v>101</v>
      </c>
      <c r="E320" s="35">
        <v>3</v>
      </c>
      <c r="F320" s="62">
        <v>50</v>
      </c>
      <c r="G320" s="62">
        <f t="shared" si="7"/>
        <v>150</v>
      </c>
    </row>
    <row r="321" ht="16.5" spans="1:7">
      <c r="A321" s="58">
        <v>317</v>
      </c>
      <c r="B321" s="41">
        <v>46254</v>
      </c>
      <c r="C321" s="14" t="s">
        <v>40</v>
      </c>
      <c r="D321" s="35" t="s">
        <v>103</v>
      </c>
      <c r="E321" s="35">
        <v>3</v>
      </c>
      <c r="F321" s="62">
        <v>46</v>
      </c>
      <c r="G321" s="62">
        <f t="shared" si="7"/>
        <v>138</v>
      </c>
    </row>
    <row r="322" s="16" customFormat="1" ht="16.5" spans="1:7">
      <c r="A322" s="54">
        <v>318</v>
      </c>
      <c r="B322" s="59">
        <v>46254</v>
      </c>
      <c r="C322" s="29" t="s">
        <v>40</v>
      </c>
      <c r="D322" s="60" t="s">
        <v>110</v>
      </c>
      <c r="E322" s="60">
        <v>1</v>
      </c>
      <c r="F322" s="57">
        <v>46</v>
      </c>
      <c r="G322" s="57">
        <f t="shared" si="7"/>
        <v>46</v>
      </c>
    </row>
    <row r="323" s="16" customFormat="1" ht="16.5" spans="1:7">
      <c r="A323" s="54">
        <v>319</v>
      </c>
      <c r="B323" s="59">
        <v>46254</v>
      </c>
      <c r="C323" s="29" t="s">
        <v>13</v>
      </c>
      <c r="D323" s="60" t="s">
        <v>107</v>
      </c>
      <c r="E323" s="60">
        <v>100</v>
      </c>
      <c r="F323" s="57">
        <v>90</v>
      </c>
      <c r="G323" s="57">
        <f t="shared" si="7"/>
        <v>9000</v>
      </c>
    </row>
    <row r="324" ht="16.5" spans="1:7">
      <c r="A324" s="58">
        <v>320</v>
      </c>
      <c r="B324" s="41">
        <v>46255</v>
      </c>
      <c r="C324" s="35" t="s">
        <v>15</v>
      </c>
      <c r="D324" s="35" t="s">
        <v>103</v>
      </c>
      <c r="E324" s="35">
        <v>100</v>
      </c>
      <c r="F324" s="62">
        <v>43</v>
      </c>
      <c r="G324" s="62">
        <f t="shared" si="7"/>
        <v>4300</v>
      </c>
    </row>
    <row r="325" ht="16.5" spans="1:7">
      <c r="A325" s="58">
        <v>321</v>
      </c>
      <c r="B325" s="41">
        <v>46255</v>
      </c>
      <c r="C325" s="35" t="s">
        <v>49</v>
      </c>
      <c r="D325" s="35" t="s">
        <v>107</v>
      </c>
      <c r="E325" s="35">
        <v>350</v>
      </c>
      <c r="F325" s="62">
        <v>90</v>
      </c>
      <c r="G325" s="62">
        <f t="shared" si="7"/>
        <v>31500</v>
      </c>
    </row>
    <row r="326" ht="16.5" spans="1:7">
      <c r="A326" s="58">
        <v>322</v>
      </c>
      <c r="B326" s="41">
        <v>46255</v>
      </c>
      <c r="C326" s="35" t="s">
        <v>25</v>
      </c>
      <c r="D326" s="35" t="s">
        <v>99</v>
      </c>
      <c r="E326" s="35">
        <v>5</v>
      </c>
      <c r="F326" s="62">
        <v>65</v>
      </c>
      <c r="G326" s="62">
        <f t="shared" si="7"/>
        <v>325</v>
      </c>
    </row>
    <row r="327" ht="16.5" spans="1:7">
      <c r="A327" s="58">
        <v>323</v>
      </c>
      <c r="B327" s="41">
        <v>46255</v>
      </c>
      <c r="C327" s="35" t="s">
        <v>21</v>
      </c>
      <c r="D327" s="35" t="s">
        <v>107</v>
      </c>
      <c r="E327" s="35">
        <v>100</v>
      </c>
      <c r="F327" s="62">
        <v>90</v>
      </c>
      <c r="G327" s="62">
        <f t="shared" si="7"/>
        <v>9000</v>
      </c>
    </row>
    <row r="328" ht="16.5" spans="1:7">
      <c r="A328" s="58">
        <v>324</v>
      </c>
      <c r="B328" s="41">
        <v>46255</v>
      </c>
      <c r="C328" s="35" t="s">
        <v>79</v>
      </c>
      <c r="D328" s="35" t="s">
        <v>107</v>
      </c>
      <c r="E328" s="35">
        <v>10</v>
      </c>
      <c r="F328" s="62">
        <v>90</v>
      </c>
      <c r="G328" s="62">
        <f t="shared" si="7"/>
        <v>900</v>
      </c>
    </row>
    <row r="329" ht="16.5" spans="1:7">
      <c r="A329" s="58">
        <v>325</v>
      </c>
      <c r="B329" s="41">
        <v>46256</v>
      </c>
      <c r="C329" s="35" t="s">
        <v>13</v>
      </c>
      <c r="D329" s="35" t="s">
        <v>107</v>
      </c>
      <c r="E329" s="35">
        <v>200</v>
      </c>
      <c r="F329" s="62">
        <v>90</v>
      </c>
      <c r="G329" s="62">
        <f t="shared" si="7"/>
        <v>18000</v>
      </c>
    </row>
    <row r="330" ht="16.5" spans="1:7">
      <c r="A330" s="58">
        <v>326</v>
      </c>
      <c r="B330" s="41">
        <v>46256</v>
      </c>
      <c r="C330" s="35" t="s">
        <v>60</v>
      </c>
      <c r="D330" s="35" t="s">
        <v>107</v>
      </c>
      <c r="E330" s="35">
        <v>5</v>
      </c>
      <c r="F330" s="62">
        <v>93</v>
      </c>
      <c r="G330" s="62">
        <f t="shared" si="7"/>
        <v>465</v>
      </c>
    </row>
    <row r="331" ht="16.5" spans="1:7">
      <c r="A331" s="58">
        <v>327</v>
      </c>
      <c r="B331" s="41">
        <v>46256</v>
      </c>
      <c r="C331" s="35" t="s">
        <v>60</v>
      </c>
      <c r="D331" s="35" t="s">
        <v>101</v>
      </c>
      <c r="E331" s="35">
        <v>10</v>
      </c>
      <c r="F331" s="62">
        <v>50</v>
      </c>
      <c r="G331" s="62">
        <f t="shared" si="7"/>
        <v>500</v>
      </c>
    </row>
    <row r="332" ht="16.5" spans="1:7">
      <c r="A332" s="58">
        <v>328</v>
      </c>
      <c r="B332" s="41">
        <v>46256</v>
      </c>
      <c r="C332" s="35" t="s">
        <v>60</v>
      </c>
      <c r="D332" s="35" t="s">
        <v>103</v>
      </c>
      <c r="E332" s="35">
        <v>4</v>
      </c>
      <c r="F332" s="62">
        <v>46</v>
      </c>
      <c r="G332" s="62">
        <f t="shared" si="7"/>
        <v>184</v>
      </c>
    </row>
    <row r="333" ht="16.5" spans="1:7">
      <c r="A333" s="58">
        <v>329</v>
      </c>
      <c r="B333" s="41">
        <v>46255</v>
      </c>
      <c r="C333" s="35" t="s">
        <v>36</v>
      </c>
      <c r="D333" s="35" t="s">
        <v>101</v>
      </c>
      <c r="E333" s="35">
        <v>20</v>
      </c>
      <c r="F333" s="62">
        <v>47</v>
      </c>
      <c r="G333" s="62">
        <f t="shared" si="7"/>
        <v>940</v>
      </c>
    </row>
    <row r="334" ht="16.5" spans="1:7">
      <c r="A334" s="58">
        <v>330</v>
      </c>
      <c r="B334" s="41">
        <v>46255</v>
      </c>
      <c r="C334" s="35" t="s">
        <v>36</v>
      </c>
      <c r="D334" s="35" t="s">
        <v>103</v>
      </c>
      <c r="E334" s="35">
        <v>80</v>
      </c>
      <c r="F334" s="62">
        <v>43</v>
      </c>
      <c r="G334" s="62">
        <f t="shared" si="7"/>
        <v>3440</v>
      </c>
    </row>
    <row r="335" ht="16.5" spans="1:7">
      <c r="A335" s="58">
        <v>331</v>
      </c>
      <c r="B335" s="41">
        <v>46255</v>
      </c>
      <c r="C335" s="35" t="s">
        <v>36</v>
      </c>
      <c r="D335" s="35" t="s">
        <v>108</v>
      </c>
      <c r="E335" s="35">
        <v>80</v>
      </c>
      <c r="F335" s="62">
        <v>69</v>
      </c>
      <c r="G335" s="62">
        <f t="shared" si="7"/>
        <v>5520</v>
      </c>
    </row>
    <row r="336" s="16" customFormat="1" ht="16.5" spans="1:7">
      <c r="A336" s="54">
        <v>332</v>
      </c>
      <c r="B336" s="59">
        <v>46255</v>
      </c>
      <c r="C336" s="60" t="s">
        <v>36</v>
      </c>
      <c r="D336" s="60" t="s">
        <v>104</v>
      </c>
      <c r="E336" s="60">
        <v>80</v>
      </c>
      <c r="F336" s="57">
        <v>83</v>
      </c>
      <c r="G336" s="57">
        <f t="shared" si="7"/>
        <v>6640</v>
      </c>
    </row>
    <row r="337" ht="16.5" spans="1:8">
      <c r="A337" s="58">
        <v>333</v>
      </c>
      <c r="B337" s="63">
        <v>46256</v>
      </c>
      <c r="C337" s="35" t="s">
        <v>16</v>
      </c>
      <c r="D337" s="35" t="s">
        <v>103</v>
      </c>
      <c r="E337" s="35">
        <v>50</v>
      </c>
      <c r="F337" s="62">
        <v>43</v>
      </c>
      <c r="G337" s="62">
        <f t="shared" si="7"/>
        <v>2150</v>
      </c>
    </row>
    <row r="338" ht="16.5" spans="1:8">
      <c r="A338" s="58">
        <v>334</v>
      </c>
      <c r="B338" s="63">
        <v>46256</v>
      </c>
      <c r="C338" s="35" t="s">
        <v>16</v>
      </c>
      <c r="D338" s="35" t="s">
        <v>101</v>
      </c>
      <c r="E338" s="35">
        <v>200</v>
      </c>
      <c r="F338" s="62">
        <v>47</v>
      </c>
      <c r="G338" s="62">
        <f t="shared" si="7"/>
        <v>9400</v>
      </c>
    </row>
    <row r="339" ht="16.5" spans="1:8">
      <c r="A339" s="58">
        <v>335</v>
      </c>
      <c r="B339" s="63">
        <v>46256</v>
      </c>
      <c r="C339" s="35" t="s">
        <v>16</v>
      </c>
      <c r="D339" s="35" t="s">
        <v>133</v>
      </c>
      <c r="E339" s="35">
        <v>10</v>
      </c>
      <c r="F339" s="62">
        <v>90</v>
      </c>
      <c r="G339" s="62">
        <f t="shared" si="7"/>
        <v>900</v>
      </c>
    </row>
    <row r="340" ht="16.5" spans="1:8">
      <c r="B340" s="63">
        <v>46257</v>
      </c>
      <c r="C340" s="35" t="s">
        <v>16</v>
      </c>
      <c r="D340" s="35" t="s">
        <v>110</v>
      </c>
      <c r="E340" s="35">
        <v>20</v>
      </c>
      <c r="F340" s="62">
        <v>43</v>
      </c>
      <c r="G340" s="62">
        <f t="shared" si="7"/>
        <v>860</v>
      </c>
    </row>
    <row r="341" ht="16.5" spans="1:8">
      <c r="B341" s="63">
        <v>46258</v>
      </c>
      <c r="C341" s="35" t="s">
        <v>14</v>
      </c>
      <c r="D341" s="35" t="s">
        <v>99</v>
      </c>
      <c r="E341" s="35">
        <v>17.5</v>
      </c>
      <c r="F341" s="62">
        <v>65</v>
      </c>
      <c r="G341" s="62">
        <f t="shared" si="7"/>
        <v>1137.5</v>
      </c>
    </row>
    <row r="342" ht="16.5" spans="1:8">
      <c r="B342" s="63">
        <v>46258</v>
      </c>
      <c r="C342" s="35" t="s">
        <v>16</v>
      </c>
      <c r="D342" s="35" t="s">
        <v>104</v>
      </c>
      <c r="E342" s="35">
        <v>50</v>
      </c>
      <c r="F342" s="62">
        <v>83</v>
      </c>
      <c r="G342" s="62">
        <f t="shared" si="7"/>
        <v>4150</v>
      </c>
    </row>
    <row r="343" s="16" customFormat="1" ht="16.5" spans="1:8">
      <c r="B343" s="59">
        <v>46258</v>
      </c>
      <c r="C343" s="60" t="s">
        <v>16</v>
      </c>
      <c r="D343" s="60" t="s">
        <v>102</v>
      </c>
      <c r="E343" s="60">
        <v>30</v>
      </c>
      <c r="F343" s="57">
        <v>69</v>
      </c>
      <c r="G343" s="57">
        <f t="shared" si="7"/>
        <v>2070</v>
      </c>
    </row>
    <row r="344" ht="16.5" spans="1:8">
      <c r="B344" s="63">
        <v>46260</v>
      </c>
      <c r="C344" s="35" t="s">
        <v>15</v>
      </c>
      <c r="D344" s="35" t="s">
        <v>107</v>
      </c>
      <c r="E344" s="35">
        <v>1000</v>
      </c>
      <c r="F344" s="62">
        <v>90</v>
      </c>
      <c r="G344" s="62">
        <f t="shared" si="7"/>
        <v>90000</v>
      </c>
    </row>
    <row r="345" ht="16.5" spans="1:8">
      <c r="B345" s="63">
        <v>46260</v>
      </c>
      <c r="C345" s="35" t="s">
        <v>61</v>
      </c>
      <c r="D345" s="35" t="s">
        <v>101</v>
      </c>
      <c r="E345" s="35">
        <v>4</v>
      </c>
      <c r="F345" s="62">
        <v>50</v>
      </c>
      <c r="G345" s="62">
        <f t="shared" si="7"/>
        <v>200</v>
      </c>
    </row>
    <row r="346" ht="16.5" spans="1:8">
      <c r="B346" s="63">
        <v>46260</v>
      </c>
      <c r="C346" s="35" t="s">
        <v>61</v>
      </c>
      <c r="D346" s="35" t="s">
        <v>104</v>
      </c>
      <c r="E346" s="35">
        <v>2</v>
      </c>
      <c r="F346" s="62">
        <v>86</v>
      </c>
      <c r="G346" s="62">
        <f t="shared" ref="G346:G358" si="8">IF(AND(E346&lt;&gt;"",F346&lt;&gt;""),E346*F346,"")</f>
        <v>172</v>
      </c>
      <c r="H346" t="s">
        <v>138</v>
      </c>
    </row>
    <row r="347" ht="16.5" spans="1:8">
      <c r="B347" s="63">
        <v>46260</v>
      </c>
      <c r="C347" s="35" t="s">
        <v>42</v>
      </c>
      <c r="D347" s="35" t="s">
        <v>99</v>
      </c>
      <c r="E347" s="35">
        <v>17.5</v>
      </c>
      <c r="F347" s="62">
        <v>65</v>
      </c>
      <c r="G347" s="62">
        <f t="shared" si="8"/>
        <v>1137.5</v>
      </c>
    </row>
    <row r="348" s="16" customFormat="1" ht="16.5" spans="1:8">
      <c r="B348" s="59">
        <v>46260</v>
      </c>
      <c r="C348" s="60" t="s">
        <v>42</v>
      </c>
      <c r="D348" s="60" t="s">
        <v>107</v>
      </c>
      <c r="E348" s="60">
        <v>100</v>
      </c>
      <c r="F348" s="57">
        <v>90</v>
      </c>
      <c r="G348" s="57">
        <f t="shared" si="8"/>
        <v>9000</v>
      </c>
    </row>
    <row r="349" s="16" customFormat="1" ht="16.5" spans="1:8">
      <c r="B349" s="59">
        <v>46253</v>
      </c>
      <c r="C349" s="60" t="s">
        <v>47</v>
      </c>
      <c r="D349" s="60" t="s">
        <v>101</v>
      </c>
      <c r="E349" s="60">
        <v>17.5</v>
      </c>
      <c r="F349" s="57">
        <v>47</v>
      </c>
      <c r="G349" s="57">
        <f t="shared" si="8"/>
        <v>822.5</v>
      </c>
    </row>
    <row r="350" s="16" customFormat="1" ht="16.5" spans="1:8">
      <c r="B350" s="59">
        <v>46254</v>
      </c>
      <c r="C350" s="60" t="s">
        <v>47</v>
      </c>
      <c r="D350" s="60" t="s">
        <v>101</v>
      </c>
      <c r="E350" s="60">
        <v>50.5</v>
      </c>
      <c r="F350" s="57">
        <v>47</v>
      </c>
      <c r="G350" s="57">
        <f t="shared" si="8"/>
        <v>2373.5</v>
      </c>
    </row>
    <row r="351" s="16" customFormat="1" ht="16.5" spans="1:8">
      <c r="B351" s="59">
        <v>46257</v>
      </c>
      <c r="C351" s="60" t="s">
        <v>17</v>
      </c>
      <c r="D351" s="60" t="s">
        <v>103</v>
      </c>
      <c r="E351" s="60">
        <v>50.5</v>
      </c>
      <c r="F351" s="57">
        <v>43</v>
      </c>
      <c r="G351" s="57">
        <f t="shared" si="8"/>
        <v>2171.5</v>
      </c>
    </row>
    <row r="352" s="16" customFormat="1" ht="16.5" spans="1:8">
      <c r="B352" s="59">
        <v>46257</v>
      </c>
      <c r="C352" s="60" t="s">
        <v>17</v>
      </c>
      <c r="D352" s="60" t="s">
        <v>107</v>
      </c>
      <c r="E352" s="60">
        <v>50</v>
      </c>
      <c r="F352" s="57">
        <v>90</v>
      </c>
      <c r="G352" s="57">
        <f t="shared" si="8"/>
        <v>4500</v>
      </c>
    </row>
    <row r="353" s="16" customFormat="1" ht="16.5" spans="2:8">
      <c r="B353" s="59">
        <v>46259</v>
      </c>
      <c r="C353" s="60" t="s">
        <v>37</v>
      </c>
      <c r="D353" s="60" t="s">
        <v>103</v>
      </c>
      <c r="E353" s="60">
        <v>20</v>
      </c>
      <c r="F353" s="57">
        <v>43</v>
      </c>
      <c r="G353" s="57">
        <f t="shared" si="8"/>
        <v>860</v>
      </c>
    </row>
    <row r="354" s="16" customFormat="1" ht="16.5" spans="2:8">
      <c r="B354" s="59">
        <v>46259</v>
      </c>
      <c r="C354" s="60" t="s">
        <v>58</v>
      </c>
      <c r="D354" s="60" t="s">
        <v>104</v>
      </c>
      <c r="E354" s="60">
        <v>30</v>
      </c>
      <c r="F354" s="57">
        <v>83</v>
      </c>
      <c r="G354" s="57">
        <f t="shared" si="8"/>
        <v>2490</v>
      </c>
    </row>
    <row r="355" s="16" customFormat="1" ht="16.5" spans="2:8">
      <c r="B355" s="59">
        <v>46259</v>
      </c>
      <c r="C355" s="60" t="s">
        <v>13</v>
      </c>
      <c r="D355" s="60" t="s">
        <v>103</v>
      </c>
      <c r="E355" s="60">
        <v>30</v>
      </c>
      <c r="F355" s="57">
        <v>43</v>
      </c>
      <c r="G355" s="57">
        <f t="shared" si="8"/>
        <v>1290</v>
      </c>
    </row>
    <row r="356" s="16" customFormat="1" ht="16.5" spans="2:8">
      <c r="B356" s="59">
        <v>46259</v>
      </c>
      <c r="C356" s="60" t="s">
        <v>13</v>
      </c>
      <c r="D356" s="60" t="s">
        <v>104</v>
      </c>
      <c r="E356" s="60">
        <v>20</v>
      </c>
      <c r="F356" s="57">
        <v>83</v>
      </c>
      <c r="G356" s="57">
        <f t="shared" si="8"/>
        <v>1660</v>
      </c>
    </row>
    <row r="357" s="16" customFormat="1" ht="16.5" spans="2:8">
      <c r="B357" s="59">
        <v>46259</v>
      </c>
      <c r="C357" s="60" t="s">
        <v>32</v>
      </c>
      <c r="D357" s="60" t="s">
        <v>104</v>
      </c>
      <c r="E357" s="60">
        <v>20</v>
      </c>
      <c r="F357" s="57">
        <v>83</v>
      </c>
      <c r="G357" s="57">
        <f t="shared" si="8"/>
        <v>1660</v>
      </c>
    </row>
    <row r="358" s="16" customFormat="1" ht="16.5" spans="2:8">
      <c r="B358" s="59">
        <v>46258</v>
      </c>
      <c r="C358" s="60" t="s">
        <v>59</v>
      </c>
      <c r="D358" s="60" t="s">
        <v>104</v>
      </c>
      <c r="E358" s="60">
        <v>7</v>
      </c>
      <c r="F358" s="57">
        <v>86</v>
      </c>
      <c r="G358" s="57">
        <f t="shared" si="8"/>
        <v>602</v>
      </c>
      <c r="H358" s="16" t="s">
        <v>139</v>
      </c>
    </row>
    <row r="359" s="16" customFormat="1" ht="16.5" spans="2:8">
      <c r="B359" s="59">
        <v>46262</v>
      </c>
      <c r="C359" s="60" t="s">
        <v>29</v>
      </c>
      <c r="D359" s="60" t="s">
        <v>109</v>
      </c>
      <c r="E359" s="60">
        <v>30</v>
      </c>
      <c r="F359" s="57">
        <v>47</v>
      </c>
      <c r="G359" s="57">
        <f t="shared" ref="G359:G364" si="9">IF(AND(E359&lt;&gt;"",F359&lt;&gt;""),E359*F359,"")</f>
        <v>1410</v>
      </c>
      <c r="H359" s="16" t="s">
        <v>140</v>
      </c>
    </row>
    <row r="360" s="16" customFormat="1" ht="16.5" spans="2:8">
      <c r="B360" s="59">
        <v>46262</v>
      </c>
      <c r="C360" s="60" t="s">
        <v>45</v>
      </c>
      <c r="D360" s="60" t="s">
        <v>104</v>
      </c>
      <c r="E360" s="60">
        <v>5</v>
      </c>
      <c r="F360" s="57">
        <v>86</v>
      </c>
      <c r="G360" s="57">
        <f t="shared" si="9"/>
        <v>430</v>
      </c>
    </row>
    <row r="361" s="16" customFormat="1" ht="16.5" spans="2:8">
      <c r="B361" s="59">
        <v>46262</v>
      </c>
      <c r="C361" s="60" t="s">
        <v>25</v>
      </c>
      <c r="D361" s="60" t="s">
        <v>107</v>
      </c>
      <c r="E361" s="60">
        <v>50</v>
      </c>
      <c r="F361" s="57">
        <v>93</v>
      </c>
      <c r="G361" s="57">
        <f t="shared" si="9"/>
        <v>4650</v>
      </c>
    </row>
    <row r="362" s="16" customFormat="1" ht="16.5" spans="2:8">
      <c r="B362" s="59">
        <v>46263</v>
      </c>
      <c r="C362" s="60" t="s">
        <v>49</v>
      </c>
      <c r="D362" s="60" t="s">
        <v>101</v>
      </c>
      <c r="E362" s="60">
        <v>100</v>
      </c>
      <c r="F362" s="57">
        <v>47</v>
      </c>
      <c r="G362" s="57">
        <f t="shared" si="9"/>
        <v>4700</v>
      </c>
    </row>
    <row r="363" s="16" customFormat="1" ht="16.5" spans="2:8">
      <c r="B363" s="59">
        <v>46263</v>
      </c>
      <c r="C363" s="60" t="s">
        <v>49</v>
      </c>
      <c r="D363" s="60" t="s">
        <v>102</v>
      </c>
      <c r="E363" s="60">
        <v>100</v>
      </c>
      <c r="F363" s="57">
        <v>55</v>
      </c>
      <c r="G363" s="57">
        <f t="shared" si="9"/>
        <v>5500</v>
      </c>
    </row>
    <row r="364" s="16" customFormat="1" ht="16.5" spans="2:8">
      <c r="B364" s="59">
        <v>46244</v>
      </c>
      <c r="C364" s="60" t="s">
        <v>49</v>
      </c>
      <c r="D364" s="60" t="s">
        <v>102</v>
      </c>
      <c r="E364" s="60">
        <v>103</v>
      </c>
      <c r="F364" s="57">
        <v>55</v>
      </c>
      <c r="G364" s="57">
        <f t="shared" si="9"/>
        <v>5665</v>
      </c>
    </row>
    <row r="365" s="16" customFormat="1" ht="16.5" spans="2:8">
      <c r="B365" s="59">
        <v>46263</v>
      </c>
      <c r="C365" s="60" t="s">
        <v>38</v>
      </c>
      <c r="D365" s="60" t="s">
        <v>107</v>
      </c>
      <c r="E365" s="60">
        <v>40</v>
      </c>
      <c r="F365" s="57">
        <v>90</v>
      </c>
      <c r="G365" s="57">
        <f t="shared" ref="G365:G370" si="10">IF(AND(E365&lt;&gt;"",F365&lt;&gt;""),E365*F365,"")</f>
        <v>3600</v>
      </c>
      <c r="H365" s="16" t="s">
        <v>125</v>
      </c>
    </row>
    <row r="366" s="16" customFormat="1" ht="16.5" spans="2:8">
      <c r="B366" s="59">
        <v>46263</v>
      </c>
      <c r="C366" s="30" t="s">
        <v>77</v>
      </c>
      <c r="D366" s="30" t="s">
        <v>107</v>
      </c>
      <c r="E366" s="29">
        <v>15</v>
      </c>
      <c r="F366" s="31">
        <v>93</v>
      </c>
      <c r="G366" s="57">
        <f t="shared" si="10"/>
        <v>1395</v>
      </c>
      <c r="H366" s="16" t="s">
        <v>125</v>
      </c>
    </row>
    <row r="367" s="16" customFormat="1" ht="16.5" spans="2:8">
      <c r="B367" s="59">
        <v>46263</v>
      </c>
      <c r="C367" s="30" t="s">
        <v>77</v>
      </c>
      <c r="D367" s="30" t="s">
        <v>104</v>
      </c>
      <c r="E367" s="29">
        <v>2</v>
      </c>
      <c r="F367" s="31">
        <v>86</v>
      </c>
      <c r="G367" s="57">
        <f t="shared" si="10"/>
        <v>172</v>
      </c>
    </row>
    <row r="368" s="16" customFormat="1" ht="16.5" spans="2:8">
      <c r="B368" s="59" t="s">
        <v>141</v>
      </c>
      <c r="C368" s="30" t="s">
        <v>127</v>
      </c>
      <c r="D368" s="30" t="s">
        <v>103</v>
      </c>
      <c r="E368" s="29">
        <v>35</v>
      </c>
      <c r="F368" s="31">
        <v>43</v>
      </c>
      <c r="G368" s="57">
        <f t="shared" si="10"/>
        <v>1505</v>
      </c>
    </row>
    <row r="369" s="16" customFormat="1" ht="16.5" spans="2:7">
      <c r="B369" s="59" t="s">
        <v>141</v>
      </c>
      <c r="C369" s="30" t="s">
        <v>127</v>
      </c>
      <c r="D369" s="30" t="s">
        <v>103</v>
      </c>
      <c r="E369" s="29">
        <v>1</v>
      </c>
      <c r="F369" s="31"/>
      <c r="G369" s="57" t="str">
        <f t="shared" si="10"/>
        <v/>
      </c>
    </row>
    <row r="370" s="16" customFormat="1" ht="16.5" spans="2:7">
      <c r="B370" s="59" t="s">
        <v>141</v>
      </c>
      <c r="C370" s="30" t="s">
        <v>127</v>
      </c>
      <c r="D370" s="30" t="s">
        <v>111</v>
      </c>
      <c r="E370" s="29">
        <v>100</v>
      </c>
      <c r="F370" s="31">
        <v>51</v>
      </c>
      <c r="G370" s="57">
        <f t="shared" si="10"/>
        <v>5100</v>
      </c>
    </row>
    <row r="371" s="16" customFormat="1" ht="16.5" spans="2:7">
      <c r="B371" s="59" t="s">
        <v>141</v>
      </c>
      <c r="C371" s="30" t="s">
        <v>127</v>
      </c>
      <c r="D371" s="30" t="s">
        <v>111</v>
      </c>
      <c r="E371" s="29">
        <v>3</v>
      </c>
      <c r="F371" s="31"/>
      <c r="G371" s="57"/>
    </row>
    <row r="372" s="16" customFormat="1" ht="16.5" spans="2:7">
      <c r="B372" s="59" t="s">
        <v>141</v>
      </c>
      <c r="C372" s="30" t="s">
        <v>127</v>
      </c>
      <c r="D372" s="30" t="s">
        <v>99</v>
      </c>
      <c r="E372" s="29">
        <v>35</v>
      </c>
      <c r="F372" s="31">
        <v>65</v>
      </c>
      <c r="G372" s="57">
        <f>IF(AND(E372&lt;&gt;"",F372&lt;&gt;""),E372*F372,"")</f>
        <v>2275</v>
      </c>
    </row>
    <row r="373" s="16" customFormat="1" ht="16.5" spans="2:7">
      <c r="B373" s="59" t="s">
        <v>141</v>
      </c>
      <c r="C373" s="30" t="s">
        <v>127</v>
      </c>
      <c r="D373" s="30" t="s">
        <v>99</v>
      </c>
      <c r="E373" s="29">
        <v>1</v>
      </c>
      <c r="F373" s="31"/>
      <c r="G373" s="57"/>
    </row>
    <row r="374" s="16" customFormat="1" ht="16.5" spans="2:7">
      <c r="B374" s="59">
        <v>46264</v>
      </c>
      <c r="C374" s="60" t="s">
        <v>18</v>
      </c>
      <c r="D374" s="60" t="s">
        <v>103</v>
      </c>
      <c r="E374" s="60">
        <v>25</v>
      </c>
      <c r="F374" s="57">
        <v>43</v>
      </c>
      <c r="G374" s="57">
        <f>IF(AND(E374&lt;&gt;"",F374&lt;&gt;""),E374*F374,"")</f>
        <v>1075</v>
      </c>
    </row>
    <row r="375" s="16" customFormat="1" ht="16.5" spans="2:7">
      <c r="B375" s="59">
        <v>46264</v>
      </c>
      <c r="C375" s="60" t="s">
        <v>18</v>
      </c>
      <c r="D375" s="60" t="s">
        <v>99</v>
      </c>
      <c r="E375" s="60">
        <v>30</v>
      </c>
      <c r="F375" s="57">
        <v>65</v>
      </c>
      <c r="G375" s="57">
        <f>IF(AND(E375&lt;&gt;"",F375&lt;&gt;""),E375*F375,"")</f>
        <v>1950</v>
      </c>
    </row>
    <row r="376" s="16" customFormat="1" ht="16.5" spans="2:7">
      <c r="B376" s="59">
        <v>46265</v>
      </c>
      <c r="C376" s="60" t="s">
        <v>20</v>
      </c>
      <c r="D376" s="60" t="s">
        <v>107</v>
      </c>
      <c r="E376" s="60">
        <v>100</v>
      </c>
      <c r="F376" s="57">
        <v>90</v>
      </c>
      <c r="G376" s="57">
        <f t="shared" ref="G376:G385" si="11">IF(AND(E376&lt;&gt;"",F376&lt;&gt;""),E376*F376,"")</f>
        <v>9000</v>
      </c>
    </row>
    <row r="377" s="16" customFormat="1" ht="16.5" spans="2:7">
      <c r="B377" s="59">
        <v>46265</v>
      </c>
      <c r="C377" s="60" t="s">
        <v>17</v>
      </c>
      <c r="D377" s="60" t="s">
        <v>101</v>
      </c>
      <c r="E377" s="60">
        <v>100</v>
      </c>
      <c r="F377" s="57">
        <v>47</v>
      </c>
      <c r="G377" s="57">
        <f t="shared" si="11"/>
        <v>4700</v>
      </c>
    </row>
    <row r="378" s="16" customFormat="1" ht="16.5" spans="2:7">
      <c r="B378" s="59">
        <v>46265</v>
      </c>
      <c r="C378" s="60" t="s">
        <v>16</v>
      </c>
      <c r="D378" s="60" t="s">
        <v>101</v>
      </c>
      <c r="E378" s="60">
        <v>50</v>
      </c>
      <c r="F378" s="57">
        <v>47</v>
      </c>
      <c r="G378" s="57">
        <f t="shared" si="11"/>
        <v>2350</v>
      </c>
    </row>
    <row r="379" s="16" customFormat="1" ht="16.5" spans="2:7">
      <c r="B379" s="59">
        <v>46265</v>
      </c>
      <c r="C379" s="60" t="s">
        <v>14</v>
      </c>
      <c r="D379" s="60" t="s">
        <v>107</v>
      </c>
      <c r="E379" s="60">
        <v>50</v>
      </c>
      <c r="F379" s="57">
        <v>90</v>
      </c>
      <c r="G379" s="57">
        <f t="shared" si="11"/>
        <v>4500</v>
      </c>
    </row>
    <row r="380" s="16" customFormat="1" ht="16.5" spans="2:7">
      <c r="B380" s="64">
        <v>46266</v>
      </c>
      <c r="C380" s="30" t="s">
        <v>62</v>
      </c>
      <c r="D380" s="30" t="s">
        <v>107</v>
      </c>
      <c r="E380" s="60">
        <v>15</v>
      </c>
      <c r="F380" s="57">
        <v>93</v>
      </c>
      <c r="G380" s="57">
        <f t="shared" si="11"/>
        <v>1395</v>
      </c>
    </row>
    <row r="381" s="16" customFormat="1" ht="16.5" spans="2:7">
      <c r="B381" s="64">
        <v>46265</v>
      </c>
      <c r="C381" s="30" t="s">
        <v>68</v>
      </c>
      <c r="D381" s="30" t="s">
        <v>103</v>
      </c>
      <c r="E381" s="60">
        <v>3</v>
      </c>
      <c r="F381" s="57">
        <v>46</v>
      </c>
      <c r="G381" s="57">
        <f t="shared" si="11"/>
        <v>138</v>
      </c>
    </row>
    <row r="382" s="16" customFormat="1" ht="16.5" spans="2:7">
      <c r="B382" s="64">
        <v>46265</v>
      </c>
      <c r="C382" s="30" t="s">
        <v>68</v>
      </c>
      <c r="D382" s="30" t="s">
        <v>101</v>
      </c>
      <c r="E382" s="60">
        <v>8</v>
      </c>
      <c r="F382" s="57">
        <v>50</v>
      </c>
      <c r="G382" s="57">
        <f t="shared" si="11"/>
        <v>400</v>
      </c>
    </row>
    <row r="383" s="16" customFormat="1" ht="16.5" spans="2:7">
      <c r="B383" s="64">
        <v>46265</v>
      </c>
      <c r="C383" s="30" t="s">
        <v>68</v>
      </c>
      <c r="D383" s="30" t="s">
        <v>102</v>
      </c>
      <c r="E383" s="60">
        <v>3</v>
      </c>
      <c r="F383" s="57">
        <v>58</v>
      </c>
      <c r="G383" s="57">
        <f t="shared" si="11"/>
        <v>174</v>
      </c>
    </row>
    <row r="384" s="16" customFormat="1" ht="16.5" spans="2:7">
      <c r="B384" s="64">
        <v>46262</v>
      </c>
      <c r="C384" s="30" t="s">
        <v>15</v>
      </c>
      <c r="D384" s="30" t="s">
        <v>112</v>
      </c>
      <c r="E384" s="60">
        <v>75</v>
      </c>
      <c r="F384" s="57">
        <v>52</v>
      </c>
      <c r="G384" s="57">
        <f t="shared" si="11"/>
        <v>3900</v>
      </c>
    </row>
    <row r="385" s="16" customFormat="1" ht="16.5" spans="2:8">
      <c r="B385" s="64">
        <v>46259</v>
      </c>
      <c r="C385" s="30" t="s">
        <v>15</v>
      </c>
      <c r="D385" s="30" t="s">
        <v>112</v>
      </c>
      <c r="E385" s="60">
        <v>45</v>
      </c>
      <c r="F385" s="57">
        <v>52</v>
      </c>
      <c r="G385" s="57">
        <f t="shared" si="11"/>
        <v>2340</v>
      </c>
    </row>
    <row r="386" s="16" customFormat="1" ht="16.5" spans="2:8">
      <c r="B386" s="64">
        <v>46263</v>
      </c>
      <c r="C386" s="30" t="s">
        <v>27</v>
      </c>
      <c r="D386" s="30" t="s">
        <v>107</v>
      </c>
      <c r="E386" s="60">
        <v>30</v>
      </c>
      <c r="F386" s="57">
        <v>90</v>
      </c>
      <c r="G386" s="57">
        <f t="shared" ref="G386:G396" si="12">IF(AND(E386&lt;&gt;"",F386&lt;&gt;""),E386*F386,"")</f>
        <v>2700</v>
      </c>
    </row>
    <row r="387" s="16" customFormat="1" ht="16.5" spans="2:8">
      <c r="B387" s="64">
        <v>46265</v>
      </c>
      <c r="C387" s="30" t="s">
        <v>16</v>
      </c>
      <c r="D387" s="30" t="s">
        <v>107</v>
      </c>
      <c r="E387" s="60">
        <v>200</v>
      </c>
      <c r="F387" s="57">
        <v>90</v>
      </c>
      <c r="G387" s="57">
        <f t="shared" si="12"/>
        <v>18000</v>
      </c>
    </row>
    <row r="388" s="16" customFormat="1" ht="16.5" spans="2:8">
      <c r="B388" s="64">
        <v>46265</v>
      </c>
      <c r="C388" s="30" t="s">
        <v>16</v>
      </c>
      <c r="D388" s="30" t="s">
        <v>102</v>
      </c>
      <c r="E388" s="60">
        <v>70</v>
      </c>
      <c r="F388" s="57">
        <v>55</v>
      </c>
      <c r="G388" s="57">
        <f t="shared" si="12"/>
        <v>3850</v>
      </c>
    </row>
    <row r="389" s="16" customFormat="1" ht="16.5" spans="2:8">
      <c r="B389" s="64">
        <v>46265</v>
      </c>
      <c r="C389" s="30" t="s">
        <v>47</v>
      </c>
      <c r="D389" s="30" t="s">
        <v>103</v>
      </c>
      <c r="E389" s="60">
        <v>35</v>
      </c>
      <c r="F389" s="57">
        <v>43</v>
      </c>
      <c r="G389" s="57">
        <f t="shared" si="12"/>
        <v>1505</v>
      </c>
    </row>
    <row r="390" s="16" customFormat="1" ht="16.5" spans="2:8">
      <c r="B390" s="64">
        <v>46259</v>
      </c>
      <c r="C390" s="30" t="s">
        <v>15</v>
      </c>
      <c r="D390" s="30" t="s">
        <v>101</v>
      </c>
      <c r="E390" s="60">
        <v>200</v>
      </c>
      <c r="F390" s="57">
        <v>47</v>
      </c>
      <c r="G390" s="57">
        <f t="shared" si="12"/>
        <v>9400</v>
      </c>
    </row>
    <row r="391" s="16" customFormat="1" ht="16.5" spans="2:8">
      <c r="B391" s="64">
        <v>46259</v>
      </c>
      <c r="C391" s="30" t="s">
        <v>15</v>
      </c>
      <c r="D391" s="30" t="s">
        <v>99</v>
      </c>
      <c r="E391" s="60">
        <v>300</v>
      </c>
      <c r="F391" s="57">
        <v>65</v>
      </c>
      <c r="G391" s="57">
        <f t="shared" si="12"/>
        <v>19500</v>
      </c>
    </row>
    <row r="392" s="16" customFormat="1" ht="16.5" spans="2:8">
      <c r="B392" s="64">
        <v>46259</v>
      </c>
      <c r="C392" s="30" t="s">
        <v>15</v>
      </c>
      <c r="D392" s="30" t="s">
        <v>102</v>
      </c>
      <c r="E392" s="60">
        <v>150</v>
      </c>
      <c r="F392" s="57">
        <v>55</v>
      </c>
      <c r="G392" s="57">
        <f t="shared" si="12"/>
        <v>8250</v>
      </c>
    </row>
    <row r="393" s="16" customFormat="1" ht="16.5" spans="2:8">
      <c r="B393" s="64">
        <v>46266</v>
      </c>
      <c r="C393" s="30" t="s">
        <v>15</v>
      </c>
      <c r="D393" s="30" t="s">
        <v>112</v>
      </c>
      <c r="E393" s="60">
        <v>10</v>
      </c>
      <c r="F393" s="57">
        <v>52</v>
      </c>
      <c r="G393" s="57">
        <f t="shared" si="12"/>
        <v>520</v>
      </c>
    </row>
    <row r="394" s="16" customFormat="1" ht="16.5" spans="2:8">
      <c r="B394" s="64">
        <v>46266</v>
      </c>
      <c r="C394" s="30" t="s">
        <v>15</v>
      </c>
      <c r="D394" s="30" t="s">
        <v>112</v>
      </c>
      <c r="E394" s="60">
        <v>20</v>
      </c>
      <c r="F394" s="57">
        <v>52</v>
      </c>
      <c r="G394" s="57">
        <f t="shared" si="12"/>
        <v>1040</v>
      </c>
    </row>
    <row r="395" s="16" customFormat="1" ht="16.5" spans="2:8">
      <c r="B395" s="64">
        <v>46266</v>
      </c>
      <c r="C395" s="30" t="s">
        <v>15</v>
      </c>
      <c r="D395" s="30" t="s">
        <v>101</v>
      </c>
      <c r="E395" s="60">
        <v>100</v>
      </c>
      <c r="F395" s="57">
        <v>47</v>
      </c>
      <c r="G395" s="57">
        <f t="shared" si="12"/>
        <v>4700</v>
      </c>
    </row>
    <row r="396" s="16" customFormat="1" ht="16.5" spans="2:8">
      <c r="B396" s="64">
        <v>46267</v>
      </c>
      <c r="C396" s="30" t="s">
        <v>28</v>
      </c>
      <c r="D396" s="30" t="s">
        <v>107</v>
      </c>
      <c r="E396" s="60">
        <v>100</v>
      </c>
      <c r="F396" s="57">
        <v>90</v>
      </c>
      <c r="G396" s="57">
        <f t="shared" si="12"/>
        <v>9000</v>
      </c>
    </row>
    <row r="397" s="16" customFormat="1" ht="16.5" spans="2:8">
      <c r="B397" s="64">
        <v>46268</v>
      </c>
      <c r="C397" s="60" t="s">
        <v>72</v>
      </c>
      <c r="D397" s="60" t="s">
        <v>107</v>
      </c>
      <c r="E397" s="60">
        <v>15</v>
      </c>
      <c r="F397" s="57">
        <v>93</v>
      </c>
      <c r="G397" s="57">
        <f t="shared" ref="G397:G399" si="13">IF(AND(E397&lt;&gt;"",F397&lt;&gt;""),E397*F397,"")</f>
        <v>1395</v>
      </c>
    </row>
    <row r="398" s="16" customFormat="1" ht="16.5" spans="2:8">
      <c r="B398" s="64">
        <v>46268</v>
      </c>
      <c r="C398" s="60" t="s">
        <v>72</v>
      </c>
      <c r="D398" s="60" t="s">
        <v>99</v>
      </c>
      <c r="E398" s="60">
        <v>4</v>
      </c>
      <c r="F398" s="57">
        <v>68</v>
      </c>
      <c r="G398" s="57">
        <f t="shared" si="13"/>
        <v>272</v>
      </c>
    </row>
    <row r="399" s="16" customFormat="1" ht="16.5" spans="2:8">
      <c r="B399" s="64">
        <v>46268</v>
      </c>
      <c r="C399" s="60" t="s">
        <v>21</v>
      </c>
      <c r="D399" s="60" t="s">
        <v>107</v>
      </c>
      <c r="E399" s="60">
        <v>100</v>
      </c>
      <c r="F399" s="57">
        <v>90</v>
      </c>
      <c r="G399" s="57">
        <f t="shared" si="13"/>
        <v>9000</v>
      </c>
      <c r="H399" s="16" t="s">
        <v>125</v>
      </c>
    </row>
    <row r="400" ht="16.5" spans="2:8">
      <c r="B400" s="43">
        <v>46269</v>
      </c>
      <c r="C400" s="35" t="s">
        <v>16</v>
      </c>
      <c r="D400" s="35" t="s">
        <v>101</v>
      </c>
      <c r="E400" s="35">
        <v>100</v>
      </c>
      <c r="F400" s="62">
        <v>47</v>
      </c>
      <c r="G400" s="62">
        <f t="shared" ref="G400:G423" si="14">IF(AND(E400&lt;&gt;"",F400&lt;&gt;""),E400*F400,"")</f>
        <v>4700</v>
      </c>
    </row>
    <row r="401" ht="16.5" spans="2:7">
      <c r="B401" s="43">
        <v>46270</v>
      </c>
      <c r="C401" s="35" t="s">
        <v>18</v>
      </c>
      <c r="D401" s="35" t="s">
        <v>101</v>
      </c>
      <c r="E401" s="35">
        <v>100</v>
      </c>
      <c r="F401" s="62">
        <v>47</v>
      </c>
      <c r="G401" s="62">
        <f t="shared" si="14"/>
        <v>4700</v>
      </c>
    </row>
    <row r="402" ht="16.5" spans="2:7">
      <c r="B402" s="43">
        <v>46270</v>
      </c>
      <c r="C402" s="35" t="s">
        <v>18</v>
      </c>
      <c r="D402" s="35" t="s">
        <v>103</v>
      </c>
      <c r="E402" s="35">
        <v>45</v>
      </c>
      <c r="F402" s="62">
        <v>43</v>
      </c>
      <c r="G402" s="62">
        <f t="shared" si="14"/>
        <v>1935</v>
      </c>
    </row>
    <row r="403" ht="16.5" spans="2:7">
      <c r="B403" s="43">
        <v>46270</v>
      </c>
      <c r="C403" s="35" t="s">
        <v>45</v>
      </c>
      <c r="D403" s="35" t="s">
        <v>107</v>
      </c>
      <c r="E403" s="35">
        <v>30</v>
      </c>
      <c r="F403" s="62">
        <v>93</v>
      </c>
      <c r="G403" s="62">
        <f t="shared" si="14"/>
        <v>2790</v>
      </c>
    </row>
    <row r="404" s="16" customFormat="1" ht="16.5" spans="2:7">
      <c r="B404" s="64">
        <v>46271</v>
      </c>
      <c r="C404" s="60" t="s">
        <v>16</v>
      </c>
      <c r="D404" s="60" t="s">
        <v>101</v>
      </c>
      <c r="E404" s="60">
        <v>50</v>
      </c>
      <c r="F404" s="57">
        <v>47</v>
      </c>
      <c r="G404" s="57">
        <f t="shared" si="14"/>
        <v>2350</v>
      </c>
    </row>
    <row r="405" s="16" customFormat="1" ht="16.5" spans="2:7">
      <c r="B405" s="65">
        <v>46272</v>
      </c>
      <c r="C405" s="60" t="s">
        <v>17</v>
      </c>
      <c r="D405" s="60" t="s">
        <v>101</v>
      </c>
      <c r="E405" s="60">
        <v>50.5</v>
      </c>
      <c r="F405" s="57">
        <v>47</v>
      </c>
      <c r="G405" s="57">
        <f t="shared" si="14"/>
        <v>2373.5</v>
      </c>
    </row>
    <row r="406" s="16" customFormat="1" ht="16.5" spans="2:7">
      <c r="B406" s="65">
        <v>46272</v>
      </c>
      <c r="C406" s="60" t="s">
        <v>16</v>
      </c>
      <c r="D406" s="60" t="s">
        <v>101</v>
      </c>
      <c r="E406" s="60">
        <v>50</v>
      </c>
      <c r="F406" s="57">
        <v>47</v>
      </c>
      <c r="G406" s="57">
        <f t="shared" si="14"/>
        <v>2350</v>
      </c>
    </row>
    <row r="407" s="16" customFormat="1" ht="16.5" spans="2:7">
      <c r="B407" s="65">
        <v>46272</v>
      </c>
      <c r="C407" s="60" t="s">
        <v>18</v>
      </c>
      <c r="D407" s="60" t="s">
        <v>101</v>
      </c>
      <c r="E407" s="60">
        <v>170</v>
      </c>
      <c r="F407" s="57">
        <v>47</v>
      </c>
      <c r="G407" s="57">
        <f t="shared" si="14"/>
        <v>7990</v>
      </c>
    </row>
    <row r="408" s="16" customFormat="1" ht="16.5" spans="2:7">
      <c r="B408" s="65">
        <v>46272</v>
      </c>
      <c r="C408" s="60" t="s">
        <v>49</v>
      </c>
      <c r="D408" s="60" t="s">
        <v>101</v>
      </c>
      <c r="E408" s="60">
        <v>50</v>
      </c>
      <c r="F408" s="57">
        <v>47</v>
      </c>
      <c r="G408" s="57">
        <f t="shared" si="14"/>
        <v>2350</v>
      </c>
    </row>
    <row r="409" s="16" customFormat="1" ht="16.5" spans="2:7">
      <c r="B409" s="65">
        <v>46270</v>
      </c>
      <c r="C409" s="60" t="s">
        <v>69</v>
      </c>
      <c r="D409" s="60" t="s">
        <v>104</v>
      </c>
      <c r="E409" s="60">
        <v>3</v>
      </c>
      <c r="F409" s="57">
        <v>86</v>
      </c>
      <c r="G409" s="57">
        <f t="shared" si="14"/>
        <v>258</v>
      </c>
    </row>
    <row r="410" ht="16.5" spans="2:7">
      <c r="B410" s="65">
        <v>46273</v>
      </c>
      <c r="C410" s="35" t="s">
        <v>47</v>
      </c>
      <c r="D410" s="35" t="s">
        <v>101</v>
      </c>
      <c r="E410" s="35">
        <v>50.5</v>
      </c>
      <c r="F410" s="62">
        <v>47</v>
      </c>
      <c r="G410" s="62">
        <f t="shared" si="14"/>
        <v>2373.5</v>
      </c>
    </row>
    <row r="411" ht="16.5" spans="2:7">
      <c r="B411" s="65">
        <v>46273</v>
      </c>
      <c r="C411" s="35" t="s">
        <v>37</v>
      </c>
      <c r="D411" s="35" t="s">
        <v>101</v>
      </c>
      <c r="E411" s="35">
        <v>10</v>
      </c>
      <c r="F411" s="62">
        <v>47</v>
      </c>
      <c r="G411" s="62">
        <f t="shared" si="14"/>
        <v>470</v>
      </c>
    </row>
    <row r="412" ht="16.5" spans="2:7">
      <c r="B412" s="65">
        <v>46273</v>
      </c>
      <c r="C412" s="35" t="s">
        <v>39</v>
      </c>
      <c r="D412" s="35" t="s">
        <v>102</v>
      </c>
      <c r="E412" s="35">
        <v>3</v>
      </c>
      <c r="F412" s="62">
        <v>58</v>
      </c>
      <c r="G412" s="62">
        <f t="shared" si="14"/>
        <v>174</v>
      </c>
    </row>
    <row r="413" ht="16.5" spans="2:7">
      <c r="B413" s="65">
        <v>46273</v>
      </c>
      <c r="C413" s="35" t="s">
        <v>39</v>
      </c>
      <c r="D413" s="35" t="s">
        <v>103</v>
      </c>
      <c r="E413" s="35">
        <v>1</v>
      </c>
      <c r="F413" s="62">
        <v>46</v>
      </c>
      <c r="G413" s="62">
        <f t="shared" si="14"/>
        <v>46</v>
      </c>
    </row>
    <row r="414" ht="16.5" spans="2:7">
      <c r="B414" s="65">
        <v>46273</v>
      </c>
      <c r="C414" s="35" t="s">
        <v>39</v>
      </c>
      <c r="D414" s="35" t="s">
        <v>110</v>
      </c>
      <c r="E414" s="35">
        <v>1</v>
      </c>
      <c r="F414" s="62">
        <v>46</v>
      </c>
      <c r="G414" s="62">
        <f t="shared" si="14"/>
        <v>46</v>
      </c>
    </row>
    <row r="415" ht="16.5" spans="2:7">
      <c r="B415" s="65">
        <v>46273</v>
      </c>
      <c r="C415" s="35" t="s">
        <v>39</v>
      </c>
      <c r="D415" s="35" t="s">
        <v>104</v>
      </c>
      <c r="E415" s="35">
        <v>1</v>
      </c>
      <c r="F415" s="62">
        <v>86</v>
      </c>
      <c r="G415" s="62">
        <f t="shared" si="14"/>
        <v>86</v>
      </c>
    </row>
    <row r="416" ht="16.5" spans="2:7">
      <c r="B416" s="65">
        <v>46273</v>
      </c>
      <c r="C416" s="35" t="s">
        <v>39</v>
      </c>
      <c r="D416" s="35" t="s">
        <v>142</v>
      </c>
      <c r="E416" s="35">
        <v>1</v>
      </c>
      <c r="F416" s="62">
        <v>86</v>
      </c>
      <c r="G416" s="62">
        <f t="shared" si="14"/>
        <v>86</v>
      </c>
    </row>
    <row r="417" ht="16.5" spans="2:7">
      <c r="B417" s="65">
        <v>46274</v>
      </c>
      <c r="C417" s="35" t="s">
        <v>55</v>
      </c>
      <c r="D417" s="35" t="s">
        <v>101</v>
      </c>
      <c r="E417" s="35">
        <v>4</v>
      </c>
      <c r="F417" s="62">
        <v>50</v>
      </c>
      <c r="G417" s="62">
        <f t="shared" si="14"/>
        <v>200</v>
      </c>
    </row>
    <row r="418" ht="16.5" spans="2:7">
      <c r="B418" s="65">
        <v>46274</v>
      </c>
      <c r="C418" s="35" t="s">
        <v>16</v>
      </c>
      <c r="D418" s="35" t="s">
        <v>101</v>
      </c>
      <c r="E418" s="35">
        <v>140</v>
      </c>
      <c r="F418" s="62">
        <v>47</v>
      </c>
      <c r="G418" s="62">
        <f t="shared" si="14"/>
        <v>6580</v>
      </c>
    </row>
    <row r="419" ht="16.5" spans="2:7">
      <c r="B419" s="65">
        <v>46274</v>
      </c>
      <c r="C419" s="35" t="s">
        <v>16</v>
      </c>
      <c r="D419" s="35" t="s">
        <v>133</v>
      </c>
      <c r="E419" s="35">
        <v>10</v>
      </c>
      <c r="F419" s="62">
        <v>93</v>
      </c>
      <c r="G419" s="62">
        <f t="shared" si="14"/>
        <v>930</v>
      </c>
    </row>
    <row r="420" ht="16.5" spans="2:7">
      <c r="B420" s="65">
        <v>46274</v>
      </c>
      <c r="C420" s="35" t="s">
        <v>22</v>
      </c>
      <c r="D420" s="35" t="s">
        <v>107</v>
      </c>
      <c r="E420" s="35">
        <v>50</v>
      </c>
      <c r="F420" s="62">
        <v>93</v>
      </c>
      <c r="G420" s="62">
        <f t="shared" si="14"/>
        <v>4650</v>
      </c>
    </row>
    <row r="421" ht="16.5" spans="2:7">
      <c r="B421" s="65">
        <v>46274</v>
      </c>
      <c r="C421" s="35" t="s">
        <v>19</v>
      </c>
      <c r="D421" s="35" t="s">
        <v>124</v>
      </c>
      <c r="E421" s="35">
        <v>5</v>
      </c>
      <c r="F421" s="62">
        <v>12</v>
      </c>
      <c r="G421" s="62">
        <f t="shared" si="14"/>
        <v>60</v>
      </c>
    </row>
    <row r="422" ht="16.5" spans="2:7">
      <c r="B422" s="65">
        <v>46274</v>
      </c>
      <c r="C422" s="35" t="s">
        <v>19</v>
      </c>
      <c r="D422" s="35" t="s">
        <v>112</v>
      </c>
      <c r="E422" s="35">
        <v>4</v>
      </c>
      <c r="F422" s="62">
        <v>54</v>
      </c>
      <c r="G422" s="62">
        <f t="shared" si="14"/>
        <v>216</v>
      </c>
    </row>
    <row r="423" ht="16.5" spans="2:7">
      <c r="B423" s="65">
        <v>46274</v>
      </c>
      <c r="C423" s="35" t="s">
        <v>15</v>
      </c>
      <c r="D423" s="35" t="s">
        <v>112</v>
      </c>
      <c r="E423" s="35">
        <v>30</v>
      </c>
      <c r="F423" s="62">
        <v>55</v>
      </c>
      <c r="G423" s="62">
        <f t="shared" si="14"/>
        <v>1650</v>
      </c>
    </row>
    <row r="424" ht="16.5" spans="2:7">
      <c r="B424" s="65">
        <v>46274</v>
      </c>
      <c r="C424" s="35" t="s">
        <v>15</v>
      </c>
      <c r="D424" s="35" t="s">
        <v>101</v>
      </c>
      <c r="E424" s="35">
        <v>100</v>
      </c>
      <c r="F424" s="62">
        <v>47</v>
      </c>
      <c r="G424" s="62">
        <f t="shared" ref="G424:G454" si="15">IF(AND(E424&lt;&gt;"",F424&lt;&gt;""),E424*F424,"")</f>
        <v>4700</v>
      </c>
    </row>
    <row r="425" ht="16.5" spans="2:7">
      <c r="B425" s="65">
        <v>46274</v>
      </c>
      <c r="C425" s="35" t="s">
        <v>15</v>
      </c>
      <c r="D425" s="35" t="s">
        <v>121</v>
      </c>
      <c r="E425" s="35">
        <v>20</v>
      </c>
      <c r="F425" s="62">
        <v>62</v>
      </c>
      <c r="G425" s="62">
        <f t="shared" si="15"/>
        <v>1240</v>
      </c>
    </row>
    <row r="426" ht="16.5" spans="2:7">
      <c r="B426" s="65">
        <v>46274</v>
      </c>
      <c r="C426" s="35" t="s">
        <v>15</v>
      </c>
      <c r="D426" s="35" t="s">
        <v>112</v>
      </c>
      <c r="E426" s="35">
        <v>55</v>
      </c>
      <c r="F426" s="62">
        <v>55</v>
      </c>
      <c r="G426" s="62">
        <f t="shared" si="15"/>
        <v>3025</v>
      </c>
    </row>
    <row r="427" ht="16.5" spans="2:7">
      <c r="B427" s="65">
        <v>46274</v>
      </c>
      <c r="C427" s="35" t="s">
        <v>127</v>
      </c>
      <c r="D427" s="35" t="s">
        <v>104</v>
      </c>
      <c r="E427" s="35">
        <v>10</v>
      </c>
      <c r="F427" s="62">
        <v>83</v>
      </c>
      <c r="G427" s="62">
        <f t="shared" si="15"/>
        <v>830</v>
      </c>
    </row>
    <row r="428" ht="16.5" spans="2:7">
      <c r="B428" s="65">
        <v>46274</v>
      </c>
      <c r="C428" s="35" t="s">
        <v>40</v>
      </c>
      <c r="D428" s="35" t="s">
        <v>133</v>
      </c>
      <c r="E428" s="35">
        <v>1</v>
      </c>
      <c r="F428" s="62">
        <v>93</v>
      </c>
      <c r="G428" s="62">
        <f t="shared" si="15"/>
        <v>93</v>
      </c>
    </row>
    <row r="429" ht="16.5" spans="2:7">
      <c r="B429" s="65">
        <v>46274</v>
      </c>
      <c r="C429" s="35" t="s">
        <v>40</v>
      </c>
      <c r="D429" s="35" t="s">
        <v>104</v>
      </c>
      <c r="E429" s="35">
        <v>1</v>
      </c>
      <c r="F429" s="62">
        <v>86</v>
      </c>
      <c r="G429" s="62">
        <f t="shared" si="15"/>
        <v>86</v>
      </c>
    </row>
    <row r="430" ht="16.5" spans="2:7">
      <c r="B430" s="65">
        <v>46274</v>
      </c>
      <c r="C430" s="35" t="s">
        <v>40</v>
      </c>
      <c r="D430" s="35" t="s">
        <v>99</v>
      </c>
      <c r="E430" s="35">
        <v>1</v>
      </c>
      <c r="F430" s="62">
        <v>68</v>
      </c>
      <c r="G430" s="62">
        <f t="shared" si="15"/>
        <v>68</v>
      </c>
    </row>
    <row r="431" ht="16.5" spans="2:7">
      <c r="B431" s="65">
        <v>46274</v>
      </c>
      <c r="C431" s="35" t="s">
        <v>40</v>
      </c>
      <c r="D431" s="35" t="s">
        <v>99</v>
      </c>
      <c r="E431" s="35">
        <v>2</v>
      </c>
      <c r="F431" s="62">
        <v>2.833</v>
      </c>
      <c r="G431" s="62">
        <v>5</v>
      </c>
    </row>
    <row r="432" ht="16.5" spans="2:7">
      <c r="B432" s="65">
        <v>46275</v>
      </c>
      <c r="C432" s="35" t="s">
        <v>49</v>
      </c>
      <c r="D432" s="35" t="s">
        <v>107</v>
      </c>
      <c r="E432" s="35">
        <v>300</v>
      </c>
      <c r="F432" s="62">
        <v>90</v>
      </c>
      <c r="G432" s="62">
        <f t="shared" si="15"/>
        <v>27000</v>
      </c>
    </row>
    <row r="433" ht="16.5" spans="2:8">
      <c r="B433" s="65">
        <v>46275</v>
      </c>
      <c r="C433" s="35" t="s">
        <v>17</v>
      </c>
      <c r="D433" s="35" t="s">
        <v>102</v>
      </c>
      <c r="E433" s="35">
        <v>50</v>
      </c>
      <c r="F433" s="62">
        <v>55</v>
      </c>
      <c r="G433" s="62">
        <f t="shared" si="15"/>
        <v>2750</v>
      </c>
      <c r="H433" s="66" t="s">
        <v>143</v>
      </c>
    </row>
    <row r="434" ht="16.5" spans="2:8">
      <c r="B434" s="65">
        <v>46275</v>
      </c>
      <c r="C434" s="35" t="s">
        <v>17</v>
      </c>
      <c r="D434" s="35" t="s">
        <v>108</v>
      </c>
      <c r="E434" s="35">
        <v>55</v>
      </c>
      <c r="F434" s="62">
        <v>69</v>
      </c>
      <c r="G434" s="62">
        <f t="shared" si="15"/>
        <v>3795</v>
      </c>
      <c r="H434" s="66"/>
    </row>
    <row r="435" ht="16.5" spans="2:8">
      <c r="B435" s="65">
        <v>46275</v>
      </c>
      <c r="C435" s="35" t="s">
        <v>47</v>
      </c>
      <c r="D435" s="35" t="s">
        <v>101</v>
      </c>
      <c r="E435" s="35">
        <v>17.5</v>
      </c>
      <c r="F435" s="62">
        <v>47</v>
      </c>
      <c r="G435" s="62">
        <f t="shared" si="15"/>
        <v>822.5</v>
      </c>
    </row>
    <row r="436" ht="16.5" spans="2:8">
      <c r="B436" s="65">
        <v>46276</v>
      </c>
      <c r="C436" s="35" t="s">
        <v>14</v>
      </c>
      <c r="D436" s="35" t="s">
        <v>107</v>
      </c>
      <c r="E436" s="35">
        <v>50</v>
      </c>
      <c r="F436" s="62">
        <v>90</v>
      </c>
      <c r="G436" s="62">
        <f t="shared" si="15"/>
        <v>4500</v>
      </c>
    </row>
    <row r="437" ht="16.5" spans="2:8">
      <c r="B437" s="65">
        <v>46276</v>
      </c>
      <c r="C437" s="35" t="s">
        <v>44</v>
      </c>
      <c r="D437" s="35" t="s">
        <v>102</v>
      </c>
      <c r="E437" s="35">
        <v>70</v>
      </c>
      <c r="F437" s="62">
        <v>55</v>
      </c>
      <c r="G437" s="62">
        <f t="shared" si="15"/>
        <v>3850</v>
      </c>
    </row>
    <row r="438" ht="16.5" spans="2:8">
      <c r="B438" s="65">
        <v>46276</v>
      </c>
      <c r="C438" s="35" t="s">
        <v>44</v>
      </c>
      <c r="D438" s="35" t="s">
        <v>101</v>
      </c>
      <c r="E438" s="35">
        <v>70</v>
      </c>
      <c r="F438" s="62">
        <v>47</v>
      </c>
      <c r="G438" s="62">
        <f t="shared" si="15"/>
        <v>3290</v>
      </c>
    </row>
    <row r="439" ht="16.5" spans="2:8">
      <c r="B439" s="65">
        <v>46276</v>
      </c>
      <c r="C439" s="35" t="s">
        <v>44</v>
      </c>
      <c r="D439" s="35" t="s">
        <v>103</v>
      </c>
      <c r="E439" s="35">
        <v>43</v>
      </c>
      <c r="F439" s="62">
        <v>43</v>
      </c>
      <c r="G439" s="62">
        <f t="shared" si="15"/>
        <v>1849</v>
      </c>
    </row>
    <row r="440" ht="16.5" spans="2:8">
      <c r="B440" s="65">
        <v>46279</v>
      </c>
      <c r="C440" s="35" t="s">
        <v>69</v>
      </c>
      <c r="D440" s="35" t="s">
        <v>101</v>
      </c>
      <c r="E440" s="35">
        <v>5</v>
      </c>
      <c r="F440" s="62">
        <v>50</v>
      </c>
      <c r="G440" s="62">
        <f t="shared" si="15"/>
        <v>250</v>
      </c>
    </row>
    <row r="441" ht="16.5" spans="2:8">
      <c r="B441" s="65">
        <v>46279</v>
      </c>
      <c r="C441" s="35" t="s">
        <v>55</v>
      </c>
      <c r="D441" s="35" t="s">
        <v>107</v>
      </c>
      <c r="E441" s="35">
        <v>15</v>
      </c>
      <c r="F441" s="62">
        <v>93</v>
      </c>
      <c r="G441" s="62">
        <f t="shared" si="15"/>
        <v>1395</v>
      </c>
    </row>
    <row r="442" ht="16.5" spans="2:8">
      <c r="B442" s="65">
        <v>46279</v>
      </c>
      <c r="C442" s="35" t="s">
        <v>47</v>
      </c>
      <c r="D442" s="35" t="s">
        <v>101</v>
      </c>
      <c r="E442" s="35">
        <v>10</v>
      </c>
      <c r="F442" s="62">
        <v>470</v>
      </c>
      <c r="G442" s="62">
        <f t="shared" si="15"/>
        <v>4700</v>
      </c>
    </row>
    <row r="443" ht="16.5" spans="2:8">
      <c r="B443" s="65">
        <v>46279</v>
      </c>
      <c r="C443" s="35" t="s">
        <v>48</v>
      </c>
      <c r="D443" s="35" t="s">
        <v>101</v>
      </c>
      <c r="E443" s="35">
        <v>26</v>
      </c>
      <c r="F443" s="62">
        <v>50</v>
      </c>
      <c r="G443" s="62">
        <f t="shared" si="15"/>
        <v>1300</v>
      </c>
    </row>
    <row r="444" ht="16.5" spans="2:8">
      <c r="B444" s="65">
        <v>46278</v>
      </c>
      <c r="C444" s="35" t="s">
        <v>47</v>
      </c>
      <c r="D444" s="35" t="s">
        <v>101</v>
      </c>
      <c r="E444" s="35">
        <v>100</v>
      </c>
      <c r="F444" s="62">
        <v>47</v>
      </c>
      <c r="G444" s="62">
        <f t="shared" si="15"/>
        <v>4700</v>
      </c>
    </row>
    <row r="445" ht="16.5" spans="2:8">
      <c r="B445" s="65">
        <v>46278</v>
      </c>
      <c r="C445" s="35" t="s">
        <v>15</v>
      </c>
      <c r="D445" s="35" t="s">
        <v>101</v>
      </c>
      <c r="E445" s="35">
        <v>150</v>
      </c>
      <c r="F445" s="62">
        <v>47</v>
      </c>
      <c r="G445" s="62">
        <f t="shared" si="15"/>
        <v>7050</v>
      </c>
    </row>
    <row r="446" ht="16.5" spans="2:8">
      <c r="B446" s="65">
        <v>46280</v>
      </c>
      <c r="C446" s="35" t="s">
        <v>18</v>
      </c>
      <c r="D446" s="35" t="s">
        <v>103</v>
      </c>
      <c r="E446" s="35">
        <v>40</v>
      </c>
      <c r="F446" s="62">
        <v>43</v>
      </c>
      <c r="G446" s="62">
        <f t="shared" si="15"/>
        <v>1720</v>
      </c>
    </row>
    <row r="447" ht="16.5" spans="2:8">
      <c r="B447" s="65">
        <v>46280</v>
      </c>
      <c r="C447" s="27" t="s">
        <v>67</v>
      </c>
      <c r="D447" s="35" t="s">
        <v>107</v>
      </c>
      <c r="E447" s="35">
        <v>15</v>
      </c>
      <c r="F447" s="62">
        <v>93</v>
      </c>
      <c r="G447" s="62">
        <f t="shared" si="15"/>
        <v>1395</v>
      </c>
    </row>
    <row r="448" ht="16.5" spans="2:8">
      <c r="B448" s="65">
        <v>46281</v>
      </c>
      <c r="C448" s="35" t="s">
        <v>18</v>
      </c>
      <c r="D448" s="35" t="s">
        <v>101</v>
      </c>
      <c r="E448" s="35">
        <v>30</v>
      </c>
      <c r="F448" s="62">
        <v>47</v>
      </c>
      <c r="G448" s="62">
        <f t="shared" si="15"/>
        <v>1410</v>
      </c>
    </row>
    <row r="449" ht="16.5" spans="2:7">
      <c r="B449" s="65">
        <v>46281</v>
      </c>
      <c r="C449" s="35" t="s">
        <v>18</v>
      </c>
      <c r="D449" s="35" t="s">
        <v>99</v>
      </c>
      <c r="E449" s="35">
        <v>80</v>
      </c>
      <c r="F449" s="62">
        <v>65</v>
      </c>
      <c r="G449" s="62">
        <f t="shared" si="15"/>
        <v>5200</v>
      </c>
    </row>
    <row r="450" ht="16.5" spans="2:7">
      <c r="B450" s="65">
        <v>46281</v>
      </c>
      <c r="C450" s="35" t="s">
        <v>19</v>
      </c>
      <c r="D450" s="35" t="s">
        <v>112</v>
      </c>
      <c r="E450" s="35">
        <v>3</v>
      </c>
      <c r="F450" s="62">
        <v>54</v>
      </c>
      <c r="G450" s="62">
        <f t="shared" si="15"/>
        <v>162</v>
      </c>
    </row>
    <row r="451" ht="16.5" spans="2:7">
      <c r="B451" s="65">
        <v>46281</v>
      </c>
      <c r="C451" s="35" t="s">
        <v>15</v>
      </c>
      <c r="D451" s="35" t="s">
        <v>101</v>
      </c>
      <c r="E451" s="35">
        <v>200</v>
      </c>
      <c r="F451" s="62">
        <v>47</v>
      </c>
      <c r="G451" s="62">
        <f t="shared" si="15"/>
        <v>9400</v>
      </c>
    </row>
    <row r="452" ht="16.5" spans="2:7">
      <c r="B452" s="65">
        <v>46281</v>
      </c>
      <c r="C452" s="35" t="s">
        <v>15</v>
      </c>
      <c r="D452" s="35" t="s">
        <v>112</v>
      </c>
      <c r="E452" s="35">
        <v>15</v>
      </c>
      <c r="F452" s="62">
        <v>55</v>
      </c>
      <c r="G452" s="62">
        <f t="shared" si="15"/>
        <v>825</v>
      </c>
    </row>
    <row r="453" ht="16.5" spans="2:7">
      <c r="B453" s="65">
        <v>46281</v>
      </c>
      <c r="C453" s="35" t="s">
        <v>15</v>
      </c>
      <c r="D453" s="35" t="s">
        <v>112</v>
      </c>
      <c r="E453" s="35">
        <v>20</v>
      </c>
      <c r="F453" s="62">
        <v>55</v>
      </c>
      <c r="G453" s="62">
        <f t="shared" si="15"/>
        <v>1100</v>
      </c>
    </row>
    <row r="454" ht="16.5" spans="2:7">
      <c r="B454" s="65">
        <v>46281</v>
      </c>
      <c r="C454" s="35" t="s">
        <v>15</v>
      </c>
      <c r="D454" s="35" t="s">
        <v>112</v>
      </c>
      <c r="E454" s="35">
        <v>50</v>
      </c>
      <c r="F454" s="62">
        <v>55</v>
      </c>
      <c r="G454" s="62">
        <f t="shared" si="15"/>
        <v>2750</v>
      </c>
    </row>
    <row r="455" ht="16.5" spans="2:7">
      <c r="B455" s="65">
        <v>46281</v>
      </c>
      <c r="C455" s="35" t="s">
        <v>15</v>
      </c>
      <c r="D455" s="35" t="s">
        <v>124</v>
      </c>
      <c r="E455" s="35">
        <v>20</v>
      </c>
      <c r="F455" s="62">
        <v>24</v>
      </c>
      <c r="G455" s="62">
        <f t="shared" ref="G455:G486" si="16">IF(AND(E455&lt;&gt;"",F455&lt;&gt;""),E455*F455,"")</f>
        <v>480</v>
      </c>
    </row>
    <row r="456" ht="16.5" spans="2:7">
      <c r="B456" s="65">
        <v>46281</v>
      </c>
      <c r="C456" s="35" t="s">
        <v>47</v>
      </c>
      <c r="D456" s="35" t="s">
        <v>102</v>
      </c>
      <c r="E456" s="35">
        <v>17.5</v>
      </c>
      <c r="F456" s="62">
        <v>55</v>
      </c>
      <c r="G456" s="62">
        <f t="shared" si="16"/>
        <v>962.5</v>
      </c>
    </row>
    <row r="457" ht="16.5" spans="2:7">
      <c r="B457" s="65">
        <v>46281</v>
      </c>
      <c r="C457" s="35" t="s">
        <v>47</v>
      </c>
      <c r="D457" s="35" t="s">
        <v>99</v>
      </c>
      <c r="E457" s="35">
        <v>17.5</v>
      </c>
      <c r="F457" s="62">
        <v>65</v>
      </c>
      <c r="G457" s="62">
        <f t="shared" si="16"/>
        <v>1137.5</v>
      </c>
    </row>
    <row r="458" ht="16.5" spans="2:7">
      <c r="B458" s="65">
        <v>46281</v>
      </c>
      <c r="C458" s="35" t="s">
        <v>68</v>
      </c>
      <c r="D458" s="35" t="s">
        <v>101</v>
      </c>
      <c r="E458" s="35">
        <v>6</v>
      </c>
      <c r="F458" s="62">
        <v>50</v>
      </c>
      <c r="G458" s="62">
        <f t="shared" si="16"/>
        <v>300</v>
      </c>
    </row>
    <row r="459" ht="16.5" spans="2:7">
      <c r="B459" s="65">
        <v>46281</v>
      </c>
      <c r="C459" s="35" t="s">
        <v>68</v>
      </c>
      <c r="D459" s="35" t="s">
        <v>99</v>
      </c>
      <c r="E459" s="35">
        <v>4</v>
      </c>
      <c r="F459" s="62">
        <v>68</v>
      </c>
      <c r="G459" s="62">
        <f t="shared" si="16"/>
        <v>272</v>
      </c>
    </row>
    <row r="460" ht="16.5" spans="2:7">
      <c r="B460" s="65">
        <v>46283</v>
      </c>
      <c r="C460" s="35" t="s">
        <v>15</v>
      </c>
      <c r="D460" s="35" t="s">
        <v>112</v>
      </c>
      <c r="E460" s="35">
        <v>15</v>
      </c>
      <c r="F460" s="62">
        <v>55</v>
      </c>
      <c r="G460" s="62">
        <f t="shared" si="16"/>
        <v>825</v>
      </c>
    </row>
    <row r="461" ht="16.5" spans="2:7">
      <c r="B461" s="65">
        <v>46283</v>
      </c>
      <c r="C461" s="35" t="s">
        <v>15</v>
      </c>
      <c r="D461" s="35" t="s">
        <v>101</v>
      </c>
      <c r="E461" s="35">
        <v>30</v>
      </c>
      <c r="F461" s="62">
        <v>47</v>
      </c>
      <c r="G461" s="62">
        <f t="shared" si="16"/>
        <v>1410</v>
      </c>
    </row>
    <row r="462" ht="16.5" spans="2:7">
      <c r="B462" s="65">
        <v>46283</v>
      </c>
      <c r="C462" s="35" t="s">
        <v>15</v>
      </c>
      <c r="D462" s="35" t="s">
        <v>99</v>
      </c>
      <c r="E462" s="35">
        <v>20</v>
      </c>
      <c r="F462" s="62">
        <v>65</v>
      </c>
      <c r="G462" s="62">
        <f t="shared" si="16"/>
        <v>1300</v>
      </c>
    </row>
    <row r="463" ht="16.5" spans="2:7">
      <c r="B463" s="65">
        <v>46283</v>
      </c>
      <c r="C463" s="35" t="s">
        <v>16</v>
      </c>
      <c r="D463" s="35" t="s">
        <v>101</v>
      </c>
      <c r="E463" s="35">
        <v>200</v>
      </c>
      <c r="F463" s="62">
        <v>47</v>
      </c>
      <c r="G463" s="62">
        <f t="shared" si="16"/>
        <v>9400</v>
      </c>
    </row>
    <row r="464" ht="16.5" spans="2:7">
      <c r="B464" s="65">
        <v>46283</v>
      </c>
      <c r="C464" s="35" t="s">
        <v>16</v>
      </c>
      <c r="D464" s="35" t="s">
        <v>99</v>
      </c>
      <c r="E464" s="35">
        <v>50</v>
      </c>
      <c r="F464" s="62">
        <v>65</v>
      </c>
      <c r="G464" s="62">
        <f t="shared" si="16"/>
        <v>3250</v>
      </c>
    </row>
    <row r="465" ht="16.5" spans="2:7">
      <c r="B465" s="65">
        <v>46283</v>
      </c>
      <c r="C465" s="35" t="s">
        <v>16</v>
      </c>
      <c r="D465" s="35" t="s">
        <v>107</v>
      </c>
      <c r="E465" s="35">
        <v>100</v>
      </c>
      <c r="F465" s="62">
        <v>90</v>
      </c>
      <c r="G465" s="62">
        <f t="shared" si="16"/>
        <v>9000</v>
      </c>
    </row>
    <row r="466" ht="16.5" spans="2:7">
      <c r="B466" s="65">
        <v>46282</v>
      </c>
      <c r="C466" s="35" t="s">
        <v>17</v>
      </c>
      <c r="D466" s="35" t="s">
        <v>101</v>
      </c>
      <c r="E466" s="35">
        <v>100</v>
      </c>
      <c r="F466" s="62">
        <v>47</v>
      </c>
      <c r="G466" s="62">
        <f t="shared" si="16"/>
        <v>4700</v>
      </c>
    </row>
    <row r="467" ht="16.5" spans="2:7">
      <c r="B467" s="65">
        <v>46282</v>
      </c>
      <c r="C467" s="35" t="s">
        <v>26</v>
      </c>
      <c r="D467" s="35" t="s">
        <v>101</v>
      </c>
      <c r="E467" s="35">
        <v>100</v>
      </c>
      <c r="F467" s="62">
        <v>47</v>
      </c>
      <c r="G467" s="62">
        <f t="shared" si="16"/>
        <v>4700</v>
      </c>
    </row>
    <row r="468" ht="16.5" spans="2:7">
      <c r="B468" s="65">
        <v>46284</v>
      </c>
      <c r="C468" s="35" t="s">
        <v>85</v>
      </c>
      <c r="D468" s="35" t="s">
        <v>107</v>
      </c>
      <c r="E468" s="35">
        <v>25</v>
      </c>
      <c r="F468" s="62">
        <v>93</v>
      </c>
      <c r="G468" s="62">
        <f t="shared" si="16"/>
        <v>2325</v>
      </c>
    </row>
    <row r="469" ht="16.5" spans="2:7">
      <c r="B469" s="65">
        <v>46284</v>
      </c>
      <c r="C469" s="35" t="s">
        <v>19</v>
      </c>
      <c r="D469" s="35" t="s">
        <v>112</v>
      </c>
      <c r="E469" s="35">
        <v>9</v>
      </c>
      <c r="F469" s="62">
        <v>54</v>
      </c>
      <c r="G469" s="62">
        <f t="shared" si="16"/>
        <v>486</v>
      </c>
    </row>
    <row r="470" ht="16.5" spans="2:7">
      <c r="B470" s="65">
        <v>46284</v>
      </c>
      <c r="C470" s="35" t="s">
        <v>47</v>
      </c>
      <c r="D470" s="35" t="s">
        <v>101</v>
      </c>
      <c r="E470" s="35">
        <v>90</v>
      </c>
      <c r="F470" s="62">
        <v>47</v>
      </c>
      <c r="G470" s="62">
        <f t="shared" si="16"/>
        <v>4230</v>
      </c>
    </row>
    <row r="471" ht="16.5" spans="2:7">
      <c r="B471" s="65">
        <v>46284</v>
      </c>
      <c r="C471" s="35" t="s">
        <v>19</v>
      </c>
      <c r="D471" s="35" t="s">
        <v>112</v>
      </c>
      <c r="E471" s="35">
        <v>4</v>
      </c>
      <c r="F471" s="62">
        <v>54</v>
      </c>
      <c r="G471" s="62">
        <f t="shared" si="16"/>
        <v>216</v>
      </c>
    </row>
    <row r="472" ht="16.5" spans="2:7">
      <c r="B472" s="65">
        <v>46284</v>
      </c>
      <c r="C472" s="35" t="s">
        <v>68</v>
      </c>
      <c r="D472" s="35" t="s">
        <v>101</v>
      </c>
      <c r="E472" s="35">
        <v>10</v>
      </c>
      <c r="F472" s="62">
        <v>50</v>
      </c>
      <c r="G472" s="62">
        <f t="shared" si="16"/>
        <v>500</v>
      </c>
    </row>
    <row r="473" ht="16.5" spans="2:7">
      <c r="B473" s="65">
        <v>46284</v>
      </c>
      <c r="C473" s="35" t="s">
        <v>42</v>
      </c>
      <c r="D473" s="35" t="s">
        <v>101</v>
      </c>
      <c r="E473" s="35">
        <v>17.5</v>
      </c>
      <c r="F473" s="62">
        <v>47</v>
      </c>
      <c r="G473" s="62">
        <f t="shared" si="16"/>
        <v>822.5</v>
      </c>
    </row>
    <row r="474" ht="16.5" spans="2:7">
      <c r="B474" s="65">
        <v>46284</v>
      </c>
      <c r="C474" s="35" t="s">
        <v>65</v>
      </c>
      <c r="D474" s="35" t="s">
        <v>107</v>
      </c>
      <c r="E474" s="35">
        <v>10</v>
      </c>
      <c r="F474" s="62">
        <v>93</v>
      </c>
      <c r="G474" s="62">
        <f t="shared" si="16"/>
        <v>930</v>
      </c>
    </row>
    <row r="475" ht="16.5" spans="2:7">
      <c r="B475" s="65">
        <v>46287</v>
      </c>
      <c r="C475" s="35" t="s">
        <v>14</v>
      </c>
      <c r="D475" s="35" t="s">
        <v>107</v>
      </c>
      <c r="E475" s="35">
        <v>50</v>
      </c>
      <c r="F475" s="62">
        <v>90</v>
      </c>
      <c r="G475" s="62">
        <f t="shared" si="16"/>
        <v>4500</v>
      </c>
    </row>
    <row r="476" ht="16.5" spans="2:7">
      <c r="B476" s="65">
        <v>46287</v>
      </c>
      <c r="C476" s="35" t="s">
        <v>47</v>
      </c>
      <c r="D476" s="35" t="s">
        <v>107</v>
      </c>
      <c r="E476" s="35">
        <v>30</v>
      </c>
      <c r="F476" s="62">
        <v>90</v>
      </c>
      <c r="G476" s="62">
        <f t="shared" si="16"/>
        <v>2700</v>
      </c>
    </row>
    <row r="477" ht="16.5" spans="2:7">
      <c r="B477" s="65">
        <v>46287</v>
      </c>
      <c r="C477" s="35" t="s">
        <v>47</v>
      </c>
      <c r="D477" s="35" t="s">
        <v>101</v>
      </c>
      <c r="E477" s="35">
        <v>100</v>
      </c>
      <c r="F477" s="62">
        <v>47</v>
      </c>
      <c r="G477" s="62">
        <f t="shared" si="16"/>
        <v>4700</v>
      </c>
    </row>
    <row r="478" ht="16.5" spans="2:7">
      <c r="B478" s="65">
        <v>46287</v>
      </c>
      <c r="C478" s="35" t="s">
        <v>79</v>
      </c>
      <c r="D478" s="35" t="s">
        <v>107</v>
      </c>
      <c r="E478" s="35">
        <v>40</v>
      </c>
      <c r="F478" s="62">
        <v>90</v>
      </c>
      <c r="G478" s="62">
        <f t="shared" si="16"/>
        <v>3600</v>
      </c>
    </row>
    <row r="479" ht="16.5" spans="2:7">
      <c r="B479" s="65">
        <v>46287</v>
      </c>
      <c r="C479" s="35" t="s">
        <v>68</v>
      </c>
      <c r="D479" s="35" t="s">
        <v>101</v>
      </c>
      <c r="E479" s="35">
        <v>5</v>
      </c>
      <c r="F479" s="62">
        <v>50</v>
      </c>
      <c r="G479" s="62">
        <f t="shared" si="16"/>
        <v>250</v>
      </c>
    </row>
    <row r="480" ht="16.5" spans="2:7">
      <c r="B480" s="65">
        <v>46287</v>
      </c>
      <c r="C480" s="35" t="s">
        <v>19</v>
      </c>
      <c r="D480" s="35" t="s">
        <v>112</v>
      </c>
      <c r="E480" s="35">
        <v>5</v>
      </c>
      <c r="F480" s="62">
        <v>54</v>
      </c>
      <c r="G480" s="62">
        <f t="shared" si="16"/>
        <v>270</v>
      </c>
    </row>
    <row r="481" ht="16.5" spans="2:7">
      <c r="B481" s="65">
        <v>46288</v>
      </c>
      <c r="C481" s="35" t="s">
        <v>55</v>
      </c>
      <c r="D481" s="35" t="s">
        <v>101</v>
      </c>
      <c r="E481" s="35">
        <v>6</v>
      </c>
      <c r="F481" s="62">
        <v>50</v>
      </c>
      <c r="G481" s="62">
        <f t="shared" si="16"/>
        <v>300</v>
      </c>
    </row>
    <row r="482" ht="16.5" spans="2:7">
      <c r="B482" s="65">
        <v>46288</v>
      </c>
      <c r="C482" s="35" t="s">
        <v>15</v>
      </c>
      <c r="D482" s="35" t="s">
        <v>121</v>
      </c>
      <c r="E482" s="35">
        <v>2</v>
      </c>
      <c r="F482" s="62">
        <v>62</v>
      </c>
      <c r="G482" s="62">
        <f t="shared" si="16"/>
        <v>124</v>
      </c>
    </row>
    <row r="483" ht="16.5" spans="2:7">
      <c r="B483" s="65">
        <v>46288</v>
      </c>
      <c r="C483" s="35" t="s">
        <v>15</v>
      </c>
      <c r="D483" s="35" t="s">
        <v>112</v>
      </c>
      <c r="E483" s="35">
        <v>7</v>
      </c>
      <c r="F483" s="62">
        <v>55</v>
      </c>
      <c r="G483" s="62">
        <f t="shared" si="16"/>
        <v>385</v>
      </c>
    </row>
    <row r="484" ht="16.5" spans="2:7">
      <c r="B484" s="65">
        <v>46288</v>
      </c>
      <c r="C484" s="35" t="s">
        <v>16</v>
      </c>
      <c r="D484" s="35" t="s">
        <v>101</v>
      </c>
      <c r="E484" s="35">
        <v>200</v>
      </c>
      <c r="F484" s="62">
        <v>47</v>
      </c>
      <c r="G484" s="62">
        <f t="shared" si="16"/>
        <v>9400</v>
      </c>
    </row>
    <row r="485" ht="16.5" spans="2:7">
      <c r="B485" s="65">
        <v>46288</v>
      </c>
      <c r="C485" s="35" t="s">
        <v>16</v>
      </c>
      <c r="D485" s="35" t="s">
        <v>103</v>
      </c>
      <c r="E485" s="35">
        <v>50</v>
      </c>
      <c r="F485" s="62">
        <v>43</v>
      </c>
      <c r="G485" s="62">
        <f t="shared" si="16"/>
        <v>2150</v>
      </c>
    </row>
    <row r="486" ht="16.5" spans="2:7">
      <c r="B486" s="65">
        <v>46288</v>
      </c>
      <c r="C486" s="35" t="s">
        <v>16</v>
      </c>
      <c r="D486" s="35" t="s">
        <v>107</v>
      </c>
      <c r="E486" s="35">
        <v>100</v>
      </c>
      <c r="F486" s="62">
        <v>90</v>
      </c>
      <c r="G486" s="62">
        <f t="shared" si="16"/>
        <v>9000</v>
      </c>
    </row>
    <row r="487" ht="16.5" spans="2:7">
      <c r="B487" s="65">
        <v>46288</v>
      </c>
      <c r="C487" s="35" t="s">
        <v>17</v>
      </c>
      <c r="D487" s="35" t="s">
        <v>101</v>
      </c>
      <c r="E487" s="35">
        <v>100</v>
      </c>
      <c r="F487" s="62">
        <v>47</v>
      </c>
      <c r="G487" s="62">
        <f t="shared" ref="G487:G525" si="17">IF(AND(E487&lt;&gt;"",F487&lt;&gt;""),E487*F487,"")</f>
        <v>4700</v>
      </c>
    </row>
    <row r="488" ht="16.5" spans="2:7">
      <c r="B488" s="65">
        <v>46288</v>
      </c>
      <c r="C488" s="35" t="s">
        <v>18</v>
      </c>
      <c r="D488" s="35" t="s">
        <v>101</v>
      </c>
      <c r="E488" s="35">
        <v>90</v>
      </c>
      <c r="F488" s="62">
        <v>47</v>
      </c>
      <c r="G488" s="62">
        <f t="shared" si="17"/>
        <v>4230</v>
      </c>
    </row>
    <row r="489" ht="16.5" spans="2:7">
      <c r="B489" s="65">
        <v>46288</v>
      </c>
      <c r="C489" s="35" t="s">
        <v>18</v>
      </c>
      <c r="D489" s="35" t="s">
        <v>99</v>
      </c>
      <c r="E489" s="35">
        <v>50</v>
      </c>
      <c r="F489" s="62">
        <v>65</v>
      </c>
      <c r="G489" s="62">
        <f t="shared" si="17"/>
        <v>3250</v>
      </c>
    </row>
    <row r="490" ht="16.5" spans="2:7">
      <c r="F490" s="62"/>
      <c r="G490" s="62" t="str">
        <f t="shared" si="17"/>
        <v/>
      </c>
    </row>
    <row r="491" ht="16.5" spans="2:7">
      <c r="F491" s="62"/>
      <c r="G491" s="62" t="str">
        <f t="shared" si="17"/>
        <v/>
      </c>
    </row>
    <row r="492" ht="16.5" spans="2:7">
      <c r="F492" s="62"/>
      <c r="G492" s="62" t="str">
        <f t="shared" si="17"/>
        <v/>
      </c>
    </row>
    <row r="493" ht="16.5" spans="2:7">
      <c r="F493" s="62"/>
      <c r="G493" s="62" t="str">
        <f t="shared" si="17"/>
        <v/>
      </c>
    </row>
    <row r="494" ht="16.5" spans="2:7">
      <c r="F494" s="62"/>
      <c r="G494" s="62" t="str">
        <f t="shared" si="17"/>
        <v/>
      </c>
    </row>
    <row r="495" ht="16.5" spans="2:7">
      <c r="F495" s="62"/>
      <c r="G495" s="62" t="str">
        <f t="shared" si="17"/>
        <v/>
      </c>
    </row>
    <row r="496" ht="16.5" spans="2:7">
      <c r="F496" s="62"/>
      <c r="G496" s="62" t="str">
        <f t="shared" si="17"/>
        <v/>
      </c>
    </row>
    <row r="497" ht="16.5" spans="6:7">
      <c r="F497" s="62"/>
      <c r="G497" s="62" t="str">
        <f t="shared" si="17"/>
        <v/>
      </c>
    </row>
    <row r="498" ht="16.5" spans="6:7">
      <c r="F498" s="62"/>
      <c r="G498" s="62" t="str">
        <f t="shared" si="17"/>
        <v/>
      </c>
    </row>
    <row r="499" ht="16.5" spans="6:7">
      <c r="F499" s="62"/>
      <c r="G499" s="62" t="str">
        <f t="shared" si="17"/>
        <v/>
      </c>
    </row>
    <row r="500" ht="16.5" spans="6:7">
      <c r="F500" s="62"/>
      <c r="G500" s="62" t="str">
        <f t="shared" si="17"/>
        <v/>
      </c>
    </row>
    <row r="501" ht="16.5" spans="6:7">
      <c r="F501" s="62"/>
      <c r="G501" s="62" t="str">
        <f t="shared" si="17"/>
        <v/>
      </c>
    </row>
    <row r="502" ht="16.5" spans="6:7">
      <c r="F502" s="62"/>
      <c r="G502" s="62" t="str">
        <f t="shared" si="17"/>
        <v/>
      </c>
    </row>
    <row r="503" ht="16.5" spans="6:7">
      <c r="F503" s="62"/>
      <c r="G503" s="62" t="str">
        <f t="shared" si="17"/>
        <v/>
      </c>
    </row>
    <row r="504" ht="16.5" spans="6:7">
      <c r="F504" s="62"/>
      <c r="G504" s="62" t="str">
        <f t="shared" si="17"/>
        <v/>
      </c>
    </row>
    <row r="505" ht="16.5" spans="6:7">
      <c r="F505" s="62"/>
      <c r="G505" s="62" t="str">
        <f t="shared" si="17"/>
        <v/>
      </c>
    </row>
    <row r="506" ht="16.5" spans="6:7">
      <c r="F506" s="62"/>
      <c r="G506" s="62" t="str">
        <f t="shared" si="17"/>
        <v/>
      </c>
    </row>
    <row r="507" ht="16.5" spans="6:7">
      <c r="F507" s="62"/>
      <c r="G507" s="62" t="str">
        <f t="shared" si="17"/>
        <v/>
      </c>
    </row>
    <row r="508" ht="16.5" spans="6:7">
      <c r="F508" s="62"/>
      <c r="G508" s="62" t="str">
        <f t="shared" si="17"/>
        <v/>
      </c>
    </row>
    <row r="509" ht="16.5" spans="6:7">
      <c r="F509" s="62"/>
      <c r="G509" s="62" t="str">
        <f t="shared" si="17"/>
        <v/>
      </c>
    </row>
    <row r="510" ht="16.5" spans="6:7">
      <c r="F510" s="62"/>
      <c r="G510" s="62" t="str">
        <f t="shared" si="17"/>
        <v/>
      </c>
    </row>
    <row r="511" ht="16.5" spans="6:7">
      <c r="F511" s="62"/>
      <c r="G511" s="62" t="str">
        <f t="shared" si="17"/>
        <v/>
      </c>
    </row>
    <row r="512" ht="16.5" spans="6:7">
      <c r="F512" s="62"/>
      <c r="G512" s="62" t="str">
        <f t="shared" si="17"/>
        <v/>
      </c>
    </row>
    <row r="513" ht="16.5" spans="6:7">
      <c r="F513" s="62"/>
      <c r="G513" s="62" t="str">
        <f t="shared" si="17"/>
        <v/>
      </c>
    </row>
    <row r="514" ht="16.5" spans="6:7">
      <c r="F514" s="62"/>
      <c r="G514" s="62" t="str">
        <f t="shared" si="17"/>
        <v/>
      </c>
    </row>
    <row r="515" ht="16.5" spans="6:7">
      <c r="F515" s="62"/>
      <c r="G515" s="62" t="str">
        <f t="shared" si="17"/>
        <v/>
      </c>
    </row>
    <row r="516" ht="16.5" spans="6:7">
      <c r="F516" s="62"/>
      <c r="G516" s="62" t="str">
        <f t="shared" si="17"/>
        <v/>
      </c>
    </row>
    <row r="517" ht="16.5" spans="6:7">
      <c r="F517" s="62"/>
      <c r="G517" s="62" t="str">
        <f t="shared" si="17"/>
        <v/>
      </c>
    </row>
    <row r="518" ht="16.5" spans="6:7">
      <c r="F518" s="62"/>
      <c r="G518" s="62" t="str">
        <f t="shared" si="17"/>
        <v/>
      </c>
    </row>
    <row r="519" ht="16.5" spans="6:7">
      <c r="F519" s="62"/>
      <c r="G519" s="62" t="str">
        <f t="shared" si="17"/>
        <v/>
      </c>
    </row>
    <row r="520" ht="16.5" spans="6:7">
      <c r="F520" s="62"/>
      <c r="G520" s="62" t="str">
        <f t="shared" si="17"/>
        <v/>
      </c>
    </row>
    <row r="521" ht="16.5" spans="6:7">
      <c r="F521" s="62"/>
      <c r="G521" s="62" t="str">
        <f t="shared" si="17"/>
        <v/>
      </c>
    </row>
    <row r="522" ht="16.5" spans="6:7">
      <c r="F522" s="62"/>
      <c r="G522" s="62" t="str">
        <f t="shared" si="17"/>
        <v/>
      </c>
    </row>
    <row r="523" ht="16.5" spans="6:7">
      <c r="F523" s="62"/>
      <c r="G523" s="62" t="str">
        <f t="shared" si="17"/>
        <v/>
      </c>
    </row>
    <row r="524" ht="16.5" spans="6:7">
      <c r="F524" s="62"/>
      <c r="G524" s="62" t="str">
        <f t="shared" si="17"/>
        <v/>
      </c>
    </row>
    <row r="525" ht="16.5" spans="6:7">
      <c r="F525" s="62"/>
      <c r="G525" s="62" t="str">
        <f t="shared" si="17"/>
        <v/>
      </c>
    </row>
    <row r="526" ht="16.5" spans="6:7">
      <c r="F526" s="62"/>
    </row>
    <row r="527" ht="16.5" spans="6:7">
      <c r="F527" s="62"/>
    </row>
    <row r="528" ht="16.5" spans="6:7">
      <c r="F528" s="62"/>
    </row>
    <row r="529" ht="16.5" spans="6:6">
      <c r="F529" s="62"/>
    </row>
    <row r="530" ht="16.5" spans="6:6">
      <c r="F530" s="62"/>
    </row>
    <row r="531" ht="16.5" spans="6:6">
      <c r="F531" s="62"/>
    </row>
    <row r="532" ht="16.5" spans="6:6">
      <c r="F532" s="62"/>
    </row>
    <row r="533" ht="16.5" spans="6:6">
      <c r="F533" s="62"/>
    </row>
    <row r="534" ht="16.5" spans="6:6">
      <c r="F534" s="62"/>
    </row>
    <row r="535" ht="16.5" spans="6:6">
      <c r="F535" s="62"/>
    </row>
    <row r="536" ht="16.5" spans="6:6">
      <c r="F536" s="62"/>
    </row>
    <row r="537" ht="16.5" spans="6:6">
      <c r="F537" s="62"/>
    </row>
    <row r="538" ht="16.5" spans="6:6">
      <c r="F538" s="62"/>
    </row>
    <row r="539" ht="16.5" spans="6:6">
      <c r="F539" s="62"/>
    </row>
    <row r="540" ht="16.5" spans="6:6">
      <c r="F540" s="62"/>
    </row>
    <row r="541" ht="16.5" spans="6:6">
      <c r="F541" s="62"/>
    </row>
    <row r="542" ht="16.5" spans="6:6">
      <c r="F542" s="62"/>
    </row>
    <row r="543" ht="16.5" spans="6:6">
      <c r="F543" s="62"/>
    </row>
    <row r="544" ht="16.5" spans="6:6">
      <c r="F544" s="62"/>
    </row>
    <row r="545" ht="16.5" spans="6:6">
      <c r="F545" s="62"/>
    </row>
  </sheetData>
  <mergeCells count="3">
    <mergeCell ref="A1:H1"/>
    <mergeCell ref="A2:H2"/>
    <mergeCell ref="H433:H434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T204"/>
  <sheetViews>
    <sheetView workbookViewId="0">
      <pane ySplit="3" topLeftCell="A14" activePane="bottomLeft" state="frozen"/>
      <selection/>
      <selection pane="bottomLeft" activeCell="E230" sqref="E230"/>
    </sheetView>
  </sheetViews>
  <sheetFormatPr defaultColWidth="14" defaultRowHeight="12"/>
  <cols>
    <col min="1" max="1" width="7" customWidth="1"/>
    <col min="2" max="2" width="13" customWidth="1"/>
    <col min="3" max="3" width="19" customWidth="1"/>
    <col min="4" max="4" width="15" customWidth="1"/>
    <col min="5" max="5" width="13" customWidth="1"/>
    <col min="6" max="6" width="25" customWidth="1"/>
  </cols>
  <sheetData>
    <row r="1" ht="33" customHeight="1" spans="1:20">
      <c r="A1" s="45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4" customHeight="1" spans="1:20">
      <c r="A2" s="3" t="s">
        <v>145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37" customHeight="1" spans="1:20">
      <c r="A3" s="46" t="s">
        <v>2</v>
      </c>
      <c r="B3" s="46" t="s">
        <v>93</v>
      </c>
      <c r="C3" s="46" t="s">
        <v>3</v>
      </c>
      <c r="D3" s="46" t="s">
        <v>146</v>
      </c>
      <c r="E3" s="46" t="s">
        <v>147</v>
      </c>
      <c r="F3" s="46" t="s">
        <v>98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15" hidden="1" customHeight="1" spans="1:20">
      <c r="A4" s="14">
        <v>1</v>
      </c>
      <c r="B4" s="41" t="s">
        <v>148</v>
      </c>
      <c r="C4" s="47" t="s">
        <v>13</v>
      </c>
      <c r="D4" s="48">
        <v>39547</v>
      </c>
      <c r="E4" s="14" t="s">
        <v>149</v>
      </c>
      <c r="F4" s="14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15" hidden="1" customHeight="1" spans="1:20">
      <c r="A5" s="36">
        <v>2</v>
      </c>
      <c r="B5" s="49" t="s">
        <v>148</v>
      </c>
      <c r="C5" s="36" t="s">
        <v>14</v>
      </c>
      <c r="D5" s="50">
        <v>99000</v>
      </c>
      <c r="E5" s="14" t="s">
        <v>149</v>
      </c>
      <c r="F5" s="36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15" hidden="1" customHeight="1" spans="1:20">
      <c r="A6" s="14">
        <v>3</v>
      </c>
      <c r="B6" s="49" t="s">
        <v>148</v>
      </c>
      <c r="C6" s="14" t="s">
        <v>15</v>
      </c>
      <c r="D6" s="15">
        <v>700231.47</v>
      </c>
      <c r="E6" s="14" t="s">
        <v>149</v>
      </c>
      <c r="F6" s="14" t="s">
        <v>150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15" hidden="1" customHeight="1" spans="1:20">
      <c r="A7" s="36">
        <v>4</v>
      </c>
      <c r="B7" s="49" t="s">
        <v>148</v>
      </c>
      <c r="C7" s="14" t="s">
        <v>15</v>
      </c>
      <c r="D7" s="50">
        <v>46360</v>
      </c>
      <c r="E7" s="14" t="s">
        <v>149</v>
      </c>
      <c r="F7" s="36" t="s">
        <v>151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15" hidden="1" customHeight="1" spans="1:20">
      <c r="A8" s="14">
        <v>5</v>
      </c>
      <c r="B8" s="41" t="s">
        <v>148</v>
      </c>
      <c r="C8" s="14" t="s">
        <v>16</v>
      </c>
      <c r="D8" s="15">
        <v>570147.22</v>
      </c>
      <c r="E8" s="14" t="s">
        <v>149</v>
      </c>
      <c r="F8" s="14" t="s">
        <v>152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15" hidden="1" customHeight="1" spans="1:20">
      <c r="A9" s="36">
        <v>6</v>
      </c>
      <c r="B9" s="49" t="s">
        <v>153</v>
      </c>
      <c r="C9" s="36" t="s">
        <v>17</v>
      </c>
      <c r="D9" s="50">
        <v>8950</v>
      </c>
      <c r="E9" s="36" t="s">
        <v>149</v>
      </c>
      <c r="F9" s="36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15" hidden="1" customHeight="1" spans="1:20">
      <c r="A10" s="36"/>
      <c r="B10" s="49" t="s">
        <v>153</v>
      </c>
      <c r="C10" s="14" t="s">
        <v>18</v>
      </c>
      <c r="D10" s="50">
        <v>437965</v>
      </c>
      <c r="E10" s="36" t="s">
        <v>149</v>
      </c>
      <c r="F10" s="36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15" hidden="1" customHeight="1" spans="1:20">
      <c r="A11" s="14">
        <v>7</v>
      </c>
      <c r="B11" s="41" t="s">
        <v>153</v>
      </c>
      <c r="C11" s="14" t="s">
        <v>20</v>
      </c>
      <c r="D11" s="15">
        <v>18000</v>
      </c>
      <c r="E11" s="14" t="s">
        <v>149</v>
      </c>
      <c r="F11" s="14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15" hidden="1" customHeight="1" spans="1:20">
      <c r="A12" s="36">
        <v>8</v>
      </c>
      <c r="B12" s="49" t="s">
        <v>153</v>
      </c>
      <c r="C12" s="36" t="s">
        <v>21</v>
      </c>
      <c r="D12" s="50">
        <v>54000</v>
      </c>
      <c r="E12" s="36" t="s">
        <v>149</v>
      </c>
      <c r="F12" s="36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15" hidden="1" customHeight="1" spans="1:20">
      <c r="A13" s="14">
        <v>9</v>
      </c>
      <c r="B13" s="41" t="s">
        <v>154</v>
      </c>
      <c r="C13" s="14" t="s">
        <v>22</v>
      </c>
      <c r="D13" s="15">
        <v>840</v>
      </c>
      <c r="E13" s="14" t="s">
        <v>149</v>
      </c>
      <c r="F13" s="14" t="s">
        <v>155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5" customHeight="1" spans="1:20">
      <c r="A14" s="36">
        <v>10</v>
      </c>
      <c r="B14" s="49" t="s">
        <v>154</v>
      </c>
      <c r="C14" s="36" t="s">
        <v>23</v>
      </c>
      <c r="D14" s="50">
        <v>30043</v>
      </c>
      <c r="E14" s="14" t="s">
        <v>149</v>
      </c>
      <c r="F14" s="36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5" hidden="1" customHeight="1" spans="1:20">
      <c r="A15" s="14">
        <v>11</v>
      </c>
      <c r="B15" s="41" t="s">
        <v>154</v>
      </c>
      <c r="C15" s="14" t="s">
        <v>24</v>
      </c>
      <c r="D15" s="15">
        <v>27000</v>
      </c>
      <c r="E15" s="14" t="s">
        <v>149</v>
      </c>
      <c r="F15" s="14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15" hidden="1" customHeight="1" spans="1:20">
      <c r="A16" s="36">
        <v>12</v>
      </c>
      <c r="B16" s="41" t="s">
        <v>154</v>
      </c>
      <c r="C16" s="14" t="s">
        <v>24</v>
      </c>
      <c r="D16" s="50">
        <v>2565</v>
      </c>
      <c r="E16" s="14" t="s">
        <v>149</v>
      </c>
      <c r="F16" s="14" t="s">
        <v>155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15" hidden="1" customHeight="1" spans="1:20">
      <c r="A17" s="14">
        <v>13</v>
      </c>
      <c r="B17" s="41" t="s">
        <v>154</v>
      </c>
      <c r="C17" s="14" t="s">
        <v>25</v>
      </c>
      <c r="D17" s="15">
        <v>6930</v>
      </c>
      <c r="E17" s="14" t="s">
        <v>149</v>
      </c>
      <c r="F17" s="14" t="s">
        <v>155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15" hidden="1" customHeight="1" spans="1:20">
      <c r="A18" s="36">
        <v>14</v>
      </c>
      <c r="B18" s="41" t="s">
        <v>154</v>
      </c>
      <c r="C18" s="36" t="s">
        <v>26</v>
      </c>
      <c r="D18" s="50">
        <v>32440</v>
      </c>
      <c r="E18" s="36" t="s">
        <v>149</v>
      </c>
      <c r="F18" s="3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15" hidden="1" customHeight="1" spans="1:20">
      <c r="A19" s="14">
        <v>15</v>
      </c>
      <c r="B19" s="41" t="s">
        <v>154</v>
      </c>
      <c r="C19" s="14" t="s">
        <v>27</v>
      </c>
      <c r="D19" s="15">
        <v>15300</v>
      </c>
      <c r="E19" s="36" t="s">
        <v>149</v>
      </c>
      <c r="F19" s="14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15" hidden="1" customHeight="1" spans="1:20">
      <c r="A20" s="36">
        <v>16</v>
      </c>
      <c r="B20" s="49" t="s">
        <v>154</v>
      </c>
      <c r="C20" s="27" t="s">
        <v>28</v>
      </c>
      <c r="D20" s="50">
        <v>36895</v>
      </c>
      <c r="E20" s="36" t="s">
        <v>149</v>
      </c>
      <c r="F20" s="36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15" hidden="1" customHeight="1" spans="1:20">
      <c r="A21" s="14">
        <v>17</v>
      </c>
      <c r="B21" s="49" t="s">
        <v>154</v>
      </c>
      <c r="C21" s="27" t="s">
        <v>29</v>
      </c>
      <c r="D21" s="15">
        <v>21620</v>
      </c>
      <c r="E21" s="36" t="s">
        <v>149</v>
      </c>
      <c r="F21" s="14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15" hidden="1" customHeight="1" spans="1:20">
      <c r="A22" s="36">
        <v>18</v>
      </c>
      <c r="B22" s="49" t="s">
        <v>154</v>
      </c>
      <c r="C22" s="27" t="s">
        <v>58</v>
      </c>
      <c r="D22" s="50">
        <v>137732</v>
      </c>
      <c r="E22" s="36" t="s">
        <v>149</v>
      </c>
      <c r="F22" s="36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15" hidden="1" customHeight="1" spans="1:20">
      <c r="A23" s="14">
        <v>19</v>
      </c>
      <c r="B23" s="49" t="s">
        <v>154</v>
      </c>
      <c r="C23" s="27" t="s">
        <v>30</v>
      </c>
      <c r="D23" s="15">
        <v>8100</v>
      </c>
      <c r="E23" s="36" t="s">
        <v>149</v>
      </c>
      <c r="F23" s="14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15" hidden="1" customHeight="1" spans="1:20">
      <c r="A24" s="36">
        <v>20</v>
      </c>
      <c r="B24" s="49" t="s">
        <v>154</v>
      </c>
      <c r="C24" s="27" t="s">
        <v>31</v>
      </c>
      <c r="D24" s="50">
        <v>3150</v>
      </c>
      <c r="E24" s="36" t="s">
        <v>149</v>
      </c>
      <c r="F24" s="36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15" hidden="1" customHeight="1" spans="1:20">
      <c r="A25" s="14">
        <v>21</v>
      </c>
      <c r="B25" s="49" t="s">
        <v>154</v>
      </c>
      <c r="C25" s="27" t="s">
        <v>32</v>
      </c>
      <c r="D25" s="15">
        <v>77682.5</v>
      </c>
      <c r="E25" s="36" t="s">
        <v>149</v>
      </c>
      <c r="F25" s="14" t="s">
        <v>156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15" hidden="1" customHeight="1" spans="1:20">
      <c r="A26" s="36">
        <v>22</v>
      </c>
      <c r="B26" s="49" t="s">
        <v>154</v>
      </c>
      <c r="C26" s="27" t="s">
        <v>33</v>
      </c>
      <c r="D26" s="50">
        <v>4500</v>
      </c>
      <c r="E26" s="36" t="s">
        <v>149</v>
      </c>
      <c r="F26" s="36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15" hidden="1" customHeight="1" spans="1:20">
      <c r="A27" s="14">
        <v>23</v>
      </c>
      <c r="B27" s="49" t="s">
        <v>154</v>
      </c>
      <c r="C27" s="27" t="s">
        <v>34</v>
      </c>
      <c r="D27" s="15">
        <v>1800</v>
      </c>
      <c r="E27" s="36" t="s">
        <v>149</v>
      </c>
      <c r="F27" s="14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15" hidden="1" customHeight="1" spans="1:20">
      <c r="A28" s="36">
        <v>24</v>
      </c>
      <c r="B28" s="49" t="s">
        <v>154</v>
      </c>
      <c r="C28" s="36" t="s">
        <v>35</v>
      </c>
      <c r="D28" s="50">
        <v>1067</v>
      </c>
      <c r="E28" s="36" t="s">
        <v>149</v>
      </c>
      <c r="F28" s="14" t="s">
        <v>155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15" hidden="1" customHeight="1" spans="1:20">
      <c r="A29" s="14">
        <v>25</v>
      </c>
      <c r="B29" s="49" t="s">
        <v>154</v>
      </c>
      <c r="C29" s="27" t="s">
        <v>36</v>
      </c>
      <c r="D29" s="15">
        <v>38440</v>
      </c>
      <c r="E29" s="36" t="s">
        <v>149</v>
      </c>
      <c r="F29" s="14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ht="15" hidden="1" customHeight="1" spans="1:20">
      <c r="A30" s="36">
        <v>26</v>
      </c>
      <c r="B30" s="49" t="s">
        <v>154</v>
      </c>
      <c r="C30" s="27" t="s">
        <v>37</v>
      </c>
      <c r="D30" s="50">
        <v>11740</v>
      </c>
      <c r="E30" s="36" t="s">
        <v>149</v>
      </c>
      <c r="F30" s="36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15" hidden="1" customHeight="1" spans="1:20">
      <c r="A31" s="14">
        <v>27</v>
      </c>
      <c r="B31" s="49" t="s">
        <v>154</v>
      </c>
      <c r="C31" s="14" t="s">
        <v>38</v>
      </c>
      <c r="D31" s="15">
        <v>704</v>
      </c>
      <c r="E31" s="36" t="s">
        <v>149</v>
      </c>
      <c r="F31" s="14" t="s">
        <v>155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15" hidden="1" customHeight="1" spans="1:20">
      <c r="A32" s="36">
        <v>28</v>
      </c>
      <c r="B32" s="49" t="s">
        <v>154</v>
      </c>
      <c r="C32" s="36" t="s">
        <v>39</v>
      </c>
      <c r="D32" s="50">
        <v>3244</v>
      </c>
      <c r="E32" s="36" t="s">
        <v>149</v>
      </c>
      <c r="F32" s="14" t="s">
        <v>155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ht="15" hidden="1" customHeight="1" spans="1:20">
      <c r="A33" s="14">
        <v>29</v>
      </c>
      <c r="B33" s="49" t="s">
        <v>154</v>
      </c>
      <c r="C33" s="14" t="s">
        <v>40</v>
      </c>
      <c r="D33" s="15">
        <v>1126</v>
      </c>
      <c r="E33" s="36" t="s">
        <v>149</v>
      </c>
      <c r="F33" s="14" t="s">
        <v>155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ht="15" hidden="1" customHeight="1" spans="1:20">
      <c r="A34" s="36">
        <v>30</v>
      </c>
      <c r="B34" s="49" t="s">
        <v>154</v>
      </c>
      <c r="C34" s="36" t="s">
        <v>41</v>
      </c>
      <c r="D34" s="50">
        <v>2182</v>
      </c>
      <c r="E34" s="36" t="s">
        <v>149</v>
      </c>
      <c r="F34" s="14" t="s">
        <v>155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15" hidden="1" customHeight="1" spans="1:20">
      <c r="A35" s="14">
        <v>31</v>
      </c>
      <c r="B35" s="49" t="s">
        <v>154</v>
      </c>
      <c r="C35" s="27" t="s">
        <v>42</v>
      </c>
      <c r="D35" s="15">
        <v>45000</v>
      </c>
      <c r="E35" s="36" t="s">
        <v>149</v>
      </c>
      <c r="F35" s="14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ht="15" hidden="1" customHeight="1" spans="1:20">
      <c r="A36" s="36">
        <v>32</v>
      </c>
      <c r="B36" s="49" t="s">
        <v>157</v>
      </c>
      <c r="C36" s="36" t="s">
        <v>43</v>
      </c>
      <c r="D36" s="50">
        <v>21135</v>
      </c>
      <c r="E36" s="36" t="s">
        <v>149</v>
      </c>
      <c r="F36" s="36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15" hidden="1" customHeight="1" spans="1:20">
      <c r="A37" s="14">
        <v>33</v>
      </c>
      <c r="B37" s="41" t="s">
        <v>157</v>
      </c>
      <c r="C37" s="14" t="s">
        <v>44</v>
      </c>
      <c r="D37" s="15">
        <v>27000</v>
      </c>
      <c r="E37" s="36" t="s">
        <v>149</v>
      </c>
      <c r="F37" s="14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15" hidden="1" customHeight="1" spans="1:20">
      <c r="A38" s="36">
        <v>34</v>
      </c>
      <c r="B38" s="49" t="s">
        <v>158</v>
      </c>
      <c r="C38" s="36" t="s">
        <v>14</v>
      </c>
      <c r="D38" s="50">
        <v>7697</v>
      </c>
      <c r="E38" s="36" t="s">
        <v>149</v>
      </c>
      <c r="F38" s="36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15" hidden="1" customHeight="1" spans="1:20">
      <c r="A39" s="14">
        <v>35</v>
      </c>
      <c r="B39" s="41" t="s">
        <v>159</v>
      </c>
      <c r="C39" s="14" t="s">
        <v>160</v>
      </c>
      <c r="D39" s="15">
        <v>11350</v>
      </c>
      <c r="E39" s="14" t="s">
        <v>161</v>
      </c>
      <c r="F39" s="14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ht="15" hidden="1" customHeight="1" spans="1:20">
      <c r="A40" s="36">
        <v>36</v>
      </c>
      <c r="B40" s="49" t="s">
        <v>162</v>
      </c>
      <c r="C40" s="36" t="s">
        <v>19</v>
      </c>
      <c r="D40" s="50">
        <v>10000</v>
      </c>
      <c r="E40" s="36" t="s">
        <v>149</v>
      </c>
      <c r="F40" s="36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15" hidden="1" customHeight="1" spans="1:20">
      <c r="A41" s="14">
        <v>37</v>
      </c>
      <c r="B41" s="41" t="s">
        <v>159</v>
      </c>
      <c r="C41" s="14" t="s">
        <v>46</v>
      </c>
      <c r="D41" s="15">
        <v>5400</v>
      </c>
      <c r="E41" s="14" t="s">
        <v>149</v>
      </c>
      <c r="F41" s="14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15" hidden="1" customHeight="1" spans="1:20">
      <c r="A42" s="36">
        <v>38</v>
      </c>
      <c r="B42" s="49" t="s">
        <v>163</v>
      </c>
      <c r="C42" s="27" t="s">
        <v>47</v>
      </c>
      <c r="D42" s="50">
        <v>4500</v>
      </c>
      <c r="E42" s="36" t="s">
        <v>149</v>
      </c>
      <c r="F42" s="36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15" hidden="1" customHeight="1" spans="1:20">
      <c r="A43" s="14">
        <v>39</v>
      </c>
      <c r="B43" s="49" t="s">
        <v>164</v>
      </c>
      <c r="C43" s="27" t="s">
        <v>48</v>
      </c>
      <c r="D43" s="15">
        <v>2325</v>
      </c>
      <c r="E43" s="36" t="s">
        <v>149</v>
      </c>
      <c r="F43" s="14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15" hidden="1" customHeight="1" spans="1:20">
      <c r="A44" s="36">
        <v>40</v>
      </c>
      <c r="B44" s="49" t="s">
        <v>159</v>
      </c>
      <c r="C44" s="36" t="s">
        <v>19</v>
      </c>
      <c r="D44" s="50">
        <v>2579</v>
      </c>
      <c r="E44" s="36" t="s">
        <v>149</v>
      </c>
      <c r="F44" s="36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15" hidden="1" customHeight="1" spans="1:20">
      <c r="A45" s="14">
        <v>41</v>
      </c>
      <c r="B45" s="41" t="s">
        <v>165</v>
      </c>
      <c r="C45" s="27" t="s">
        <v>50</v>
      </c>
      <c r="D45" s="15">
        <v>2955</v>
      </c>
      <c r="E45" s="36" t="s">
        <v>149</v>
      </c>
      <c r="F45" s="14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15" hidden="1" customHeight="1" spans="1:20">
      <c r="A46" s="36">
        <v>42</v>
      </c>
      <c r="B46" s="49" t="s">
        <v>166</v>
      </c>
      <c r="C46" s="27" t="s">
        <v>51</v>
      </c>
      <c r="D46" s="50">
        <v>4500</v>
      </c>
      <c r="E46" s="36" t="s">
        <v>149</v>
      </c>
      <c r="F46" s="36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15" hidden="1" customHeight="1" spans="1:20">
      <c r="A47" s="14">
        <v>43</v>
      </c>
      <c r="B47" s="41" t="s">
        <v>167</v>
      </c>
      <c r="C47" s="27" t="s">
        <v>52</v>
      </c>
      <c r="D47" s="15">
        <v>2526.5</v>
      </c>
      <c r="E47" s="36" t="s">
        <v>149</v>
      </c>
      <c r="F47" s="14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15" hidden="1" customHeight="1" spans="1:20">
      <c r="A48" s="36">
        <v>44</v>
      </c>
      <c r="B48" s="49" t="s">
        <v>168</v>
      </c>
      <c r="C48" s="27" t="s">
        <v>32</v>
      </c>
      <c r="D48" s="50">
        <v>100000</v>
      </c>
      <c r="E48" s="36" t="s">
        <v>149</v>
      </c>
      <c r="F48" s="36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15" hidden="1" customHeight="1" spans="1:20">
      <c r="A49" s="14">
        <v>45</v>
      </c>
      <c r="B49" s="41" t="s">
        <v>169</v>
      </c>
      <c r="C49" s="14" t="s">
        <v>45</v>
      </c>
      <c r="D49" s="15">
        <v>27220</v>
      </c>
      <c r="E49" s="36" t="s">
        <v>149</v>
      </c>
      <c r="F49" s="14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15" hidden="1" customHeight="1" spans="1:20">
      <c r="A50" s="36">
        <v>46</v>
      </c>
      <c r="B50" s="49" t="s">
        <v>170</v>
      </c>
      <c r="C50" s="36" t="s">
        <v>53</v>
      </c>
      <c r="D50" s="50">
        <v>2325</v>
      </c>
      <c r="E50" s="36" t="s">
        <v>149</v>
      </c>
      <c r="F50" s="36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15" hidden="1" customHeight="1" spans="1:20">
      <c r="A51" s="14">
        <v>47</v>
      </c>
      <c r="B51" s="41" t="s">
        <v>159</v>
      </c>
      <c r="C51" s="14" t="s">
        <v>49</v>
      </c>
      <c r="D51" s="15">
        <v>360000</v>
      </c>
      <c r="E51" s="36" t="s">
        <v>149</v>
      </c>
      <c r="F51" s="14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15" hidden="1" customHeight="1" spans="1:20">
      <c r="A52" s="36">
        <v>48</v>
      </c>
      <c r="B52" s="49" t="s">
        <v>171</v>
      </c>
      <c r="C52" s="36" t="s">
        <v>42</v>
      </c>
      <c r="D52" s="50">
        <v>6000</v>
      </c>
      <c r="E52" s="36" t="s">
        <v>149</v>
      </c>
      <c r="F52" s="36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15" hidden="1" customHeight="1" spans="1:20">
      <c r="A53" s="14">
        <v>49</v>
      </c>
      <c r="B53" s="41" t="s">
        <v>167</v>
      </c>
      <c r="C53" s="14" t="s">
        <v>13</v>
      </c>
      <c r="D53" s="15">
        <v>50000</v>
      </c>
      <c r="E53" s="36" t="s">
        <v>149</v>
      </c>
      <c r="F53" s="14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15" hidden="1" customHeight="1" spans="1:20">
      <c r="A54" s="36">
        <v>50</v>
      </c>
      <c r="B54" s="49" t="s">
        <v>172</v>
      </c>
      <c r="C54" s="14" t="s">
        <v>13</v>
      </c>
      <c r="D54" s="50">
        <v>40000</v>
      </c>
      <c r="E54" s="36" t="s">
        <v>149</v>
      </c>
      <c r="F54" s="36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15" hidden="1" customHeight="1" spans="1:20">
      <c r="A55" s="14">
        <v>51</v>
      </c>
      <c r="B55" s="41" t="s">
        <v>173</v>
      </c>
      <c r="C55" s="14" t="s">
        <v>15</v>
      </c>
      <c r="D55" s="15">
        <v>22000</v>
      </c>
      <c r="E55" s="36" t="s">
        <v>149</v>
      </c>
      <c r="F55" s="14" t="s">
        <v>174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15" hidden="1" customHeight="1" spans="1:20">
      <c r="A56" s="36">
        <v>52</v>
      </c>
      <c r="B56" s="41" t="s">
        <v>173</v>
      </c>
      <c r="C56" s="14" t="s">
        <v>15</v>
      </c>
      <c r="D56" s="50">
        <v>13000</v>
      </c>
      <c r="E56" s="36" t="s">
        <v>149</v>
      </c>
      <c r="F56" s="36" t="s">
        <v>175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15" hidden="1" customHeight="1" spans="1:20">
      <c r="A57" s="14">
        <v>53</v>
      </c>
      <c r="B57" s="41" t="s">
        <v>171</v>
      </c>
      <c r="C57" s="27" t="s">
        <v>54</v>
      </c>
      <c r="D57" s="15">
        <v>2046</v>
      </c>
      <c r="E57" s="36" t="s">
        <v>149</v>
      </c>
      <c r="F57" s="14" t="s">
        <v>176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15" hidden="1" customHeight="1" spans="1:20">
      <c r="A58" s="36">
        <v>54</v>
      </c>
      <c r="B58" s="49" t="s">
        <v>171</v>
      </c>
      <c r="C58" s="27" t="s">
        <v>55</v>
      </c>
      <c r="D58" s="50">
        <v>1582</v>
      </c>
      <c r="E58" s="36" t="s">
        <v>149</v>
      </c>
      <c r="F58" s="36" t="s">
        <v>177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15" hidden="1" customHeight="1" spans="1:20">
      <c r="A59" s="14">
        <v>55</v>
      </c>
      <c r="B59" s="49" t="s">
        <v>171</v>
      </c>
      <c r="C59" s="14" t="s">
        <v>22</v>
      </c>
      <c r="D59" s="15">
        <v>18600</v>
      </c>
      <c r="E59" s="36" t="s">
        <v>149</v>
      </c>
      <c r="F59" s="14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15" hidden="1" customHeight="1" spans="1:20">
      <c r="A60" s="36">
        <v>56</v>
      </c>
      <c r="B60" s="49" t="s">
        <v>178</v>
      </c>
      <c r="C60" s="36" t="s">
        <v>56</v>
      </c>
      <c r="D60" s="50">
        <v>12000</v>
      </c>
      <c r="E60" s="36" t="s">
        <v>149</v>
      </c>
      <c r="F60" s="36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15" hidden="1" customHeight="1" spans="1:20">
      <c r="A61" s="14">
        <v>57</v>
      </c>
      <c r="B61" s="41" t="s">
        <v>171</v>
      </c>
      <c r="C61" s="14" t="s">
        <v>28</v>
      </c>
      <c r="D61" s="15">
        <v>27000</v>
      </c>
      <c r="E61" s="14" t="s">
        <v>149</v>
      </c>
      <c r="F61" s="14" t="s">
        <v>179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15" hidden="1" customHeight="1" spans="1:20">
      <c r="A62" s="14">
        <v>58</v>
      </c>
      <c r="B62" s="49">
        <v>46225</v>
      </c>
      <c r="C62" s="27" t="s">
        <v>59</v>
      </c>
      <c r="D62" s="50">
        <v>602</v>
      </c>
      <c r="E62" s="14" t="s">
        <v>149</v>
      </c>
      <c r="F62" s="36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15" hidden="1" customHeight="1" spans="1:20">
      <c r="A63" s="14">
        <v>59</v>
      </c>
      <c r="B63" s="41">
        <v>46210</v>
      </c>
      <c r="C63" s="27" t="s">
        <v>59</v>
      </c>
      <c r="D63" s="15">
        <v>4650</v>
      </c>
      <c r="E63" s="14" t="s">
        <v>149</v>
      </c>
      <c r="F63" s="14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15" hidden="1" customHeight="1" spans="1:20">
      <c r="A64" s="14">
        <v>60</v>
      </c>
      <c r="B64" s="49">
        <v>46219</v>
      </c>
      <c r="C64" s="36" t="s">
        <v>16</v>
      </c>
      <c r="D64" s="50">
        <v>9000</v>
      </c>
      <c r="E64" s="14" t="s">
        <v>149</v>
      </c>
      <c r="F64" s="36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15" hidden="1" customHeight="1" spans="1:20">
      <c r="A65" s="14">
        <v>61</v>
      </c>
      <c r="B65" s="41">
        <v>46220</v>
      </c>
      <c r="C65" s="14" t="s">
        <v>15</v>
      </c>
      <c r="D65" s="15">
        <v>9000</v>
      </c>
      <c r="E65" s="14" t="s">
        <v>149</v>
      </c>
      <c r="F65" s="14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15" customHeight="1" spans="1:20">
      <c r="A66" s="36">
        <v>62</v>
      </c>
      <c r="B66" s="49">
        <v>46219</v>
      </c>
      <c r="C66" s="36" t="s">
        <v>60</v>
      </c>
      <c r="D66" s="50">
        <v>3000</v>
      </c>
      <c r="E66" s="14" t="s">
        <v>149</v>
      </c>
      <c r="F66" s="36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ht="15" customHeight="1" spans="1:20">
      <c r="A67" s="14">
        <v>63</v>
      </c>
      <c r="B67" s="41">
        <v>46227</v>
      </c>
      <c r="C67" s="36" t="s">
        <v>60</v>
      </c>
      <c r="D67" s="15">
        <v>2386</v>
      </c>
      <c r="E67" s="14" t="s">
        <v>149</v>
      </c>
      <c r="F67" s="14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15" hidden="1" customHeight="1" spans="1:20">
      <c r="A68" s="36">
        <v>64</v>
      </c>
      <c r="B68" s="49">
        <v>46224</v>
      </c>
      <c r="C68" s="27" t="s">
        <v>61</v>
      </c>
      <c r="D68" s="50">
        <v>2697</v>
      </c>
      <c r="E68" s="14" t="s">
        <v>149</v>
      </c>
      <c r="F68" s="36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15" hidden="1" customHeight="1" spans="1:20">
      <c r="A69" s="14">
        <v>65</v>
      </c>
      <c r="B69" s="41">
        <v>46219</v>
      </c>
      <c r="C69" s="14" t="s">
        <v>17</v>
      </c>
      <c r="D69" s="15">
        <v>48000</v>
      </c>
      <c r="E69" s="14" t="s">
        <v>149</v>
      </c>
      <c r="F69" s="14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15" hidden="1" customHeight="1" spans="1:20">
      <c r="A70" s="36">
        <v>66</v>
      </c>
      <c r="B70" s="49">
        <v>46211</v>
      </c>
      <c r="C70" s="27" t="s">
        <v>62</v>
      </c>
      <c r="D70" s="50">
        <v>2325</v>
      </c>
      <c r="E70" s="14" t="s">
        <v>149</v>
      </c>
      <c r="F70" s="36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15" hidden="1" customHeight="1" spans="1:20">
      <c r="A71" s="14">
        <v>67</v>
      </c>
      <c r="B71" s="49">
        <v>46211</v>
      </c>
      <c r="C71" s="27" t="s">
        <v>63</v>
      </c>
      <c r="D71" s="15">
        <v>2325</v>
      </c>
      <c r="E71" s="14" t="s">
        <v>149</v>
      </c>
      <c r="F71" s="14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15" customHeight="1" spans="1:20">
      <c r="A72" s="36">
        <v>68</v>
      </c>
      <c r="B72" s="49">
        <v>46211</v>
      </c>
      <c r="C72" s="14" t="s">
        <v>64</v>
      </c>
      <c r="D72" s="50">
        <v>2325</v>
      </c>
      <c r="E72" s="14" t="s">
        <v>149</v>
      </c>
      <c r="F72" s="36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15" hidden="1" customHeight="1" spans="1:20">
      <c r="A73" s="14">
        <v>69</v>
      </c>
      <c r="B73" s="49">
        <v>46211</v>
      </c>
      <c r="C73" s="27" t="s">
        <v>65</v>
      </c>
      <c r="D73" s="15">
        <v>5330</v>
      </c>
      <c r="E73" s="14" t="s">
        <v>149</v>
      </c>
      <c r="F73" s="14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15" hidden="1" customHeight="1" spans="1:20">
      <c r="A74" s="36">
        <v>70</v>
      </c>
      <c r="B74" s="49">
        <v>46211</v>
      </c>
      <c r="C74" s="27" t="s">
        <v>66</v>
      </c>
      <c r="D74" s="50">
        <v>930</v>
      </c>
      <c r="E74" s="14" t="s">
        <v>149</v>
      </c>
      <c r="F74" s="36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15" hidden="1" customHeight="1" spans="1:20">
      <c r="A75" s="14">
        <v>71</v>
      </c>
      <c r="B75" s="42">
        <v>46220</v>
      </c>
      <c r="C75" s="27" t="s">
        <v>38</v>
      </c>
      <c r="D75" s="15">
        <v>9000</v>
      </c>
      <c r="E75" s="14" t="s">
        <v>149</v>
      </c>
      <c r="F75" s="14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15" hidden="1" customHeight="1" spans="1:20">
      <c r="A76" s="36">
        <v>72</v>
      </c>
      <c r="B76" s="42">
        <v>46218</v>
      </c>
      <c r="C76" s="27" t="s">
        <v>67</v>
      </c>
      <c r="D76" s="50">
        <v>1395</v>
      </c>
      <c r="E76" s="14" t="s">
        <v>149</v>
      </c>
      <c r="F76" s="36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15" hidden="1" customHeight="1" spans="1:20">
      <c r="A77" s="14">
        <v>73</v>
      </c>
      <c r="B77" s="42">
        <v>46220</v>
      </c>
      <c r="C77" s="27" t="s">
        <v>68</v>
      </c>
      <c r="D77" s="15">
        <v>3200</v>
      </c>
      <c r="E77" s="14" t="s">
        <v>149</v>
      </c>
      <c r="F77" s="14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15" hidden="1" customHeight="1" spans="1:20">
      <c r="A78" s="36">
        <v>74</v>
      </c>
      <c r="B78" s="49">
        <v>46218</v>
      </c>
      <c r="C78" s="27" t="s">
        <v>69</v>
      </c>
      <c r="D78" s="50">
        <v>3380</v>
      </c>
      <c r="E78" s="14" t="s">
        <v>149</v>
      </c>
      <c r="F78" s="36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15" hidden="1" customHeight="1" spans="1:20">
      <c r="A79" s="14">
        <v>75</v>
      </c>
      <c r="B79" s="49">
        <v>46217</v>
      </c>
      <c r="C79" s="14" t="s">
        <v>70</v>
      </c>
      <c r="D79" s="15">
        <v>930</v>
      </c>
      <c r="E79" s="14" t="s">
        <v>149</v>
      </c>
      <c r="F79" s="14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15" hidden="1" customHeight="1" spans="1:20">
      <c r="A80" s="36">
        <v>76</v>
      </c>
      <c r="B80" s="49">
        <v>46218</v>
      </c>
      <c r="C80" s="36" t="s">
        <v>21</v>
      </c>
      <c r="D80" s="50">
        <v>12416.5</v>
      </c>
      <c r="E80" s="14" t="s">
        <v>149</v>
      </c>
      <c r="F80" s="36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15" hidden="1" customHeight="1" spans="1:20">
      <c r="A81" s="14">
        <v>77</v>
      </c>
      <c r="B81" s="42">
        <v>46215</v>
      </c>
      <c r="C81" s="27" t="s">
        <v>71</v>
      </c>
      <c r="D81" s="15">
        <v>1395</v>
      </c>
      <c r="E81" s="14" t="s">
        <v>149</v>
      </c>
      <c r="F81" s="14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15" customHeight="1" spans="1:20">
      <c r="A82" s="36">
        <v>78</v>
      </c>
      <c r="B82" s="42">
        <v>46215</v>
      </c>
      <c r="C82" s="27" t="s">
        <v>72</v>
      </c>
      <c r="D82" s="50">
        <v>3005</v>
      </c>
      <c r="E82" s="36" t="s">
        <v>149</v>
      </c>
      <c r="F82" s="36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15" hidden="1" customHeight="1" spans="1:20">
      <c r="A83" s="14">
        <v>79</v>
      </c>
      <c r="B83" s="42">
        <v>46213</v>
      </c>
      <c r="C83" s="27" t="s">
        <v>73</v>
      </c>
      <c r="D83" s="15">
        <v>1395</v>
      </c>
      <c r="E83" s="36" t="s">
        <v>149</v>
      </c>
      <c r="F83" s="14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15" hidden="1" customHeight="1" spans="1:20">
      <c r="A84" s="36">
        <v>80</v>
      </c>
      <c r="B84" s="42">
        <v>46213</v>
      </c>
      <c r="C84" s="27" t="s">
        <v>74</v>
      </c>
      <c r="D84" s="50">
        <v>2325</v>
      </c>
      <c r="E84" s="36" t="s">
        <v>149</v>
      </c>
      <c r="F84" s="36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15" hidden="1" customHeight="1" spans="1:20">
      <c r="A85" s="14">
        <v>81</v>
      </c>
      <c r="B85" s="42">
        <v>46212</v>
      </c>
      <c r="C85" s="27" t="s">
        <v>75</v>
      </c>
      <c r="D85" s="15">
        <v>3035</v>
      </c>
      <c r="E85" s="36" t="s">
        <v>149</v>
      </c>
      <c r="F85" s="14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15" hidden="1" customHeight="1" spans="1:20">
      <c r="A86" s="36">
        <v>82</v>
      </c>
      <c r="B86" s="42">
        <v>46212</v>
      </c>
      <c r="C86" s="35" t="s">
        <v>76</v>
      </c>
      <c r="D86" s="50">
        <v>2907</v>
      </c>
      <c r="E86" s="36" t="s">
        <v>149</v>
      </c>
      <c r="F86" s="36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15" hidden="1" customHeight="1" spans="1:20">
      <c r="A87" s="14">
        <v>83</v>
      </c>
      <c r="B87" s="42">
        <v>46212</v>
      </c>
      <c r="C87" s="27" t="s">
        <v>77</v>
      </c>
      <c r="D87" s="15">
        <v>1567</v>
      </c>
      <c r="E87" s="14" t="s">
        <v>149</v>
      </c>
      <c r="F87" s="14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15" hidden="1" customHeight="1" spans="1:20">
      <c r="A88" s="36">
        <v>84</v>
      </c>
      <c r="B88" s="42">
        <v>46223</v>
      </c>
      <c r="C88" s="35" t="s">
        <v>78</v>
      </c>
      <c r="D88" s="50">
        <v>4500</v>
      </c>
      <c r="E88" s="14" t="s">
        <v>149</v>
      </c>
      <c r="F88" s="36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15" hidden="1" customHeight="1" spans="1:20">
      <c r="A89" s="14">
        <v>85</v>
      </c>
      <c r="B89" s="41">
        <v>46226</v>
      </c>
      <c r="C89" s="35" t="s">
        <v>79</v>
      </c>
      <c r="D89" s="15">
        <v>9000</v>
      </c>
      <c r="E89" s="14" t="s">
        <v>149</v>
      </c>
      <c r="F89" s="14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15" hidden="1" customHeight="1" spans="1:20">
      <c r="A90" s="36">
        <v>86</v>
      </c>
      <c r="B90" s="49">
        <v>46235</v>
      </c>
      <c r="C90" s="36" t="s">
        <v>16</v>
      </c>
      <c r="D90" s="50">
        <v>67900</v>
      </c>
      <c r="E90" s="14" t="s">
        <v>149</v>
      </c>
      <c r="F90" s="36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15" hidden="1" customHeight="1" spans="1:20">
      <c r="A91" s="14">
        <v>87</v>
      </c>
      <c r="B91" s="41">
        <v>46230</v>
      </c>
      <c r="C91" s="14" t="s">
        <v>44</v>
      </c>
      <c r="D91" s="15">
        <v>11705</v>
      </c>
      <c r="E91" s="14" t="s">
        <v>149</v>
      </c>
      <c r="F91" s="14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15" hidden="1" customHeight="1" spans="1:20">
      <c r="A92" s="36">
        <v>88</v>
      </c>
      <c r="B92" s="49">
        <v>46231</v>
      </c>
      <c r="C92" s="36" t="s">
        <v>15</v>
      </c>
      <c r="D92" s="50">
        <v>77960</v>
      </c>
      <c r="E92" s="36" t="s">
        <v>149</v>
      </c>
      <c r="F92" s="36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15" hidden="1" customHeight="1" spans="1:20">
      <c r="A93" s="14">
        <v>89</v>
      </c>
      <c r="B93" s="41">
        <v>46235</v>
      </c>
      <c r="C93" s="14" t="s">
        <v>80</v>
      </c>
      <c r="D93" s="15">
        <v>12000</v>
      </c>
      <c r="E93" s="14" t="s">
        <v>149</v>
      </c>
      <c r="F93" s="14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15" hidden="1" customHeight="1" spans="1:20">
      <c r="A94" s="36">
        <v>90</v>
      </c>
      <c r="B94" s="49">
        <v>46232</v>
      </c>
      <c r="C94" s="36" t="s">
        <v>13</v>
      </c>
      <c r="D94" s="50">
        <v>9860</v>
      </c>
      <c r="E94" s="14" t="s">
        <v>149</v>
      </c>
      <c r="F94" s="36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15" hidden="1" customHeight="1" spans="1:20">
      <c r="A95" s="14">
        <v>91</v>
      </c>
      <c r="B95" s="49">
        <v>46234</v>
      </c>
      <c r="C95" s="14" t="s">
        <v>13</v>
      </c>
      <c r="D95" s="15">
        <v>8660</v>
      </c>
      <c r="E95" s="14" t="s">
        <v>149</v>
      </c>
      <c r="F95" s="14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15" hidden="1" customHeight="1" spans="1:20">
      <c r="A96" s="36">
        <v>92</v>
      </c>
      <c r="B96" s="49">
        <v>46227</v>
      </c>
      <c r="C96" s="35" t="s">
        <v>81</v>
      </c>
      <c r="D96" s="50">
        <v>2325</v>
      </c>
      <c r="E96" s="14" t="s">
        <v>149</v>
      </c>
      <c r="F96" s="36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15" hidden="1" customHeight="1" spans="1:20">
      <c r="A97" s="14">
        <v>93</v>
      </c>
      <c r="B97" s="41">
        <v>46230</v>
      </c>
      <c r="C97" s="35" t="s">
        <v>82</v>
      </c>
      <c r="D97" s="15">
        <v>1860</v>
      </c>
      <c r="E97" s="14" t="s">
        <v>149</v>
      </c>
      <c r="F97" s="14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15" hidden="1" customHeight="1" spans="1:20">
      <c r="A98" s="36">
        <v>94</v>
      </c>
      <c r="B98" s="49">
        <v>46232</v>
      </c>
      <c r="C98" s="36" t="s">
        <v>83</v>
      </c>
      <c r="D98" s="50">
        <v>4500</v>
      </c>
      <c r="E98" s="14" t="s">
        <v>149</v>
      </c>
      <c r="F98" s="36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15" hidden="1" customHeight="1" spans="1:20">
      <c r="A99" s="14">
        <v>95</v>
      </c>
      <c r="B99" s="41" t="s">
        <v>180</v>
      </c>
      <c r="C99" s="14" t="s">
        <v>26</v>
      </c>
      <c r="D99" s="15">
        <v>30000</v>
      </c>
      <c r="E99" s="14" t="s">
        <v>149</v>
      </c>
      <c r="F99" s="14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15" hidden="1" customHeight="1" spans="1:20">
      <c r="A100" s="36">
        <v>96</v>
      </c>
      <c r="B100" s="49">
        <v>46241</v>
      </c>
      <c r="C100" s="27" t="s">
        <v>16</v>
      </c>
      <c r="D100" s="50">
        <v>2100</v>
      </c>
      <c r="E100" s="14" t="s">
        <v>149</v>
      </c>
      <c r="F100" s="36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15" hidden="1" customHeight="1" spans="1:20">
      <c r="A101" s="14">
        <v>97</v>
      </c>
      <c r="B101" s="49">
        <v>46241</v>
      </c>
      <c r="C101" s="35" t="s">
        <v>84</v>
      </c>
      <c r="D101" s="15">
        <v>1640</v>
      </c>
      <c r="E101" s="14" t="s">
        <v>149</v>
      </c>
      <c r="F101" s="14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15" hidden="1" customHeight="1" spans="1:20">
      <c r="A102" s="36">
        <v>98</v>
      </c>
      <c r="B102" s="49">
        <v>46241</v>
      </c>
      <c r="C102" s="35" t="s">
        <v>85</v>
      </c>
      <c r="D102" s="50">
        <v>2325</v>
      </c>
      <c r="E102" s="14" t="s">
        <v>149</v>
      </c>
      <c r="F102" s="36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15" hidden="1" customHeight="1" spans="1:20">
      <c r="A103" s="14">
        <v>99</v>
      </c>
      <c r="B103" s="41">
        <v>46245</v>
      </c>
      <c r="C103" s="14" t="s">
        <v>56</v>
      </c>
      <c r="D103" s="15">
        <v>327.5</v>
      </c>
      <c r="E103" s="14" t="s">
        <v>149</v>
      </c>
      <c r="F103" s="14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15" hidden="1" customHeight="1" spans="1:20">
      <c r="A104" s="36">
        <v>100</v>
      </c>
      <c r="B104" s="49">
        <v>46246</v>
      </c>
      <c r="C104" s="35" t="s">
        <v>86</v>
      </c>
      <c r="D104" s="50">
        <v>107.5</v>
      </c>
      <c r="E104" s="14" t="s">
        <v>149</v>
      </c>
      <c r="F104" s="36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ht="15" hidden="1" customHeight="1" spans="1:20">
      <c r="A105" s="14">
        <v>101</v>
      </c>
      <c r="B105" s="41">
        <v>46243</v>
      </c>
      <c r="C105" s="14" t="s">
        <v>31</v>
      </c>
      <c r="D105" s="15">
        <v>10000</v>
      </c>
      <c r="E105" s="14" t="s">
        <v>149</v>
      </c>
      <c r="F105" s="14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ht="15" hidden="1" customHeight="1" spans="1:20">
      <c r="A106" s="36">
        <v>102</v>
      </c>
      <c r="B106" s="49">
        <v>46243</v>
      </c>
      <c r="C106" s="36" t="s">
        <v>58</v>
      </c>
      <c r="D106" s="50">
        <v>15000</v>
      </c>
      <c r="E106" s="36" t="s">
        <v>149</v>
      </c>
      <c r="F106" s="36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ht="15" hidden="1" customHeight="1" spans="1:20">
      <c r="A107" s="14">
        <v>103</v>
      </c>
      <c r="B107" s="41">
        <v>46243</v>
      </c>
      <c r="C107" s="14" t="s">
        <v>181</v>
      </c>
      <c r="D107" s="15">
        <v>3000</v>
      </c>
      <c r="E107" s="14" t="s">
        <v>149</v>
      </c>
      <c r="F107" s="14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ht="15" customHeight="1" spans="1:20">
      <c r="A108" s="36">
        <v>104</v>
      </c>
      <c r="B108" s="49">
        <v>46243</v>
      </c>
      <c r="C108" s="36" t="s">
        <v>23</v>
      </c>
      <c r="D108" s="50">
        <v>9000</v>
      </c>
      <c r="E108" s="36" t="s">
        <v>149</v>
      </c>
      <c r="F108" s="36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ht="15" hidden="1" customHeight="1" spans="1:20">
      <c r="A109" s="14">
        <v>105</v>
      </c>
      <c r="B109" s="41">
        <v>46243</v>
      </c>
      <c r="C109" s="14" t="s">
        <v>32</v>
      </c>
      <c r="D109" s="15">
        <v>3000</v>
      </c>
      <c r="E109" s="14" t="s">
        <v>149</v>
      </c>
      <c r="F109" s="14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ht="15" hidden="1" customHeight="1" spans="1:20">
      <c r="A110" s="36">
        <v>106</v>
      </c>
      <c r="B110" s="49">
        <v>46243</v>
      </c>
      <c r="C110" s="36" t="s">
        <v>24</v>
      </c>
      <c r="D110" s="50">
        <v>50000</v>
      </c>
      <c r="E110" s="36" t="s">
        <v>149</v>
      </c>
      <c r="F110" s="36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ht="15" hidden="1" customHeight="1" spans="1:20">
      <c r="A111" s="14">
        <v>107</v>
      </c>
      <c r="B111" s="41">
        <v>46243</v>
      </c>
      <c r="C111" s="14" t="s">
        <v>49</v>
      </c>
      <c r="D111" s="15">
        <v>20000</v>
      </c>
      <c r="E111" s="14" t="s">
        <v>149</v>
      </c>
      <c r="F111" s="14" t="s">
        <v>182</v>
      </c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ht="15" hidden="1" customHeight="1" spans="1:20">
      <c r="A112" s="36">
        <v>108</v>
      </c>
      <c r="B112" s="49">
        <v>46247</v>
      </c>
      <c r="C112" s="14" t="s">
        <v>27</v>
      </c>
      <c r="D112" s="50">
        <v>1137.5</v>
      </c>
      <c r="E112" s="14" t="s">
        <v>149</v>
      </c>
      <c r="F112" s="36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ht="15" hidden="1" customHeight="1" spans="1:20">
      <c r="A113" s="14">
        <v>109</v>
      </c>
      <c r="B113" s="41">
        <v>46252</v>
      </c>
      <c r="C113" s="14" t="s">
        <v>42</v>
      </c>
      <c r="D113" s="15">
        <v>2100</v>
      </c>
      <c r="E113" s="14" t="s">
        <v>149</v>
      </c>
      <c r="F113" s="14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ht="15" hidden="1" customHeight="1" spans="1:20">
      <c r="A114" s="36">
        <v>110</v>
      </c>
      <c r="B114" s="41">
        <v>46252</v>
      </c>
      <c r="C114" s="35" t="s">
        <v>87</v>
      </c>
      <c r="D114" s="50">
        <v>2790</v>
      </c>
      <c r="E114" s="14" t="s">
        <v>149</v>
      </c>
      <c r="F114" s="36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ht="15" hidden="1" customHeight="1" spans="1:20">
      <c r="A115" s="14">
        <v>111</v>
      </c>
      <c r="B115" s="41">
        <v>46254</v>
      </c>
      <c r="C115" s="35" t="s">
        <v>88</v>
      </c>
      <c r="D115" s="15">
        <v>4500</v>
      </c>
      <c r="E115" s="14" t="s">
        <v>149</v>
      </c>
      <c r="F115" s="14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ht="15" hidden="1" customHeight="1" spans="1:20">
      <c r="A116" s="36">
        <v>112</v>
      </c>
      <c r="B116" s="49">
        <v>46270</v>
      </c>
      <c r="C116" s="35" t="s">
        <v>89</v>
      </c>
      <c r="D116" s="50">
        <v>2700</v>
      </c>
      <c r="E116" s="36" t="s">
        <v>149</v>
      </c>
      <c r="F116" s="36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ht="15" hidden="1" customHeight="1" spans="1:20">
      <c r="A117" s="14">
        <v>113</v>
      </c>
      <c r="B117" s="41">
        <v>46254</v>
      </c>
      <c r="C117" s="14" t="s">
        <v>47</v>
      </c>
      <c r="D117" s="15">
        <v>30000</v>
      </c>
      <c r="E117" s="14" t="s">
        <v>149</v>
      </c>
      <c r="F117" s="14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ht="15" hidden="1" customHeight="1" spans="1:20">
      <c r="A118" s="36">
        <v>114</v>
      </c>
      <c r="B118" s="49">
        <v>46248</v>
      </c>
      <c r="C118" s="35" t="s">
        <v>90</v>
      </c>
      <c r="D118" s="50">
        <v>2750</v>
      </c>
      <c r="E118" s="36" t="s">
        <v>149</v>
      </c>
      <c r="F118" s="36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ht="15" hidden="1" customHeight="1" spans="1:20">
      <c r="A119" s="14">
        <v>115</v>
      </c>
      <c r="B119" s="41">
        <v>46252</v>
      </c>
      <c r="C119" s="14" t="s">
        <v>49</v>
      </c>
      <c r="D119" s="15">
        <v>30000</v>
      </c>
      <c r="E119" s="36" t="s">
        <v>149</v>
      </c>
      <c r="F119" s="14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ht="15" hidden="1" customHeight="1" spans="1:20">
      <c r="A120" s="36">
        <v>116</v>
      </c>
      <c r="B120" s="49">
        <v>46256</v>
      </c>
      <c r="C120" s="14" t="s">
        <v>49</v>
      </c>
      <c r="D120" s="50">
        <v>30000</v>
      </c>
      <c r="E120" s="36" t="s">
        <v>149</v>
      </c>
      <c r="F120" s="36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ht="15" hidden="1" customHeight="1" spans="1:20">
      <c r="A121" s="14">
        <v>117</v>
      </c>
      <c r="B121" s="41"/>
      <c r="C121" s="14"/>
      <c r="D121" s="15"/>
      <c r="E121" s="14"/>
      <c r="F121" s="14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ht="15" hidden="1" customHeight="1" spans="1:20">
      <c r="A122" s="36">
        <v>118</v>
      </c>
      <c r="B122" s="49"/>
      <c r="C122" s="36"/>
      <c r="D122" s="50"/>
      <c r="E122" s="36"/>
      <c r="F122" s="36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ht="15" hidden="1" customHeight="1" spans="1:20">
      <c r="A123" s="14">
        <v>119</v>
      </c>
      <c r="B123" s="41"/>
      <c r="C123" s="14"/>
      <c r="D123" s="15"/>
      <c r="E123" s="14"/>
      <c r="F123" s="14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ht="15" hidden="1" customHeight="1" spans="1:20">
      <c r="A124" s="36">
        <v>120</v>
      </c>
      <c r="B124" s="49"/>
      <c r="C124" s="36"/>
      <c r="D124" s="50"/>
      <c r="E124" s="36"/>
      <c r="F124" s="36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ht="15" hidden="1" customHeight="1" spans="1:20">
      <c r="A125" s="14">
        <v>121</v>
      </c>
      <c r="B125" s="41"/>
      <c r="C125" s="14"/>
      <c r="D125" s="15"/>
      <c r="E125" s="14"/>
      <c r="F125" s="14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ht="15" hidden="1" customHeight="1" spans="1:20">
      <c r="A126" s="36">
        <v>122</v>
      </c>
      <c r="B126" s="49"/>
      <c r="C126" s="36"/>
      <c r="D126" s="50"/>
      <c r="E126" s="36"/>
      <c r="F126" s="36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ht="15" hidden="1" customHeight="1" spans="1:20">
      <c r="A127" s="14">
        <v>123</v>
      </c>
      <c r="B127" s="41"/>
      <c r="C127" s="14"/>
      <c r="D127" s="15"/>
      <c r="E127" s="14"/>
      <c r="F127" s="14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ht="15" hidden="1" customHeight="1" spans="1:20">
      <c r="A128" s="36">
        <v>124</v>
      </c>
      <c r="B128" s="49"/>
      <c r="C128" s="36"/>
      <c r="D128" s="50"/>
      <c r="E128" s="36"/>
      <c r="F128" s="36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ht="15" hidden="1" customHeight="1" spans="1:20">
      <c r="A129" s="14">
        <v>125</v>
      </c>
      <c r="B129" s="41"/>
      <c r="C129" s="14"/>
      <c r="D129" s="15"/>
      <c r="E129" s="14"/>
      <c r="F129" s="14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ht="15" hidden="1" customHeight="1" spans="1:20">
      <c r="A130" s="36">
        <v>126</v>
      </c>
      <c r="B130" s="49"/>
      <c r="C130" s="36"/>
      <c r="D130" s="50"/>
      <c r="E130" s="36"/>
      <c r="F130" s="36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ht="15" hidden="1" customHeight="1" spans="1:20">
      <c r="A131" s="14">
        <v>127</v>
      </c>
      <c r="B131" s="41"/>
      <c r="C131" s="14"/>
      <c r="D131" s="15"/>
      <c r="E131" s="14"/>
      <c r="F131" s="14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ht="15" hidden="1" customHeight="1" spans="1:20">
      <c r="A132" s="36">
        <v>128</v>
      </c>
      <c r="B132" s="49"/>
      <c r="C132" s="36"/>
      <c r="D132" s="50"/>
      <c r="E132" s="36"/>
      <c r="F132" s="36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ht="15" hidden="1" customHeight="1" spans="1:20">
      <c r="A133" s="14">
        <v>129</v>
      </c>
      <c r="B133" s="41"/>
      <c r="C133" s="14"/>
      <c r="D133" s="15"/>
      <c r="E133" s="14"/>
      <c r="F133" s="14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ht="15" hidden="1" customHeight="1" spans="1:20">
      <c r="A134" s="36">
        <v>130</v>
      </c>
      <c r="B134" s="49"/>
      <c r="C134" s="36"/>
      <c r="D134" s="50"/>
      <c r="E134" s="36"/>
      <c r="F134" s="36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ht="15" hidden="1" customHeight="1" spans="1:20">
      <c r="A135" s="14">
        <v>131</v>
      </c>
      <c r="B135" s="41"/>
      <c r="C135" s="14"/>
      <c r="D135" s="15"/>
      <c r="E135" s="14"/>
      <c r="F135" s="14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ht="15" hidden="1" customHeight="1" spans="1:20">
      <c r="A136" s="36">
        <v>132</v>
      </c>
      <c r="B136" s="49"/>
      <c r="C136" s="36"/>
      <c r="D136" s="50"/>
      <c r="E136" s="36"/>
      <c r="F136" s="36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ht="15" hidden="1" customHeight="1" spans="1:20">
      <c r="A137" s="14">
        <v>133</v>
      </c>
      <c r="B137" s="41"/>
      <c r="C137" s="14"/>
      <c r="D137" s="15"/>
      <c r="E137" s="14"/>
      <c r="F137" s="14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ht="15" hidden="1" customHeight="1" spans="1:20">
      <c r="A138" s="36">
        <v>134</v>
      </c>
      <c r="B138" s="49"/>
      <c r="C138" s="36"/>
      <c r="D138" s="50"/>
      <c r="E138" s="36"/>
      <c r="F138" s="36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ht="15" hidden="1" customHeight="1" spans="1:20">
      <c r="A139" s="14">
        <v>135</v>
      </c>
      <c r="B139" s="41"/>
      <c r="C139" s="14"/>
      <c r="D139" s="15"/>
      <c r="E139" s="14"/>
      <c r="F139" s="14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ht="15" hidden="1" customHeight="1" spans="1:20">
      <c r="A140" s="36">
        <v>136</v>
      </c>
      <c r="B140" s="49"/>
      <c r="C140" s="36"/>
      <c r="D140" s="50"/>
      <c r="E140" s="36"/>
      <c r="F140" s="36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ht="15" hidden="1" customHeight="1" spans="1:20">
      <c r="A141" s="14">
        <v>137</v>
      </c>
      <c r="B141" s="41"/>
      <c r="C141" s="14"/>
      <c r="D141" s="15"/>
      <c r="E141" s="14"/>
      <c r="F141" s="14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ht="15" hidden="1" customHeight="1" spans="1:20">
      <c r="A142" s="36">
        <v>138</v>
      </c>
      <c r="B142" s="49"/>
      <c r="C142" s="36"/>
      <c r="D142" s="50"/>
      <c r="E142" s="36"/>
      <c r="F142" s="36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ht="15" hidden="1" customHeight="1" spans="1:20">
      <c r="A143" s="14">
        <v>139</v>
      </c>
      <c r="B143" s="41"/>
      <c r="C143" s="14"/>
      <c r="D143" s="15"/>
      <c r="E143" s="14"/>
      <c r="F143" s="14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ht="15" hidden="1" customHeight="1" spans="1:20">
      <c r="A144" s="36">
        <v>140</v>
      </c>
      <c r="B144" s="49"/>
      <c r="C144" s="36"/>
      <c r="D144" s="50"/>
      <c r="E144" s="36"/>
      <c r="F144" s="36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ht="15" hidden="1" customHeight="1" spans="1:20">
      <c r="A145" s="14">
        <v>141</v>
      </c>
      <c r="B145" s="41"/>
      <c r="C145" s="14"/>
      <c r="D145" s="15"/>
      <c r="E145" s="14"/>
      <c r="F145" s="14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ht="15" hidden="1" customHeight="1" spans="1:20">
      <c r="A146" s="36">
        <v>142</v>
      </c>
      <c r="B146" s="49"/>
      <c r="C146" s="36"/>
      <c r="D146" s="50"/>
      <c r="E146" s="36"/>
      <c r="F146" s="36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ht="15" hidden="1" customHeight="1" spans="1:20">
      <c r="A147" s="14">
        <v>143</v>
      </c>
      <c r="B147" s="41"/>
      <c r="C147" s="14"/>
      <c r="D147" s="15"/>
      <c r="E147" s="14"/>
      <c r="F147" s="14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ht="15" hidden="1" customHeight="1" spans="1:20">
      <c r="A148" s="36">
        <v>144</v>
      </c>
      <c r="B148" s="49"/>
      <c r="C148" s="36"/>
      <c r="D148" s="50"/>
      <c r="E148" s="36"/>
      <c r="F148" s="36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ht="15" hidden="1" customHeight="1" spans="1:20">
      <c r="A149" s="14">
        <v>145</v>
      </c>
      <c r="B149" s="41"/>
      <c r="C149" s="14"/>
      <c r="D149" s="15"/>
      <c r="E149" s="14"/>
      <c r="F149" s="14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ht="15" hidden="1" customHeight="1" spans="1:20">
      <c r="A150" s="36">
        <v>146</v>
      </c>
      <c r="B150" s="49"/>
      <c r="C150" s="36"/>
      <c r="D150" s="50"/>
      <c r="E150" s="36"/>
      <c r="F150" s="36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ht="15" hidden="1" customHeight="1" spans="1:20">
      <c r="A151" s="14">
        <v>147</v>
      </c>
      <c r="B151" s="41"/>
      <c r="C151" s="14"/>
      <c r="D151" s="15"/>
      <c r="E151" s="14"/>
      <c r="F151" s="14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ht="15" hidden="1" customHeight="1" spans="1:20">
      <c r="A152" s="36">
        <v>148</v>
      </c>
      <c r="B152" s="49"/>
      <c r="C152" s="36"/>
      <c r="D152" s="50"/>
      <c r="E152" s="36"/>
      <c r="F152" s="36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ht="15" hidden="1" customHeight="1" spans="1:20">
      <c r="A153" s="14">
        <v>149</v>
      </c>
      <c r="B153" s="41"/>
      <c r="C153" s="14"/>
      <c r="D153" s="15"/>
      <c r="E153" s="14"/>
      <c r="F153" s="14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ht="15" hidden="1" customHeight="1" spans="1:20">
      <c r="A154" s="36">
        <v>150</v>
      </c>
      <c r="B154" s="49"/>
      <c r="C154" s="36"/>
      <c r="D154" s="50"/>
      <c r="E154" s="36"/>
      <c r="F154" s="36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ht="15" hidden="1" customHeight="1" spans="1:20">
      <c r="A155" s="14">
        <v>151</v>
      </c>
      <c r="B155" s="41"/>
      <c r="C155" s="14"/>
      <c r="D155" s="15"/>
      <c r="E155" s="14"/>
      <c r="F155" s="14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ht="15" hidden="1" customHeight="1" spans="1:20">
      <c r="A156" s="36">
        <v>152</v>
      </c>
      <c r="B156" s="49"/>
      <c r="C156" s="36"/>
      <c r="D156" s="50"/>
      <c r="E156" s="36"/>
      <c r="F156" s="36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ht="15" hidden="1" customHeight="1" spans="1:20">
      <c r="A157" s="14">
        <v>153</v>
      </c>
      <c r="B157" s="41"/>
      <c r="C157" s="14"/>
      <c r="D157" s="15"/>
      <c r="E157" s="14"/>
      <c r="F157" s="14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ht="15" hidden="1" customHeight="1" spans="1:20">
      <c r="A158" s="36">
        <v>154</v>
      </c>
      <c r="B158" s="49"/>
      <c r="C158" s="36"/>
      <c r="D158" s="50"/>
      <c r="E158" s="36"/>
      <c r="F158" s="36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ht="15" hidden="1" customHeight="1" spans="1:20">
      <c r="A159" s="14">
        <v>155</v>
      </c>
      <c r="B159" s="41"/>
      <c r="C159" s="14"/>
      <c r="D159" s="15"/>
      <c r="E159" s="14"/>
      <c r="F159" s="14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ht="15" hidden="1" customHeight="1" spans="1:20">
      <c r="A160" s="36">
        <v>156</v>
      </c>
      <c r="B160" s="49"/>
      <c r="C160" s="36"/>
      <c r="D160" s="50"/>
      <c r="E160" s="36"/>
      <c r="F160" s="36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ht="15" hidden="1" customHeight="1" spans="1:20">
      <c r="A161" s="14">
        <v>157</v>
      </c>
      <c r="B161" s="41"/>
      <c r="C161" s="14"/>
      <c r="D161" s="15"/>
      <c r="E161" s="14"/>
      <c r="F161" s="14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ht="15" hidden="1" customHeight="1" spans="1:20">
      <c r="A162" s="36">
        <v>158</v>
      </c>
      <c r="B162" s="49"/>
      <c r="C162" s="36"/>
      <c r="D162" s="50"/>
      <c r="E162" s="36"/>
      <c r="F162" s="36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ht="15" hidden="1" customHeight="1" spans="1:20">
      <c r="A163" s="14">
        <v>159</v>
      </c>
      <c r="B163" s="41"/>
      <c r="C163" s="14"/>
      <c r="D163" s="15"/>
      <c r="E163" s="14"/>
      <c r="F163" s="14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ht="15" hidden="1" customHeight="1" spans="1:20">
      <c r="A164" s="36">
        <v>160</v>
      </c>
      <c r="B164" s="49"/>
      <c r="C164" s="36"/>
      <c r="D164" s="50"/>
      <c r="E164" s="36"/>
      <c r="F164" s="36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ht="15" hidden="1" customHeight="1" spans="1:20">
      <c r="A165" s="14">
        <v>161</v>
      </c>
      <c r="B165" s="41"/>
      <c r="C165" s="14"/>
      <c r="D165" s="15"/>
      <c r="E165" s="14"/>
      <c r="F165" s="14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ht="15" hidden="1" customHeight="1" spans="1:20">
      <c r="A166" s="36">
        <v>162</v>
      </c>
      <c r="B166" s="49"/>
      <c r="C166" s="36"/>
      <c r="D166" s="50"/>
      <c r="E166" s="36"/>
      <c r="F166" s="36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ht="15" hidden="1" customHeight="1" spans="1:20">
      <c r="A167" s="14">
        <v>163</v>
      </c>
      <c r="B167" s="41"/>
      <c r="C167" s="14"/>
      <c r="D167" s="15"/>
      <c r="E167" s="14"/>
      <c r="F167" s="14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ht="15" hidden="1" customHeight="1" spans="1:20">
      <c r="A168" s="36">
        <v>164</v>
      </c>
      <c r="B168" s="49"/>
      <c r="C168" s="36"/>
      <c r="D168" s="50"/>
      <c r="E168" s="36"/>
      <c r="F168" s="36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ht="15" hidden="1" customHeight="1" spans="1:20">
      <c r="A169" s="14">
        <v>165</v>
      </c>
      <c r="B169" s="41"/>
      <c r="C169" s="14"/>
      <c r="D169" s="15"/>
      <c r="E169" s="14"/>
      <c r="F169" s="14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ht="15" hidden="1" customHeight="1" spans="1:20">
      <c r="A170" s="36">
        <v>166</v>
      </c>
      <c r="B170" s="49"/>
      <c r="C170" s="36"/>
      <c r="D170" s="50"/>
      <c r="E170" s="36"/>
      <c r="F170" s="36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ht="15" hidden="1" customHeight="1" spans="1:20">
      <c r="A171" s="14">
        <v>167</v>
      </c>
      <c r="B171" s="41"/>
      <c r="C171" s="14"/>
      <c r="D171" s="15"/>
      <c r="E171" s="14"/>
      <c r="F171" s="14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ht="15" hidden="1" customHeight="1" spans="1:20">
      <c r="A172" s="36">
        <v>168</v>
      </c>
      <c r="B172" s="49"/>
      <c r="C172" s="36"/>
      <c r="D172" s="50"/>
      <c r="E172" s="36"/>
      <c r="F172" s="36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ht="15" hidden="1" customHeight="1" spans="1:20">
      <c r="A173" s="14">
        <v>169</v>
      </c>
      <c r="B173" s="41"/>
      <c r="C173" s="14"/>
      <c r="D173" s="15"/>
      <c r="E173" s="14"/>
      <c r="F173" s="14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ht="15" hidden="1" customHeight="1" spans="1:20">
      <c r="A174" s="36">
        <v>170</v>
      </c>
      <c r="B174" s="49"/>
      <c r="C174" s="36"/>
      <c r="D174" s="50"/>
      <c r="E174" s="36"/>
      <c r="F174" s="36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ht="15" hidden="1" customHeight="1" spans="1:20">
      <c r="A175" s="14">
        <v>171</v>
      </c>
      <c r="B175" s="41"/>
      <c r="C175" s="14"/>
      <c r="D175" s="15"/>
      <c r="E175" s="14"/>
      <c r="F175" s="14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ht="15" hidden="1" customHeight="1" spans="1:20">
      <c r="A176" s="36">
        <v>172</v>
      </c>
      <c r="B176" s="49"/>
      <c r="C176" s="36"/>
      <c r="D176" s="50"/>
      <c r="E176" s="36"/>
      <c r="F176" s="36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ht="15" hidden="1" customHeight="1" spans="1:20">
      <c r="A177" s="14">
        <v>173</v>
      </c>
      <c r="B177" s="41"/>
      <c r="C177" s="14"/>
      <c r="D177" s="15"/>
      <c r="E177" s="14"/>
      <c r="F177" s="14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ht="15" hidden="1" customHeight="1" spans="1:20">
      <c r="A178" s="36">
        <v>174</v>
      </c>
      <c r="B178" s="49"/>
      <c r="C178" s="36"/>
      <c r="D178" s="50"/>
      <c r="E178" s="36"/>
      <c r="F178" s="36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ht="15" hidden="1" customHeight="1" spans="1:20">
      <c r="A179" s="14">
        <v>175</v>
      </c>
      <c r="B179" s="41"/>
      <c r="C179" s="14"/>
      <c r="D179" s="15"/>
      <c r="E179" s="14"/>
      <c r="F179" s="14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ht="15" hidden="1" customHeight="1" spans="1:20">
      <c r="A180" s="36">
        <v>176</v>
      </c>
      <c r="B180" s="49"/>
      <c r="C180" s="36"/>
      <c r="D180" s="50"/>
      <c r="E180" s="36"/>
      <c r="F180" s="36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ht="15" hidden="1" customHeight="1" spans="1:20">
      <c r="A181" s="14">
        <v>177</v>
      </c>
      <c r="B181" s="41"/>
      <c r="C181" s="14"/>
      <c r="D181" s="15"/>
      <c r="E181" s="14"/>
      <c r="F181" s="14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ht="15" hidden="1" customHeight="1" spans="1:20">
      <c r="A182" s="36">
        <v>178</v>
      </c>
      <c r="B182" s="49"/>
      <c r="C182" s="36"/>
      <c r="D182" s="50"/>
      <c r="E182" s="36"/>
      <c r="F182" s="36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ht="15" hidden="1" customHeight="1" spans="1:20">
      <c r="A183" s="14">
        <v>179</v>
      </c>
      <c r="B183" s="41"/>
      <c r="C183" s="14"/>
      <c r="D183" s="15"/>
      <c r="E183" s="14"/>
      <c r="F183" s="14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ht="15" hidden="1" customHeight="1" spans="1:20">
      <c r="A184" s="36">
        <v>180</v>
      </c>
      <c r="B184" s="49"/>
      <c r="C184" s="36"/>
      <c r="D184" s="50"/>
      <c r="E184" s="36"/>
      <c r="F184" s="36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ht="15" hidden="1" customHeight="1" spans="1:20">
      <c r="A185" s="14">
        <v>181</v>
      </c>
      <c r="B185" s="41"/>
      <c r="C185" s="14"/>
      <c r="D185" s="15"/>
      <c r="E185" s="14"/>
      <c r="F185" s="14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ht="15" hidden="1" customHeight="1" spans="1:20">
      <c r="A186" s="36">
        <v>182</v>
      </c>
      <c r="B186" s="49"/>
      <c r="C186" s="36"/>
      <c r="D186" s="50"/>
      <c r="E186" s="36"/>
      <c r="F186" s="36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ht="15" hidden="1" customHeight="1" spans="1:20">
      <c r="A187" s="14">
        <v>183</v>
      </c>
      <c r="B187" s="41"/>
      <c r="C187" s="14"/>
      <c r="D187" s="15"/>
      <c r="E187" s="14"/>
      <c r="F187" s="14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ht="15" hidden="1" customHeight="1" spans="1:20">
      <c r="A188" s="36">
        <v>184</v>
      </c>
      <c r="B188" s="49"/>
      <c r="C188" s="36"/>
      <c r="D188" s="50"/>
      <c r="E188" s="36"/>
      <c r="F188" s="36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ht="15" hidden="1" customHeight="1" spans="1:20">
      <c r="A189" s="14">
        <v>185</v>
      </c>
      <c r="B189" s="41"/>
      <c r="C189" s="14"/>
      <c r="D189" s="15"/>
      <c r="E189" s="14"/>
      <c r="F189" s="14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ht="15" hidden="1" customHeight="1" spans="1:20">
      <c r="A190" s="36">
        <v>186</v>
      </c>
      <c r="B190" s="49"/>
      <c r="C190" s="36"/>
      <c r="D190" s="50"/>
      <c r="E190" s="36"/>
      <c r="F190" s="36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ht="15" hidden="1" customHeight="1" spans="1:20">
      <c r="A191" s="14">
        <v>187</v>
      </c>
      <c r="B191" s="41"/>
      <c r="C191" s="14"/>
      <c r="D191" s="15"/>
      <c r="E191" s="14"/>
      <c r="F191" s="14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ht="15" hidden="1" customHeight="1" spans="1:20">
      <c r="A192" s="36">
        <v>188</v>
      </c>
      <c r="B192" s="49"/>
      <c r="C192" s="36"/>
      <c r="D192" s="50"/>
      <c r="E192" s="36"/>
      <c r="F192" s="36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ht="15" hidden="1" customHeight="1" spans="1:20">
      <c r="A193" s="14">
        <v>189</v>
      </c>
      <c r="B193" s="41"/>
      <c r="C193" s="14"/>
      <c r="D193" s="15"/>
      <c r="E193" s="14"/>
      <c r="F193" s="14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ht="15" hidden="1" customHeight="1" spans="1:20">
      <c r="A194" s="36">
        <v>190</v>
      </c>
      <c r="B194" s="49"/>
      <c r="C194" s="36"/>
      <c r="D194" s="50"/>
      <c r="E194" s="36"/>
      <c r="F194" s="36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ht="15" hidden="1" customHeight="1" spans="1:20">
      <c r="A195" s="14">
        <v>191</v>
      </c>
      <c r="B195" s="41"/>
      <c r="C195" s="14"/>
      <c r="D195" s="15"/>
      <c r="E195" s="14"/>
      <c r="F195" s="14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ht="15" hidden="1" customHeight="1" spans="1:20">
      <c r="A196" s="36">
        <v>192</v>
      </c>
      <c r="B196" s="49"/>
      <c r="C196" s="36"/>
      <c r="D196" s="50"/>
      <c r="E196" s="36"/>
      <c r="F196" s="36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ht="15" hidden="1" customHeight="1" spans="1:20">
      <c r="A197" s="14">
        <v>193</v>
      </c>
      <c r="B197" s="41"/>
      <c r="C197" s="14"/>
      <c r="D197" s="15"/>
      <c r="E197" s="14"/>
      <c r="F197" s="14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ht="15" hidden="1" customHeight="1" spans="1:20">
      <c r="A198" s="36">
        <v>194</v>
      </c>
      <c r="B198" s="49"/>
      <c r="C198" s="36"/>
      <c r="D198" s="50"/>
      <c r="E198" s="36"/>
      <c r="F198" s="36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ht="15" hidden="1" customHeight="1" spans="1:20">
      <c r="A199" s="14">
        <v>195</v>
      </c>
      <c r="B199" s="41"/>
      <c r="C199" s="14"/>
      <c r="D199" s="15"/>
      <c r="E199" s="14"/>
      <c r="F199" s="14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ht="15" hidden="1" customHeight="1" spans="1:20">
      <c r="A200" s="36">
        <v>196</v>
      </c>
      <c r="B200" s="49"/>
      <c r="C200" s="36"/>
      <c r="D200" s="50"/>
      <c r="E200" s="36"/>
      <c r="F200" s="36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ht="15" hidden="1" customHeight="1" spans="1:20">
      <c r="A201" s="14">
        <v>197</v>
      </c>
      <c r="B201" s="41"/>
      <c r="C201" s="14"/>
      <c r="D201" s="15"/>
      <c r="E201" s="14"/>
      <c r="F201" s="14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  <row r="202" ht="15" hidden="1" customHeight="1" spans="1:20">
      <c r="A202" s="36">
        <v>198</v>
      </c>
      <c r="B202" s="49"/>
      <c r="C202" s="36"/>
      <c r="D202" s="50"/>
      <c r="E202" s="36"/>
      <c r="F202" s="36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</row>
    <row r="203" ht="15" hidden="1" customHeight="1" spans="1:20">
      <c r="A203" s="14">
        <v>199</v>
      </c>
      <c r="B203" s="41"/>
      <c r="C203" s="14"/>
      <c r="D203" s="15"/>
      <c r="E203" s="14"/>
      <c r="F203" s="14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</row>
    <row r="204" ht="15" hidden="1" customHeight="1" spans="1:20">
      <c r="A204" s="36">
        <v>200</v>
      </c>
      <c r="B204" s="49"/>
      <c r="C204" s="36"/>
      <c r="D204" s="50"/>
      <c r="E204" s="36"/>
      <c r="F204" s="36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</row>
  </sheetData>
  <autoFilter xmlns:etc="http://www.wps.cn/officeDocument/2017/etCustomData" ref="A3:T204" etc:filterBottomFollowUsedRange="0">
    <filterColumn colId="2">
      <filters>
        <filter val="崇贤粤客隆"/>
        <filter val="城北街隆兴商行"/>
        <filter val="兴莲隆兴商行"/>
        <filter val="隆坪美林副食"/>
      </filters>
    </filterColumn>
    <extLst/>
  </autoFilter>
  <mergeCells count="2">
    <mergeCell ref="A1:F1"/>
    <mergeCell ref="A2:F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H254"/>
  <sheetViews>
    <sheetView workbookViewId="0">
      <pane ySplit="3" topLeftCell="A4" activePane="bottomLeft" state="frozen"/>
      <selection/>
      <selection pane="bottomLeft" activeCell="E100" sqref="E100"/>
    </sheetView>
  </sheetViews>
  <sheetFormatPr defaultColWidth="14" defaultRowHeight="12" outlineLevelCol="7"/>
  <cols>
    <col min="1" max="1" width="10.5714285714286" style="35" customWidth="1"/>
    <col min="2" max="2" width="12" style="35" customWidth="1"/>
    <col min="3" max="3" width="17.8571428571429" style="35" customWidth="1"/>
    <col min="4" max="4" width="12" style="35" customWidth="1"/>
    <col min="5" max="5" width="17" style="35" customWidth="1"/>
    <col min="6" max="6" width="19.8571428571429" style="35" customWidth="1"/>
    <col min="7" max="7" width="39" style="35" customWidth="1"/>
    <col min="8" max="8" width="17.7142857142857" style="35" customWidth="1"/>
    <col min="9" max="16384" width="14" style="35"/>
  </cols>
  <sheetData>
    <row r="1" ht="15" customHeight="1" spans="1:8">
      <c r="A1" s="27" t="s">
        <v>183</v>
      </c>
      <c r="B1" s="27"/>
      <c r="C1" s="27"/>
      <c r="D1" s="27"/>
      <c r="E1" s="27"/>
      <c r="F1" s="27"/>
      <c r="G1" s="27"/>
      <c r="H1" s="27"/>
    </row>
    <row r="2" ht="15" customHeight="1" spans="1:8">
      <c r="A2" s="27" t="s">
        <v>184</v>
      </c>
      <c r="B2" s="27"/>
      <c r="C2" s="27"/>
      <c r="D2" s="27"/>
      <c r="E2" s="27"/>
      <c r="F2" s="27"/>
      <c r="G2" s="27"/>
      <c r="H2" s="27"/>
    </row>
    <row r="3" ht="15" customHeight="1" spans="1:8">
      <c r="A3" s="40" t="s">
        <v>2</v>
      </c>
      <c r="B3" s="40" t="s">
        <v>185</v>
      </c>
      <c r="C3" s="40" t="s">
        <v>3</v>
      </c>
      <c r="D3" s="40" t="s">
        <v>94</v>
      </c>
      <c r="E3" s="40" t="s">
        <v>186</v>
      </c>
      <c r="F3" s="40" t="s">
        <v>187</v>
      </c>
      <c r="G3" s="40" t="s">
        <v>188</v>
      </c>
      <c r="H3" s="40" t="s">
        <v>98</v>
      </c>
    </row>
    <row r="4" ht="15" hidden="1" customHeight="1" spans="1:8">
      <c r="A4" s="14">
        <v>1</v>
      </c>
      <c r="B4" s="41">
        <v>46198</v>
      </c>
      <c r="C4" s="12" t="s">
        <v>13</v>
      </c>
      <c r="D4" s="12" t="s">
        <v>111</v>
      </c>
      <c r="E4" s="12">
        <v>282</v>
      </c>
      <c r="F4" s="13">
        <v>50</v>
      </c>
      <c r="G4" s="15">
        <f t="shared" ref="G4:G9" si="0">IF(AND(E4&lt;&gt;"",F4&lt;&gt;""),E4*F4,"")</f>
        <v>14100</v>
      </c>
      <c r="H4" s="14"/>
    </row>
    <row r="5" ht="15" hidden="1" customHeight="1" spans="1:8">
      <c r="A5" s="14">
        <v>2</v>
      </c>
      <c r="B5" s="41">
        <v>46198</v>
      </c>
      <c r="C5" s="12" t="s">
        <v>13</v>
      </c>
      <c r="D5" s="14" t="s">
        <v>99</v>
      </c>
      <c r="E5" s="14">
        <v>83</v>
      </c>
      <c r="F5" s="15">
        <v>65</v>
      </c>
      <c r="G5" s="15">
        <f t="shared" si="0"/>
        <v>5395</v>
      </c>
      <c r="H5" s="14"/>
    </row>
    <row r="6" ht="15" hidden="1" customHeight="1" spans="1:8">
      <c r="A6" s="14">
        <v>3</v>
      </c>
      <c r="B6" s="41">
        <v>46198</v>
      </c>
      <c r="C6" s="12" t="s">
        <v>13</v>
      </c>
      <c r="D6" s="12" t="s">
        <v>102</v>
      </c>
      <c r="E6" s="12">
        <v>142</v>
      </c>
      <c r="F6" s="13">
        <v>55</v>
      </c>
      <c r="G6" s="15">
        <f t="shared" si="0"/>
        <v>7810</v>
      </c>
      <c r="H6" s="14"/>
    </row>
    <row r="7" ht="15" hidden="1" customHeight="1" spans="1:8">
      <c r="A7" s="14">
        <v>4</v>
      </c>
      <c r="B7" s="41">
        <v>46198</v>
      </c>
      <c r="C7" s="12" t="s">
        <v>13</v>
      </c>
      <c r="D7" s="14" t="s">
        <v>103</v>
      </c>
      <c r="E7" s="14">
        <v>118</v>
      </c>
      <c r="F7" s="15">
        <v>43</v>
      </c>
      <c r="G7" s="15">
        <f t="shared" si="0"/>
        <v>5074</v>
      </c>
      <c r="H7" s="14"/>
    </row>
    <row r="8" ht="15" hidden="1" customHeight="1" spans="1:8">
      <c r="A8" s="14">
        <v>5</v>
      </c>
      <c r="B8" s="41">
        <v>46198</v>
      </c>
      <c r="C8" s="12" t="s">
        <v>13</v>
      </c>
      <c r="D8" s="12" t="s">
        <v>108</v>
      </c>
      <c r="E8" s="12">
        <v>96</v>
      </c>
      <c r="F8" s="13">
        <v>69</v>
      </c>
      <c r="G8" s="15">
        <f t="shared" si="0"/>
        <v>6624</v>
      </c>
      <c r="H8" s="14"/>
    </row>
    <row r="9" ht="15" hidden="1" customHeight="1" spans="1:8">
      <c r="A9" s="14">
        <v>6</v>
      </c>
      <c r="B9" s="41">
        <v>46198</v>
      </c>
      <c r="C9" s="14" t="s">
        <v>14</v>
      </c>
      <c r="D9" s="14" t="s">
        <v>107</v>
      </c>
      <c r="E9" s="14">
        <v>1100</v>
      </c>
      <c r="F9" s="15">
        <v>90</v>
      </c>
      <c r="G9" s="15">
        <f t="shared" si="0"/>
        <v>99000</v>
      </c>
      <c r="H9" s="14"/>
    </row>
    <row r="10" ht="16.5" hidden="1" spans="1:8">
      <c r="A10" s="14">
        <v>7</v>
      </c>
      <c r="B10" s="41">
        <v>46198</v>
      </c>
      <c r="C10" s="12" t="s">
        <v>15</v>
      </c>
      <c r="D10" s="12" t="s">
        <v>107</v>
      </c>
      <c r="E10" s="12">
        <v>6531</v>
      </c>
      <c r="F10" s="13">
        <v>90</v>
      </c>
      <c r="G10" s="15">
        <f t="shared" ref="G10:G41" si="1">IF(AND(E10&lt;&gt;"",F10&lt;&gt;""),E10*F10,"")</f>
        <v>587790</v>
      </c>
      <c r="H10" s="27"/>
    </row>
    <row r="11" ht="16.5" hidden="1" spans="1:8">
      <c r="A11" s="14">
        <v>8</v>
      </c>
      <c r="B11" s="41">
        <v>46198</v>
      </c>
      <c r="C11" s="12" t="s">
        <v>15</v>
      </c>
      <c r="D11" s="14" t="s">
        <v>102</v>
      </c>
      <c r="E11" s="14">
        <v>625</v>
      </c>
      <c r="F11" s="15">
        <v>55</v>
      </c>
      <c r="G11" s="15">
        <f t="shared" si="1"/>
        <v>34375</v>
      </c>
      <c r="H11" s="27"/>
    </row>
    <row r="12" ht="16.5" hidden="1" spans="1:8">
      <c r="A12" s="14">
        <v>9</v>
      </c>
      <c r="B12" s="41">
        <v>46198</v>
      </c>
      <c r="C12" s="12" t="s">
        <v>15</v>
      </c>
      <c r="D12" s="12" t="s">
        <v>99</v>
      </c>
      <c r="E12" s="12">
        <v>604</v>
      </c>
      <c r="F12" s="13">
        <v>65</v>
      </c>
      <c r="G12" s="15">
        <f t="shared" si="1"/>
        <v>39260</v>
      </c>
      <c r="H12" s="27"/>
    </row>
    <row r="13" ht="16.5" hidden="1" spans="1:8">
      <c r="A13" s="14">
        <v>10</v>
      </c>
      <c r="B13" s="41">
        <v>46198</v>
      </c>
      <c r="C13" s="12" t="s">
        <v>15</v>
      </c>
      <c r="D13" s="14" t="s">
        <v>101</v>
      </c>
      <c r="E13" s="14">
        <v>906</v>
      </c>
      <c r="F13" s="15">
        <v>47</v>
      </c>
      <c r="G13" s="15">
        <f t="shared" si="1"/>
        <v>42582</v>
      </c>
      <c r="H13" s="27"/>
    </row>
    <row r="14" ht="16.5" hidden="1" spans="1:8">
      <c r="A14" s="14">
        <v>11</v>
      </c>
      <c r="B14" s="41">
        <v>46198</v>
      </c>
      <c r="C14" s="12" t="s">
        <v>15</v>
      </c>
      <c r="D14" s="12" t="s">
        <v>104</v>
      </c>
      <c r="E14" s="12">
        <v>236</v>
      </c>
      <c r="F14" s="13">
        <v>83</v>
      </c>
      <c r="G14" s="15">
        <f t="shared" si="1"/>
        <v>19588</v>
      </c>
      <c r="H14" s="27"/>
    </row>
    <row r="15" ht="16.5" hidden="1" spans="1:8">
      <c r="A15" s="14">
        <v>12</v>
      </c>
      <c r="B15" s="41">
        <v>46198</v>
      </c>
      <c r="C15" s="12" t="s">
        <v>15</v>
      </c>
      <c r="D15" s="14" t="s">
        <v>108</v>
      </c>
      <c r="E15" s="14">
        <v>152</v>
      </c>
      <c r="F15" s="15">
        <v>69</v>
      </c>
      <c r="G15" s="15">
        <f t="shared" si="1"/>
        <v>10488</v>
      </c>
      <c r="H15" s="27"/>
    </row>
    <row r="16" ht="16.5" hidden="1" spans="1:8">
      <c r="A16" s="14">
        <v>13</v>
      </c>
      <c r="B16" s="41">
        <v>46198</v>
      </c>
      <c r="C16" s="12" t="s">
        <v>15</v>
      </c>
      <c r="D16" s="12" t="s">
        <v>103</v>
      </c>
      <c r="E16" s="12">
        <v>78</v>
      </c>
      <c r="F16" s="13">
        <v>43</v>
      </c>
      <c r="G16" s="15">
        <f t="shared" si="1"/>
        <v>3354</v>
      </c>
      <c r="H16" s="27"/>
    </row>
    <row r="17" ht="16.5" hidden="1" spans="1:8">
      <c r="A17" s="14">
        <v>14</v>
      </c>
      <c r="B17" s="41">
        <v>46198</v>
      </c>
      <c r="C17" s="12" t="s">
        <v>15</v>
      </c>
      <c r="D17" s="14" t="s">
        <v>105</v>
      </c>
      <c r="E17" s="14">
        <v>134</v>
      </c>
      <c r="F17" s="15">
        <v>90</v>
      </c>
      <c r="G17" s="15">
        <f t="shared" si="1"/>
        <v>12060</v>
      </c>
      <c r="H17" s="27"/>
    </row>
    <row r="18" ht="16.5" hidden="1" spans="1:8">
      <c r="A18" s="14">
        <v>15</v>
      </c>
      <c r="B18" s="41">
        <v>46198</v>
      </c>
      <c r="C18" s="12" t="s">
        <v>15</v>
      </c>
      <c r="D18" s="12" t="s">
        <v>129</v>
      </c>
      <c r="E18" s="12">
        <v>30</v>
      </c>
      <c r="F18" s="13">
        <v>32</v>
      </c>
      <c r="G18" s="15">
        <f t="shared" si="1"/>
        <v>960</v>
      </c>
      <c r="H18" s="27"/>
    </row>
    <row r="19" ht="16.5" hidden="1" spans="1:8">
      <c r="A19" s="14">
        <v>16</v>
      </c>
      <c r="B19" s="41">
        <v>46198</v>
      </c>
      <c r="C19" s="12" t="s">
        <v>15</v>
      </c>
      <c r="D19" s="14" t="s">
        <v>189</v>
      </c>
      <c r="E19" s="14">
        <v>45</v>
      </c>
      <c r="F19" s="15">
        <v>51</v>
      </c>
      <c r="G19" s="15">
        <f t="shared" si="1"/>
        <v>2295</v>
      </c>
      <c r="H19" s="27"/>
    </row>
    <row r="20" ht="16.5" hidden="1" spans="1:8">
      <c r="A20" s="14">
        <v>17</v>
      </c>
      <c r="B20" s="41">
        <v>46198</v>
      </c>
      <c r="C20" s="12" t="s">
        <v>15</v>
      </c>
      <c r="D20" s="12" t="s">
        <v>112</v>
      </c>
      <c r="E20" s="12">
        <v>720</v>
      </c>
      <c r="F20" s="13">
        <v>52</v>
      </c>
      <c r="G20" s="15">
        <f t="shared" si="1"/>
        <v>37440</v>
      </c>
      <c r="H20" s="27"/>
    </row>
    <row r="21" ht="16.5" hidden="1" spans="1:8">
      <c r="A21" s="14">
        <v>18</v>
      </c>
      <c r="B21" s="41">
        <v>46198</v>
      </c>
      <c r="C21" s="12" t="s">
        <v>15</v>
      </c>
      <c r="D21" s="14" t="s">
        <v>121</v>
      </c>
      <c r="E21" s="14">
        <v>56</v>
      </c>
      <c r="F21" s="15">
        <v>60</v>
      </c>
      <c r="G21" s="15">
        <f t="shared" si="1"/>
        <v>3360</v>
      </c>
      <c r="H21" s="27"/>
    </row>
    <row r="22" ht="16.5" hidden="1" spans="1:8">
      <c r="A22" s="14">
        <v>19</v>
      </c>
      <c r="B22" s="41">
        <v>46198</v>
      </c>
      <c r="C22" s="12" t="s">
        <v>15</v>
      </c>
      <c r="D22" s="12" t="s">
        <v>124</v>
      </c>
      <c r="E22" s="12">
        <v>278</v>
      </c>
      <c r="F22" s="13">
        <v>20</v>
      </c>
      <c r="G22" s="15">
        <f t="shared" si="1"/>
        <v>5560</v>
      </c>
      <c r="H22" s="27"/>
    </row>
    <row r="23" ht="16.5" hidden="1" spans="1:8">
      <c r="A23" s="14">
        <v>20</v>
      </c>
      <c r="B23" s="41">
        <v>46198</v>
      </c>
      <c r="C23" s="14" t="s">
        <v>16</v>
      </c>
      <c r="D23" s="14" t="s">
        <v>107</v>
      </c>
      <c r="E23" s="14">
        <v>4275</v>
      </c>
      <c r="F23" s="15">
        <v>90</v>
      </c>
      <c r="G23" s="15">
        <f t="shared" si="1"/>
        <v>384750</v>
      </c>
      <c r="H23" s="27"/>
    </row>
    <row r="24" ht="16.5" hidden="1" spans="1:8">
      <c r="A24" s="14">
        <v>21</v>
      </c>
      <c r="B24" s="41">
        <v>46198</v>
      </c>
      <c r="C24" s="14" t="s">
        <v>16</v>
      </c>
      <c r="D24" s="12" t="s">
        <v>99</v>
      </c>
      <c r="E24" s="12">
        <v>792</v>
      </c>
      <c r="F24" s="13">
        <v>65</v>
      </c>
      <c r="G24" s="15">
        <f t="shared" si="1"/>
        <v>51480</v>
      </c>
      <c r="H24" s="27"/>
    </row>
    <row r="25" ht="16.5" hidden="1" spans="1:8">
      <c r="A25" s="14">
        <v>22</v>
      </c>
      <c r="B25" s="41">
        <v>46198</v>
      </c>
      <c r="C25" s="14" t="s">
        <v>16</v>
      </c>
      <c r="D25" s="14" t="s">
        <v>102</v>
      </c>
      <c r="E25" s="14">
        <v>1506</v>
      </c>
      <c r="F25" s="15">
        <v>55</v>
      </c>
      <c r="G25" s="15">
        <f t="shared" si="1"/>
        <v>82830</v>
      </c>
      <c r="H25" s="27"/>
    </row>
    <row r="26" ht="16.5" hidden="1" spans="1:8">
      <c r="A26" s="14">
        <v>23</v>
      </c>
      <c r="B26" s="41">
        <v>46198</v>
      </c>
      <c r="C26" s="14" t="s">
        <v>16</v>
      </c>
      <c r="D26" s="12" t="s">
        <v>190</v>
      </c>
      <c r="E26" s="12">
        <v>132</v>
      </c>
      <c r="F26" s="13">
        <v>90</v>
      </c>
      <c r="G26" s="15">
        <f t="shared" si="1"/>
        <v>11880</v>
      </c>
      <c r="H26" s="27"/>
    </row>
    <row r="27" ht="16.5" hidden="1" spans="1:8">
      <c r="A27" s="14">
        <v>24</v>
      </c>
      <c r="B27" s="41">
        <v>46198</v>
      </c>
      <c r="C27" s="14" t="s">
        <v>16</v>
      </c>
      <c r="D27" s="14" t="s">
        <v>104</v>
      </c>
      <c r="E27" s="14">
        <v>306</v>
      </c>
      <c r="F27" s="15">
        <v>83</v>
      </c>
      <c r="G27" s="15">
        <f t="shared" si="1"/>
        <v>25398</v>
      </c>
      <c r="H27" s="27"/>
    </row>
    <row r="28" ht="16.5" hidden="1" spans="1:8">
      <c r="A28" s="14">
        <v>25</v>
      </c>
      <c r="B28" s="41">
        <v>46198</v>
      </c>
      <c r="C28" s="14" t="s">
        <v>16</v>
      </c>
      <c r="D28" s="12" t="s">
        <v>103</v>
      </c>
      <c r="E28" s="12">
        <v>314</v>
      </c>
      <c r="F28" s="13">
        <v>43</v>
      </c>
      <c r="G28" s="15">
        <f t="shared" si="1"/>
        <v>13502</v>
      </c>
      <c r="H28" s="27"/>
    </row>
    <row r="29" ht="16.5" hidden="1" spans="1:8">
      <c r="A29" s="14">
        <v>26</v>
      </c>
      <c r="B29" s="41">
        <v>46198</v>
      </c>
      <c r="C29" s="14" t="s">
        <v>16</v>
      </c>
      <c r="D29" s="14" t="s">
        <v>108</v>
      </c>
      <c r="E29" s="14">
        <v>442</v>
      </c>
      <c r="F29" s="15">
        <v>69</v>
      </c>
      <c r="G29" s="15">
        <f t="shared" si="1"/>
        <v>30498</v>
      </c>
      <c r="H29" s="27"/>
    </row>
    <row r="30" ht="16.5" hidden="1" spans="1:8">
      <c r="A30" s="14">
        <v>27</v>
      </c>
      <c r="B30" s="41">
        <v>46198</v>
      </c>
      <c r="C30" s="14" t="s">
        <v>16</v>
      </c>
      <c r="D30" s="12" t="s">
        <v>101</v>
      </c>
      <c r="E30" s="12">
        <v>166</v>
      </c>
      <c r="F30" s="13">
        <v>47</v>
      </c>
      <c r="G30" s="15">
        <f t="shared" si="1"/>
        <v>7802</v>
      </c>
      <c r="H30" s="27"/>
    </row>
    <row r="31" ht="16.5" hidden="1" spans="1:8">
      <c r="A31" s="14">
        <v>28</v>
      </c>
      <c r="B31" s="41">
        <v>46198</v>
      </c>
      <c r="C31" s="14" t="s">
        <v>16</v>
      </c>
      <c r="D31" s="14" t="s">
        <v>129</v>
      </c>
      <c r="E31" s="14">
        <v>30</v>
      </c>
      <c r="F31" s="15">
        <v>33</v>
      </c>
      <c r="G31" s="15">
        <f t="shared" si="1"/>
        <v>990</v>
      </c>
      <c r="H31" s="27"/>
    </row>
    <row r="32" ht="16.5" hidden="1" spans="1:8">
      <c r="A32" s="14">
        <v>29</v>
      </c>
      <c r="B32" s="41">
        <v>46198</v>
      </c>
      <c r="C32" s="14" t="s">
        <v>16</v>
      </c>
      <c r="D32" s="12" t="s">
        <v>109</v>
      </c>
      <c r="E32" s="12">
        <v>40</v>
      </c>
      <c r="F32" s="13">
        <v>47</v>
      </c>
      <c r="G32" s="15">
        <f t="shared" si="1"/>
        <v>1880</v>
      </c>
      <c r="H32" s="27"/>
    </row>
    <row r="33" ht="16.5" hidden="1" spans="1:8">
      <c r="A33" s="14">
        <v>30</v>
      </c>
      <c r="B33" s="41">
        <v>46198</v>
      </c>
      <c r="C33" s="14" t="s">
        <v>16</v>
      </c>
      <c r="D33" s="14" t="s">
        <v>100</v>
      </c>
      <c r="E33" s="14">
        <v>114</v>
      </c>
      <c r="F33" s="15">
        <v>48</v>
      </c>
      <c r="G33" s="15">
        <f t="shared" si="1"/>
        <v>5472</v>
      </c>
      <c r="H33" s="27"/>
    </row>
    <row r="34" ht="16.5" hidden="1" spans="1:8">
      <c r="A34" s="14">
        <v>31</v>
      </c>
      <c r="B34" s="41">
        <v>46198</v>
      </c>
      <c r="C34" s="12" t="s">
        <v>17</v>
      </c>
      <c r="D34" s="12" t="s">
        <v>102</v>
      </c>
      <c r="E34" s="12">
        <v>100</v>
      </c>
      <c r="F34" s="13">
        <v>55</v>
      </c>
      <c r="G34" s="15">
        <f t="shared" si="1"/>
        <v>5500</v>
      </c>
      <c r="H34" s="27"/>
    </row>
    <row r="35" ht="16.5" hidden="1" spans="1:8">
      <c r="A35" s="14">
        <v>32</v>
      </c>
      <c r="B35" s="41">
        <v>46198</v>
      </c>
      <c r="C35" s="12" t="s">
        <v>17</v>
      </c>
      <c r="D35" s="14" t="s">
        <v>108</v>
      </c>
      <c r="E35" s="14">
        <v>50</v>
      </c>
      <c r="F35" s="15">
        <v>69</v>
      </c>
      <c r="G35" s="15">
        <f t="shared" si="1"/>
        <v>3450</v>
      </c>
      <c r="H35" s="27"/>
    </row>
    <row r="36" ht="16.5" hidden="1" spans="1:8">
      <c r="A36" s="14">
        <v>33</v>
      </c>
      <c r="B36" s="41">
        <v>46198</v>
      </c>
      <c r="C36" s="12" t="s">
        <v>18</v>
      </c>
      <c r="D36" s="12" t="s">
        <v>107</v>
      </c>
      <c r="E36" s="12">
        <v>1300</v>
      </c>
      <c r="F36" s="13">
        <v>90</v>
      </c>
      <c r="G36" s="15">
        <f t="shared" si="1"/>
        <v>117000</v>
      </c>
      <c r="H36" s="27"/>
    </row>
    <row r="37" ht="16.5" hidden="1" spans="1:8">
      <c r="A37" s="14">
        <v>34</v>
      </c>
      <c r="B37" s="41">
        <v>46198</v>
      </c>
      <c r="C37" s="12" t="s">
        <v>18</v>
      </c>
      <c r="D37" s="14" t="s">
        <v>99</v>
      </c>
      <c r="E37" s="14">
        <v>230</v>
      </c>
      <c r="F37" s="15">
        <v>65</v>
      </c>
      <c r="G37" s="15">
        <f t="shared" si="1"/>
        <v>14950</v>
      </c>
      <c r="H37" s="27"/>
    </row>
    <row r="38" ht="16.5" hidden="1" spans="1:8">
      <c r="A38" s="14">
        <v>35</v>
      </c>
      <c r="B38" s="41">
        <v>46198</v>
      </c>
      <c r="C38" s="12" t="s">
        <v>18</v>
      </c>
      <c r="D38" s="12" t="s">
        <v>102</v>
      </c>
      <c r="E38" s="12">
        <v>695</v>
      </c>
      <c r="F38" s="15">
        <v>55</v>
      </c>
      <c r="G38" s="15">
        <f t="shared" si="1"/>
        <v>38225</v>
      </c>
      <c r="H38" s="27"/>
    </row>
    <row r="39" ht="16.5" hidden="1" spans="1:8">
      <c r="A39" s="14">
        <v>36</v>
      </c>
      <c r="B39" s="41">
        <v>46198</v>
      </c>
      <c r="C39" s="12" t="s">
        <v>18</v>
      </c>
      <c r="D39" s="14" t="s">
        <v>101</v>
      </c>
      <c r="E39" s="14">
        <v>-310</v>
      </c>
      <c r="F39" s="13">
        <v>47</v>
      </c>
      <c r="G39" s="15">
        <f t="shared" si="1"/>
        <v>-14570</v>
      </c>
      <c r="H39" s="27"/>
    </row>
    <row r="40" ht="16.5" hidden="1" spans="1:8">
      <c r="A40" s="14">
        <v>37</v>
      </c>
      <c r="B40" s="41">
        <v>46198</v>
      </c>
      <c r="C40" s="12" t="s">
        <v>18</v>
      </c>
      <c r="D40" s="12" t="s">
        <v>108</v>
      </c>
      <c r="E40" s="12">
        <v>70</v>
      </c>
      <c r="F40" s="15">
        <v>69</v>
      </c>
      <c r="G40" s="15">
        <f t="shared" si="1"/>
        <v>4830</v>
      </c>
      <c r="H40" s="27"/>
    </row>
    <row r="41" ht="16.5" hidden="1" spans="1:8">
      <c r="A41" s="14">
        <v>38</v>
      </c>
      <c r="B41" s="41">
        <v>46198</v>
      </c>
      <c r="C41" s="12" t="s">
        <v>18</v>
      </c>
      <c r="D41" s="14" t="s">
        <v>100</v>
      </c>
      <c r="E41" s="14">
        <v>10</v>
      </c>
      <c r="F41" s="15">
        <v>48</v>
      </c>
      <c r="G41" s="15">
        <f t="shared" si="1"/>
        <v>480</v>
      </c>
      <c r="H41" s="27"/>
    </row>
    <row r="42" ht="16.5" hidden="1" spans="1:8">
      <c r="A42" s="14">
        <v>39</v>
      </c>
      <c r="B42" s="41">
        <v>46198</v>
      </c>
      <c r="C42" s="12" t="s">
        <v>18</v>
      </c>
      <c r="D42" s="12" t="s">
        <v>103</v>
      </c>
      <c r="E42" s="12">
        <v>-50</v>
      </c>
      <c r="F42" s="13">
        <v>43</v>
      </c>
      <c r="G42" s="15">
        <f t="shared" ref="G42:G109" si="2">IF(AND(E42&lt;&gt;"",F42&lt;&gt;""),E42*F42,"")</f>
        <v>-2150</v>
      </c>
      <c r="H42" s="27"/>
    </row>
    <row r="43" ht="16.5" hidden="1" spans="1:8">
      <c r="A43" s="14">
        <v>40</v>
      </c>
      <c r="B43" s="41">
        <v>46199</v>
      </c>
      <c r="C43" s="12" t="s">
        <v>18</v>
      </c>
      <c r="D43" s="14" t="s">
        <v>107</v>
      </c>
      <c r="E43" s="14">
        <v>2300</v>
      </c>
      <c r="F43" s="13">
        <v>90</v>
      </c>
      <c r="G43" s="15">
        <f t="shared" si="2"/>
        <v>207000</v>
      </c>
      <c r="H43" s="27"/>
    </row>
    <row r="44" ht="16.5" hidden="1" spans="1:8">
      <c r="A44" s="14">
        <v>41</v>
      </c>
      <c r="B44" s="41">
        <v>46199</v>
      </c>
      <c r="C44" s="12" t="s">
        <v>18</v>
      </c>
      <c r="D44" s="12" t="s">
        <v>101</v>
      </c>
      <c r="E44" s="12">
        <v>1040</v>
      </c>
      <c r="F44" s="13">
        <v>47</v>
      </c>
      <c r="G44" s="15">
        <v>47000</v>
      </c>
      <c r="H44" s="27"/>
    </row>
    <row r="45" ht="16.5" hidden="1" spans="1:8">
      <c r="A45" s="14">
        <v>42</v>
      </c>
      <c r="B45" s="41">
        <v>46199</v>
      </c>
      <c r="C45" s="12" t="s">
        <v>18</v>
      </c>
      <c r="D45" s="14" t="s">
        <v>104</v>
      </c>
      <c r="E45" s="14">
        <v>208</v>
      </c>
      <c r="F45" s="15">
        <v>86</v>
      </c>
      <c r="G45" s="15">
        <v>16600</v>
      </c>
      <c r="H45" s="27"/>
    </row>
    <row r="46" ht="16.5" hidden="1" spans="1:8">
      <c r="A46" s="14">
        <v>43</v>
      </c>
      <c r="B46" s="41">
        <v>46199</v>
      </c>
      <c r="C46" s="12" t="s">
        <v>18</v>
      </c>
      <c r="D46" s="12" t="s">
        <v>103</v>
      </c>
      <c r="E46" s="12">
        <v>208</v>
      </c>
      <c r="F46" s="13">
        <v>43</v>
      </c>
      <c r="G46" s="15">
        <v>8600</v>
      </c>
      <c r="H46" s="27"/>
    </row>
    <row r="47" ht="16.5" hidden="1" spans="1:8">
      <c r="A47" s="14">
        <v>44</v>
      </c>
      <c r="B47" s="41">
        <v>46199</v>
      </c>
      <c r="C47" s="27" t="s">
        <v>20</v>
      </c>
      <c r="D47" s="27" t="s">
        <v>107</v>
      </c>
      <c r="E47" s="27">
        <v>200</v>
      </c>
      <c r="F47" s="27">
        <v>90</v>
      </c>
      <c r="G47" s="15">
        <f t="shared" si="2"/>
        <v>18000</v>
      </c>
      <c r="H47" s="27"/>
    </row>
    <row r="48" ht="16.5" hidden="1" spans="1:8">
      <c r="A48" s="14">
        <v>45</v>
      </c>
      <c r="B48" s="42">
        <v>46199</v>
      </c>
      <c r="C48" s="27" t="s">
        <v>21</v>
      </c>
      <c r="D48" s="27" t="s">
        <v>107</v>
      </c>
      <c r="E48" s="27">
        <v>615</v>
      </c>
      <c r="F48" s="27">
        <v>87.8</v>
      </c>
      <c r="G48" s="15">
        <v>54000</v>
      </c>
      <c r="H48" s="27"/>
    </row>
    <row r="49" ht="16.5" hidden="1" spans="1:8">
      <c r="A49" s="14">
        <v>46</v>
      </c>
      <c r="B49" s="42">
        <v>46199</v>
      </c>
      <c r="C49" s="27" t="s">
        <v>21</v>
      </c>
      <c r="D49" s="27" t="s">
        <v>99</v>
      </c>
      <c r="E49" s="27">
        <v>5</v>
      </c>
      <c r="F49" s="27">
        <v>0</v>
      </c>
      <c r="G49" s="15">
        <f t="shared" si="2"/>
        <v>0</v>
      </c>
      <c r="H49" s="27"/>
    </row>
    <row r="50" ht="16.5" hidden="1" spans="1:8">
      <c r="A50" s="14">
        <v>47</v>
      </c>
      <c r="B50" s="42">
        <v>46200</v>
      </c>
      <c r="C50" s="27" t="s">
        <v>127</v>
      </c>
      <c r="D50" s="27" t="s">
        <v>107</v>
      </c>
      <c r="E50" s="27">
        <v>162</v>
      </c>
      <c r="F50" s="27">
        <v>90</v>
      </c>
      <c r="G50" s="15">
        <f t="shared" si="2"/>
        <v>14580</v>
      </c>
      <c r="H50" s="27"/>
    </row>
    <row r="51" ht="16.5" hidden="1" spans="1:8">
      <c r="A51" s="14">
        <v>48</v>
      </c>
      <c r="B51" s="42">
        <v>46200</v>
      </c>
      <c r="C51" s="27" t="s">
        <v>127</v>
      </c>
      <c r="D51" s="27" t="s">
        <v>102</v>
      </c>
      <c r="E51" s="27">
        <v>23</v>
      </c>
      <c r="F51" s="27">
        <v>55</v>
      </c>
      <c r="G51" s="15">
        <f t="shared" si="2"/>
        <v>1265</v>
      </c>
      <c r="H51" s="27"/>
    </row>
    <row r="52" ht="16.5" hidden="1" spans="1:8">
      <c r="A52" s="14">
        <v>49</v>
      </c>
      <c r="B52" s="42">
        <v>46200</v>
      </c>
      <c r="C52" s="27" t="s">
        <v>127</v>
      </c>
      <c r="D52" s="27" t="s">
        <v>99</v>
      </c>
      <c r="E52" s="27">
        <v>23</v>
      </c>
      <c r="F52" s="27">
        <v>65</v>
      </c>
      <c r="G52" s="15">
        <f t="shared" si="2"/>
        <v>1495</v>
      </c>
      <c r="H52" s="27"/>
    </row>
    <row r="53" ht="16.5" hidden="1" spans="1:8">
      <c r="A53" s="14">
        <v>50</v>
      </c>
      <c r="B53" s="42">
        <v>46200</v>
      </c>
      <c r="C53" s="27" t="s">
        <v>127</v>
      </c>
      <c r="D53" s="27" t="s">
        <v>104</v>
      </c>
      <c r="E53" s="27">
        <v>68</v>
      </c>
      <c r="F53" s="27">
        <v>83</v>
      </c>
      <c r="G53" s="15">
        <f t="shared" si="2"/>
        <v>5644</v>
      </c>
      <c r="H53" s="27"/>
    </row>
    <row r="54" ht="16.5" hidden="1" spans="1:8">
      <c r="A54" s="14">
        <v>51</v>
      </c>
      <c r="B54" s="42">
        <v>46200</v>
      </c>
      <c r="C54" s="27" t="s">
        <v>127</v>
      </c>
      <c r="D54" s="27" t="s">
        <v>108</v>
      </c>
      <c r="E54" s="27">
        <v>11</v>
      </c>
      <c r="F54" s="27">
        <v>69</v>
      </c>
      <c r="G54" s="15">
        <f t="shared" si="2"/>
        <v>759</v>
      </c>
      <c r="H54" s="27"/>
    </row>
    <row r="55" ht="16.5" hidden="1" spans="1:8">
      <c r="A55" s="14">
        <v>52</v>
      </c>
      <c r="B55" s="42">
        <v>46200</v>
      </c>
      <c r="C55" s="27" t="s">
        <v>24</v>
      </c>
      <c r="D55" s="27" t="s">
        <v>107</v>
      </c>
      <c r="E55" s="27">
        <v>300</v>
      </c>
      <c r="F55" s="27">
        <v>90</v>
      </c>
      <c r="G55" s="15">
        <f t="shared" si="2"/>
        <v>27000</v>
      </c>
      <c r="H55" s="27"/>
    </row>
    <row r="56" ht="16.5" hidden="1" spans="1:8">
      <c r="A56" s="14">
        <v>53</v>
      </c>
      <c r="B56" s="42">
        <v>46200</v>
      </c>
      <c r="C56" s="12" t="s">
        <v>26</v>
      </c>
      <c r="D56" s="12" t="s">
        <v>107</v>
      </c>
      <c r="E56" s="12">
        <v>250</v>
      </c>
      <c r="F56" s="27">
        <v>90</v>
      </c>
      <c r="G56" s="15">
        <f t="shared" si="2"/>
        <v>22500</v>
      </c>
      <c r="H56" s="27"/>
    </row>
    <row r="57" ht="16.5" hidden="1" spans="1:8">
      <c r="A57" s="14">
        <v>54</v>
      </c>
      <c r="B57" s="42">
        <v>46200</v>
      </c>
      <c r="C57" s="12" t="s">
        <v>26</v>
      </c>
      <c r="D57" s="14" t="s">
        <v>102</v>
      </c>
      <c r="E57" s="14">
        <v>150</v>
      </c>
      <c r="F57" s="27">
        <v>55</v>
      </c>
      <c r="G57" s="15">
        <f t="shared" si="2"/>
        <v>8250</v>
      </c>
      <c r="H57" s="27"/>
    </row>
    <row r="58" ht="16.5" hidden="1" spans="1:8">
      <c r="A58" s="14">
        <v>55</v>
      </c>
      <c r="B58" s="42">
        <v>46200</v>
      </c>
      <c r="C58" s="12" t="s">
        <v>26</v>
      </c>
      <c r="D58" s="12" t="s">
        <v>103</v>
      </c>
      <c r="E58" s="12">
        <v>20</v>
      </c>
      <c r="F58" s="27">
        <v>43</v>
      </c>
      <c r="G58" s="15">
        <f t="shared" si="2"/>
        <v>860</v>
      </c>
      <c r="H58" s="27"/>
    </row>
    <row r="59" ht="16.5" hidden="1" spans="1:8">
      <c r="A59" s="14">
        <v>56</v>
      </c>
      <c r="B59" s="42">
        <v>46200</v>
      </c>
      <c r="C59" s="12" t="s">
        <v>26</v>
      </c>
      <c r="D59" s="14" t="s">
        <v>104</v>
      </c>
      <c r="E59" s="14">
        <v>10</v>
      </c>
      <c r="F59" s="27">
        <v>83</v>
      </c>
      <c r="G59" s="15">
        <f t="shared" si="2"/>
        <v>830</v>
      </c>
      <c r="H59" s="27"/>
    </row>
    <row r="60" ht="16.5" hidden="1" spans="1:8">
      <c r="A60" s="14">
        <v>57</v>
      </c>
      <c r="B60" s="42">
        <v>46200</v>
      </c>
      <c r="C60" s="27" t="s">
        <v>27</v>
      </c>
      <c r="D60" s="27" t="s">
        <v>107</v>
      </c>
      <c r="E60" s="27">
        <v>170</v>
      </c>
      <c r="F60" s="27">
        <v>90</v>
      </c>
      <c r="G60" s="15">
        <f t="shared" si="2"/>
        <v>15300</v>
      </c>
      <c r="H60" s="27"/>
    </row>
    <row r="61" ht="16.5" hidden="1" spans="1:8">
      <c r="A61" s="14">
        <v>58</v>
      </c>
      <c r="B61" s="42">
        <v>46200</v>
      </c>
      <c r="C61" s="27" t="s">
        <v>28</v>
      </c>
      <c r="D61" s="27" t="s">
        <v>107</v>
      </c>
      <c r="E61" s="27">
        <v>164</v>
      </c>
      <c r="F61" s="27">
        <v>90</v>
      </c>
      <c r="G61" s="15">
        <f t="shared" si="2"/>
        <v>14760</v>
      </c>
      <c r="H61" s="27"/>
    </row>
    <row r="62" ht="16.5" hidden="1" spans="1:8">
      <c r="A62" s="14">
        <v>59</v>
      </c>
      <c r="B62" s="42">
        <v>46200</v>
      </c>
      <c r="C62" s="27" t="s">
        <v>28</v>
      </c>
      <c r="D62" s="27" t="s">
        <v>99</v>
      </c>
      <c r="E62" s="27">
        <v>40</v>
      </c>
      <c r="F62" s="27">
        <v>65</v>
      </c>
      <c r="G62" s="15">
        <f t="shared" si="2"/>
        <v>2600</v>
      </c>
      <c r="H62" s="27"/>
    </row>
    <row r="63" ht="16.5" hidden="1" spans="1:8">
      <c r="A63" s="14">
        <v>60</v>
      </c>
      <c r="B63" s="42">
        <v>46200</v>
      </c>
      <c r="C63" s="27" t="s">
        <v>28</v>
      </c>
      <c r="D63" s="27" t="s">
        <v>102</v>
      </c>
      <c r="E63" s="27">
        <v>97</v>
      </c>
      <c r="F63" s="27">
        <v>55</v>
      </c>
      <c r="G63" s="15">
        <f t="shared" si="2"/>
        <v>5335</v>
      </c>
      <c r="H63" s="27"/>
    </row>
    <row r="64" ht="16.5" hidden="1" spans="1:8">
      <c r="A64" s="14">
        <v>61</v>
      </c>
      <c r="B64" s="42">
        <v>46200</v>
      </c>
      <c r="C64" s="27" t="s">
        <v>28</v>
      </c>
      <c r="D64" s="27" t="s">
        <v>108</v>
      </c>
      <c r="E64" s="27">
        <v>64</v>
      </c>
      <c r="F64" s="27">
        <v>69</v>
      </c>
      <c r="G64" s="15">
        <f t="shared" si="2"/>
        <v>4416</v>
      </c>
      <c r="H64" s="27"/>
    </row>
    <row r="65" ht="16.5" hidden="1" spans="1:8">
      <c r="A65" s="14">
        <v>62</v>
      </c>
      <c r="B65" s="42">
        <v>46200</v>
      </c>
      <c r="C65" s="27" t="s">
        <v>28</v>
      </c>
      <c r="D65" s="27" t="s">
        <v>103</v>
      </c>
      <c r="E65" s="27">
        <v>15.5</v>
      </c>
      <c r="F65" s="27">
        <v>43</v>
      </c>
      <c r="G65" s="15">
        <f t="shared" si="2"/>
        <v>666.5</v>
      </c>
      <c r="H65" s="27"/>
    </row>
    <row r="66" ht="16.5" hidden="1" spans="1:8">
      <c r="A66" s="14">
        <v>63</v>
      </c>
      <c r="B66" s="42">
        <v>46200</v>
      </c>
      <c r="C66" s="27" t="s">
        <v>28</v>
      </c>
      <c r="D66" s="27" t="s">
        <v>111</v>
      </c>
      <c r="E66" s="27">
        <v>39</v>
      </c>
      <c r="F66" s="27">
        <v>51</v>
      </c>
      <c r="G66" s="15">
        <f t="shared" si="2"/>
        <v>1989</v>
      </c>
      <c r="H66" s="27"/>
    </row>
    <row r="67" ht="16.5" hidden="1" spans="1:8">
      <c r="A67" s="14">
        <v>64</v>
      </c>
      <c r="B67" s="42">
        <v>46200</v>
      </c>
      <c r="C67" s="27" t="s">
        <v>28</v>
      </c>
      <c r="D67" s="27" t="s">
        <v>104</v>
      </c>
      <c r="E67" s="27">
        <v>19.5</v>
      </c>
      <c r="F67" s="27">
        <v>83</v>
      </c>
      <c r="G67" s="15">
        <f t="shared" si="2"/>
        <v>1618.5</v>
      </c>
      <c r="H67" s="27"/>
    </row>
    <row r="68" ht="16.5" hidden="1" spans="1:8">
      <c r="A68" s="14">
        <v>65</v>
      </c>
      <c r="B68" s="42">
        <v>46200</v>
      </c>
      <c r="C68" s="27" t="s">
        <v>28</v>
      </c>
      <c r="D68" s="27" t="s">
        <v>124</v>
      </c>
      <c r="E68" s="27">
        <v>275.5</v>
      </c>
      <c r="F68" s="27">
        <v>20</v>
      </c>
      <c r="G68" s="15">
        <f t="shared" si="2"/>
        <v>5510</v>
      </c>
      <c r="H68" s="27"/>
    </row>
    <row r="69" ht="16.5" hidden="1" spans="1:8">
      <c r="A69" s="14">
        <v>66</v>
      </c>
      <c r="B69" s="42">
        <v>46200</v>
      </c>
      <c r="C69" s="27" t="s">
        <v>29</v>
      </c>
      <c r="D69" s="27" t="s">
        <v>107</v>
      </c>
      <c r="E69" s="27">
        <v>524</v>
      </c>
      <c r="F69" s="27">
        <v>90</v>
      </c>
      <c r="G69" s="15">
        <f t="shared" si="2"/>
        <v>47160</v>
      </c>
      <c r="H69" s="27"/>
    </row>
    <row r="70" ht="16.5" hidden="1" spans="1:8">
      <c r="A70" s="14">
        <v>67</v>
      </c>
      <c r="B70" s="42">
        <v>46200</v>
      </c>
      <c r="C70" s="27" t="s">
        <v>29</v>
      </c>
      <c r="D70" s="27" t="s">
        <v>104</v>
      </c>
      <c r="E70" s="27">
        <v>80</v>
      </c>
      <c r="F70" s="27">
        <v>83</v>
      </c>
      <c r="G70" s="15">
        <f t="shared" si="2"/>
        <v>6640</v>
      </c>
      <c r="H70" s="27"/>
    </row>
    <row r="71" ht="16.5" hidden="1" spans="1:8">
      <c r="A71" s="14">
        <v>68</v>
      </c>
      <c r="B71" s="42">
        <v>46200</v>
      </c>
      <c r="C71" s="27" t="s">
        <v>29</v>
      </c>
      <c r="D71" s="27" t="s">
        <v>101</v>
      </c>
      <c r="E71" s="27">
        <v>30</v>
      </c>
      <c r="F71" s="27">
        <v>47</v>
      </c>
      <c r="G71" s="15">
        <f t="shared" si="2"/>
        <v>1410</v>
      </c>
      <c r="H71" s="27"/>
    </row>
    <row r="72" ht="16.5" hidden="1" spans="1:8">
      <c r="A72" s="14">
        <v>69</v>
      </c>
      <c r="B72" s="42">
        <v>46200</v>
      </c>
      <c r="C72" s="27" t="s">
        <v>29</v>
      </c>
      <c r="D72" s="27" t="s">
        <v>109</v>
      </c>
      <c r="E72" s="27">
        <v>30</v>
      </c>
      <c r="F72" s="27">
        <v>47</v>
      </c>
      <c r="G72" s="15">
        <f t="shared" si="2"/>
        <v>1410</v>
      </c>
      <c r="H72" s="27"/>
    </row>
    <row r="73" ht="16.5" hidden="1" spans="1:8">
      <c r="A73" s="14">
        <v>70</v>
      </c>
      <c r="B73" s="42">
        <v>46200</v>
      </c>
      <c r="C73" s="27" t="s">
        <v>58</v>
      </c>
      <c r="D73" s="27" t="s">
        <v>107</v>
      </c>
      <c r="E73" s="27">
        <v>578</v>
      </c>
      <c r="F73" s="27">
        <v>90</v>
      </c>
      <c r="G73" s="15">
        <f t="shared" si="2"/>
        <v>52020</v>
      </c>
      <c r="H73" s="27"/>
    </row>
    <row r="74" ht="16.5" hidden="1" spans="1:8">
      <c r="A74" s="14">
        <v>71</v>
      </c>
      <c r="B74" s="42">
        <v>46200</v>
      </c>
      <c r="C74" s="27" t="s">
        <v>58</v>
      </c>
      <c r="D74" s="27" t="s">
        <v>102</v>
      </c>
      <c r="E74" s="27">
        <v>476</v>
      </c>
      <c r="F74" s="27">
        <v>55</v>
      </c>
      <c r="G74" s="15">
        <f t="shared" si="2"/>
        <v>26180</v>
      </c>
      <c r="H74" s="27"/>
    </row>
    <row r="75" ht="16.5" hidden="1" spans="1:8">
      <c r="A75" s="14">
        <v>72</v>
      </c>
      <c r="B75" s="42">
        <v>46200</v>
      </c>
      <c r="C75" s="27" t="s">
        <v>58</v>
      </c>
      <c r="D75" s="27" t="s">
        <v>99</v>
      </c>
      <c r="E75" s="27">
        <v>458</v>
      </c>
      <c r="F75" s="27">
        <v>65</v>
      </c>
      <c r="G75" s="15">
        <f t="shared" si="2"/>
        <v>29770</v>
      </c>
      <c r="H75" s="27"/>
    </row>
    <row r="76" ht="16.5" hidden="1" spans="1:8">
      <c r="A76" s="14">
        <v>73</v>
      </c>
      <c r="B76" s="42">
        <v>46200</v>
      </c>
      <c r="C76" s="27" t="s">
        <v>58</v>
      </c>
      <c r="D76" s="27" t="s">
        <v>103</v>
      </c>
      <c r="E76" s="27">
        <v>54</v>
      </c>
      <c r="F76" s="27">
        <v>43</v>
      </c>
      <c r="G76" s="15">
        <f t="shared" si="2"/>
        <v>2322</v>
      </c>
      <c r="H76" s="27"/>
    </row>
    <row r="77" ht="16.5" hidden="1" spans="1:8">
      <c r="A77" s="14">
        <v>74</v>
      </c>
      <c r="B77" s="42">
        <v>46200</v>
      </c>
      <c r="C77" s="27" t="s">
        <v>58</v>
      </c>
      <c r="D77" s="27" t="s">
        <v>104</v>
      </c>
      <c r="E77" s="27">
        <v>64</v>
      </c>
      <c r="F77" s="27">
        <v>83</v>
      </c>
      <c r="G77" s="15">
        <f t="shared" si="2"/>
        <v>5312</v>
      </c>
      <c r="H77" s="27"/>
    </row>
    <row r="78" ht="16.5" hidden="1" spans="1:8">
      <c r="A78" s="14">
        <v>75</v>
      </c>
      <c r="B78" s="42">
        <v>46200</v>
      </c>
      <c r="C78" s="27" t="s">
        <v>58</v>
      </c>
      <c r="D78" s="27" t="s">
        <v>108</v>
      </c>
      <c r="E78" s="27">
        <v>262</v>
      </c>
      <c r="F78" s="27">
        <v>69</v>
      </c>
      <c r="G78" s="15">
        <f t="shared" si="2"/>
        <v>18078</v>
      </c>
      <c r="H78" s="27"/>
    </row>
    <row r="79" ht="16.5" hidden="1" spans="1:8">
      <c r="A79" s="14">
        <v>76</v>
      </c>
      <c r="B79" s="42">
        <v>46200</v>
      </c>
      <c r="C79" s="27" t="s">
        <v>58</v>
      </c>
      <c r="D79" s="27" t="s">
        <v>189</v>
      </c>
      <c r="E79" s="27">
        <v>30</v>
      </c>
      <c r="F79" s="27">
        <v>50</v>
      </c>
      <c r="G79" s="15">
        <f t="shared" si="2"/>
        <v>1500</v>
      </c>
      <c r="H79" s="27"/>
    </row>
    <row r="80" ht="16.5" hidden="1" spans="1:8">
      <c r="A80" s="14">
        <v>77</v>
      </c>
      <c r="B80" s="42">
        <v>46200</v>
      </c>
      <c r="C80" s="27" t="s">
        <v>58</v>
      </c>
      <c r="D80" s="27" t="s">
        <v>111</v>
      </c>
      <c r="E80" s="27">
        <v>50</v>
      </c>
      <c r="F80" s="27">
        <v>51</v>
      </c>
      <c r="G80" s="15">
        <f t="shared" si="2"/>
        <v>2550</v>
      </c>
      <c r="H80" s="27"/>
    </row>
    <row r="81" ht="16.5" hidden="1" spans="1:8">
      <c r="A81" s="14">
        <v>78</v>
      </c>
      <c r="B81" s="42">
        <v>46200</v>
      </c>
      <c r="C81" s="27" t="s">
        <v>30</v>
      </c>
      <c r="D81" s="27" t="s">
        <v>107</v>
      </c>
      <c r="E81" s="27">
        <v>90</v>
      </c>
      <c r="F81" s="27">
        <v>90</v>
      </c>
      <c r="G81" s="15">
        <f t="shared" si="2"/>
        <v>8100</v>
      </c>
      <c r="H81" s="27"/>
    </row>
    <row r="82" ht="16.5" hidden="1" spans="1:8">
      <c r="A82" s="14">
        <v>79</v>
      </c>
      <c r="B82" s="42">
        <v>46200</v>
      </c>
      <c r="C82" s="27" t="s">
        <v>31</v>
      </c>
      <c r="D82" s="27" t="s">
        <v>107</v>
      </c>
      <c r="E82" s="27">
        <v>35</v>
      </c>
      <c r="F82" s="27">
        <v>90</v>
      </c>
      <c r="G82" s="15">
        <f t="shared" si="2"/>
        <v>3150</v>
      </c>
      <c r="H82" s="27"/>
    </row>
    <row r="83" ht="16.5" hidden="1" spans="1:8">
      <c r="A83" s="14">
        <v>80</v>
      </c>
      <c r="B83" s="42">
        <v>46200</v>
      </c>
      <c r="C83" s="27" t="s">
        <v>32</v>
      </c>
      <c r="D83" s="27" t="s">
        <v>107</v>
      </c>
      <c r="E83" s="27">
        <v>379</v>
      </c>
      <c r="F83" s="27">
        <v>90</v>
      </c>
      <c r="G83" s="15">
        <f t="shared" si="2"/>
        <v>34110</v>
      </c>
      <c r="H83" s="27"/>
    </row>
    <row r="84" ht="16.5" hidden="1" spans="1:8">
      <c r="A84" s="14">
        <v>81</v>
      </c>
      <c r="B84" s="42">
        <v>46200</v>
      </c>
      <c r="C84" s="27" t="s">
        <v>32</v>
      </c>
      <c r="D84" s="27" t="s">
        <v>99</v>
      </c>
      <c r="E84" s="27">
        <v>214.5</v>
      </c>
      <c r="F84" s="27">
        <v>65</v>
      </c>
      <c r="G84" s="15">
        <f t="shared" si="2"/>
        <v>13942.5</v>
      </c>
      <c r="H84" s="27"/>
    </row>
    <row r="85" ht="16.5" hidden="1" spans="1:8">
      <c r="A85" s="14">
        <v>82</v>
      </c>
      <c r="B85" s="42">
        <v>46200</v>
      </c>
      <c r="C85" s="27" t="s">
        <v>32</v>
      </c>
      <c r="D85" s="27" t="s">
        <v>102</v>
      </c>
      <c r="E85" s="27">
        <v>270</v>
      </c>
      <c r="F85" s="27">
        <v>55</v>
      </c>
      <c r="G85" s="15">
        <f t="shared" si="2"/>
        <v>14850</v>
      </c>
      <c r="H85" s="27"/>
    </row>
    <row r="86" ht="16.5" hidden="1" spans="1:8">
      <c r="A86" s="14">
        <v>83</v>
      </c>
      <c r="B86" s="42">
        <v>46200</v>
      </c>
      <c r="C86" s="27" t="s">
        <v>32</v>
      </c>
      <c r="D86" s="27" t="s">
        <v>111</v>
      </c>
      <c r="E86" s="27">
        <v>20</v>
      </c>
      <c r="F86" s="27">
        <v>51</v>
      </c>
      <c r="G86" s="15">
        <f t="shared" si="2"/>
        <v>1020</v>
      </c>
      <c r="H86" s="27"/>
    </row>
    <row r="87" ht="16.5" hidden="1" spans="1:8">
      <c r="A87" s="14">
        <v>84</v>
      </c>
      <c r="B87" s="42">
        <v>46200</v>
      </c>
      <c r="C87" s="27" t="s">
        <v>32</v>
      </c>
      <c r="D87" s="27" t="s">
        <v>104</v>
      </c>
      <c r="E87" s="27">
        <v>70</v>
      </c>
      <c r="F87" s="27">
        <v>83</v>
      </c>
      <c r="G87" s="15">
        <f t="shared" si="2"/>
        <v>5810</v>
      </c>
      <c r="H87" s="27"/>
    </row>
    <row r="88" ht="16.5" hidden="1" spans="1:8">
      <c r="A88" s="14">
        <v>85</v>
      </c>
      <c r="B88" s="42">
        <v>46200</v>
      </c>
      <c r="C88" s="27" t="s">
        <v>32</v>
      </c>
      <c r="D88" s="27" t="s">
        <v>108</v>
      </c>
      <c r="E88" s="27">
        <v>150</v>
      </c>
      <c r="F88" s="27">
        <v>69</v>
      </c>
      <c r="G88" s="15">
        <f t="shared" si="2"/>
        <v>10350</v>
      </c>
      <c r="H88" s="27"/>
    </row>
    <row r="89" ht="16.5" hidden="1" spans="1:8">
      <c r="A89" s="14">
        <v>86</v>
      </c>
      <c r="B89" s="42">
        <v>46200</v>
      </c>
      <c r="C89" s="27" t="s">
        <v>33</v>
      </c>
      <c r="D89" s="27" t="s">
        <v>107</v>
      </c>
      <c r="E89" s="27">
        <v>50</v>
      </c>
      <c r="F89" s="27">
        <v>90</v>
      </c>
      <c r="G89" s="15">
        <f t="shared" si="2"/>
        <v>4500</v>
      </c>
      <c r="H89" s="27"/>
    </row>
    <row r="90" ht="16.5" hidden="1" spans="1:8">
      <c r="A90" s="14">
        <v>87</v>
      </c>
      <c r="B90" s="42">
        <v>46200</v>
      </c>
      <c r="C90" s="27" t="s">
        <v>34</v>
      </c>
      <c r="D90" s="27" t="s">
        <v>107</v>
      </c>
      <c r="E90" s="27">
        <v>20</v>
      </c>
      <c r="F90" s="27">
        <v>90</v>
      </c>
      <c r="G90" s="15">
        <f t="shared" si="2"/>
        <v>1800</v>
      </c>
      <c r="H90" s="27" t="s">
        <v>191</v>
      </c>
    </row>
    <row r="91" ht="16.5" hidden="1" spans="1:8">
      <c r="A91" s="14">
        <v>88</v>
      </c>
      <c r="B91" s="42">
        <v>46200</v>
      </c>
      <c r="C91" s="27" t="s">
        <v>36</v>
      </c>
      <c r="D91" s="27" t="s">
        <v>107</v>
      </c>
      <c r="E91" s="27">
        <v>100</v>
      </c>
      <c r="F91" s="27">
        <v>90</v>
      </c>
      <c r="G91" s="15">
        <f t="shared" si="2"/>
        <v>9000</v>
      </c>
      <c r="H91" s="27"/>
    </row>
    <row r="92" ht="16.5" hidden="1" spans="1:8">
      <c r="A92" s="14">
        <v>89</v>
      </c>
      <c r="B92" s="42">
        <v>46200</v>
      </c>
      <c r="C92" s="27" t="s">
        <v>36</v>
      </c>
      <c r="D92" s="27" t="s">
        <v>99</v>
      </c>
      <c r="E92" s="27">
        <v>80</v>
      </c>
      <c r="F92" s="27">
        <v>65</v>
      </c>
      <c r="G92" s="15">
        <f t="shared" si="2"/>
        <v>5200</v>
      </c>
      <c r="H92" s="27"/>
    </row>
    <row r="93" ht="16.5" hidden="1" spans="1:8">
      <c r="A93" s="14">
        <v>90</v>
      </c>
      <c r="B93" s="42">
        <v>46200</v>
      </c>
      <c r="C93" s="27" t="s">
        <v>36</v>
      </c>
      <c r="D93" s="27" t="s">
        <v>102</v>
      </c>
      <c r="E93" s="27">
        <v>80</v>
      </c>
      <c r="F93" s="27">
        <v>55</v>
      </c>
      <c r="G93" s="15">
        <f t="shared" si="2"/>
        <v>4400</v>
      </c>
      <c r="H93" s="27"/>
    </row>
    <row r="94" ht="16.5" hidden="1" spans="1:8">
      <c r="A94" s="14">
        <v>91</v>
      </c>
      <c r="B94" s="42">
        <v>46200</v>
      </c>
      <c r="C94" s="27" t="s">
        <v>36</v>
      </c>
      <c r="D94" s="27" t="s">
        <v>108</v>
      </c>
      <c r="E94" s="27">
        <v>80</v>
      </c>
      <c r="F94" s="27">
        <v>69</v>
      </c>
      <c r="G94" s="15">
        <f t="shared" si="2"/>
        <v>5520</v>
      </c>
      <c r="H94" s="27"/>
    </row>
    <row r="95" ht="16.5" hidden="1" spans="1:8">
      <c r="A95" s="14">
        <v>92</v>
      </c>
      <c r="B95" s="42">
        <v>46200</v>
      </c>
      <c r="C95" s="27" t="s">
        <v>36</v>
      </c>
      <c r="D95" s="27" t="s">
        <v>103</v>
      </c>
      <c r="E95" s="27">
        <v>80</v>
      </c>
      <c r="F95" s="27">
        <v>46</v>
      </c>
      <c r="G95" s="15">
        <f t="shared" si="2"/>
        <v>3680</v>
      </c>
      <c r="H95" s="27"/>
    </row>
    <row r="96" ht="16.5" hidden="1" spans="1:8">
      <c r="A96" s="14">
        <v>93</v>
      </c>
      <c r="B96" s="42">
        <v>46200</v>
      </c>
      <c r="C96" s="27" t="s">
        <v>36</v>
      </c>
      <c r="D96" s="27" t="s">
        <v>109</v>
      </c>
      <c r="E96" s="27">
        <v>40</v>
      </c>
      <c r="F96" s="27">
        <v>47</v>
      </c>
      <c r="G96" s="15">
        <f t="shared" si="2"/>
        <v>1880</v>
      </c>
      <c r="H96" s="27"/>
    </row>
    <row r="97" ht="16.5" hidden="1" spans="1:8">
      <c r="A97" s="14">
        <v>94</v>
      </c>
      <c r="B97" s="42">
        <v>46200</v>
      </c>
      <c r="C97" s="27" t="s">
        <v>36</v>
      </c>
      <c r="D97" s="27" t="s">
        <v>101</v>
      </c>
      <c r="E97" s="27">
        <v>40</v>
      </c>
      <c r="F97" s="27">
        <v>47</v>
      </c>
      <c r="G97" s="15">
        <f t="shared" si="2"/>
        <v>1880</v>
      </c>
      <c r="H97" s="27"/>
    </row>
    <row r="98" ht="16.5" hidden="1" spans="1:8">
      <c r="A98" s="14">
        <v>95</v>
      </c>
      <c r="B98" s="42">
        <v>46200</v>
      </c>
      <c r="C98" s="27" t="s">
        <v>36</v>
      </c>
      <c r="D98" s="27" t="s">
        <v>104</v>
      </c>
      <c r="E98" s="27">
        <v>80</v>
      </c>
      <c r="F98" s="27">
        <v>86</v>
      </c>
      <c r="G98" s="15">
        <f t="shared" si="2"/>
        <v>6880</v>
      </c>
      <c r="H98" s="27"/>
    </row>
    <row r="99" ht="16.5" spans="1:8">
      <c r="A99" s="14">
        <v>96</v>
      </c>
      <c r="B99" s="42">
        <v>46200</v>
      </c>
      <c r="C99" s="27" t="s">
        <v>37</v>
      </c>
      <c r="D99" s="27" t="s">
        <v>102</v>
      </c>
      <c r="E99" s="27">
        <v>80</v>
      </c>
      <c r="F99" s="27">
        <v>55</v>
      </c>
      <c r="G99" s="15">
        <f t="shared" si="2"/>
        <v>4400</v>
      </c>
      <c r="H99" s="27"/>
    </row>
    <row r="100" ht="16.5" spans="1:8">
      <c r="A100" s="14">
        <v>97</v>
      </c>
      <c r="B100" s="42">
        <v>46200</v>
      </c>
      <c r="C100" s="27" t="s">
        <v>37</v>
      </c>
      <c r="D100" s="27" t="s">
        <v>99</v>
      </c>
      <c r="E100" s="27">
        <v>60</v>
      </c>
      <c r="F100" s="27">
        <v>65</v>
      </c>
      <c r="G100" s="15">
        <f t="shared" si="2"/>
        <v>3900</v>
      </c>
      <c r="H100" s="27"/>
    </row>
    <row r="101" ht="16.5" spans="1:8">
      <c r="A101" s="14">
        <v>98</v>
      </c>
      <c r="B101" s="42">
        <v>46200</v>
      </c>
      <c r="C101" s="27" t="s">
        <v>37</v>
      </c>
      <c r="D101" s="27" t="s">
        <v>103</v>
      </c>
      <c r="E101" s="27">
        <v>80</v>
      </c>
      <c r="F101" s="27">
        <v>43</v>
      </c>
      <c r="G101" s="15">
        <f t="shared" si="2"/>
        <v>3440</v>
      </c>
      <c r="H101" s="27"/>
    </row>
    <row r="102" ht="16.5" hidden="1" spans="1:8">
      <c r="A102" s="14">
        <v>99</v>
      </c>
      <c r="B102" s="42">
        <v>46200</v>
      </c>
      <c r="C102" s="27" t="s">
        <v>42</v>
      </c>
      <c r="D102" s="27" t="s">
        <v>107</v>
      </c>
      <c r="E102" s="27">
        <v>500</v>
      </c>
      <c r="F102" s="27">
        <v>90</v>
      </c>
      <c r="G102" s="15">
        <f t="shared" si="2"/>
        <v>45000</v>
      </c>
      <c r="H102" s="27"/>
    </row>
    <row r="103" ht="16.5" hidden="1" spans="1:8">
      <c r="A103" s="14">
        <v>100</v>
      </c>
      <c r="B103" s="42">
        <v>46171</v>
      </c>
      <c r="C103" s="27" t="s">
        <v>44</v>
      </c>
      <c r="D103" s="27" t="s">
        <v>107</v>
      </c>
      <c r="E103" s="27">
        <v>300</v>
      </c>
      <c r="F103" s="27">
        <v>90</v>
      </c>
      <c r="G103" s="15">
        <f t="shared" si="2"/>
        <v>27000</v>
      </c>
      <c r="H103" s="27"/>
    </row>
    <row r="104" ht="16.5" hidden="1" spans="1:8">
      <c r="A104" s="14">
        <v>101</v>
      </c>
      <c r="B104" s="42">
        <v>46204</v>
      </c>
      <c r="C104" s="27" t="s">
        <v>46</v>
      </c>
      <c r="D104" s="27" t="s">
        <v>107</v>
      </c>
      <c r="E104" s="27">
        <v>60</v>
      </c>
      <c r="F104" s="27">
        <v>90</v>
      </c>
      <c r="G104" s="15">
        <f t="shared" si="2"/>
        <v>5400</v>
      </c>
      <c r="H104" s="27"/>
    </row>
    <row r="105" ht="16.5" hidden="1" spans="1:8">
      <c r="A105" s="14">
        <v>102</v>
      </c>
      <c r="B105" s="42">
        <v>46209</v>
      </c>
      <c r="C105" s="27" t="s">
        <v>47</v>
      </c>
      <c r="D105" s="27" t="s">
        <v>107</v>
      </c>
      <c r="E105" s="27">
        <v>50</v>
      </c>
      <c r="F105" s="27">
        <v>90</v>
      </c>
      <c r="G105" s="15">
        <f t="shared" si="2"/>
        <v>4500</v>
      </c>
      <c r="H105" s="27"/>
    </row>
    <row r="106" ht="16.5" hidden="1" spans="1:8">
      <c r="A106" s="14">
        <v>104</v>
      </c>
      <c r="B106" s="42">
        <v>46215</v>
      </c>
      <c r="C106" s="27" t="s">
        <v>50</v>
      </c>
      <c r="D106" s="27" t="s">
        <v>107</v>
      </c>
      <c r="E106" s="27">
        <v>25</v>
      </c>
      <c r="F106" s="27">
        <v>93</v>
      </c>
      <c r="G106" s="15">
        <f t="shared" si="2"/>
        <v>2325</v>
      </c>
      <c r="H106" s="27"/>
    </row>
    <row r="107" ht="16.5" hidden="1" spans="1:8">
      <c r="A107" s="14">
        <v>105</v>
      </c>
      <c r="B107" s="42">
        <v>46215</v>
      </c>
      <c r="C107" s="27" t="s">
        <v>50</v>
      </c>
      <c r="D107" s="27" t="s">
        <v>102</v>
      </c>
      <c r="E107" s="27">
        <v>5</v>
      </c>
      <c r="F107" s="27">
        <v>58</v>
      </c>
      <c r="G107" s="15">
        <f t="shared" si="2"/>
        <v>290</v>
      </c>
      <c r="H107" s="27"/>
    </row>
    <row r="108" ht="16.5" hidden="1" spans="1:8">
      <c r="A108" s="14">
        <v>106</v>
      </c>
      <c r="B108" s="42">
        <v>46215</v>
      </c>
      <c r="C108" s="27" t="s">
        <v>50</v>
      </c>
      <c r="D108" s="27" t="s">
        <v>99</v>
      </c>
      <c r="E108" s="27">
        <v>5</v>
      </c>
      <c r="F108" s="27">
        <v>68</v>
      </c>
      <c r="G108" s="15">
        <f t="shared" si="2"/>
        <v>340</v>
      </c>
      <c r="H108" s="27"/>
    </row>
    <row r="109" ht="16.5" hidden="1" spans="1:8">
      <c r="A109" s="14">
        <v>107</v>
      </c>
      <c r="B109" s="42">
        <v>46213</v>
      </c>
      <c r="C109" s="27" t="s">
        <v>51</v>
      </c>
      <c r="D109" s="27" t="s">
        <v>107</v>
      </c>
      <c r="E109" s="27">
        <v>50</v>
      </c>
      <c r="F109" s="27">
        <v>90</v>
      </c>
      <c r="G109" s="15">
        <f t="shared" ref="G109:G128" si="3">IF(AND(E109&lt;&gt;"",F109&lt;&gt;""),E109*F109,"")</f>
        <v>4500</v>
      </c>
      <c r="H109" s="27"/>
    </row>
    <row r="110" ht="16.5" hidden="1" spans="1:8">
      <c r="A110" s="14">
        <v>108</v>
      </c>
      <c r="B110" s="42">
        <v>46221</v>
      </c>
      <c r="C110" s="27" t="s">
        <v>52</v>
      </c>
      <c r="D110" s="27" t="s">
        <v>107</v>
      </c>
      <c r="E110" s="27">
        <v>15.5</v>
      </c>
      <c r="F110" s="27">
        <v>93</v>
      </c>
      <c r="G110" s="15">
        <f t="shared" si="3"/>
        <v>1441.5</v>
      </c>
      <c r="H110" s="27"/>
    </row>
    <row r="111" ht="16.5" hidden="1" spans="1:8">
      <c r="A111" s="14">
        <v>109</v>
      </c>
      <c r="B111" s="42">
        <v>46221</v>
      </c>
      <c r="C111" s="27" t="s">
        <v>52</v>
      </c>
      <c r="D111" s="27" t="s">
        <v>99</v>
      </c>
      <c r="E111" s="27">
        <v>2.5</v>
      </c>
      <c r="F111" s="27">
        <v>68</v>
      </c>
      <c r="G111" s="15">
        <f t="shared" si="3"/>
        <v>170</v>
      </c>
      <c r="H111" s="27"/>
    </row>
    <row r="112" ht="16.5" hidden="1" spans="1:8">
      <c r="A112" s="14">
        <v>110</v>
      </c>
      <c r="B112" s="42">
        <v>46221</v>
      </c>
      <c r="C112" s="27" t="s">
        <v>52</v>
      </c>
      <c r="D112" s="27" t="s">
        <v>103</v>
      </c>
      <c r="E112" s="27">
        <v>5</v>
      </c>
      <c r="F112" s="27">
        <v>46</v>
      </c>
      <c r="G112" s="15">
        <f t="shared" si="3"/>
        <v>230</v>
      </c>
      <c r="H112" s="27"/>
    </row>
    <row r="113" ht="16.5" hidden="1" spans="1:8">
      <c r="A113" s="14">
        <v>111</v>
      </c>
      <c r="B113" s="42">
        <v>46221</v>
      </c>
      <c r="C113" s="27" t="s">
        <v>52</v>
      </c>
      <c r="D113" s="27" t="s">
        <v>109</v>
      </c>
      <c r="E113" s="27">
        <v>2</v>
      </c>
      <c r="F113" s="27">
        <v>50</v>
      </c>
      <c r="G113" s="15">
        <f t="shared" si="3"/>
        <v>100</v>
      </c>
      <c r="H113" s="27"/>
    </row>
    <row r="114" ht="16.5" hidden="1" spans="1:8">
      <c r="A114" s="14">
        <v>112</v>
      </c>
      <c r="B114" s="42">
        <v>46221</v>
      </c>
      <c r="C114" s="27" t="s">
        <v>52</v>
      </c>
      <c r="D114" s="27" t="s">
        <v>104</v>
      </c>
      <c r="E114" s="27">
        <v>1</v>
      </c>
      <c r="F114" s="27">
        <v>86</v>
      </c>
      <c r="G114" s="15">
        <f t="shared" si="3"/>
        <v>86</v>
      </c>
      <c r="H114" s="27"/>
    </row>
    <row r="115" ht="16.5" hidden="1" spans="1:8">
      <c r="A115" s="14">
        <v>113</v>
      </c>
      <c r="B115" s="42">
        <v>46221</v>
      </c>
      <c r="C115" s="27" t="s">
        <v>52</v>
      </c>
      <c r="D115" s="27" t="s">
        <v>110</v>
      </c>
      <c r="E115" s="27">
        <v>1</v>
      </c>
      <c r="F115" s="27">
        <v>46</v>
      </c>
      <c r="G115" s="15">
        <f t="shared" si="3"/>
        <v>46</v>
      </c>
      <c r="H115" s="27"/>
    </row>
    <row r="116" ht="16.5" hidden="1" spans="1:8">
      <c r="A116" s="14">
        <v>114</v>
      </c>
      <c r="B116" s="42">
        <v>46221</v>
      </c>
      <c r="C116" s="27" t="s">
        <v>52</v>
      </c>
      <c r="D116" s="27" t="s">
        <v>133</v>
      </c>
      <c r="E116" s="27">
        <v>1</v>
      </c>
      <c r="F116" s="27">
        <v>93</v>
      </c>
      <c r="G116" s="15">
        <f t="shared" si="3"/>
        <v>93</v>
      </c>
      <c r="H116" s="27"/>
    </row>
    <row r="117" ht="16.5" hidden="1" spans="1:8">
      <c r="A117" s="14">
        <v>115</v>
      </c>
      <c r="B117" s="42">
        <v>46221</v>
      </c>
      <c r="C117" s="27" t="s">
        <v>52</v>
      </c>
      <c r="D117" s="27" t="s">
        <v>102</v>
      </c>
      <c r="E117" s="27">
        <v>1</v>
      </c>
      <c r="F117" s="27">
        <v>58</v>
      </c>
      <c r="G117" s="15">
        <f t="shared" si="3"/>
        <v>58</v>
      </c>
      <c r="H117" s="27"/>
    </row>
    <row r="118" ht="16.5" hidden="1" spans="1:8">
      <c r="A118" s="14">
        <v>116</v>
      </c>
      <c r="B118" s="42">
        <v>46221</v>
      </c>
      <c r="C118" s="27" t="s">
        <v>52</v>
      </c>
      <c r="D118" s="27" t="s">
        <v>134</v>
      </c>
      <c r="E118" s="27">
        <v>5</v>
      </c>
      <c r="F118" s="27">
        <v>36</v>
      </c>
      <c r="G118" s="15">
        <f t="shared" si="3"/>
        <v>180</v>
      </c>
      <c r="H118" s="27"/>
    </row>
    <row r="119" ht="16.5" hidden="1" spans="1:8">
      <c r="A119" s="14">
        <v>117</v>
      </c>
      <c r="B119" s="42">
        <v>46221</v>
      </c>
      <c r="C119" s="27" t="s">
        <v>52</v>
      </c>
      <c r="D119" s="27" t="s">
        <v>108</v>
      </c>
      <c r="E119" s="27">
        <v>1</v>
      </c>
      <c r="F119" s="27">
        <v>72</v>
      </c>
      <c r="G119" s="15">
        <f t="shared" si="3"/>
        <v>72</v>
      </c>
      <c r="H119" s="27"/>
    </row>
    <row r="120" ht="16.5" hidden="1" spans="1:8">
      <c r="A120" s="14">
        <v>118</v>
      </c>
      <c r="B120" s="42">
        <v>46221</v>
      </c>
      <c r="C120" s="27" t="s">
        <v>52</v>
      </c>
      <c r="D120" s="27" t="s">
        <v>101</v>
      </c>
      <c r="E120" s="27">
        <v>1</v>
      </c>
      <c r="F120" s="27">
        <v>50</v>
      </c>
      <c r="G120" s="15">
        <f t="shared" si="3"/>
        <v>50</v>
      </c>
      <c r="H120" s="27"/>
    </row>
    <row r="121" ht="16.5" hidden="1" spans="1:8">
      <c r="A121" s="14">
        <v>119</v>
      </c>
      <c r="B121" s="42">
        <v>46156</v>
      </c>
      <c r="C121" s="27" t="s">
        <v>32</v>
      </c>
      <c r="D121" s="27" t="s">
        <v>107</v>
      </c>
      <c r="E121" s="27">
        <v>1200</v>
      </c>
      <c r="F121" s="27">
        <v>80</v>
      </c>
      <c r="G121" s="15">
        <v>108000</v>
      </c>
      <c r="H121" s="27"/>
    </row>
    <row r="122" ht="16.5" hidden="1" spans="1:8">
      <c r="A122" s="14">
        <v>120</v>
      </c>
      <c r="B122" s="42">
        <v>46228</v>
      </c>
      <c r="C122" s="27" t="s">
        <v>53</v>
      </c>
      <c r="D122" s="27" t="s">
        <v>107</v>
      </c>
      <c r="E122" s="27">
        <v>25</v>
      </c>
      <c r="F122" s="27">
        <v>93</v>
      </c>
      <c r="G122" s="15">
        <f t="shared" si="3"/>
        <v>2325</v>
      </c>
      <c r="H122" s="27"/>
    </row>
    <row r="123" ht="16.5" hidden="1" spans="1:8">
      <c r="A123" s="14">
        <v>121</v>
      </c>
      <c r="B123" s="42">
        <v>46226</v>
      </c>
      <c r="C123" s="27" t="s">
        <v>54</v>
      </c>
      <c r="D123" s="27" t="s">
        <v>107</v>
      </c>
      <c r="E123" s="27">
        <v>22</v>
      </c>
      <c r="F123" s="27">
        <v>93</v>
      </c>
      <c r="G123" s="15">
        <f t="shared" si="3"/>
        <v>2046</v>
      </c>
      <c r="H123" s="27"/>
    </row>
    <row r="124" ht="16.5" hidden="1" spans="1:8">
      <c r="A124" s="14">
        <v>122</v>
      </c>
      <c r="B124" s="42">
        <v>46227</v>
      </c>
      <c r="C124" s="27" t="s">
        <v>55</v>
      </c>
      <c r="D124" s="27" t="s">
        <v>101</v>
      </c>
      <c r="E124" s="27">
        <v>23</v>
      </c>
      <c r="F124" s="27">
        <v>50</v>
      </c>
      <c r="G124" s="15">
        <f t="shared" si="3"/>
        <v>1150</v>
      </c>
      <c r="H124" s="27"/>
    </row>
    <row r="125" ht="16.5" hidden="1" spans="1:8">
      <c r="A125" s="14">
        <v>123</v>
      </c>
      <c r="B125" s="42">
        <v>46227</v>
      </c>
      <c r="C125" s="27" t="s">
        <v>55</v>
      </c>
      <c r="D125" s="27" t="s">
        <v>104</v>
      </c>
      <c r="E125" s="27">
        <v>3</v>
      </c>
      <c r="F125" s="27">
        <v>86</v>
      </c>
      <c r="G125" s="15">
        <f t="shared" si="3"/>
        <v>258</v>
      </c>
      <c r="H125" s="27"/>
    </row>
    <row r="126" ht="16.5" hidden="1" spans="1:8">
      <c r="A126" s="14">
        <v>124</v>
      </c>
      <c r="B126" s="42">
        <v>46227</v>
      </c>
      <c r="C126" s="27" t="s">
        <v>55</v>
      </c>
      <c r="D126" s="27" t="s">
        <v>102</v>
      </c>
      <c r="E126" s="27">
        <v>3</v>
      </c>
      <c r="F126" s="27">
        <v>58</v>
      </c>
      <c r="G126" s="15">
        <f t="shared" si="3"/>
        <v>174</v>
      </c>
      <c r="H126" s="27"/>
    </row>
    <row r="127" ht="16.5" hidden="1" spans="1:8">
      <c r="A127" s="14">
        <v>22</v>
      </c>
      <c r="B127" s="42">
        <v>46226</v>
      </c>
      <c r="C127" s="27" t="s">
        <v>22</v>
      </c>
      <c r="D127" s="27" t="s">
        <v>107</v>
      </c>
      <c r="E127" s="27">
        <v>200</v>
      </c>
      <c r="F127" s="27">
        <v>93</v>
      </c>
      <c r="G127" s="15">
        <f t="shared" si="3"/>
        <v>18600</v>
      </c>
      <c r="H127" s="27"/>
    </row>
    <row r="128" ht="16.5" hidden="1" spans="1:8">
      <c r="A128" s="14">
        <v>23</v>
      </c>
      <c r="B128" s="42">
        <v>46227</v>
      </c>
      <c r="C128" s="27" t="s">
        <v>49</v>
      </c>
      <c r="D128" s="27" t="s">
        <v>107</v>
      </c>
      <c r="E128" s="27">
        <v>4000</v>
      </c>
      <c r="F128" s="27">
        <v>90</v>
      </c>
      <c r="G128" s="15">
        <f t="shared" ref="G128:G138" si="4">IF(AND(E128&lt;&gt;"",F128&lt;&gt;""),E128*F128,"")</f>
        <v>360000</v>
      </c>
      <c r="H128" s="27"/>
    </row>
    <row r="129" ht="16.5" hidden="1" spans="1:8">
      <c r="A129" s="14">
        <v>24</v>
      </c>
      <c r="B129" s="42">
        <v>46228</v>
      </c>
      <c r="C129" s="14" t="s">
        <v>13</v>
      </c>
      <c r="D129" s="14" t="s">
        <v>101</v>
      </c>
      <c r="E129" s="14">
        <v>400</v>
      </c>
      <c r="F129" s="27">
        <v>47</v>
      </c>
      <c r="G129" s="15">
        <f t="shared" si="4"/>
        <v>18800</v>
      </c>
      <c r="H129" s="27"/>
    </row>
    <row r="130" ht="16.5" hidden="1" spans="1:8">
      <c r="A130" s="14">
        <v>25</v>
      </c>
      <c r="B130" s="42">
        <v>46228</v>
      </c>
      <c r="C130" s="14" t="s">
        <v>13</v>
      </c>
      <c r="D130" s="14" t="s">
        <v>101</v>
      </c>
      <c r="E130" s="14">
        <v>16</v>
      </c>
      <c r="F130" s="27"/>
      <c r="G130" s="15" t="str">
        <f t="shared" si="4"/>
        <v/>
      </c>
      <c r="H130" s="27"/>
    </row>
    <row r="131" ht="16.5" hidden="1" spans="1:8">
      <c r="A131" s="14">
        <v>26</v>
      </c>
      <c r="B131" s="42">
        <v>46228</v>
      </c>
      <c r="C131" s="14" t="s">
        <v>13</v>
      </c>
      <c r="D131" s="14" t="s">
        <v>104</v>
      </c>
      <c r="E131" s="14">
        <v>100</v>
      </c>
      <c r="F131" s="27">
        <v>83</v>
      </c>
      <c r="G131" s="15">
        <f t="shared" si="4"/>
        <v>8300</v>
      </c>
      <c r="H131" s="27"/>
    </row>
    <row r="132" ht="16.5" hidden="1" spans="1:8">
      <c r="A132" s="14">
        <v>27</v>
      </c>
      <c r="B132" s="42">
        <v>46228</v>
      </c>
      <c r="C132" s="14" t="s">
        <v>13</v>
      </c>
      <c r="D132" s="14" t="s">
        <v>104</v>
      </c>
      <c r="E132" s="14">
        <v>4</v>
      </c>
      <c r="F132" s="27"/>
      <c r="G132" s="15" t="str">
        <f t="shared" si="4"/>
        <v/>
      </c>
      <c r="H132" s="27"/>
    </row>
    <row r="133" ht="16.5" hidden="1" spans="1:8">
      <c r="A133" s="14">
        <v>28</v>
      </c>
      <c r="B133" s="42">
        <v>46228</v>
      </c>
      <c r="C133" s="14" t="s">
        <v>13</v>
      </c>
      <c r="D133" s="14" t="s">
        <v>99</v>
      </c>
      <c r="E133" s="14">
        <v>200</v>
      </c>
      <c r="F133" s="27">
        <v>65</v>
      </c>
      <c r="G133" s="15">
        <f t="shared" si="4"/>
        <v>13000</v>
      </c>
      <c r="H133" s="27"/>
    </row>
    <row r="134" ht="16.5" hidden="1" spans="1:8">
      <c r="A134" s="14">
        <v>29</v>
      </c>
      <c r="B134" s="42">
        <v>46228</v>
      </c>
      <c r="C134" s="14" t="s">
        <v>13</v>
      </c>
      <c r="D134" s="14" t="s">
        <v>99</v>
      </c>
      <c r="E134" s="14">
        <v>20</v>
      </c>
      <c r="F134" s="27"/>
      <c r="G134" s="15" t="str">
        <f t="shared" si="4"/>
        <v/>
      </c>
      <c r="H134" s="27"/>
    </row>
    <row r="135" ht="16.5" hidden="1" spans="1:8">
      <c r="A135" s="14">
        <v>30</v>
      </c>
      <c r="B135" s="42">
        <v>46228</v>
      </c>
      <c r="C135" s="14" t="s">
        <v>13</v>
      </c>
      <c r="D135" s="14" t="s">
        <v>107</v>
      </c>
      <c r="E135" s="14">
        <v>800</v>
      </c>
      <c r="F135" s="27">
        <v>90</v>
      </c>
      <c r="G135" s="15">
        <f t="shared" si="4"/>
        <v>72000</v>
      </c>
      <c r="H135" s="27"/>
    </row>
    <row r="136" ht="16.5" hidden="1" spans="1:8">
      <c r="A136" s="14">
        <v>31</v>
      </c>
      <c r="B136" s="42">
        <v>46228</v>
      </c>
      <c r="C136" s="14" t="s">
        <v>13</v>
      </c>
      <c r="D136" s="14" t="s">
        <v>107</v>
      </c>
      <c r="E136" s="14">
        <v>8</v>
      </c>
      <c r="F136" s="27"/>
      <c r="G136" s="15" t="str">
        <f t="shared" si="4"/>
        <v/>
      </c>
      <c r="H136" s="27"/>
    </row>
    <row r="137" ht="16.5" hidden="1" spans="1:8">
      <c r="A137" s="14">
        <v>32</v>
      </c>
      <c r="B137" s="42">
        <v>46224</v>
      </c>
      <c r="C137" s="27" t="s">
        <v>28</v>
      </c>
      <c r="D137" s="27" t="s">
        <v>107</v>
      </c>
      <c r="E137" s="27">
        <v>300</v>
      </c>
      <c r="F137" s="27">
        <v>90</v>
      </c>
      <c r="G137" s="15">
        <f t="shared" si="4"/>
        <v>27000</v>
      </c>
      <c r="H137" s="27"/>
    </row>
    <row r="138" ht="16.5" hidden="1" spans="1:8">
      <c r="A138" s="14">
        <v>33</v>
      </c>
      <c r="B138" s="42">
        <v>46218</v>
      </c>
      <c r="C138" s="27" t="s">
        <v>45</v>
      </c>
      <c r="D138" s="27" t="s">
        <v>107</v>
      </c>
      <c r="E138" s="27">
        <v>250</v>
      </c>
      <c r="F138" s="27">
        <v>90</v>
      </c>
      <c r="G138" s="15">
        <f t="shared" si="4"/>
        <v>22500</v>
      </c>
      <c r="H138" s="27"/>
    </row>
    <row r="139" ht="16.5" hidden="1" spans="1:8">
      <c r="A139" s="14">
        <v>34</v>
      </c>
      <c r="B139" s="42">
        <v>46218</v>
      </c>
      <c r="C139" s="27" t="s">
        <v>45</v>
      </c>
      <c r="D139" s="27" t="s">
        <v>107</v>
      </c>
      <c r="E139" s="27">
        <v>5</v>
      </c>
      <c r="F139" s="27"/>
      <c r="G139" s="15" t="str">
        <f t="shared" ref="G139:G143" si="5">IF(AND(E139&lt;&gt;"",F139&lt;&gt;""),E139*F139,"")</f>
        <v/>
      </c>
      <c r="H139" s="27"/>
    </row>
    <row r="140" ht="16.5" hidden="1" spans="1:8">
      <c r="A140" s="14">
        <v>35</v>
      </c>
      <c r="B140" s="42">
        <v>46218</v>
      </c>
      <c r="C140" s="27" t="s">
        <v>45</v>
      </c>
      <c r="D140" s="27" t="s">
        <v>99</v>
      </c>
      <c r="E140" s="27">
        <v>20</v>
      </c>
      <c r="F140" s="27">
        <v>68</v>
      </c>
      <c r="G140" s="15">
        <f t="shared" si="5"/>
        <v>1360</v>
      </c>
      <c r="H140" s="27"/>
    </row>
    <row r="141" ht="16.5" hidden="1" spans="1:8">
      <c r="A141" s="14">
        <v>36</v>
      </c>
      <c r="B141" s="42">
        <v>46218</v>
      </c>
      <c r="C141" s="27" t="s">
        <v>45</v>
      </c>
      <c r="D141" s="27" t="s">
        <v>99</v>
      </c>
      <c r="E141" s="27">
        <v>2</v>
      </c>
      <c r="F141" s="27"/>
      <c r="G141" s="27"/>
      <c r="H141" s="27"/>
    </row>
    <row r="142" ht="16.5" hidden="1" spans="1:8">
      <c r="A142" s="14">
        <v>37</v>
      </c>
      <c r="B142" s="42">
        <v>46218</v>
      </c>
      <c r="C142" s="27" t="s">
        <v>45</v>
      </c>
      <c r="D142" s="27" t="s">
        <v>101</v>
      </c>
      <c r="E142" s="27">
        <v>15</v>
      </c>
      <c r="F142" s="27">
        <v>50</v>
      </c>
      <c r="G142" s="15">
        <f t="shared" si="5"/>
        <v>750</v>
      </c>
      <c r="H142" s="27"/>
    </row>
    <row r="143" ht="16.5" hidden="1" spans="1:8">
      <c r="A143" s="14">
        <v>38</v>
      </c>
      <c r="B143" s="42">
        <v>46218</v>
      </c>
      <c r="C143" s="27" t="s">
        <v>45</v>
      </c>
      <c r="D143" s="27" t="s">
        <v>103</v>
      </c>
      <c r="E143" s="27">
        <v>10</v>
      </c>
      <c r="F143" s="27">
        <v>46</v>
      </c>
      <c r="G143" s="15">
        <f t="shared" si="5"/>
        <v>460</v>
      </c>
      <c r="H143" s="27"/>
    </row>
    <row r="144" ht="16.5" hidden="1" spans="1:8">
      <c r="A144" s="14">
        <v>39</v>
      </c>
      <c r="B144" s="42">
        <v>46218</v>
      </c>
      <c r="C144" s="27" t="s">
        <v>45</v>
      </c>
      <c r="D144" s="27" t="s">
        <v>101</v>
      </c>
      <c r="E144" s="27">
        <v>2</v>
      </c>
      <c r="F144" s="27"/>
      <c r="G144" s="27"/>
      <c r="H144" s="27"/>
    </row>
    <row r="145" ht="16.5" hidden="1" spans="1:8">
      <c r="A145" s="14">
        <v>40</v>
      </c>
      <c r="B145" s="42">
        <v>46218</v>
      </c>
      <c r="C145" s="27" t="s">
        <v>45</v>
      </c>
      <c r="D145" s="27" t="s">
        <v>102</v>
      </c>
      <c r="E145" s="27">
        <v>15</v>
      </c>
      <c r="F145" s="27">
        <v>58</v>
      </c>
      <c r="G145" s="15">
        <f t="shared" ref="G145:G149" si="6">IF(AND(E145&lt;&gt;"",F145&lt;&gt;""),E145*F145,"")</f>
        <v>870</v>
      </c>
      <c r="H145" s="27"/>
    </row>
    <row r="146" ht="16.5" hidden="1" spans="1:8">
      <c r="A146" s="14">
        <v>41</v>
      </c>
      <c r="B146" s="42">
        <v>46218</v>
      </c>
      <c r="C146" s="27" t="s">
        <v>45</v>
      </c>
      <c r="D146" s="27" t="s">
        <v>108</v>
      </c>
      <c r="E146" s="27">
        <v>2</v>
      </c>
      <c r="F146" s="27">
        <v>72</v>
      </c>
      <c r="G146" s="15">
        <f t="shared" si="6"/>
        <v>144</v>
      </c>
      <c r="H146" s="27"/>
    </row>
    <row r="147" ht="16.5" hidden="1" spans="1:8">
      <c r="A147" s="14">
        <v>42</v>
      </c>
      <c r="B147" s="42">
        <v>46218</v>
      </c>
      <c r="C147" s="27" t="s">
        <v>45</v>
      </c>
      <c r="D147" s="27" t="s">
        <v>109</v>
      </c>
      <c r="E147" s="27">
        <v>2</v>
      </c>
      <c r="F147" s="27">
        <v>50</v>
      </c>
      <c r="G147" s="15">
        <f t="shared" si="6"/>
        <v>100</v>
      </c>
      <c r="H147" s="27"/>
    </row>
    <row r="148" ht="16.5" hidden="1" spans="1:8">
      <c r="A148" s="14">
        <v>43</v>
      </c>
      <c r="B148" s="42">
        <v>46218</v>
      </c>
      <c r="C148" s="27" t="s">
        <v>45</v>
      </c>
      <c r="D148" s="27" t="s">
        <v>110</v>
      </c>
      <c r="E148" s="27">
        <v>4</v>
      </c>
      <c r="F148" s="27">
        <v>46</v>
      </c>
      <c r="G148" s="15">
        <f t="shared" si="6"/>
        <v>184</v>
      </c>
      <c r="H148" s="27"/>
    </row>
    <row r="149" ht="16.5" hidden="1" spans="1:8">
      <c r="A149" s="14">
        <v>44</v>
      </c>
      <c r="B149" s="42">
        <v>46218</v>
      </c>
      <c r="C149" s="27" t="s">
        <v>45</v>
      </c>
      <c r="D149" s="27" t="s">
        <v>100</v>
      </c>
      <c r="E149" s="27">
        <v>2</v>
      </c>
      <c r="F149" s="27">
        <v>51</v>
      </c>
      <c r="G149" s="15">
        <f t="shared" si="6"/>
        <v>102</v>
      </c>
      <c r="H149" s="27"/>
    </row>
    <row r="150" ht="16.5" hidden="1" spans="1:8">
      <c r="A150" s="14">
        <v>45</v>
      </c>
      <c r="B150" s="42">
        <v>46225</v>
      </c>
      <c r="C150" s="27" t="s">
        <v>59</v>
      </c>
      <c r="D150" s="27" t="s">
        <v>104</v>
      </c>
      <c r="E150" s="27">
        <v>7</v>
      </c>
      <c r="F150" s="27">
        <v>86</v>
      </c>
      <c r="G150" s="15">
        <f t="shared" ref="G150:G159" si="7">IF(AND(E150&lt;&gt;"",F150&lt;&gt;""),E150*F150,"")</f>
        <v>602</v>
      </c>
      <c r="H150" s="27"/>
    </row>
    <row r="151" ht="16.5" hidden="1" spans="1:8">
      <c r="A151" s="14">
        <v>46</v>
      </c>
      <c r="B151" s="42">
        <v>46211</v>
      </c>
      <c r="C151" s="27" t="s">
        <v>59</v>
      </c>
      <c r="D151" s="27" t="s">
        <v>107</v>
      </c>
      <c r="E151" s="27">
        <v>50</v>
      </c>
      <c r="F151" s="27">
        <v>93</v>
      </c>
      <c r="G151" s="15">
        <f t="shared" si="7"/>
        <v>4650</v>
      </c>
      <c r="H151" s="27"/>
    </row>
    <row r="152" ht="16.5" hidden="1" spans="1:8">
      <c r="A152" s="14">
        <v>47</v>
      </c>
      <c r="B152" s="42">
        <v>46220</v>
      </c>
      <c r="C152" s="27" t="s">
        <v>16</v>
      </c>
      <c r="D152" s="27" t="s">
        <v>106</v>
      </c>
      <c r="E152" s="27">
        <v>100</v>
      </c>
      <c r="F152" s="27">
        <v>90</v>
      </c>
      <c r="G152" s="15">
        <f t="shared" si="7"/>
        <v>9000</v>
      </c>
      <c r="H152" s="27"/>
    </row>
    <row r="153" ht="16.5" hidden="1" spans="1:8">
      <c r="A153" s="14">
        <v>48</v>
      </c>
      <c r="B153" s="42">
        <v>46220</v>
      </c>
      <c r="C153" s="27" t="s">
        <v>16</v>
      </c>
      <c r="D153" s="27" t="s">
        <v>106</v>
      </c>
      <c r="E153" s="27">
        <v>4</v>
      </c>
      <c r="F153" s="27"/>
      <c r="G153" s="27"/>
      <c r="H153" s="27"/>
    </row>
    <row r="154" ht="16.5" hidden="1" spans="1:8">
      <c r="A154" s="14">
        <v>49</v>
      </c>
      <c r="B154" s="42">
        <v>46220</v>
      </c>
      <c r="C154" s="27" t="s">
        <v>15</v>
      </c>
      <c r="D154" s="27" t="s">
        <v>106</v>
      </c>
      <c r="E154" s="27">
        <v>100</v>
      </c>
      <c r="F154" s="27">
        <v>90</v>
      </c>
      <c r="G154" s="15">
        <f t="shared" si="7"/>
        <v>9000</v>
      </c>
      <c r="H154" s="27"/>
    </row>
    <row r="155" ht="16.5" hidden="1" spans="1:8">
      <c r="A155" s="14">
        <v>50</v>
      </c>
      <c r="B155" s="42">
        <v>46220</v>
      </c>
      <c r="C155" s="27" t="s">
        <v>15</v>
      </c>
      <c r="D155" s="27" t="s">
        <v>106</v>
      </c>
      <c r="E155" s="27">
        <v>4</v>
      </c>
      <c r="F155" s="27"/>
      <c r="G155" s="15" t="str">
        <f t="shared" si="7"/>
        <v/>
      </c>
      <c r="H155" s="27"/>
    </row>
    <row r="156" ht="16.5" hidden="1" spans="1:8">
      <c r="A156" s="14">
        <v>51</v>
      </c>
      <c r="B156" s="42">
        <v>46223</v>
      </c>
      <c r="C156" s="27" t="s">
        <v>61</v>
      </c>
      <c r="D156" s="27" t="s">
        <v>107</v>
      </c>
      <c r="E156" s="27">
        <v>25</v>
      </c>
      <c r="F156" s="27">
        <v>93</v>
      </c>
      <c r="G156" s="15">
        <f t="shared" si="7"/>
        <v>2325</v>
      </c>
      <c r="H156" s="27"/>
    </row>
    <row r="157" ht="16.5" hidden="1" spans="1:8">
      <c r="A157" s="14">
        <v>52</v>
      </c>
      <c r="B157" s="42">
        <v>46223</v>
      </c>
      <c r="C157" s="27" t="s">
        <v>61</v>
      </c>
      <c r="D157" s="27" t="s">
        <v>107</v>
      </c>
      <c r="E157" s="27">
        <v>1</v>
      </c>
      <c r="F157" s="27"/>
      <c r="G157" s="15" t="str">
        <f t="shared" si="7"/>
        <v/>
      </c>
      <c r="H157" s="27"/>
    </row>
    <row r="158" ht="16.5" hidden="1" spans="1:8">
      <c r="A158" s="14">
        <v>53</v>
      </c>
      <c r="B158" s="42">
        <v>46223</v>
      </c>
      <c r="C158" s="27" t="s">
        <v>61</v>
      </c>
      <c r="D158" s="27" t="s">
        <v>104</v>
      </c>
      <c r="E158" s="27">
        <v>2</v>
      </c>
      <c r="F158" s="27">
        <v>86</v>
      </c>
      <c r="G158" s="15">
        <f t="shared" si="7"/>
        <v>172</v>
      </c>
      <c r="H158" s="27"/>
    </row>
    <row r="159" ht="16.5" hidden="1" spans="1:8">
      <c r="A159" s="14">
        <v>54</v>
      </c>
      <c r="B159" s="42">
        <v>46223</v>
      </c>
      <c r="C159" s="27" t="s">
        <v>61</v>
      </c>
      <c r="D159" s="27" t="s">
        <v>101</v>
      </c>
      <c r="E159" s="27">
        <v>4</v>
      </c>
      <c r="F159" s="27">
        <v>50</v>
      </c>
      <c r="G159" s="15">
        <f t="shared" si="7"/>
        <v>200</v>
      </c>
      <c r="H159" s="27"/>
    </row>
    <row r="160" ht="16.5" hidden="1" spans="1:8">
      <c r="A160" s="14">
        <v>55</v>
      </c>
      <c r="B160" s="42">
        <v>46211</v>
      </c>
      <c r="C160" s="27" t="s">
        <v>62</v>
      </c>
      <c r="D160" s="27" t="s">
        <v>107</v>
      </c>
      <c r="E160" s="27">
        <v>25</v>
      </c>
      <c r="F160" s="27">
        <v>93</v>
      </c>
      <c r="G160" s="15">
        <f t="shared" ref="G160:G167" si="8">IF(AND(E160&lt;&gt;"",F160&lt;&gt;""),E160*F160,"")</f>
        <v>2325</v>
      </c>
      <c r="H160" s="27"/>
    </row>
    <row r="161" ht="16.5" hidden="1" spans="1:8">
      <c r="A161" s="14">
        <v>56</v>
      </c>
      <c r="B161" s="42">
        <v>46211</v>
      </c>
      <c r="C161" s="27" t="s">
        <v>63</v>
      </c>
      <c r="D161" s="27" t="s">
        <v>107</v>
      </c>
      <c r="E161" s="27">
        <v>25</v>
      </c>
      <c r="F161" s="27">
        <v>93</v>
      </c>
      <c r="G161" s="15">
        <f t="shared" si="8"/>
        <v>2325</v>
      </c>
      <c r="H161" s="27"/>
    </row>
    <row r="162" ht="16.5" hidden="1" spans="1:8">
      <c r="A162" s="14">
        <v>57</v>
      </c>
      <c r="B162" s="42">
        <v>46211</v>
      </c>
      <c r="C162" s="14" t="s">
        <v>64</v>
      </c>
      <c r="D162" s="27" t="s">
        <v>107</v>
      </c>
      <c r="E162" s="27">
        <v>25</v>
      </c>
      <c r="F162" s="27">
        <v>93</v>
      </c>
      <c r="G162" s="15">
        <f t="shared" si="8"/>
        <v>2325</v>
      </c>
      <c r="H162" s="27"/>
    </row>
    <row r="163" ht="16.5" hidden="1" spans="1:8">
      <c r="A163" s="14">
        <v>58</v>
      </c>
      <c r="B163" s="42">
        <v>46211</v>
      </c>
      <c r="C163" s="27" t="s">
        <v>65</v>
      </c>
      <c r="D163" s="27" t="s">
        <v>107</v>
      </c>
      <c r="E163" s="27">
        <v>50</v>
      </c>
      <c r="F163" s="27">
        <v>93</v>
      </c>
      <c r="G163" s="15">
        <f t="shared" si="8"/>
        <v>4650</v>
      </c>
      <c r="H163" s="27"/>
    </row>
    <row r="164" ht="16.5" hidden="1" spans="1:8">
      <c r="A164" s="14">
        <v>59</v>
      </c>
      <c r="B164" s="42">
        <v>46211</v>
      </c>
      <c r="C164" s="27" t="s">
        <v>65</v>
      </c>
      <c r="D164" s="27" t="s">
        <v>99</v>
      </c>
      <c r="E164" s="27">
        <v>10</v>
      </c>
      <c r="F164" s="27">
        <v>68</v>
      </c>
      <c r="G164" s="15">
        <f t="shared" si="8"/>
        <v>680</v>
      </c>
      <c r="H164" s="27"/>
    </row>
    <row r="165" ht="16.5" hidden="1" spans="1:8">
      <c r="A165" s="14">
        <v>60</v>
      </c>
      <c r="B165" s="42">
        <v>46220</v>
      </c>
      <c r="C165" s="27" t="s">
        <v>66</v>
      </c>
      <c r="D165" s="27" t="s">
        <v>107</v>
      </c>
      <c r="E165" s="27">
        <v>10</v>
      </c>
      <c r="F165" s="27">
        <v>93</v>
      </c>
      <c r="G165" s="15">
        <f t="shared" si="8"/>
        <v>930</v>
      </c>
      <c r="H165" s="27"/>
    </row>
    <row r="166" ht="16.5" hidden="1" spans="1:8">
      <c r="A166" s="14">
        <v>61</v>
      </c>
      <c r="B166" s="42">
        <v>46220</v>
      </c>
      <c r="C166" s="27" t="s">
        <v>38</v>
      </c>
      <c r="D166" s="27" t="s">
        <v>107</v>
      </c>
      <c r="E166" s="27">
        <v>100</v>
      </c>
      <c r="F166" s="27">
        <v>90</v>
      </c>
      <c r="G166" s="15">
        <f t="shared" si="8"/>
        <v>9000</v>
      </c>
      <c r="H166" s="27"/>
    </row>
    <row r="167" ht="16.5" hidden="1" spans="1:8">
      <c r="A167" s="14">
        <v>62</v>
      </c>
      <c r="B167" s="42">
        <v>46218</v>
      </c>
      <c r="C167" s="27" t="s">
        <v>67</v>
      </c>
      <c r="D167" s="27" t="s">
        <v>107</v>
      </c>
      <c r="E167" s="27">
        <v>15</v>
      </c>
      <c r="F167" s="27">
        <v>93</v>
      </c>
      <c r="G167" s="15">
        <f t="shared" si="8"/>
        <v>1395</v>
      </c>
      <c r="H167" s="27"/>
    </row>
    <row r="168" ht="16.5" hidden="1" spans="1:8">
      <c r="A168" s="14">
        <v>63</v>
      </c>
      <c r="B168" s="42">
        <v>46220</v>
      </c>
      <c r="C168" s="27" t="s">
        <v>68</v>
      </c>
      <c r="D168" s="27" t="s">
        <v>99</v>
      </c>
      <c r="E168" s="27">
        <v>10</v>
      </c>
      <c r="F168" s="27">
        <v>68</v>
      </c>
      <c r="G168" s="15">
        <f t="shared" ref="G168:G173" si="9">IF(AND(E168&lt;&gt;"",F168&lt;&gt;""),E168*F168,"")</f>
        <v>680</v>
      </c>
      <c r="H168" s="27"/>
    </row>
    <row r="169" ht="16.5" hidden="1" spans="1:8">
      <c r="A169" s="14">
        <v>64</v>
      </c>
      <c r="B169" s="42">
        <v>46220</v>
      </c>
      <c r="C169" s="27" t="s">
        <v>68</v>
      </c>
      <c r="D169" s="27" t="s">
        <v>99</v>
      </c>
      <c r="E169" s="27">
        <v>1</v>
      </c>
      <c r="F169" s="27"/>
      <c r="G169" s="15" t="str">
        <f t="shared" si="9"/>
        <v/>
      </c>
      <c r="H169" s="27"/>
    </row>
    <row r="170" ht="16.5" hidden="1" spans="1:8">
      <c r="A170" s="14">
        <v>65</v>
      </c>
      <c r="B170" s="42">
        <v>46220</v>
      </c>
      <c r="C170" s="27" t="s">
        <v>68</v>
      </c>
      <c r="D170" s="27" t="s">
        <v>101</v>
      </c>
      <c r="E170" s="27">
        <v>25</v>
      </c>
      <c r="F170" s="27">
        <v>50</v>
      </c>
      <c r="G170" s="15">
        <f t="shared" si="9"/>
        <v>1250</v>
      </c>
      <c r="H170" s="27"/>
    </row>
    <row r="171" ht="16.5" hidden="1" spans="1:8">
      <c r="A171" s="14">
        <v>66</v>
      </c>
      <c r="B171" s="42">
        <v>46220</v>
      </c>
      <c r="C171" s="27" t="s">
        <v>68</v>
      </c>
      <c r="D171" s="27" t="s">
        <v>101</v>
      </c>
      <c r="E171" s="27">
        <v>2</v>
      </c>
      <c r="F171" s="27"/>
      <c r="G171" s="15" t="str">
        <f t="shared" si="9"/>
        <v/>
      </c>
      <c r="H171" s="27"/>
    </row>
    <row r="172" ht="16.5" hidden="1" spans="1:8">
      <c r="A172" s="14">
        <v>67</v>
      </c>
      <c r="B172" s="42">
        <v>46220</v>
      </c>
      <c r="C172" s="27" t="s">
        <v>68</v>
      </c>
      <c r="D172" s="27" t="s">
        <v>102</v>
      </c>
      <c r="E172" s="27">
        <v>10</v>
      </c>
      <c r="F172" s="27">
        <v>58</v>
      </c>
      <c r="G172" s="15">
        <f t="shared" si="9"/>
        <v>580</v>
      </c>
      <c r="H172" s="27"/>
    </row>
    <row r="173" ht="16.5" hidden="1" spans="1:8">
      <c r="A173" s="14">
        <v>68</v>
      </c>
      <c r="B173" s="42">
        <v>46220</v>
      </c>
      <c r="C173" s="27" t="s">
        <v>68</v>
      </c>
      <c r="D173" s="27" t="s">
        <v>103</v>
      </c>
      <c r="E173" s="27">
        <v>15</v>
      </c>
      <c r="F173" s="27">
        <v>46</v>
      </c>
      <c r="G173" s="15">
        <f t="shared" si="9"/>
        <v>690</v>
      </c>
      <c r="H173" s="27"/>
    </row>
    <row r="174" ht="16.5" hidden="1" spans="1:8">
      <c r="A174" s="14">
        <v>69</v>
      </c>
      <c r="B174" s="42">
        <v>46218</v>
      </c>
      <c r="C174" s="27" t="s">
        <v>69</v>
      </c>
      <c r="D174" s="27" t="s">
        <v>101</v>
      </c>
      <c r="E174" s="27">
        <v>25</v>
      </c>
      <c r="F174" s="27">
        <v>50</v>
      </c>
      <c r="G174" s="15">
        <f t="shared" ref="G174:G180" si="10">IF(AND(E174&lt;&gt;"",F174&lt;&gt;""),E174*F174,"")</f>
        <v>1250</v>
      </c>
      <c r="H174" s="27"/>
    </row>
    <row r="175" ht="16.5" hidden="1" spans="1:8">
      <c r="A175" s="14">
        <v>70</v>
      </c>
      <c r="B175" s="42">
        <v>46218</v>
      </c>
      <c r="C175" s="27" t="s">
        <v>69</v>
      </c>
      <c r="D175" s="27" t="s">
        <v>101</v>
      </c>
      <c r="E175" s="27">
        <v>2</v>
      </c>
      <c r="F175" s="27"/>
      <c r="G175" s="15" t="str">
        <f t="shared" si="10"/>
        <v/>
      </c>
      <c r="H175" s="27"/>
    </row>
    <row r="176" ht="16.5" hidden="1" spans="1:8">
      <c r="A176" s="14">
        <v>71</v>
      </c>
      <c r="B176" s="42">
        <v>46218</v>
      </c>
      <c r="C176" s="27" t="s">
        <v>69</v>
      </c>
      <c r="D176" s="27" t="s">
        <v>99</v>
      </c>
      <c r="E176" s="27">
        <v>10</v>
      </c>
      <c r="F176" s="27">
        <v>68</v>
      </c>
      <c r="G176" s="15">
        <f t="shared" si="10"/>
        <v>680</v>
      </c>
      <c r="H176" s="27"/>
    </row>
    <row r="177" ht="16.5" hidden="1" spans="1:8">
      <c r="A177" s="14">
        <v>72</v>
      </c>
      <c r="B177" s="42">
        <v>46218</v>
      </c>
      <c r="C177" s="27" t="s">
        <v>69</v>
      </c>
      <c r="D177" s="27" t="s">
        <v>99</v>
      </c>
      <c r="E177" s="27">
        <v>1</v>
      </c>
      <c r="F177" s="27"/>
      <c r="G177" s="15" t="str">
        <f t="shared" si="10"/>
        <v/>
      </c>
      <c r="H177" s="27"/>
    </row>
    <row r="178" ht="16.5" hidden="1" spans="1:8">
      <c r="A178" s="14">
        <v>73</v>
      </c>
      <c r="B178" s="42">
        <v>46218</v>
      </c>
      <c r="C178" s="27" t="s">
        <v>69</v>
      </c>
      <c r="D178" s="27" t="s">
        <v>102</v>
      </c>
      <c r="E178" s="27">
        <v>15</v>
      </c>
      <c r="F178" s="27">
        <v>58</v>
      </c>
      <c r="G178" s="15">
        <f t="shared" si="10"/>
        <v>870</v>
      </c>
      <c r="H178" s="27"/>
    </row>
    <row r="179" ht="16.5" hidden="1" spans="1:8">
      <c r="A179" s="14">
        <v>74</v>
      </c>
      <c r="B179" s="42">
        <v>46218</v>
      </c>
      <c r="C179" s="27" t="s">
        <v>69</v>
      </c>
      <c r="D179" s="27" t="s">
        <v>103</v>
      </c>
      <c r="E179" s="27">
        <v>7</v>
      </c>
      <c r="F179" s="27">
        <v>46</v>
      </c>
      <c r="G179" s="15">
        <f t="shared" si="10"/>
        <v>322</v>
      </c>
      <c r="H179" s="27"/>
    </row>
    <row r="180" ht="16.5" hidden="1" spans="1:8">
      <c r="A180" s="14">
        <v>75</v>
      </c>
      <c r="B180" s="42">
        <v>46218</v>
      </c>
      <c r="C180" s="27" t="s">
        <v>69</v>
      </c>
      <c r="D180" s="27" t="s">
        <v>104</v>
      </c>
      <c r="E180" s="27">
        <v>3</v>
      </c>
      <c r="F180" s="27">
        <v>86</v>
      </c>
      <c r="G180" s="15">
        <f t="shared" si="10"/>
        <v>258</v>
      </c>
      <c r="H180" s="27"/>
    </row>
    <row r="181" ht="16.5" hidden="1" spans="1:8">
      <c r="A181" s="14">
        <v>76</v>
      </c>
      <c r="B181" s="42">
        <v>46217</v>
      </c>
      <c r="C181" s="14" t="s">
        <v>70</v>
      </c>
      <c r="D181" s="27" t="s">
        <v>107</v>
      </c>
      <c r="E181" s="27">
        <v>10</v>
      </c>
      <c r="F181" s="27">
        <v>93</v>
      </c>
      <c r="G181" s="15">
        <f t="shared" ref="G181:G189" si="11">IF(AND(E181&lt;&gt;"",F181&lt;&gt;""),E181*F181,"")</f>
        <v>930</v>
      </c>
      <c r="H181" s="27"/>
    </row>
    <row r="182" ht="16.5" hidden="1" spans="1:8">
      <c r="A182" s="14">
        <v>77</v>
      </c>
      <c r="B182" s="42">
        <v>46217</v>
      </c>
      <c r="C182" s="27" t="s">
        <v>21</v>
      </c>
      <c r="D182" s="27" t="s">
        <v>99</v>
      </c>
      <c r="E182" s="27">
        <v>60</v>
      </c>
      <c r="F182" s="27">
        <v>65</v>
      </c>
      <c r="G182" s="15">
        <f t="shared" si="11"/>
        <v>3900</v>
      </c>
      <c r="H182" s="27"/>
    </row>
    <row r="183" ht="16.5" hidden="1" spans="1:8">
      <c r="A183" s="14">
        <v>78</v>
      </c>
      <c r="B183" s="42">
        <v>46217</v>
      </c>
      <c r="C183" s="27" t="s">
        <v>21</v>
      </c>
      <c r="D183" s="27" t="s">
        <v>99</v>
      </c>
      <c r="E183" s="27">
        <v>6</v>
      </c>
      <c r="F183" s="27">
        <v>0</v>
      </c>
      <c r="G183" s="15">
        <f t="shared" si="11"/>
        <v>0</v>
      </c>
      <c r="H183" s="27"/>
    </row>
    <row r="184" ht="16.5" hidden="1" spans="1:8">
      <c r="A184" s="14">
        <v>79</v>
      </c>
      <c r="B184" s="42">
        <v>46217</v>
      </c>
      <c r="C184" s="27" t="s">
        <v>21</v>
      </c>
      <c r="D184" s="27" t="s">
        <v>101</v>
      </c>
      <c r="E184" s="27">
        <v>135</v>
      </c>
      <c r="F184" s="27">
        <v>47</v>
      </c>
      <c r="G184" s="15">
        <f t="shared" si="11"/>
        <v>6345</v>
      </c>
      <c r="H184" s="27"/>
    </row>
    <row r="185" ht="16.5" hidden="1" spans="1:8">
      <c r="A185" s="14">
        <v>80</v>
      </c>
      <c r="B185" s="42">
        <v>46217</v>
      </c>
      <c r="C185" s="27" t="s">
        <v>21</v>
      </c>
      <c r="D185" s="27" t="s">
        <v>101</v>
      </c>
      <c r="E185" s="27">
        <v>4</v>
      </c>
      <c r="F185" s="27">
        <v>0</v>
      </c>
      <c r="G185" s="15">
        <f t="shared" si="11"/>
        <v>0</v>
      </c>
      <c r="H185" s="27"/>
    </row>
    <row r="186" ht="16.5" hidden="1" spans="1:8">
      <c r="A186" s="14">
        <v>81</v>
      </c>
      <c r="B186" s="42">
        <v>46217</v>
      </c>
      <c r="C186" s="27" t="s">
        <v>21</v>
      </c>
      <c r="D186" s="27" t="s">
        <v>103</v>
      </c>
      <c r="E186" s="27">
        <v>50.5</v>
      </c>
      <c r="F186" s="27">
        <v>43</v>
      </c>
      <c r="G186" s="15">
        <f t="shared" si="11"/>
        <v>2171.5</v>
      </c>
      <c r="H186" s="27"/>
    </row>
    <row r="187" ht="16.5" hidden="1" spans="1:8">
      <c r="A187" s="14">
        <v>82</v>
      </c>
      <c r="B187" s="42">
        <v>46217</v>
      </c>
      <c r="C187" s="27" t="s">
        <v>21</v>
      </c>
      <c r="D187" s="27" t="s">
        <v>103</v>
      </c>
      <c r="E187" s="27">
        <v>1.5</v>
      </c>
      <c r="F187" s="27">
        <v>0</v>
      </c>
      <c r="G187" s="15">
        <f t="shared" si="11"/>
        <v>0</v>
      </c>
      <c r="H187" s="27"/>
    </row>
    <row r="188" ht="16.5" hidden="1" spans="1:8">
      <c r="A188" s="14">
        <v>83</v>
      </c>
      <c r="B188" s="42">
        <v>46215</v>
      </c>
      <c r="C188" s="27" t="s">
        <v>71</v>
      </c>
      <c r="D188" s="27" t="s">
        <v>107</v>
      </c>
      <c r="E188" s="27">
        <v>15</v>
      </c>
      <c r="F188" s="27">
        <v>93</v>
      </c>
      <c r="G188" s="15">
        <f t="shared" si="11"/>
        <v>1395</v>
      </c>
      <c r="H188" s="27"/>
    </row>
    <row r="189" ht="16.5" hidden="1" spans="1:8">
      <c r="A189" s="14">
        <v>84</v>
      </c>
      <c r="B189" s="42">
        <v>46215</v>
      </c>
      <c r="C189" s="27" t="s">
        <v>72</v>
      </c>
      <c r="D189" s="27" t="s">
        <v>107</v>
      </c>
      <c r="E189" s="27">
        <v>25</v>
      </c>
      <c r="F189" s="27">
        <v>93</v>
      </c>
      <c r="G189" s="15">
        <f t="shared" si="11"/>
        <v>2325</v>
      </c>
      <c r="H189" s="27"/>
    </row>
    <row r="190" ht="16.5" hidden="1" spans="1:8">
      <c r="A190" s="14"/>
      <c r="B190" s="42">
        <v>46215</v>
      </c>
      <c r="C190" s="27" t="s">
        <v>72</v>
      </c>
      <c r="D190" s="27" t="s">
        <v>107</v>
      </c>
      <c r="E190" s="27">
        <v>1</v>
      </c>
      <c r="F190" s="27"/>
      <c r="G190" s="15"/>
      <c r="H190" s="27"/>
    </row>
    <row r="191" ht="16.5" hidden="1" spans="1:8">
      <c r="A191" s="14">
        <v>85</v>
      </c>
      <c r="B191" s="42">
        <v>46215</v>
      </c>
      <c r="C191" s="27" t="s">
        <v>72</v>
      </c>
      <c r="D191" s="27" t="s">
        <v>99</v>
      </c>
      <c r="E191" s="27">
        <v>10</v>
      </c>
      <c r="F191" s="27">
        <v>68</v>
      </c>
      <c r="G191" s="15">
        <f>IF(AND(E191&lt;&gt;"",F191&lt;&gt;""),E191*F191,"")</f>
        <v>680</v>
      </c>
      <c r="H191" s="27"/>
    </row>
    <row r="192" ht="16.5" hidden="1" spans="1:8">
      <c r="A192" s="14">
        <v>86</v>
      </c>
      <c r="B192" s="42">
        <v>46215</v>
      </c>
      <c r="C192" s="27" t="s">
        <v>72</v>
      </c>
      <c r="D192" s="27" t="s">
        <v>99</v>
      </c>
      <c r="E192" s="27">
        <v>1</v>
      </c>
      <c r="F192" s="27"/>
      <c r="G192" s="15" t="str">
        <f>IF(AND(E192&lt;&gt;"",F192&lt;&gt;""),E192*F192,"")</f>
        <v/>
      </c>
      <c r="H192" s="27"/>
    </row>
    <row r="193" ht="16.5" hidden="1" spans="1:8">
      <c r="A193" s="14">
        <v>87</v>
      </c>
      <c r="B193" s="42">
        <v>46213</v>
      </c>
      <c r="C193" s="27" t="s">
        <v>73</v>
      </c>
      <c r="D193" s="27" t="s">
        <v>107</v>
      </c>
      <c r="E193" s="27">
        <v>15</v>
      </c>
      <c r="F193" s="27">
        <v>93</v>
      </c>
      <c r="G193" s="15">
        <f>IF(AND(E193&lt;&gt;"",F193&lt;&gt;""),E193*F193,"")</f>
        <v>1395</v>
      </c>
      <c r="H193" s="27"/>
    </row>
    <row r="194" ht="16.5" hidden="1" spans="1:8">
      <c r="A194" s="14">
        <v>88</v>
      </c>
      <c r="B194" s="42">
        <v>46213</v>
      </c>
      <c r="C194" s="27" t="s">
        <v>74</v>
      </c>
      <c r="D194" s="27" t="s">
        <v>107</v>
      </c>
      <c r="E194" s="27">
        <v>25</v>
      </c>
      <c r="F194" s="27">
        <v>93</v>
      </c>
      <c r="G194" s="15">
        <f t="shared" ref="G194:G241" si="12">IF(AND(E194&lt;&gt;"",F194&lt;&gt;""),E194*F194,"")</f>
        <v>2325</v>
      </c>
      <c r="H194" s="27"/>
    </row>
    <row r="195" ht="16.5" hidden="1" spans="1:8">
      <c r="A195" s="14">
        <v>89</v>
      </c>
      <c r="B195" s="42">
        <v>46212</v>
      </c>
      <c r="C195" s="27" t="s">
        <v>75</v>
      </c>
      <c r="D195" s="27" t="s">
        <v>101</v>
      </c>
      <c r="E195" s="27">
        <v>10</v>
      </c>
      <c r="F195" s="27">
        <v>50</v>
      </c>
      <c r="G195" s="15">
        <f t="shared" si="12"/>
        <v>500</v>
      </c>
      <c r="H195" s="27"/>
    </row>
    <row r="196" ht="16.5" hidden="1" spans="1:8">
      <c r="A196" s="14">
        <v>90</v>
      </c>
      <c r="B196" s="42">
        <v>46212</v>
      </c>
      <c r="C196" s="27" t="s">
        <v>75</v>
      </c>
      <c r="D196" s="27" t="s">
        <v>103</v>
      </c>
      <c r="E196" s="27">
        <v>10</v>
      </c>
      <c r="F196" s="27">
        <v>46</v>
      </c>
      <c r="G196" s="15">
        <f t="shared" si="12"/>
        <v>460</v>
      </c>
      <c r="H196" s="27"/>
    </row>
    <row r="197" ht="16.5" hidden="1" spans="1:8">
      <c r="A197" s="14">
        <v>91</v>
      </c>
      <c r="B197" s="42">
        <v>46212</v>
      </c>
      <c r="C197" s="27" t="s">
        <v>75</v>
      </c>
      <c r="D197" s="27" t="s">
        <v>101</v>
      </c>
      <c r="E197" s="27">
        <v>1</v>
      </c>
      <c r="F197" s="27"/>
      <c r="G197" s="15" t="str">
        <f t="shared" si="12"/>
        <v/>
      </c>
      <c r="H197" s="27"/>
    </row>
    <row r="198" ht="16.5" hidden="1" spans="1:8">
      <c r="A198" s="14">
        <v>92</v>
      </c>
      <c r="B198" s="42">
        <v>46212</v>
      </c>
      <c r="C198" s="27" t="s">
        <v>75</v>
      </c>
      <c r="D198" s="27" t="s">
        <v>99</v>
      </c>
      <c r="E198" s="27">
        <v>10</v>
      </c>
      <c r="F198" s="27">
        <v>68</v>
      </c>
      <c r="G198" s="15">
        <f t="shared" si="12"/>
        <v>680</v>
      </c>
      <c r="H198" s="27"/>
    </row>
    <row r="199" ht="16.5" hidden="1" spans="1:8">
      <c r="A199" s="14">
        <v>93</v>
      </c>
      <c r="B199" s="42">
        <v>46212</v>
      </c>
      <c r="C199" s="27" t="s">
        <v>75</v>
      </c>
      <c r="D199" s="27" t="s">
        <v>99</v>
      </c>
      <c r="E199" s="35">
        <v>1</v>
      </c>
      <c r="G199" s="15" t="str">
        <f t="shared" si="12"/>
        <v/>
      </c>
    </row>
    <row r="200" ht="16.5" hidden="1" spans="1:8">
      <c r="A200" s="14">
        <v>94</v>
      </c>
      <c r="B200" s="42">
        <v>46212</v>
      </c>
      <c r="C200" s="27" t="s">
        <v>75</v>
      </c>
      <c r="D200" s="35" t="s">
        <v>107</v>
      </c>
      <c r="E200" s="35">
        <v>15</v>
      </c>
      <c r="F200" s="35">
        <v>93</v>
      </c>
      <c r="G200" s="15">
        <f t="shared" si="12"/>
        <v>1395</v>
      </c>
    </row>
    <row r="201" ht="16.5" hidden="1" spans="1:8">
      <c r="A201" s="14">
        <v>95</v>
      </c>
      <c r="B201" s="42">
        <v>46212</v>
      </c>
      <c r="C201" s="35" t="s">
        <v>76</v>
      </c>
      <c r="D201" s="35" t="s">
        <v>107</v>
      </c>
      <c r="E201" s="35">
        <v>25</v>
      </c>
      <c r="F201" s="35">
        <v>93</v>
      </c>
      <c r="G201" s="15">
        <f t="shared" si="12"/>
        <v>2325</v>
      </c>
    </row>
    <row r="202" ht="16.5" hidden="1" spans="1:8">
      <c r="A202" s="14">
        <v>96</v>
      </c>
      <c r="B202" s="42">
        <v>46212</v>
      </c>
      <c r="C202" s="35" t="s">
        <v>76</v>
      </c>
      <c r="D202" s="35" t="s">
        <v>99</v>
      </c>
      <c r="E202" s="35">
        <v>5</v>
      </c>
      <c r="F202" s="35">
        <v>68</v>
      </c>
      <c r="G202" s="15">
        <f t="shared" si="12"/>
        <v>340</v>
      </c>
    </row>
    <row r="203" ht="16.5" hidden="1" spans="1:8">
      <c r="A203" s="14">
        <v>97</v>
      </c>
      <c r="B203" s="42">
        <v>46212</v>
      </c>
      <c r="C203" s="35" t="s">
        <v>76</v>
      </c>
      <c r="D203" s="35" t="s">
        <v>101</v>
      </c>
      <c r="E203" s="35">
        <v>3</v>
      </c>
      <c r="F203" s="35">
        <v>50</v>
      </c>
      <c r="G203" s="15">
        <f t="shared" si="12"/>
        <v>150</v>
      </c>
    </row>
    <row r="204" ht="16.5" hidden="1" spans="1:8">
      <c r="A204" s="14">
        <v>98</v>
      </c>
      <c r="B204" s="42">
        <v>46212</v>
      </c>
      <c r="C204" s="35" t="s">
        <v>76</v>
      </c>
      <c r="D204" s="35" t="s">
        <v>103</v>
      </c>
      <c r="E204" s="35">
        <v>2</v>
      </c>
      <c r="F204" s="35">
        <v>46</v>
      </c>
      <c r="G204" s="15">
        <f t="shared" si="12"/>
        <v>92</v>
      </c>
    </row>
    <row r="205" ht="16.5" hidden="1" spans="1:8">
      <c r="A205" s="14">
        <v>99</v>
      </c>
      <c r="B205" s="42">
        <v>46212</v>
      </c>
      <c r="C205" s="27" t="s">
        <v>77</v>
      </c>
      <c r="D205" s="27" t="s">
        <v>107</v>
      </c>
      <c r="E205" s="35">
        <v>15</v>
      </c>
      <c r="F205" s="35">
        <v>93</v>
      </c>
      <c r="G205" s="15">
        <f t="shared" si="12"/>
        <v>1395</v>
      </c>
    </row>
    <row r="206" ht="16.5" hidden="1" spans="1:8">
      <c r="A206" s="14">
        <v>100</v>
      </c>
      <c r="B206" s="42">
        <v>46212</v>
      </c>
      <c r="C206" s="27" t="s">
        <v>77</v>
      </c>
      <c r="D206" s="27" t="s">
        <v>104</v>
      </c>
      <c r="E206" s="35">
        <v>2</v>
      </c>
      <c r="F206" s="35">
        <v>86</v>
      </c>
      <c r="G206" s="15">
        <f t="shared" si="12"/>
        <v>172</v>
      </c>
    </row>
    <row r="207" ht="16.5" hidden="1" spans="1:8">
      <c r="A207" s="14">
        <v>101</v>
      </c>
      <c r="B207" s="43">
        <v>46223</v>
      </c>
      <c r="C207" s="35" t="s">
        <v>78</v>
      </c>
      <c r="D207" s="35" t="s">
        <v>107</v>
      </c>
      <c r="E207" s="35">
        <v>50</v>
      </c>
      <c r="F207" s="35">
        <v>90</v>
      </c>
      <c r="G207" s="15">
        <f t="shared" si="12"/>
        <v>4500</v>
      </c>
    </row>
    <row r="208" ht="16.5" hidden="1" spans="1:8">
      <c r="A208" s="14">
        <v>102</v>
      </c>
      <c r="B208" s="44">
        <v>46226</v>
      </c>
      <c r="C208" s="35" t="s">
        <v>79</v>
      </c>
      <c r="D208" s="35" t="s">
        <v>107</v>
      </c>
      <c r="E208" s="35">
        <v>100</v>
      </c>
      <c r="F208" s="35">
        <v>90</v>
      </c>
      <c r="G208" s="15">
        <f t="shared" si="12"/>
        <v>9000</v>
      </c>
    </row>
    <row r="209" ht="16.5" hidden="1" spans="1:7">
      <c r="A209" s="14">
        <v>103</v>
      </c>
      <c r="B209" s="43">
        <v>46233</v>
      </c>
      <c r="C209" s="35" t="s">
        <v>192</v>
      </c>
      <c r="D209" s="35" t="s">
        <v>107</v>
      </c>
      <c r="E209" s="35">
        <v>100</v>
      </c>
      <c r="F209" s="35">
        <v>90</v>
      </c>
      <c r="G209" s="15">
        <f t="shared" si="12"/>
        <v>9000</v>
      </c>
    </row>
    <row r="210" ht="16.5" hidden="1" spans="1:7">
      <c r="A210" s="14">
        <v>104</v>
      </c>
      <c r="B210" s="43">
        <v>46233</v>
      </c>
      <c r="C210" s="35" t="s">
        <v>192</v>
      </c>
      <c r="D210" s="35" t="s">
        <v>102</v>
      </c>
      <c r="E210" s="35">
        <v>20</v>
      </c>
      <c r="F210" s="35">
        <v>55</v>
      </c>
      <c r="G210" s="15">
        <f t="shared" si="12"/>
        <v>1100</v>
      </c>
    </row>
    <row r="211" ht="16.5" hidden="1" spans="1:7">
      <c r="A211" s="14">
        <v>105</v>
      </c>
      <c r="B211" s="43">
        <v>46231</v>
      </c>
      <c r="C211" s="35" t="s">
        <v>16</v>
      </c>
      <c r="D211" s="35" t="s">
        <v>99</v>
      </c>
      <c r="E211" s="35">
        <v>400</v>
      </c>
      <c r="F211" s="35">
        <v>65</v>
      </c>
      <c r="G211" s="15">
        <f t="shared" si="12"/>
        <v>26000</v>
      </c>
    </row>
    <row r="212" ht="16.5" hidden="1" spans="1:7">
      <c r="A212" s="14">
        <v>106</v>
      </c>
      <c r="B212" s="43">
        <v>46231</v>
      </c>
      <c r="C212" s="35" t="s">
        <v>16</v>
      </c>
      <c r="D212" s="35" t="s">
        <v>99</v>
      </c>
      <c r="E212" s="35">
        <v>40</v>
      </c>
      <c r="G212" s="15" t="str">
        <f t="shared" si="12"/>
        <v/>
      </c>
    </row>
    <row r="213" ht="16.5" hidden="1" spans="1:7">
      <c r="A213" s="14">
        <v>107</v>
      </c>
      <c r="B213" s="43">
        <v>46231</v>
      </c>
      <c r="C213" s="35" t="s">
        <v>16</v>
      </c>
      <c r="D213" s="35" t="s">
        <v>103</v>
      </c>
      <c r="E213" s="35">
        <v>100</v>
      </c>
      <c r="F213" s="35">
        <v>43</v>
      </c>
      <c r="G213" s="15">
        <f t="shared" si="12"/>
        <v>4300</v>
      </c>
    </row>
    <row r="214" ht="16.5" hidden="1" spans="1:7">
      <c r="A214" s="14">
        <v>108</v>
      </c>
      <c r="B214" s="43">
        <v>46231</v>
      </c>
      <c r="C214" s="35" t="s">
        <v>16</v>
      </c>
      <c r="D214" s="35" t="s">
        <v>103</v>
      </c>
      <c r="E214" s="35">
        <v>4</v>
      </c>
      <c r="G214" s="15" t="str">
        <f t="shared" si="12"/>
        <v/>
      </c>
    </row>
    <row r="215" ht="16.5" hidden="1" spans="1:7">
      <c r="A215" s="14">
        <v>109</v>
      </c>
      <c r="B215" s="43">
        <v>46231</v>
      </c>
      <c r="C215" s="35" t="s">
        <v>16</v>
      </c>
      <c r="D215" s="35" t="s">
        <v>101</v>
      </c>
      <c r="E215" s="35">
        <v>800</v>
      </c>
      <c r="F215" s="35">
        <v>47</v>
      </c>
      <c r="G215" s="15">
        <f t="shared" si="12"/>
        <v>37600</v>
      </c>
    </row>
    <row r="216" ht="16.5" hidden="1" spans="1:7">
      <c r="A216" s="14">
        <v>110</v>
      </c>
      <c r="B216" s="43">
        <v>46231</v>
      </c>
      <c r="C216" s="35" t="s">
        <v>16</v>
      </c>
      <c r="D216" s="35" t="s">
        <v>101</v>
      </c>
      <c r="E216" s="35">
        <v>32</v>
      </c>
      <c r="G216" s="15" t="str">
        <f t="shared" si="12"/>
        <v/>
      </c>
    </row>
    <row r="217" ht="16.5" hidden="1" spans="1:7">
      <c r="A217" s="14">
        <v>111</v>
      </c>
      <c r="B217" s="43">
        <v>46227</v>
      </c>
      <c r="C217" s="35" t="s">
        <v>44</v>
      </c>
      <c r="D217" s="35" t="s">
        <v>102</v>
      </c>
      <c r="E217" s="35">
        <v>100</v>
      </c>
      <c r="F217" s="35">
        <v>55</v>
      </c>
      <c r="G217" s="15">
        <f t="shared" si="12"/>
        <v>5500</v>
      </c>
    </row>
    <row r="218" ht="16.5" hidden="1" spans="1:7">
      <c r="A218" s="14">
        <v>112</v>
      </c>
      <c r="B218" s="43">
        <v>46227</v>
      </c>
      <c r="C218" s="35" t="s">
        <v>44</v>
      </c>
      <c r="D218" s="35" t="s">
        <v>102</v>
      </c>
      <c r="E218" s="35">
        <v>3</v>
      </c>
      <c r="G218" s="15" t="str">
        <f t="shared" si="12"/>
        <v/>
      </c>
    </row>
    <row r="219" ht="16.5" hidden="1" spans="1:7">
      <c r="A219" s="14">
        <v>113</v>
      </c>
      <c r="B219" s="43">
        <v>46227</v>
      </c>
      <c r="C219" s="35" t="s">
        <v>44</v>
      </c>
      <c r="D219" s="35" t="s">
        <v>101</v>
      </c>
      <c r="E219" s="35">
        <v>100</v>
      </c>
      <c r="F219" s="35">
        <v>47</v>
      </c>
      <c r="G219" s="15">
        <f t="shared" si="12"/>
        <v>4700</v>
      </c>
    </row>
    <row r="220" ht="16.5" hidden="1" spans="1:7">
      <c r="A220" s="14">
        <v>114</v>
      </c>
      <c r="B220" s="43">
        <v>46227</v>
      </c>
      <c r="C220" s="35" t="s">
        <v>44</v>
      </c>
      <c r="D220" s="35" t="s">
        <v>101</v>
      </c>
      <c r="E220" s="35">
        <v>3</v>
      </c>
      <c r="G220" s="15" t="str">
        <f t="shared" si="12"/>
        <v/>
      </c>
    </row>
    <row r="221" ht="16.5" hidden="1" spans="1:7">
      <c r="A221" s="14">
        <v>115</v>
      </c>
      <c r="B221" s="43">
        <v>46227</v>
      </c>
      <c r="C221" s="35" t="s">
        <v>44</v>
      </c>
      <c r="D221" s="35" t="s">
        <v>103</v>
      </c>
      <c r="E221" s="35">
        <v>35</v>
      </c>
      <c r="F221" s="35">
        <v>43</v>
      </c>
      <c r="G221" s="15">
        <f t="shared" si="12"/>
        <v>1505</v>
      </c>
    </row>
    <row r="222" ht="16.5" hidden="1" spans="1:7">
      <c r="A222" s="14">
        <v>116</v>
      </c>
      <c r="B222" s="43">
        <v>46227</v>
      </c>
      <c r="C222" s="35" t="s">
        <v>44</v>
      </c>
      <c r="D222" s="35" t="s">
        <v>103</v>
      </c>
      <c r="E222" s="35">
        <v>1</v>
      </c>
      <c r="G222" s="15" t="str">
        <f t="shared" si="12"/>
        <v/>
      </c>
    </row>
    <row r="223" ht="16.5" hidden="1" spans="1:7">
      <c r="A223" s="14">
        <v>117</v>
      </c>
      <c r="B223" s="43">
        <v>46231</v>
      </c>
      <c r="C223" s="35" t="s">
        <v>15</v>
      </c>
      <c r="D223" s="35" t="s">
        <v>99</v>
      </c>
      <c r="E223" s="35">
        <v>500</v>
      </c>
      <c r="F223" s="35">
        <v>65</v>
      </c>
      <c r="G223" s="15">
        <f t="shared" si="12"/>
        <v>32500</v>
      </c>
    </row>
    <row r="224" ht="16.5" hidden="1" spans="1:7">
      <c r="A224" s="14">
        <v>118</v>
      </c>
      <c r="B224" s="43">
        <v>46231</v>
      </c>
      <c r="C224" s="35" t="s">
        <v>15</v>
      </c>
      <c r="D224" s="35" t="s">
        <v>99</v>
      </c>
      <c r="E224" s="35">
        <v>50</v>
      </c>
      <c r="G224" s="15" t="str">
        <f t="shared" si="12"/>
        <v/>
      </c>
    </row>
    <row r="225" ht="16.5" hidden="1" spans="1:7">
      <c r="A225" s="14">
        <v>119</v>
      </c>
      <c r="B225" s="43">
        <v>46231</v>
      </c>
      <c r="C225" s="35" t="s">
        <v>15</v>
      </c>
      <c r="D225" s="35" t="s">
        <v>101</v>
      </c>
      <c r="E225" s="35">
        <v>600</v>
      </c>
      <c r="F225" s="35">
        <v>47</v>
      </c>
      <c r="G225" s="15">
        <f t="shared" si="12"/>
        <v>28200</v>
      </c>
    </row>
    <row r="226" ht="16.5" hidden="1" spans="1:7">
      <c r="A226" s="14">
        <v>120</v>
      </c>
      <c r="B226" s="43">
        <v>46231</v>
      </c>
      <c r="C226" s="35" t="s">
        <v>15</v>
      </c>
      <c r="D226" s="35" t="s">
        <v>101</v>
      </c>
      <c r="E226" s="35">
        <v>24</v>
      </c>
      <c r="G226" s="15" t="str">
        <f t="shared" si="12"/>
        <v/>
      </c>
    </row>
    <row r="227" ht="16.5" hidden="1" spans="1:7">
      <c r="A227" s="14">
        <v>121</v>
      </c>
      <c r="B227" s="43">
        <v>46231</v>
      </c>
      <c r="C227" s="35" t="s">
        <v>15</v>
      </c>
      <c r="D227" s="35" t="s">
        <v>103</v>
      </c>
      <c r="E227" s="35">
        <v>400</v>
      </c>
      <c r="F227" s="35">
        <v>43</v>
      </c>
      <c r="G227" s="15">
        <f t="shared" si="12"/>
        <v>17200</v>
      </c>
    </row>
    <row r="228" ht="16.5" hidden="1" spans="1:7">
      <c r="A228" s="14">
        <v>122</v>
      </c>
      <c r="B228" s="43">
        <v>46231</v>
      </c>
      <c r="C228" s="35" t="s">
        <v>15</v>
      </c>
      <c r="D228" s="35" t="s">
        <v>103</v>
      </c>
      <c r="E228" s="35">
        <v>16</v>
      </c>
      <c r="G228" s="15" t="str">
        <f t="shared" si="12"/>
        <v/>
      </c>
    </row>
    <row r="229" ht="16.5" hidden="1" spans="1:7">
      <c r="A229" s="14">
        <v>123</v>
      </c>
      <c r="B229" s="43">
        <v>46231</v>
      </c>
      <c r="C229" s="35" t="s">
        <v>82</v>
      </c>
      <c r="D229" s="35" t="s">
        <v>107</v>
      </c>
      <c r="E229" s="35">
        <v>20</v>
      </c>
      <c r="F229" s="35">
        <v>93</v>
      </c>
      <c r="G229" s="15">
        <f t="shared" si="12"/>
        <v>1860</v>
      </c>
    </row>
    <row r="230" ht="16.5" hidden="1" spans="1:7">
      <c r="A230" s="14">
        <v>124</v>
      </c>
      <c r="B230" s="43">
        <v>46227</v>
      </c>
      <c r="C230" s="35" t="s">
        <v>81</v>
      </c>
      <c r="D230" s="35" t="s">
        <v>107</v>
      </c>
      <c r="E230" s="35">
        <v>25</v>
      </c>
      <c r="F230" s="35">
        <v>93</v>
      </c>
      <c r="G230" s="15">
        <f t="shared" si="12"/>
        <v>2325</v>
      </c>
    </row>
    <row r="231" ht="16.5" hidden="1" spans="1:7">
      <c r="A231" s="14">
        <v>125</v>
      </c>
      <c r="B231" s="43">
        <v>46232</v>
      </c>
      <c r="C231" s="36" t="s">
        <v>83</v>
      </c>
      <c r="D231" s="35" t="s">
        <v>107</v>
      </c>
      <c r="E231" s="35">
        <v>50</v>
      </c>
      <c r="F231" s="35">
        <v>90</v>
      </c>
      <c r="G231" s="15">
        <f t="shared" si="12"/>
        <v>4500</v>
      </c>
    </row>
    <row r="232" ht="16.5" hidden="1" spans="1:7">
      <c r="A232" s="14">
        <v>126</v>
      </c>
      <c r="B232" s="43">
        <v>46241</v>
      </c>
      <c r="C232" s="35" t="s">
        <v>16</v>
      </c>
      <c r="D232" s="35" t="s">
        <v>193</v>
      </c>
      <c r="E232" s="35">
        <v>50</v>
      </c>
      <c r="F232" s="35">
        <v>42</v>
      </c>
      <c r="G232" s="15">
        <f t="shared" si="12"/>
        <v>2100</v>
      </c>
    </row>
    <row r="233" ht="16.5" hidden="1" spans="1:7">
      <c r="A233" s="14">
        <v>127</v>
      </c>
      <c r="B233" s="43">
        <v>46241</v>
      </c>
      <c r="C233" s="35" t="s">
        <v>84</v>
      </c>
      <c r="D233" s="35" t="s">
        <v>101</v>
      </c>
      <c r="E233" s="35">
        <v>10</v>
      </c>
      <c r="F233" s="35">
        <v>50</v>
      </c>
      <c r="G233" s="15">
        <f t="shared" si="12"/>
        <v>500</v>
      </c>
    </row>
    <row r="234" ht="16.5" hidden="1" spans="1:7">
      <c r="A234" s="14">
        <v>128</v>
      </c>
      <c r="B234" s="43">
        <v>46241</v>
      </c>
      <c r="C234" s="35" t="s">
        <v>84</v>
      </c>
      <c r="D234" s="35" t="s">
        <v>103</v>
      </c>
      <c r="E234" s="35">
        <v>10</v>
      </c>
      <c r="F234" s="35">
        <v>46</v>
      </c>
      <c r="G234" s="15">
        <f t="shared" si="12"/>
        <v>460</v>
      </c>
    </row>
    <row r="235" ht="16.5" hidden="1" spans="1:7">
      <c r="A235" s="14">
        <v>129</v>
      </c>
      <c r="B235" s="43">
        <v>46241</v>
      </c>
      <c r="C235" s="35" t="s">
        <v>84</v>
      </c>
      <c r="D235" s="35" t="s">
        <v>99</v>
      </c>
      <c r="E235" s="35">
        <v>10</v>
      </c>
      <c r="F235" s="35">
        <v>68</v>
      </c>
      <c r="G235" s="15">
        <f t="shared" si="12"/>
        <v>680</v>
      </c>
    </row>
    <row r="236" ht="16.5" hidden="1" spans="1:7">
      <c r="A236" s="14">
        <v>130</v>
      </c>
      <c r="B236" s="43">
        <v>46241</v>
      </c>
      <c r="C236" s="35" t="s">
        <v>85</v>
      </c>
      <c r="D236" s="35" t="s">
        <v>107</v>
      </c>
      <c r="E236" s="35">
        <v>25</v>
      </c>
      <c r="F236" s="35">
        <v>93</v>
      </c>
      <c r="G236" s="15">
        <f t="shared" si="12"/>
        <v>2325</v>
      </c>
    </row>
    <row r="237" ht="16.5" hidden="1" spans="1:7">
      <c r="A237" s="14">
        <v>131</v>
      </c>
      <c r="B237" s="43">
        <v>46246</v>
      </c>
      <c r="C237" s="35" t="s">
        <v>86</v>
      </c>
      <c r="D237" s="35" t="s">
        <v>124</v>
      </c>
      <c r="E237" s="35">
        <v>5</v>
      </c>
      <c r="F237" s="35">
        <v>21.5</v>
      </c>
      <c r="G237" s="15">
        <f t="shared" si="12"/>
        <v>107.5</v>
      </c>
    </row>
    <row r="238" ht="16.5" hidden="1" spans="1:7">
      <c r="A238" s="14">
        <v>132</v>
      </c>
      <c r="B238" s="43">
        <v>46248</v>
      </c>
      <c r="C238" s="35" t="s">
        <v>27</v>
      </c>
      <c r="D238" s="35" t="s">
        <v>99</v>
      </c>
      <c r="E238" s="35">
        <v>17.5</v>
      </c>
      <c r="F238" s="35">
        <v>65</v>
      </c>
      <c r="G238" s="15">
        <f t="shared" si="12"/>
        <v>1137.5</v>
      </c>
    </row>
    <row r="239" ht="16.5" hidden="1" spans="1:7">
      <c r="A239" s="14">
        <v>133</v>
      </c>
      <c r="B239" s="43">
        <v>46248</v>
      </c>
      <c r="C239" s="35" t="s">
        <v>27</v>
      </c>
      <c r="D239" s="35" t="s">
        <v>99</v>
      </c>
      <c r="E239" s="35">
        <v>0.5</v>
      </c>
      <c r="G239" s="15" t="str">
        <f t="shared" si="12"/>
        <v/>
      </c>
    </row>
    <row r="240" ht="16.5" hidden="1" spans="1:7">
      <c r="A240" s="14">
        <v>134</v>
      </c>
      <c r="B240" s="43">
        <v>46252</v>
      </c>
      <c r="C240" s="35" t="s">
        <v>42</v>
      </c>
      <c r="D240" s="35" t="s">
        <v>193</v>
      </c>
      <c r="E240" s="35">
        <v>50</v>
      </c>
      <c r="F240" s="35">
        <v>42</v>
      </c>
      <c r="G240" s="15">
        <f t="shared" si="12"/>
        <v>2100</v>
      </c>
    </row>
    <row r="241" ht="16.5" hidden="1" spans="1:7">
      <c r="A241" s="14">
        <v>135</v>
      </c>
      <c r="B241" s="43">
        <v>46252</v>
      </c>
      <c r="C241" s="35" t="s">
        <v>87</v>
      </c>
      <c r="D241" s="35" t="s">
        <v>107</v>
      </c>
      <c r="E241" s="35">
        <v>30</v>
      </c>
      <c r="F241" s="35">
        <v>93</v>
      </c>
      <c r="G241" s="15">
        <f t="shared" ref="G241:G247" si="13">IF(AND(E241&lt;&gt;"",F241&lt;&gt;""),E241*F241,"")</f>
        <v>2790</v>
      </c>
    </row>
    <row r="242" ht="16.5" hidden="1" spans="1:7">
      <c r="A242" s="14">
        <v>136</v>
      </c>
      <c r="B242" s="43">
        <v>46254</v>
      </c>
      <c r="C242" s="35" t="s">
        <v>88</v>
      </c>
      <c r="D242" s="35" t="s">
        <v>107</v>
      </c>
      <c r="E242" s="35">
        <v>50</v>
      </c>
      <c r="F242" s="35">
        <v>90</v>
      </c>
      <c r="G242" s="15">
        <f t="shared" si="13"/>
        <v>4500</v>
      </c>
    </row>
    <row r="243" ht="16.5" hidden="1" spans="1:7">
      <c r="A243" s="14">
        <v>137</v>
      </c>
      <c r="B243" s="43">
        <v>46272</v>
      </c>
      <c r="C243" s="35" t="s">
        <v>89</v>
      </c>
      <c r="D243" s="35" t="s">
        <v>107</v>
      </c>
      <c r="E243" s="35">
        <v>30</v>
      </c>
      <c r="F243" s="35">
        <v>90</v>
      </c>
      <c r="G243" s="15">
        <f t="shared" si="13"/>
        <v>2700</v>
      </c>
    </row>
    <row r="244" ht="16.5" hidden="1" spans="1:7">
      <c r="A244" s="14">
        <v>138</v>
      </c>
      <c r="B244" s="43">
        <v>46248</v>
      </c>
      <c r="C244" s="35" t="s">
        <v>90</v>
      </c>
      <c r="D244" s="35" t="s">
        <v>194</v>
      </c>
      <c r="E244" s="35">
        <v>250</v>
      </c>
      <c r="F244" s="35">
        <v>7.6</v>
      </c>
      <c r="G244" s="15">
        <f t="shared" si="13"/>
        <v>1900</v>
      </c>
    </row>
    <row r="245" ht="16.5" hidden="1" spans="1:7">
      <c r="A245" s="14">
        <v>139</v>
      </c>
      <c r="B245" s="43">
        <v>46251</v>
      </c>
      <c r="C245" s="35" t="s">
        <v>49</v>
      </c>
      <c r="D245" s="35" t="s">
        <v>102</v>
      </c>
      <c r="E245" s="35">
        <v>600</v>
      </c>
      <c r="F245" s="35">
        <v>55</v>
      </c>
      <c r="G245" s="15">
        <f t="shared" si="13"/>
        <v>33000</v>
      </c>
    </row>
    <row r="246" ht="16.5" hidden="1" spans="1:7">
      <c r="A246" s="14">
        <v>140</v>
      </c>
      <c r="B246" s="43">
        <v>46251</v>
      </c>
      <c r="C246" s="35" t="s">
        <v>49</v>
      </c>
      <c r="D246" s="35" t="s">
        <v>102</v>
      </c>
      <c r="E246" s="35">
        <v>24</v>
      </c>
      <c r="G246" s="15" t="str">
        <f t="shared" si="13"/>
        <v/>
      </c>
    </row>
    <row r="247" ht="16.5" hidden="1" spans="1:7">
      <c r="A247" s="14">
        <v>141</v>
      </c>
      <c r="B247" s="43">
        <v>46251</v>
      </c>
      <c r="C247" s="35" t="s">
        <v>49</v>
      </c>
      <c r="D247" s="35" t="s">
        <v>103</v>
      </c>
      <c r="E247" s="35">
        <v>600</v>
      </c>
      <c r="F247" s="35">
        <v>43</v>
      </c>
      <c r="G247" s="15">
        <f t="shared" si="13"/>
        <v>25800</v>
      </c>
    </row>
    <row r="248" ht="16.5" hidden="1" spans="1:7">
      <c r="A248" s="14">
        <v>142</v>
      </c>
      <c r="B248" s="43">
        <v>46251</v>
      </c>
      <c r="C248" s="35" t="s">
        <v>49</v>
      </c>
      <c r="D248" s="35" t="s">
        <v>103</v>
      </c>
      <c r="E248" s="35">
        <v>24</v>
      </c>
    </row>
    <row r="249" ht="16.5" hidden="1" spans="1:7">
      <c r="A249" s="14">
        <v>143</v>
      </c>
      <c r="B249" s="43">
        <v>46251</v>
      </c>
      <c r="C249" s="35" t="s">
        <v>49</v>
      </c>
      <c r="D249" s="35" t="s">
        <v>101</v>
      </c>
      <c r="E249" s="35">
        <v>500</v>
      </c>
      <c r="F249" s="35">
        <v>48</v>
      </c>
      <c r="G249" s="15">
        <f t="shared" ref="G249:G253" si="14">IF(AND(E249&lt;&gt;"",F249&lt;&gt;""),E249*F249,"")</f>
        <v>24000</v>
      </c>
    </row>
    <row r="250" ht="16.5" hidden="1" spans="1:7">
      <c r="A250" s="14">
        <v>144</v>
      </c>
      <c r="B250" s="43">
        <v>46251</v>
      </c>
      <c r="C250" s="35" t="s">
        <v>49</v>
      </c>
      <c r="D250" s="35" t="s">
        <v>101</v>
      </c>
      <c r="E250" s="35">
        <v>20</v>
      </c>
    </row>
    <row r="251" ht="16.5" hidden="1" spans="1:7">
      <c r="A251" s="14">
        <v>145</v>
      </c>
      <c r="B251" s="43">
        <v>46251</v>
      </c>
      <c r="C251" s="35" t="s">
        <v>49</v>
      </c>
      <c r="D251" s="35" t="s">
        <v>104</v>
      </c>
      <c r="E251" s="35">
        <v>100</v>
      </c>
      <c r="F251" s="35">
        <v>83</v>
      </c>
      <c r="G251" s="15">
        <f t="shared" si="14"/>
        <v>8300</v>
      </c>
    </row>
    <row r="252" ht="16.5" hidden="1" spans="1:7">
      <c r="A252" s="14">
        <v>146</v>
      </c>
      <c r="B252" s="43">
        <v>46251</v>
      </c>
      <c r="C252" s="35" t="s">
        <v>49</v>
      </c>
      <c r="D252" s="35" t="s">
        <v>104</v>
      </c>
      <c r="E252" s="35">
        <v>4</v>
      </c>
    </row>
    <row r="253" ht="16.5" hidden="1" spans="1:7">
      <c r="A253" s="14">
        <v>147</v>
      </c>
      <c r="B253" s="43">
        <v>46251</v>
      </c>
      <c r="C253" s="35" t="s">
        <v>49</v>
      </c>
      <c r="D253" s="35" t="s">
        <v>99</v>
      </c>
      <c r="E253" s="35">
        <v>200</v>
      </c>
      <c r="F253" s="35">
        <v>65</v>
      </c>
      <c r="G253" s="15">
        <f t="shared" si="14"/>
        <v>13000</v>
      </c>
    </row>
    <row r="254" ht="16.5" hidden="1" spans="1:7">
      <c r="A254" s="14">
        <v>148</v>
      </c>
      <c r="B254" s="43">
        <v>46251</v>
      </c>
      <c r="C254" s="35" t="s">
        <v>49</v>
      </c>
      <c r="D254" s="35" t="s">
        <v>99</v>
      </c>
      <c r="E254" s="35">
        <v>20</v>
      </c>
    </row>
  </sheetData>
  <autoFilter xmlns:etc="http://www.wps.cn/officeDocument/2017/etCustomData" ref="A3:H254" etc:filterBottomFollowUsedRange="0">
    <filterColumn colId="2">
      <customFilters>
        <customFilter operator="equal" val="梅窖建军批发"/>
      </customFilters>
    </filterColumn>
    <extLst/>
  </autoFilter>
  <mergeCells count="2">
    <mergeCell ref="A1:H1"/>
    <mergeCell ref="A2:H2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T434"/>
  <sheetViews>
    <sheetView workbookViewId="0">
      <pane ySplit="3" topLeftCell="A4" activePane="bottomLeft" state="frozen"/>
      <selection/>
      <selection pane="bottomLeft" activeCell="B168" sqref="B168"/>
    </sheetView>
  </sheetViews>
  <sheetFormatPr defaultColWidth="14" defaultRowHeight="12"/>
  <cols>
    <col min="1" max="1" width="7" customWidth="1"/>
    <col min="2" max="3" width="17" customWidth="1"/>
    <col min="4" max="4" width="13" customWidth="1"/>
    <col min="5" max="5" width="13" style="17" customWidth="1"/>
    <col min="6" max="8" width="15" customWidth="1"/>
    <col min="9" max="9" width="13" customWidth="1"/>
    <col min="10" max="10" width="15" customWidth="1"/>
    <col min="11" max="11" width="13" customWidth="1"/>
  </cols>
  <sheetData>
    <row r="1" ht="33" customHeight="1" spans="1:20">
      <c r="A1" s="18" t="s">
        <v>195</v>
      </c>
      <c r="B1" s="2"/>
      <c r="C1" s="2"/>
      <c r="D1" s="2"/>
      <c r="E1" s="19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4" customHeight="1" spans="1:20">
      <c r="A2" s="3" t="s">
        <v>196</v>
      </c>
      <c r="B2" s="2"/>
      <c r="C2" s="2"/>
      <c r="D2" s="2"/>
      <c r="E2" s="19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42" customHeight="1" spans="1:20">
      <c r="A3" s="20" t="s">
        <v>2</v>
      </c>
      <c r="B3" s="20" t="s">
        <v>3</v>
      </c>
      <c r="C3" s="20" t="s">
        <v>94</v>
      </c>
      <c r="D3" s="20" t="s">
        <v>197</v>
      </c>
      <c r="E3" s="21" t="s">
        <v>198</v>
      </c>
      <c r="F3" s="20" t="s">
        <v>199</v>
      </c>
      <c r="G3" s="20" t="s">
        <v>200</v>
      </c>
      <c r="H3" s="20" t="s">
        <v>5</v>
      </c>
      <c r="I3" s="20" t="s">
        <v>201</v>
      </c>
      <c r="J3" s="20" t="s">
        <v>202</v>
      </c>
      <c r="K3" s="20" t="s">
        <v>203</v>
      </c>
      <c r="L3" s="2"/>
      <c r="M3" s="2"/>
      <c r="N3" s="2"/>
      <c r="O3" s="2"/>
      <c r="P3" s="2"/>
      <c r="Q3" s="2"/>
      <c r="R3" s="2"/>
      <c r="S3" s="2"/>
      <c r="T3" s="2"/>
    </row>
    <row r="4" ht="15" hidden="1" customHeight="1" spans="1:20">
      <c r="A4" s="12">
        <v>1</v>
      </c>
      <c r="B4" s="12" t="s">
        <v>13</v>
      </c>
      <c r="C4" s="12" t="s">
        <v>111</v>
      </c>
      <c r="D4" s="12">
        <f>IFERROR(SUMIFS(存条明细!E:E,存条明细!C:C,B4,存条明细!D:D,C4),0)</f>
        <v>282</v>
      </c>
      <c r="E4" s="22">
        <v>50</v>
      </c>
      <c r="F4" s="13">
        <f>IFERROR(SUMIFS(存条明细!G:G,存条明细!C:C,B4,存条明细!D:D,C4),0)</f>
        <v>14100</v>
      </c>
      <c r="G4" s="12">
        <f>IFERROR(SUMIFS(出库明细!E:E,出库明细!C:C,B4,出库明细!D:D,C4),0)</f>
        <v>182</v>
      </c>
      <c r="H4" s="13">
        <f>IFERROR(SUMIFS(出库明细!G:G,出库明细!C:C,B4,出库明细!D:D,C4),0)</f>
        <v>9282</v>
      </c>
      <c r="I4" s="12">
        <f t="shared" ref="I4:I10" si="0">IFERROR(D4-G4,0)</f>
        <v>100</v>
      </c>
      <c r="J4" s="13">
        <f t="shared" ref="J4:J10" si="1">IFERROR(F4-H4,0)</f>
        <v>4818</v>
      </c>
      <c r="K4" s="23">
        <f ca="1" t="shared" ref="K4:K10" si="2">TODAY()</f>
        <v>46289</v>
      </c>
      <c r="L4" s="2"/>
      <c r="M4" s="2"/>
      <c r="N4" s="2"/>
      <c r="O4" s="2"/>
      <c r="P4" s="2"/>
      <c r="Q4" s="2"/>
      <c r="R4" s="2"/>
      <c r="S4" s="2"/>
      <c r="T4" s="2"/>
    </row>
    <row r="5" ht="15" hidden="1" customHeight="1" spans="1:20">
      <c r="A5" s="14">
        <v>2</v>
      </c>
      <c r="B5" s="12" t="s">
        <v>13</v>
      </c>
      <c r="C5" s="14" t="s">
        <v>99</v>
      </c>
      <c r="D5" s="14">
        <f>IFERROR(SUMIFS(存条明细!E:E,存条明细!C:C,B5,存条明细!D:D,C5),0)</f>
        <v>303</v>
      </c>
      <c r="E5" s="24">
        <v>65</v>
      </c>
      <c r="F5" s="15">
        <f>IFERROR(SUMIFS(存条明细!G:G,存条明细!C:C,B5,存条明细!D:D,C5),0)</f>
        <v>18395</v>
      </c>
      <c r="G5" s="14">
        <f>IFERROR(SUMIFS(出库明细!E:E,出库明细!C:C,B5,出库明细!D:D,C5),0)</f>
        <v>100</v>
      </c>
      <c r="H5" s="15">
        <f>IFERROR(SUMIFS(出库明细!G:G,出库明细!C:C,B5,出库明细!D:D,C5),0)</f>
        <v>6500</v>
      </c>
      <c r="I5" s="14">
        <f t="shared" si="0"/>
        <v>203</v>
      </c>
      <c r="J5" s="15">
        <f t="shared" si="1"/>
        <v>11895</v>
      </c>
      <c r="K5" s="23">
        <f ca="1" t="shared" si="2"/>
        <v>46289</v>
      </c>
      <c r="L5" s="2"/>
      <c r="M5" s="2"/>
      <c r="N5" s="2"/>
      <c r="O5" s="2"/>
      <c r="P5" s="2"/>
      <c r="Q5" s="2"/>
      <c r="R5" s="2"/>
      <c r="S5" s="2"/>
      <c r="T5" s="2"/>
    </row>
    <row r="6" ht="15" hidden="1" customHeight="1" spans="1:20">
      <c r="A6" s="12">
        <v>3</v>
      </c>
      <c r="B6" s="12" t="s">
        <v>13</v>
      </c>
      <c r="C6" s="12" t="s">
        <v>102</v>
      </c>
      <c r="D6" s="12">
        <f>IFERROR(SUMIFS(存条明细!E:E,存条明细!C:C,B6,存条明细!D:D,C6),0)</f>
        <v>142</v>
      </c>
      <c r="E6" s="22">
        <v>55</v>
      </c>
      <c r="F6" s="13">
        <f>IFERROR(SUMIFS(存条明细!G:G,存条明细!C:C,B6,存条明细!D:D,C6),0)</f>
        <v>7810</v>
      </c>
      <c r="G6" s="12">
        <f>IFERROR(SUMIFS(出库明细!E:E,出库明细!C:C,B6,出库明细!D:D,C6),0)</f>
        <v>90</v>
      </c>
      <c r="H6" s="13">
        <f>IFERROR(SUMIFS(出库明细!G:G,出库明细!C:C,B6,出库明细!D:D,C6),0)</f>
        <v>4950</v>
      </c>
      <c r="I6" s="12">
        <f t="shared" si="0"/>
        <v>52</v>
      </c>
      <c r="J6" s="13">
        <f t="shared" si="1"/>
        <v>2860</v>
      </c>
      <c r="K6" s="23">
        <f ca="1" t="shared" si="2"/>
        <v>46289</v>
      </c>
      <c r="L6" s="2"/>
      <c r="M6" s="2"/>
      <c r="N6" s="2"/>
      <c r="O6" s="2"/>
      <c r="P6" s="2"/>
      <c r="Q6" s="2"/>
      <c r="R6" s="2"/>
      <c r="S6" s="2"/>
      <c r="T6" s="2"/>
    </row>
    <row r="7" ht="15" hidden="1" customHeight="1" spans="1:20">
      <c r="A7" s="14">
        <v>4</v>
      </c>
      <c r="B7" s="12" t="s">
        <v>13</v>
      </c>
      <c r="C7" s="14" t="s">
        <v>103</v>
      </c>
      <c r="D7" s="14">
        <f>IFERROR(SUMIFS(存条明细!E:E,存条明细!C:C,B7,存条明细!D:D,C7),0)</f>
        <v>118</v>
      </c>
      <c r="E7" s="24">
        <v>43</v>
      </c>
      <c r="F7" s="15">
        <f>IFERROR(SUMIFS(存条明细!G:G,存条明细!C:C,B7,存条明细!D:D,C7),0)</f>
        <v>5074</v>
      </c>
      <c r="G7" s="14">
        <f>IFERROR(SUMIFS(出库明细!E:E,出库明细!C:C,B7,出库明细!D:D,C7),0)</f>
        <v>80</v>
      </c>
      <c r="H7" s="15">
        <f>IFERROR(SUMIFS(出库明细!G:G,出库明细!C:C,B7,出库明细!D:D,C7),0)</f>
        <v>3440</v>
      </c>
      <c r="I7" s="14">
        <f t="shared" si="0"/>
        <v>38</v>
      </c>
      <c r="J7" s="15">
        <f t="shared" si="1"/>
        <v>1634</v>
      </c>
      <c r="K7" s="23">
        <f ca="1" t="shared" si="2"/>
        <v>46289</v>
      </c>
      <c r="L7" s="2"/>
      <c r="M7" s="2"/>
      <c r="N7" s="2"/>
      <c r="O7" s="2"/>
      <c r="P7" s="2"/>
      <c r="Q7" s="2"/>
      <c r="R7" s="2"/>
      <c r="S7" s="2"/>
      <c r="T7" s="2"/>
    </row>
    <row r="8" ht="15" hidden="1" customHeight="1" spans="1:20">
      <c r="A8" s="12">
        <v>5</v>
      </c>
      <c r="B8" s="12" t="s">
        <v>13</v>
      </c>
      <c r="C8" s="12" t="s">
        <v>108</v>
      </c>
      <c r="D8" s="12">
        <f>IFERROR(SUMIFS(存条明细!E:E,存条明细!C:C,B8,存条明细!D:D,C8),0)</f>
        <v>96</v>
      </c>
      <c r="E8" s="22">
        <v>69</v>
      </c>
      <c r="F8" s="15">
        <f>IFERROR(SUMIFS(存条明细!G:G,存条明细!C:C,B8,存条明细!D:D,C8),0)</f>
        <v>6624</v>
      </c>
      <c r="G8" s="12">
        <f>IFERROR(SUMIFS(出库明细!E:E,出库明细!C:C,B8,出库明细!D:D,C8),0)</f>
        <v>0</v>
      </c>
      <c r="H8" s="13">
        <f>IFERROR(SUMIFS(出库明细!G:G,出库明细!C:C,B8,出库明细!D:D,C8),0)</f>
        <v>0</v>
      </c>
      <c r="I8" s="12">
        <f t="shared" si="0"/>
        <v>96</v>
      </c>
      <c r="J8" s="13">
        <f t="shared" si="1"/>
        <v>6624</v>
      </c>
      <c r="K8" s="23">
        <f ca="1" t="shared" si="2"/>
        <v>46289</v>
      </c>
      <c r="L8" s="2"/>
      <c r="M8" s="2"/>
      <c r="N8" s="2"/>
      <c r="O8" s="2"/>
      <c r="P8" s="2"/>
      <c r="Q8" s="2"/>
      <c r="R8" s="2"/>
      <c r="S8" s="2"/>
      <c r="T8" s="2"/>
    </row>
    <row r="9" ht="15" hidden="1" customHeight="1" spans="1:20">
      <c r="A9" s="12">
        <v>6</v>
      </c>
      <c r="B9" s="12" t="s">
        <v>13</v>
      </c>
      <c r="C9" s="12" t="s">
        <v>100</v>
      </c>
      <c r="D9" s="12">
        <v>0</v>
      </c>
      <c r="E9" s="22">
        <v>48</v>
      </c>
      <c r="F9" s="15">
        <f>IFERROR(SUMIFS(存条明细!G:G,存条明细!C:C,B9,存条明细!D:D,C9),0)</f>
        <v>0</v>
      </c>
      <c r="G9" s="12">
        <f>IFERROR(SUMIFS(出库明细!E:E,出库明细!C:C,B9,出库明细!D:D,C9),0)</f>
        <v>20</v>
      </c>
      <c r="H9" s="13">
        <f>IFERROR(SUMIFS(出库明细!G:G,出库明细!C:C,B9,出库明细!D:D,C9),0)</f>
        <v>960</v>
      </c>
      <c r="I9" s="12">
        <f t="shared" si="0"/>
        <v>-20</v>
      </c>
      <c r="J9" s="13">
        <f t="shared" si="1"/>
        <v>-960</v>
      </c>
      <c r="K9" s="23">
        <f ca="1" t="shared" si="2"/>
        <v>46289</v>
      </c>
      <c r="L9" s="2"/>
      <c r="M9" s="2"/>
      <c r="N9" s="2"/>
      <c r="O9" s="2"/>
      <c r="P9" s="2"/>
      <c r="Q9" s="2"/>
      <c r="R9" s="2"/>
      <c r="S9" s="2"/>
      <c r="T9" s="2"/>
    </row>
    <row r="10" ht="15" hidden="1" customHeight="1" spans="1:20">
      <c r="A10" s="12">
        <v>7</v>
      </c>
      <c r="B10" s="12" t="s">
        <v>13</v>
      </c>
      <c r="C10" s="12" t="s">
        <v>104</v>
      </c>
      <c r="D10" s="12">
        <v>0</v>
      </c>
      <c r="E10" s="22">
        <v>83</v>
      </c>
      <c r="F10" s="15">
        <f>IFERROR(SUMIFS(存条明细!G:G,存条明细!C:C,B10,存条明细!D:D,C10),0)</f>
        <v>8300</v>
      </c>
      <c r="G10" s="12">
        <f>IFERROR(SUMIFS(出库明细!E:E,出库明细!C:C,B10,出库明细!D:D,C10),0)</f>
        <v>30</v>
      </c>
      <c r="H10" s="13">
        <f>IFERROR(SUMIFS(出库明细!G:G,出库明细!C:C,B10,出库明细!D:D,C10),0)</f>
        <v>2490</v>
      </c>
      <c r="I10" s="12">
        <f t="shared" si="0"/>
        <v>-30</v>
      </c>
      <c r="J10" s="13">
        <f t="shared" si="1"/>
        <v>5810</v>
      </c>
      <c r="K10" s="23">
        <f ca="1" t="shared" si="2"/>
        <v>46289</v>
      </c>
      <c r="L10" s="2"/>
      <c r="M10" s="2"/>
      <c r="N10" s="2"/>
      <c r="O10" s="2"/>
      <c r="P10" s="2"/>
      <c r="Q10" s="2"/>
      <c r="R10" s="2"/>
      <c r="S10" s="2"/>
      <c r="T10" s="2"/>
    </row>
    <row r="11" ht="15" hidden="1" customHeight="1" spans="1:20">
      <c r="A11" s="12">
        <v>8</v>
      </c>
      <c r="B11" s="14" t="s">
        <v>14</v>
      </c>
      <c r="C11" s="14" t="s">
        <v>107</v>
      </c>
      <c r="D11" s="14">
        <f>IFERROR(SUMIFS(存条明细!E:E,存条明细!C:C,B11,存条明细!D:D,C11),0)</f>
        <v>1100</v>
      </c>
      <c r="E11" s="24">
        <v>90</v>
      </c>
      <c r="F11" s="15">
        <f>IFERROR(SUMIFS(存条明细!G:G,存条明细!C:C,B11,存条明细!D:D,C11),0)</f>
        <v>99000</v>
      </c>
      <c r="G11" s="14">
        <f>IFERROR(SUMIFS(出库明细!E:E,出库明细!C:C,B11,出库明细!D:D,C11),0)</f>
        <v>550</v>
      </c>
      <c r="H11" s="15">
        <f>IFERROR(SUMIFS(出库明细!G:G,出库明细!C:C,B11,出库明细!D:D,C11),0)</f>
        <v>49500</v>
      </c>
      <c r="I11" s="14">
        <f t="shared" ref="I11:I66" si="3">IFERROR(D11-G11,0)</f>
        <v>550</v>
      </c>
      <c r="J11" s="15">
        <f t="shared" ref="J11:J66" si="4">IFERROR(F11-H11,0)</f>
        <v>49500</v>
      </c>
      <c r="K11" s="23">
        <f ca="1" t="shared" ref="K11:K66" si="5">TODAY()</f>
        <v>46289</v>
      </c>
      <c r="L11" s="2"/>
      <c r="M11" s="2"/>
      <c r="N11" s="2"/>
      <c r="O11" s="2"/>
      <c r="P11" s="2"/>
      <c r="Q11" s="2"/>
      <c r="R11" s="2"/>
      <c r="S11" s="2"/>
      <c r="T11" s="2"/>
    </row>
    <row r="12" ht="15" hidden="1" customHeight="1" spans="1:20">
      <c r="A12" s="12">
        <v>9</v>
      </c>
      <c r="B12" s="12" t="s">
        <v>15</v>
      </c>
      <c r="C12" s="12" t="s">
        <v>107</v>
      </c>
      <c r="D12" s="12">
        <f>IFERROR(SUMIFS(存条明细!E:E,存条明细!C:C,B12,存条明细!D:D,C12),0)</f>
        <v>6531</v>
      </c>
      <c r="E12" s="22">
        <v>90</v>
      </c>
      <c r="F12" s="13">
        <f>IFERROR(SUMIFS(存条明细!G:G,存条明细!C:C,B12,存条明细!D:D,C12),0)</f>
        <v>587790</v>
      </c>
      <c r="G12" s="12">
        <f>IFERROR(SUMIFS(出库明细!E:E,出库明细!C:C,B12,出库明细!D:D,C12),0)</f>
        <v>2000</v>
      </c>
      <c r="H12" s="13">
        <f>IFERROR(SUMIFS(出库明细!G:G,出库明细!C:C,B12,出库明细!D:D,C12),0)</f>
        <v>180000</v>
      </c>
      <c r="I12" s="12">
        <f t="shared" si="3"/>
        <v>4531</v>
      </c>
      <c r="J12" s="13">
        <f t="shared" si="4"/>
        <v>407790</v>
      </c>
      <c r="K12" s="23">
        <f ca="1" t="shared" si="5"/>
        <v>46289</v>
      </c>
      <c r="L12" s="2"/>
      <c r="M12" s="2"/>
      <c r="N12" s="2"/>
      <c r="O12" s="2"/>
      <c r="P12" s="2"/>
      <c r="Q12" s="2"/>
      <c r="R12" s="2"/>
      <c r="S12" s="2"/>
      <c r="T12" s="2"/>
    </row>
    <row r="13" ht="15" hidden="1" customHeight="1" spans="1:20">
      <c r="A13" s="12">
        <v>10</v>
      </c>
      <c r="B13" s="12" t="s">
        <v>15</v>
      </c>
      <c r="C13" s="14" t="s">
        <v>102</v>
      </c>
      <c r="D13" s="14">
        <f>IFERROR(SUMIFS(存条明细!E:E,存条明细!C:C,B13,存条明细!D:D,C13),0)</f>
        <v>625</v>
      </c>
      <c r="E13" s="24">
        <v>55</v>
      </c>
      <c r="F13" s="15">
        <f>IFERROR(SUMIFS(存条明细!G:G,存条明细!C:C,B13,存条明细!D:D,C13),0)</f>
        <v>34375</v>
      </c>
      <c r="G13" s="14">
        <f>IFERROR(SUMIFS(出库明细!E:E,出库明细!C:C,B13,出库明细!D:D,C13),0)</f>
        <v>490</v>
      </c>
      <c r="H13" s="15">
        <f>IFERROR(SUMIFS(出库明细!G:G,出库明细!C:C,B13,出库明细!D:D,C13),0)</f>
        <v>26950</v>
      </c>
      <c r="I13" s="14">
        <f t="shared" si="3"/>
        <v>135</v>
      </c>
      <c r="J13" s="15">
        <f t="shared" si="4"/>
        <v>7425</v>
      </c>
      <c r="K13" s="23">
        <f ca="1" t="shared" si="5"/>
        <v>46289</v>
      </c>
      <c r="L13" s="2"/>
      <c r="M13" s="2"/>
      <c r="N13" s="2"/>
      <c r="O13" s="2"/>
      <c r="P13" s="2"/>
      <c r="Q13" s="2"/>
      <c r="R13" s="2"/>
      <c r="S13" s="2"/>
      <c r="T13" s="2"/>
    </row>
    <row r="14" ht="15" hidden="1" customHeight="1" spans="1:20">
      <c r="A14" s="12">
        <v>11</v>
      </c>
      <c r="B14" s="12" t="s">
        <v>15</v>
      </c>
      <c r="C14" s="12" t="s">
        <v>99</v>
      </c>
      <c r="D14" s="12">
        <f>IFERROR(SUMIFS(存条明细!E:E,存条明细!C:C,B14,存条明细!D:D,C14),0)</f>
        <v>1154</v>
      </c>
      <c r="E14" s="22">
        <v>65</v>
      </c>
      <c r="F14" s="13">
        <f>IFERROR(SUMIFS(存条明细!G:G,存条明细!C:C,B14,存条明细!D:D,C14),0)</f>
        <v>71760</v>
      </c>
      <c r="G14" s="12">
        <f>IFERROR(SUMIFS(出库明细!E:E,出库明细!C:C,B14,出库明细!D:D,C14),0)</f>
        <v>710</v>
      </c>
      <c r="H14" s="13">
        <f>IFERROR(SUMIFS(出库明细!G:G,出库明细!C:C,B14,出库明细!D:D,C14),0)</f>
        <v>46150</v>
      </c>
      <c r="I14" s="12">
        <f t="shared" si="3"/>
        <v>444</v>
      </c>
      <c r="J14" s="13">
        <f t="shared" si="4"/>
        <v>25610</v>
      </c>
      <c r="K14" s="23">
        <f ca="1" t="shared" si="5"/>
        <v>46289</v>
      </c>
      <c r="L14" s="2"/>
      <c r="M14" s="2"/>
      <c r="N14" s="2"/>
      <c r="O14" s="2"/>
      <c r="P14" s="2"/>
      <c r="Q14" s="2"/>
      <c r="R14" s="2"/>
      <c r="S14" s="2"/>
      <c r="T14" s="2"/>
    </row>
    <row r="15" ht="15" hidden="1" customHeight="1" spans="1:20">
      <c r="A15" s="12">
        <v>12</v>
      </c>
      <c r="B15" s="12" t="s">
        <v>15</v>
      </c>
      <c r="C15" s="14" t="s">
        <v>101</v>
      </c>
      <c r="D15" s="14">
        <f>IFERROR(SUMIFS(存条明细!E:E,存条明细!C:C,B15,存条明细!D:D,C15),0)</f>
        <v>1530</v>
      </c>
      <c r="E15" s="24">
        <v>47</v>
      </c>
      <c r="F15" s="15">
        <f>IFERROR(SUMIFS(存条明细!G:G,存条明细!C:C,B15,存条明细!D:D,C15),0)</f>
        <v>70782</v>
      </c>
      <c r="G15" s="14">
        <f>IFERROR(SUMIFS(出库明细!E:E,出库明细!C:C,B15,出库明细!D:D,C15),0)</f>
        <v>1632</v>
      </c>
      <c r="H15" s="15">
        <f>IFERROR(SUMIFS(出库明细!G:G,出库明细!C:C,B15,出库明细!D:D,C15),0)</f>
        <v>76704</v>
      </c>
      <c r="I15" s="14">
        <f t="shared" si="3"/>
        <v>-102</v>
      </c>
      <c r="J15" s="15">
        <f t="shared" si="4"/>
        <v>-5922</v>
      </c>
      <c r="K15" s="23">
        <f ca="1" t="shared" si="5"/>
        <v>46289</v>
      </c>
      <c r="L15" s="2"/>
      <c r="M15" s="2"/>
      <c r="N15" s="2"/>
      <c r="O15" s="2"/>
      <c r="P15" s="2"/>
      <c r="Q15" s="2"/>
      <c r="R15" s="2"/>
      <c r="S15" s="2"/>
      <c r="T15" s="2"/>
    </row>
    <row r="16" ht="15" hidden="1" customHeight="1" spans="1:20">
      <c r="A16" s="12">
        <v>13</v>
      </c>
      <c r="B16" s="12" t="s">
        <v>15</v>
      </c>
      <c r="C16" s="12" t="s">
        <v>104</v>
      </c>
      <c r="D16" s="12">
        <f>IFERROR(SUMIFS(存条明细!E:E,存条明细!C:C,B16,存条明细!D:D,C16),0)</f>
        <v>236</v>
      </c>
      <c r="E16" s="22">
        <v>83</v>
      </c>
      <c r="F16" s="13">
        <f>IFERROR(SUMIFS(存条明细!G:G,存条明细!C:C,B16,存条明细!D:D,C16),0)</f>
        <v>19588</v>
      </c>
      <c r="G16" s="12">
        <f>IFERROR(SUMIFS(出库明细!E:E,出库明细!C:C,B16,出库明细!D:D,C16),0)</f>
        <v>50</v>
      </c>
      <c r="H16" s="13">
        <f>IFERROR(SUMIFS(出库明细!G:G,出库明细!C:C,B16,出库明细!D:D,C16),0)</f>
        <v>4150</v>
      </c>
      <c r="I16" s="12">
        <f t="shared" si="3"/>
        <v>186</v>
      </c>
      <c r="J16" s="13">
        <f t="shared" si="4"/>
        <v>15438</v>
      </c>
      <c r="K16" s="23">
        <f ca="1" t="shared" si="5"/>
        <v>46289</v>
      </c>
      <c r="L16" s="2"/>
      <c r="M16" s="2"/>
      <c r="N16" s="2"/>
      <c r="O16" s="2"/>
      <c r="P16" s="2"/>
      <c r="Q16" s="2"/>
      <c r="R16" s="2"/>
      <c r="S16" s="2"/>
      <c r="T16" s="2"/>
    </row>
    <row r="17" ht="15" hidden="1" customHeight="1" spans="1:20">
      <c r="A17" s="12">
        <v>14</v>
      </c>
      <c r="B17" s="12" t="s">
        <v>15</v>
      </c>
      <c r="C17" s="14" t="s">
        <v>108</v>
      </c>
      <c r="D17" s="14">
        <f>IFERROR(SUMIFS(存条明细!E:E,存条明细!C:C,B17,存条明细!D:D,C17),0)</f>
        <v>152</v>
      </c>
      <c r="E17" s="24">
        <v>69</v>
      </c>
      <c r="F17" s="15">
        <f>IFERROR(SUMIFS(存条明细!G:G,存条明细!C:C,B17,存条明细!D:D,C17),0)</f>
        <v>10488</v>
      </c>
      <c r="G17" s="14">
        <f>IFERROR(SUMIFS(出库明细!E:E,出库明细!C:C,B17,出库明细!D:D,C17),0)</f>
        <v>20</v>
      </c>
      <c r="H17" s="15">
        <f>IFERROR(SUMIFS(出库明细!G:G,出库明细!C:C,B17,出库明细!D:D,C17),0)</f>
        <v>1380</v>
      </c>
      <c r="I17" s="14">
        <f t="shared" si="3"/>
        <v>132</v>
      </c>
      <c r="J17" s="15">
        <f t="shared" si="4"/>
        <v>9108</v>
      </c>
      <c r="K17" s="23">
        <f ca="1" t="shared" si="5"/>
        <v>46289</v>
      </c>
      <c r="L17" s="2"/>
      <c r="M17" s="2"/>
      <c r="N17" s="2"/>
      <c r="O17" s="2"/>
      <c r="P17" s="2"/>
      <c r="Q17" s="2"/>
      <c r="R17" s="2"/>
      <c r="S17" s="2"/>
      <c r="T17" s="2"/>
    </row>
    <row r="18" ht="15" hidden="1" customHeight="1" spans="1:20">
      <c r="A18" s="12">
        <v>15</v>
      </c>
      <c r="B18" s="12" t="s">
        <v>15</v>
      </c>
      <c r="C18" s="12" t="s">
        <v>103</v>
      </c>
      <c r="D18" s="12">
        <f>IFERROR(SUMIFS(存条明细!E:E,存条明细!C:C,B18,存条明细!D:D,C18),0)</f>
        <v>494</v>
      </c>
      <c r="E18" s="22">
        <v>43</v>
      </c>
      <c r="F18" s="13">
        <f>IFERROR(SUMIFS(存条明细!G:G,存条明细!C:C,B18,存条明细!D:D,C18),0)</f>
        <v>20554</v>
      </c>
      <c r="G18" s="12">
        <f>IFERROR(SUMIFS(出库明细!E:E,出库明细!C:C,B18,出库明细!D:D,C18),0)</f>
        <v>195</v>
      </c>
      <c r="H18" s="13">
        <f>IFERROR(SUMIFS(出库明细!G:G,出库明细!C:C,B18,出库明细!D:D,C18),0)</f>
        <v>8385</v>
      </c>
      <c r="I18" s="25">
        <f t="shared" si="3"/>
        <v>299</v>
      </c>
      <c r="J18" s="13">
        <f t="shared" si="4"/>
        <v>12169</v>
      </c>
      <c r="K18" s="23">
        <f ca="1" t="shared" si="5"/>
        <v>46289</v>
      </c>
      <c r="L18" s="2"/>
      <c r="M18" s="2"/>
      <c r="N18" s="2"/>
      <c r="O18" s="2"/>
      <c r="P18" s="2"/>
      <c r="Q18" s="2"/>
      <c r="R18" s="2"/>
      <c r="S18" s="2"/>
      <c r="T18" s="2"/>
    </row>
    <row r="19" ht="15" hidden="1" customHeight="1" spans="1:20">
      <c r="A19" s="12">
        <v>16</v>
      </c>
      <c r="B19" s="12" t="s">
        <v>15</v>
      </c>
      <c r="C19" s="14" t="s">
        <v>105</v>
      </c>
      <c r="D19" s="14">
        <f>IFERROR(SUMIFS(存条明细!E:E,存条明细!C:C,B19,存条明细!D:D,C19),0)</f>
        <v>134</v>
      </c>
      <c r="E19" s="24">
        <v>90</v>
      </c>
      <c r="F19" s="15">
        <f>IFERROR(SUMIFS(存条明细!G:G,存条明细!C:C,B19,存条明细!D:D,C19),0)</f>
        <v>12060</v>
      </c>
      <c r="G19" s="14">
        <f>IFERROR(SUMIFS(出库明细!E:E,出库明细!C:C,B19,出库明细!D:D,C19),0)</f>
        <v>30</v>
      </c>
      <c r="H19" s="15">
        <f>IFERROR(SUMIFS(出库明细!G:G,出库明细!C:C,B19,出库明细!D:D,C19),0)</f>
        <v>2700</v>
      </c>
      <c r="I19" s="26">
        <f t="shared" si="3"/>
        <v>104</v>
      </c>
      <c r="J19" s="15">
        <f t="shared" si="4"/>
        <v>9360</v>
      </c>
      <c r="K19" s="23">
        <f ca="1" t="shared" si="5"/>
        <v>46289</v>
      </c>
      <c r="L19" s="2"/>
      <c r="M19" s="2"/>
      <c r="N19" s="2"/>
      <c r="O19" s="2"/>
      <c r="P19" s="2"/>
      <c r="Q19" s="2"/>
      <c r="R19" s="2"/>
      <c r="S19" s="2"/>
      <c r="T19" s="2"/>
    </row>
    <row r="20" ht="15" hidden="1" customHeight="1" spans="1:20">
      <c r="A20" s="12">
        <v>17</v>
      </c>
      <c r="B20" s="12" t="s">
        <v>15</v>
      </c>
      <c r="C20" s="12" t="s">
        <v>129</v>
      </c>
      <c r="D20" s="12">
        <f>IFERROR(SUMIFS(存条明细!E:E,存条明细!C:C,B20,存条明细!D:D,C20),0)</f>
        <v>30</v>
      </c>
      <c r="E20" s="22">
        <v>32</v>
      </c>
      <c r="F20" s="13">
        <f>IFERROR(SUMIFS(存条明细!G:G,存条明细!C:C,B20,存条明细!D:D,C20),0)</f>
        <v>960</v>
      </c>
      <c r="G20" s="12">
        <f>IFERROR(SUMIFS(出库明细!E:E,出库明细!C:C,B20,出库明细!D:D,C20),0)</f>
        <v>10</v>
      </c>
      <c r="H20" s="13">
        <f>IFERROR(SUMIFS(出库明细!G:G,出库明细!C:C,B20,出库明细!D:D,C20),0)</f>
        <v>320</v>
      </c>
      <c r="I20" s="25">
        <f t="shared" si="3"/>
        <v>20</v>
      </c>
      <c r="J20" s="13">
        <f t="shared" si="4"/>
        <v>640</v>
      </c>
      <c r="K20" s="23">
        <f ca="1" t="shared" si="5"/>
        <v>46289</v>
      </c>
      <c r="L20" s="2"/>
      <c r="M20" s="2"/>
      <c r="N20" s="2"/>
      <c r="O20" s="2"/>
      <c r="P20" s="2"/>
      <c r="Q20" s="2"/>
      <c r="R20" s="2"/>
      <c r="S20" s="2"/>
      <c r="T20" s="2"/>
    </row>
    <row r="21" ht="15" hidden="1" customHeight="1" spans="1:20">
      <c r="A21" s="12">
        <v>18</v>
      </c>
      <c r="B21" s="12" t="s">
        <v>15</v>
      </c>
      <c r="C21" s="14" t="s">
        <v>189</v>
      </c>
      <c r="D21" s="14">
        <f>IFERROR(SUMIFS(存条明细!E:E,存条明细!C:C,B21,存条明细!D:D,C21),0)</f>
        <v>45</v>
      </c>
      <c r="E21" s="24">
        <v>51</v>
      </c>
      <c r="F21" s="15">
        <f>IFERROR(SUMIFS(存条明细!G:G,存条明细!C:C,B21,存条明细!D:D,C21),0)</f>
        <v>2295</v>
      </c>
      <c r="G21" s="14">
        <f>IFERROR(SUMIFS(出库明细!E:E,出库明细!C:C,B21,出库明细!D:D,C21),0)</f>
        <v>0</v>
      </c>
      <c r="H21" s="15">
        <f>IFERROR(SUMIFS(出库明细!G:G,出库明细!C:C,B21,出库明细!D:D,C21),0)</f>
        <v>0</v>
      </c>
      <c r="I21" s="26">
        <f t="shared" si="3"/>
        <v>45</v>
      </c>
      <c r="J21" s="15">
        <f t="shared" si="4"/>
        <v>2295</v>
      </c>
      <c r="K21" s="23">
        <f ca="1" t="shared" si="5"/>
        <v>46289</v>
      </c>
      <c r="L21" s="2"/>
      <c r="M21" s="2"/>
      <c r="N21" s="2"/>
      <c r="O21" s="2"/>
      <c r="P21" s="2"/>
      <c r="Q21" s="2"/>
      <c r="R21" s="2"/>
      <c r="S21" s="2"/>
      <c r="T21" s="2"/>
    </row>
    <row r="22" ht="15" hidden="1" customHeight="1" spans="1:20">
      <c r="A22" s="12">
        <v>19</v>
      </c>
      <c r="B22" s="12" t="s">
        <v>15</v>
      </c>
      <c r="C22" s="12" t="s">
        <v>112</v>
      </c>
      <c r="D22" s="12">
        <f>IFERROR(SUMIFS(存条明细!E:E,存条明细!C:C,B22,存条明细!D:D,C22),0)</f>
        <v>720</v>
      </c>
      <c r="E22" s="22">
        <v>52</v>
      </c>
      <c r="F22" s="13">
        <f>IFERROR(SUMIFS(存条明细!G:G,存条明细!C:C,B22,存条明细!D:D,C22),0)</f>
        <v>37440</v>
      </c>
      <c r="G22" s="12">
        <f>IFERROR(SUMIFS(出库明细!E:E,出库明细!C:C,B22,出库明细!D:D,C22),0)</f>
        <v>1062</v>
      </c>
      <c r="H22" s="13">
        <f>IFERROR(SUMIFS(出库明细!G:G,出库明细!C:C,B22,出库明细!D:D,C22),0)</f>
        <v>55800</v>
      </c>
      <c r="I22" s="25">
        <f t="shared" si="3"/>
        <v>-342</v>
      </c>
      <c r="J22" s="13">
        <f t="shared" si="4"/>
        <v>-18360</v>
      </c>
      <c r="K22" s="23">
        <f ca="1" t="shared" si="5"/>
        <v>46289</v>
      </c>
      <c r="L22" s="2"/>
      <c r="M22" s="2"/>
      <c r="N22" s="2"/>
      <c r="O22" s="2"/>
      <c r="P22" s="2"/>
      <c r="Q22" s="2"/>
      <c r="R22" s="2"/>
      <c r="S22" s="2"/>
      <c r="T22" s="2"/>
    </row>
    <row r="23" ht="15" hidden="1" customHeight="1" spans="1:20">
      <c r="A23" s="12">
        <v>20</v>
      </c>
      <c r="B23" s="12" t="s">
        <v>15</v>
      </c>
      <c r="C23" s="14" t="s">
        <v>121</v>
      </c>
      <c r="D23" s="14">
        <f>IFERROR(SUMIFS(存条明细!E:E,存条明细!C:C,B23,存条明细!D:D,C23),0)</f>
        <v>56</v>
      </c>
      <c r="E23" s="24">
        <v>60</v>
      </c>
      <c r="F23" s="15">
        <f>IFERROR(SUMIFS(存条明细!G:G,存条明细!C:C,B23,存条明细!D:D,C23),0)</f>
        <v>3360</v>
      </c>
      <c r="G23" s="14">
        <f>IFERROR(SUMIFS(出库明细!E:E,出库明细!C:C,B23,出库明细!D:D,C23),0)</f>
        <v>98</v>
      </c>
      <c r="H23" s="15">
        <f>IFERROR(SUMIFS(出库明细!G:G,出库明细!C:C,B23,出库明细!D:D,C23),0)</f>
        <v>6016</v>
      </c>
      <c r="I23" s="26">
        <f t="shared" si="3"/>
        <v>-42</v>
      </c>
      <c r="J23" s="15">
        <f t="shared" si="4"/>
        <v>-2656</v>
      </c>
      <c r="K23" s="23">
        <f ca="1" t="shared" si="5"/>
        <v>46289</v>
      </c>
      <c r="L23" s="2"/>
      <c r="M23" s="2"/>
      <c r="N23" s="2"/>
      <c r="O23" s="2"/>
      <c r="P23" s="2"/>
      <c r="Q23" s="2"/>
      <c r="R23" s="2"/>
      <c r="S23" s="2"/>
      <c r="T23" s="2"/>
    </row>
    <row r="24" ht="15" hidden="1" customHeight="1" spans="1:20">
      <c r="A24" s="12">
        <v>21</v>
      </c>
      <c r="B24" s="12" t="s">
        <v>15</v>
      </c>
      <c r="C24" s="12" t="s">
        <v>124</v>
      </c>
      <c r="D24" s="12">
        <f>IFERROR(SUMIFS(存条明细!E:E,存条明细!C:C,B24,存条明细!D:D,C24),0)</f>
        <v>278</v>
      </c>
      <c r="E24" s="22">
        <v>20</v>
      </c>
      <c r="F24" s="13">
        <f>IFERROR(SUMIFS(存条明细!G:G,存条明细!C:C,B24,存条明细!D:D,C24),0)</f>
        <v>5560</v>
      </c>
      <c r="G24" s="12">
        <f>IFERROR(SUMIFS(出库明细!E:E,出库明细!C:C,B24,出库明细!D:D,C24),0)</f>
        <v>178</v>
      </c>
      <c r="H24" s="13">
        <f>IFERROR(SUMIFS(出库明细!G:G,出库明细!C:C,B24,出库明细!D:D,C24),0)</f>
        <v>3640</v>
      </c>
      <c r="I24" s="25">
        <f t="shared" si="3"/>
        <v>100</v>
      </c>
      <c r="J24" s="13">
        <f t="shared" si="4"/>
        <v>1920</v>
      </c>
      <c r="K24" s="23">
        <f ca="1" t="shared" si="5"/>
        <v>46289</v>
      </c>
      <c r="L24" s="2"/>
      <c r="M24" s="2"/>
      <c r="N24" s="2"/>
      <c r="O24" s="2"/>
      <c r="P24" s="2"/>
      <c r="Q24" s="2"/>
      <c r="R24" s="2"/>
      <c r="S24" s="2"/>
      <c r="T24" s="2"/>
    </row>
    <row r="25" ht="15" hidden="1" customHeight="1" spans="1:20">
      <c r="A25" s="12">
        <v>22</v>
      </c>
      <c r="B25" s="14" t="s">
        <v>16</v>
      </c>
      <c r="C25" s="14" t="s">
        <v>107</v>
      </c>
      <c r="D25" s="14">
        <f>IFERROR(SUMIFS(存条明细!E:E,存条明细!C:C,B25,存条明细!D:D,C25),0)</f>
        <v>4275</v>
      </c>
      <c r="E25" s="24">
        <v>90</v>
      </c>
      <c r="F25" s="15">
        <f>IFERROR(SUMIFS(存条明细!G:G,存条明细!C:C,B25,存条明细!D:D,C25),0)</f>
        <v>384750</v>
      </c>
      <c r="G25" s="14">
        <f>IFERROR(SUMIFS(出库明细!E:E,出库明细!C:C,B25,出库明细!D:D,C25),0)</f>
        <v>600</v>
      </c>
      <c r="H25" s="15">
        <f>IFERROR(SUMIFS(出库明细!G:G,出库明细!C:C,B25,出库明细!D:D,C25),0)</f>
        <v>54000</v>
      </c>
      <c r="I25" s="26">
        <f t="shared" si="3"/>
        <v>3675</v>
      </c>
      <c r="J25" s="15">
        <f t="shared" si="4"/>
        <v>330750</v>
      </c>
      <c r="K25" s="23">
        <f ca="1" t="shared" si="5"/>
        <v>46289</v>
      </c>
      <c r="L25" s="2"/>
      <c r="M25" s="2"/>
      <c r="N25" s="2"/>
      <c r="O25" s="2"/>
      <c r="P25" s="2"/>
      <c r="Q25" s="2"/>
      <c r="R25" s="2"/>
      <c r="S25" s="2"/>
      <c r="T25" s="2"/>
    </row>
    <row r="26" ht="15" hidden="1" customHeight="1" spans="1:20">
      <c r="A26" s="12">
        <v>23</v>
      </c>
      <c r="B26" s="14" t="s">
        <v>16</v>
      </c>
      <c r="C26" s="12" t="s">
        <v>99</v>
      </c>
      <c r="D26" s="12">
        <f>IFERROR(SUMIFS(存条明细!E:E,存条明细!C:C,B26,存条明细!D:D,C26),0)</f>
        <v>1232</v>
      </c>
      <c r="E26" s="22">
        <v>65</v>
      </c>
      <c r="F26" s="13">
        <f>IFERROR(SUMIFS(存条明细!G:G,存条明细!C:C,B26,存条明细!D:D,C26),0)</f>
        <v>77480</v>
      </c>
      <c r="G26" s="12">
        <f>IFERROR(SUMIFS(出库明细!E:E,出库明细!C:C,B26,出库明细!D:D,C26),0)</f>
        <v>416</v>
      </c>
      <c r="H26" s="13">
        <f>IFERROR(SUMIFS(出库明细!G:G,出库明细!C:C,B26,出库明细!D:D,C26),0)</f>
        <v>25740</v>
      </c>
      <c r="I26" s="25">
        <f t="shared" si="3"/>
        <v>816</v>
      </c>
      <c r="J26" s="13">
        <f t="shared" si="4"/>
        <v>51740</v>
      </c>
      <c r="K26" s="23">
        <f ca="1" t="shared" si="5"/>
        <v>46289</v>
      </c>
      <c r="L26" s="2"/>
      <c r="M26" s="2"/>
      <c r="N26" s="2"/>
      <c r="O26" s="2"/>
      <c r="P26" s="2"/>
      <c r="Q26" s="2"/>
      <c r="R26" s="2"/>
      <c r="S26" s="2"/>
      <c r="T26" s="2"/>
    </row>
    <row r="27" ht="15" hidden="1" customHeight="1" spans="1:20">
      <c r="A27" s="12">
        <v>24</v>
      </c>
      <c r="B27" s="14" t="s">
        <v>16</v>
      </c>
      <c r="C27" s="14" t="s">
        <v>102</v>
      </c>
      <c r="D27" s="14">
        <f>IFERROR(SUMIFS(存条明细!E:E,存条明细!C:C,B27,存条明细!D:D,C27),0)</f>
        <v>1506</v>
      </c>
      <c r="E27" s="24">
        <v>55</v>
      </c>
      <c r="F27" s="15">
        <f>IFERROR(SUMIFS(存条明细!G:G,存条明细!C:C,B27,存条明细!D:D,C27),0)</f>
        <v>82830</v>
      </c>
      <c r="G27" s="14">
        <f>IFERROR(SUMIFS(出库明细!E:E,出库明细!C:C,B27,出库明细!D:D,C27),0)</f>
        <v>180</v>
      </c>
      <c r="H27" s="15">
        <f>IFERROR(SUMIFS(出库明细!G:G,出库明细!C:C,B27,出库明细!D:D,C27),0)</f>
        <v>10320</v>
      </c>
      <c r="I27" s="26">
        <f t="shared" si="3"/>
        <v>1326</v>
      </c>
      <c r="J27" s="15">
        <f t="shared" si="4"/>
        <v>72510</v>
      </c>
      <c r="K27" s="23">
        <f ca="1" t="shared" si="5"/>
        <v>46289</v>
      </c>
      <c r="L27" s="2"/>
      <c r="M27" s="2"/>
      <c r="N27" s="2"/>
      <c r="O27" s="2"/>
      <c r="P27" s="2"/>
      <c r="Q27" s="2"/>
      <c r="R27" s="2"/>
      <c r="S27" s="2"/>
      <c r="T27" s="2"/>
    </row>
    <row r="28" ht="15" hidden="1" customHeight="1" spans="1:20">
      <c r="A28" s="12">
        <v>25</v>
      </c>
      <c r="B28" s="14" t="s">
        <v>16</v>
      </c>
      <c r="C28" s="12" t="s">
        <v>190</v>
      </c>
      <c r="D28" s="12">
        <f>IFERROR(SUMIFS(存条明细!E:E,存条明细!C:C,B28,存条明细!D:D,C28),0)</f>
        <v>132</v>
      </c>
      <c r="E28" s="22">
        <v>90</v>
      </c>
      <c r="F28" s="13">
        <f>IFERROR(SUMIFS(存条明细!G:G,存条明细!C:C,B28,存条明细!D:D,C28),0)</f>
        <v>11880</v>
      </c>
      <c r="G28" s="12">
        <f>IFERROR(SUMIFS(出库明细!E:E,出库明细!C:C,B28,出库明细!D:D,C28),0)</f>
        <v>0</v>
      </c>
      <c r="H28" s="13">
        <f>IFERROR(SUMIFS(出库明细!G:G,出库明细!C:C,B28,出库明细!D:D,C28),0)</f>
        <v>0</v>
      </c>
      <c r="I28" s="25">
        <f t="shared" si="3"/>
        <v>132</v>
      </c>
      <c r="J28" s="13">
        <f t="shared" si="4"/>
        <v>11880</v>
      </c>
      <c r="K28" s="23">
        <f ca="1" t="shared" si="5"/>
        <v>46289</v>
      </c>
      <c r="L28" s="2"/>
      <c r="M28" s="2"/>
      <c r="N28" s="2"/>
      <c r="O28" s="2"/>
      <c r="P28" s="2"/>
      <c r="Q28" s="2"/>
      <c r="R28" s="2"/>
      <c r="S28" s="2"/>
      <c r="T28" s="2"/>
    </row>
    <row r="29" ht="15" hidden="1" customHeight="1" spans="1:20">
      <c r="A29" s="12">
        <v>26</v>
      </c>
      <c r="B29" s="14" t="s">
        <v>16</v>
      </c>
      <c r="C29" s="14" t="s">
        <v>104</v>
      </c>
      <c r="D29" s="14">
        <f>IFERROR(SUMIFS(存条明细!E:E,存条明细!C:C,B29,存条明细!D:D,C29),0)</f>
        <v>306</v>
      </c>
      <c r="E29" s="24">
        <v>83</v>
      </c>
      <c r="F29" s="15">
        <f>IFERROR(SUMIFS(存条明细!G:G,存条明细!C:C,B29,存条明细!D:D,C29),0)</f>
        <v>25398</v>
      </c>
      <c r="G29" s="14">
        <f>IFERROR(SUMIFS(出库明细!E:E,出库明细!C:C,B29,出库明细!D:D,C29),0)</f>
        <v>100</v>
      </c>
      <c r="H29" s="15">
        <f>IFERROR(SUMIFS(出库明细!G:G,出库明细!C:C,B29,出库明细!D:D,C29),0)</f>
        <v>8300</v>
      </c>
      <c r="I29" s="26">
        <f t="shared" si="3"/>
        <v>206</v>
      </c>
      <c r="J29" s="15">
        <f t="shared" si="4"/>
        <v>17098</v>
      </c>
      <c r="K29" s="23">
        <f ca="1" t="shared" si="5"/>
        <v>46289</v>
      </c>
      <c r="L29" s="2"/>
      <c r="M29" s="2"/>
      <c r="N29" s="2"/>
      <c r="O29" s="2"/>
      <c r="P29" s="2"/>
      <c r="Q29" s="2"/>
      <c r="R29" s="2"/>
      <c r="S29" s="2"/>
      <c r="T29" s="2"/>
    </row>
    <row r="30" ht="15" hidden="1" customHeight="1" spans="1:20">
      <c r="A30" s="12">
        <v>27</v>
      </c>
      <c r="B30" s="14" t="s">
        <v>16</v>
      </c>
      <c r="C30" s="12" t="s">
        <v>103</v>
      </c>
      <c r="D30" s="12">
        <f>IFERROR(SUMIFS(存条明细!E:E,存条明细!C:C,B30,存条明细!D:D,C30),0)</f>
        <v>418</v>
      </c>
      <c r="E30" s="22">
        <v>43</v>
      </c>
      <c r="F30" s="13">
        <f>IFERROR(SUMIFS(存条明细!G:G,存条明细!C:C,B30,存条明细!D:D,C30),0)</f>
        <v>17802</v>
      </c>
      <c r="G30" s="12">
        <f>IFERROR(SUMIFS(出库明细!E:E,出库明细!C:C,B30,出库明细!D:D,C30),0)</f>
        <v>190</v>
      </c>
      <c r="H30" s="13">
        <f>IFERROR(SUMIFS(出库明细!G:G,出库明细!C:C,B30,出库明细!D:D,C30),0)</f>
        <v>8170</v>
      </c>
      <c r="I30" s="25">
        <f t="shared" si="3"/>
        <v>228</v>
      </c>
      <c r="J30" s="13">
        <f t="shared" si="4"/>
        <v>9632</v>
      </c>
      <c r="K30" s="23">
        <f ca="1" t="shared" si="5"/>
        <v>46289</v>
      </c>
      <c r="L30" s="2"/>
      <c r="M30" s="2"/>
      <c r="N30" s="2"/>
      <c r="O30" s="2"/>
      <c r="P30" s="2"/>
      <c r="Q30" s="2"/>
      <c r="R30" s="2"/>
      <c r="S30" s="2"/>
      <c r="T30" s="2"/>
    </row>
    <row r="31" ht="15" hidden="1" customHeight="1" spans="1:20">
      <c r="A31" s="12">
        <v>28</v>
      </c>
      <c r="B31" s="14" t="s">
        <v>16</v>
      </c>
      <c r="C31" s="14" t="s">
        <v>108</v>
      </c>
      <c r="D31" s="14">
        <f>IFERROR(SUMIFS(存条明细!E:E,存条明细!C:C,B31,存条明细!D:D,C31),0)</f>
        <v>442</v>
      </c>
      <c r="E31" s="24">
        <v>69</v>
      </c>
      <c r="F31" s="15">
        <f>IFERROR(SUMIFS(存条明细!G:G,存条明细!C:C,B31,存条明细!D:D,C31),0)</f>
        <v>30498</v>
      </c>
      <c r="G31" s="14">
        <f>IFERROR(SUMIFS(出库明细!E:E,出库明细!C:C,B31,出库明细!D:D,C31),0)</f>
        <v>0</v>
      </c>
      <c r="H31" s="15">
        <f>IFERROR(SUMIFS(出库明细!G:G,出库明细!C:C,B31,出库明细!D:D,C31),0)</f>
        <v>0</v>
      </c>
      <c r="I31" s="26">
        <f t="shared" si="3"/>
        <v>442</v>
      </c>
      <c r="J31" s="15">
        <f t="shared" si="4"/>
        <v>30498</v>
      </c>
      <c r="K31" s="23">
        <f ca="1" t="shared" si="5"/>
        <v>46289</v>
      </c>
      <c r="L31" s="2"/>
      <c r="M31" s="2"/>
      <c r="N31" s="2"/>
      <c r="O31" s="2"/>
      <c r="P31" s="2"/>
      <c r="Q31" s="2"/>
      <c r="R31" s="2"/>
      <c r="S31" s="2"/>
      <c r="T31" s="2"/>
    </row>
    <row r="32" ht="15" hidden="1" customHeight="1" spans="1:20">
      <c r="A32" s="12">
        <v>29</v>
      </c>
      <c r="B32" s="14" t="s">
        <v>16</v>
      </c>
      <c r="C32" s="12" t="s">
        <v>101</v>
      </c>
      <c r="D32" s="12">
        <f>IFERROR(SUMIFS(存条明细!E:E,存条明细!C:C,B32,存条明细!D:D,C32),0)</f>
        <v>998</v>
      </c>
      <c r="E32" s="22">
        <v>47</v>
      </c>
      <c r="F32" s="13">
        <f>IFERROR(SUMIFS(存条明细!G:G,存条明细!C:C,B32,存条明细!D:D,C32),0)</f>
        <v>45402</v>
      </c>
      <c r="G32" s="12">
        <f>IFERROR(SUMIFS(出库明细!E:E,出库明细!C:C,B32,出库明细!D:D,C32),0)</f>
        <v>1456</v>
      </c>
      <c r="H32" s="13">
        <f>IFERROR(SUMIFS(出库明细!G:G,出库明细!C:C,B32,出库明细!D:D,C32),0)</f>
        <v>68432</v>
      </c>
      <c r="I32" s="25">
        <f t="shared" si="3"/>
        <v>-458</v>
      </c>
      <c r="J32" s="13">
        <f t="shared" si="4"/>
        <v>-23030</v>
      </c>
      <c r="K32" s="23">
        <f ca="1" t="shared" si="5"/>
        <v>46289</v>
      </c>
      <c r="L32" s="2"/>
      <c r="M32" s="2"/>
      <c r="N32" s="2"/>
      <c r="O32" s="2"/>
      <c r="P32" s="2"/>
      <c r="Q32" s="2"/>
      <c r="R32" s="2"/>
      <c r="S32" s="2"/>
      <c r="T32" s="2"/>
    </row>
    <row r="33" ht="15" hidden="1" customHeight="1" spans="1:20">
      <c r="A33" s="12">
        <v>30</v>
      </c>
      <c r="B33" s="14" t="s">
        <v>16</v>
      </c>
      <c r="C33" s="14" t="s">
        <v>129</v>
      </c>
      <c r="D33" s="14">
        <f>IFERROR(SUMIFS(存条明细!E:E,存条明细!C:C,B33,存条明细!D:D,C33),0)</f>
        <v>30</v>
      </c>
      <c r="E33" s="24">
        <v>33</v>
      </c>
      <c r="F33" s="15">
        <f>IFERROR(SUMIFS(存条明细!G:G,存条明细!C:C,B33,存条明细!D:D,C33),0)</f>
        <v>990</v>
      </c>
      <c r="G33" s="14">
        <f>IFERROR(SUMIFS(出库明细!E:E,出库明细!C:C,B33,出库明细!D:D,C33),0)</f>
        <v>0</v>
      </c>
      <c r="H33" s="15">
        <f>IFERROR(SUMIFS(出库明细!G:G,出库明细!C:C,B33,出库明细!D:D,C33),0)</f>
        <v>0</v>
      </c>
      <c r="I33" s="26">
        <f t="shared" si="3"/>
        <v>30</v>
      </c>
      <c r="J33" s="15">
        <f t="shared" si="4"/>
        <v>990</v>
      </c>
      <c r="K33" s="23">
        <f ca="1" t="shared" si="5"/>
        <v>46289</v>
      </c>
      <c r="L33" s="2"/>
      <c r="M33" s="2"/>
      <c r="N33" s="2"/>
      <c r="O33" s="2"/>
      <c r="P33" s="2"/>
      <c r="Q33" s="2"/>
      <c r="R33" s="2"/>
      <c r="S33" s="2"/>
      <c r="T33" s="2"/>
    </row>
    <row r="34" ht="15" hidden="1" customHeight="1" spans="1:20">
      <c r="A34" s="12">
        <v>31</v>
      </c>
      <c r="B34" s="14" t="s">
        <v>16</v>
      </c>
      <c r="C34" s="12" t="s">
        <v>109</v>
      </c>
      <c r="D34" s="12">
        <f>IFERROR(SUMIFS(存条明细!E:E,存条明细!C:C,B34,存条明细!D:D,C34),0)</f>
        <v>40</v>
      </c>
      <c r="E34" s="22">
        <v>47</v>
      </c>
      <c r="F34" s="13">
        <f>IFERROR(SUMIFS(存条明细!G:G,存条明细!C:C,B34,存条明细!D:D,C34),0)</f>
        <v>1880</v>
      </c>
      <c r="G34" s="12">
        <f>IFERROR(SUMIFS(出库明细!E:E,出库明细!C:C,B34,出库明细!D:D,C34),0)</f>
        <v>0</v>
      </c>
      <c r="H34" s="13">
        <f>IFERROR(SUMIFS(出库明细!G:G,出库明细!C:C,B34,出库明细!D:D,C34),0)</f>
        <v>0</v>
      </c>
      <c r="I34" s="25">
        <f t="shared" si="3"/>
        <v>40</v>
      </c>
      <c r="J34" s="13">
        <f t="shared" si="4"/>
        <v>1880</v>
      </c>
      <c r="K34" s="23">
        <f ca="1" t="shared" si="5"/>
        <v>46289</v>
      </c>
      <c r="L34" s="2"/>
      <c r="M34" s="2"/>
      <c r="N34" s="2"/>
      <c r="O34" s="2"/>
      <c r="P34" s="2"/>
      <c r="Q34" s="2"/>
      <c r="R34" s="2"/>
      <c r="S34" s="2"/>
      <c r="T34" s="2"/>
    </row>
    <row r="35" ht="15" hidden="1" customHeight="1" spans="1:20">
      <c r="A35" s="12">
        <v>32</v>
      </c>
      <c r="B35" s="14" t="s">
        <v>16</v>
      </c>
      <c r="C35" s="14" t="s">
        <v>100</v>
      </c>
      <c r="D35" s="14">
        <f>IFERROR(SUMIFS(存条明细!E:E,存条明细!C:C,B35,存条明细!D:D,C35),0)</f>
        <v>114</v>
      </c>
      <c r="E35" s="24">
        <v>48</v>
      </c>
      <c r="F35" s="15">
        <f>IFERROR(SUMIFS(存条明细!G:G,存条明细!C:C,B35,存条明细!D:D,C35),0)</f>
        <v>5472</v>
      </c>
      <c r="G35" s="14">
        <f>IFERROR(SUMIFS(出库明细!E:E,出库明细!C:C,B35,出库明细!D:D,C35),0)</f>
        <v>40</v>
      </c>
      <c r="H35" s="15">
        <f>IFERROR(SUMIFS(出库明细!G:G,出库明细!C:C,B35,出库明细!D:D,C35),0)</f>
        <v>1920</v>
      </c>
      <c r="I35" s="26">
        <f t="shared" si="3"/>
        <v>74</v>
      </c>
      <c r="J35" s="15">
        <f t="shared" si="4"/>
        <v>3552</v>
      </c>
      <c r="K35" s="23">
        <f ca="1" t="shared" si="5"/>
        <v>46289</v>
      </c>
      <c r="L35" s="2"/>
      <c r="M35" s="2"/>
      <c r="N35" s="2"/>
      <c r="O35" s="2"/>
      <c r="P35" s="2"/>
      <c r="Q35" s="2"/>
      <c r="R35" s="2"/>
      <c r="S35" s="2"/>
      <c r="T35" s="2"/>
    </row>
    <row r="36" ht="15" hidden="1" customHeight="1" spans="1:20">
      <c r="A36" s="12">
        <v>31</v>
      </c>
      <c r="B36" s="12" t="s">
        <v>17</v>
      </c>
      <c r="C36" s="12" t="s">
        <v>102</v>
      </c>
      <c r="D36" s="12">
        <f>IFERROR(SUMIFS(存条明细!E:E,存条明细!C:C,B36,存条明细!D:D,C36),0)</f>
        <v>100</v>
      </c>
      <c r="E36" s="22">
        <v>55</v>
      </c>
      <c r="F36" s="13">
        <f>IFERROR(SUMIFS(存条明细!G:G,存条明细!C:C,B36,存条明细!D:D,C36),0)</f>
        <v>5500</v>
      </c>
      <c r="G36" s="12">
        <f>IFERROR(SUMIFS(出库明细!E:E,出库明细!C:C,B36,出库明细!D:D,C36),0)</f>
        <v>100</v>
      </c>
      <c r="H36" s="13">
        <f>IFERROR(SUMIFS(出库明细!G:G,出库明细!C:C,B36,出库明细!D:D,C36),0)</f>
        <v>5500</v>
      </c>
      <c r="I36" s="12">
        <f t="shared" si="3"/>
        <v>0</v>
      </c>
      <c r="J36" s="13">
        <f t="shared" si="4"/>
        <v>0</v>
      </c>
      <c r="K36" s="23">
        <f ca="1" t="shared" si="5"/>
        <v>46289</v>
      </c>
      <c r="L36" s="2"/>
      <c r="M36" s="2"/>
      <c r="N36" s="2"/>
      <c r="O36" s="2"/>
      <c r="P36" s="2"/>
      <c r="Q36" s="2"/>
      <c r="R36" s="2"/>
      <c r="S36" s="2"/>
      <c r="T36" s="2"/>
    </row>
    <row r="37" ht="15" hidden="1" customHeight="1" spans="1:20">
      <c r="A37" s="14">
        <v>32</v>
      </c>
      <c r="B37" s="12" t="s">
        <v>17</v>
      </c>
      <c r="C37" s="14" t="s">
        <v>108</v>
      </c>
      <c r="D37" s="14">
        <f>IFERROR(SUMIFS(存条明细!E:E,存条明细!C:C,B37,存条明细!D:D,C37),0)</f>
        <v>50</v>
      </c>
      <c r="E37" s="24">
        <v>69</v>
      </c>
      <c r="F37" s="15">
        <f>IFERROR(SUMIFS(存条明细!G:G,存条明细!C:C,B37,存条明细!D:D,C37),0)</f>
        <v>3450</v>
      </c>
      <c r="G37" s="14">
        <f>IFERROR(SUMIFS(出库明细!E:E,出库明细!C:C,B37,出库明细!D:D,C37),0)</f>
        <v>39</v>
      </c>
      <c r="H37" s="15">
        <f>IFERROR(SUMIFS(出库明细!G:G,出库明细!C:C,B37,出库明细!D:D,C37),0)</f>
        <v>2734.2</v>
      </c>
      <c r="I37" s="14">
        <f t="shared" si="3"/>
        <v>11</v>
      </c>
      <c r="J37" s="15">
        <f t="shared" si="4"/>
        <v>715.8</v>
      </c>
      <c r="K37" s="23">
        <f ca="1" t="shared" si="5"/>
        <v>46289</v>
      </c>
      <c r="L37" s="2"/>
      <c r="M37" s="2"/>
      <c r="N37" s="2"/>
      <c r="O37" s="2"/>
      <c r="P37" s="2"/>
      <c r="Q37" s="2"/>
      <c r="R37" s="2"/>
      <c r="S37" s="2"/>
      <c r="T37" s="2"/>
    </row>
    <row r="38" ht="15" hidden="1" customHeight="1" spans="1:20">
      <c r="A38" s="12">
        <v>33</v>
      </c>
      <c r="B38" s="12" t="s">
        <v>18</v>
      </c>
      <c r="C38" s="12" t="s">
        <v>107</v>
      </c>
      <c r="D38" s="12">
        <f>IFERROR(SUMIFS(存条明细!E:E,存条明细!C:C,B38,存条明细!D:D,C38),0)</f>
        <v>3600</v>
      </c>
      <c r="E38" s="22">
        <v>90</v>
      </c>
      <c r="F38" s="13">
        <f>IFERROR(SUMIFS(存条明细!G:G,存条明细!C:C,B38,存条明细!D:D,C38),0)</f>
        <v>324000</v>
      </c>
      <c r="G38" s="12">
        <f>IFERROR(SUMIFS(出库明细!E:E,出库明细!C:C,B38,出库明细!D:D,C38),0)</f>
        <v>800</v>
      </c>
      <c r="H38" s="13">
        <f>IFERROR(SUMIFS(出库明细!G:G,出库明细!C:C,B38,出库明细!D:D,C38),0)</f>
        <v>72000</v>
      </c>
      <c r="I38" s="12">
        <f t="shared" si="3"/>
        <v>2800</v>
      </c>
      <c r="J38" s="13">
        <f t="shared" si="4"/>
        <v>252000</v>
      </c>
      <c r="K38" s="23">
        <f ca="1" t="shared" si="5"/>
        <v>46289</v>
      </c>
      <c r="L38" s="2"/>
      <c r="M38" s="2"/>
      <c r="N38" s="2"/>
      <c r="O38" s="2"/>
      <c r="P38" s="2"/>
      <c r="Q38" s="2"/>
      <c r="R38" s="2"/>
      <c r="S38" s="2"/>
      <c r="T38" s="2"/>
    </row>
    <row r="39" ht="15" hidden="1" customHeight="1" spans="1:20">
      <c r="A39" s="14">
        <v>34</v>
      </c>
      <c r="B39" s="12" t="s">
        <v>18</v>
      </c>
      <c r="C39" s="14" t="s">
        <v>99</v>
      </c>
      <c r="D39" s="14">
        <f>IFERROR(SUMIFS(存条明细!E:E,存条明细!C:C,B39,存条明细!D:D,C39),0)</f>
        <v>230</v>
      </c>
      <c r="E39" s="24">
        <v>65</v>
      </c>
      <c r="F39" s="15">
        <f>IFERROR(SUMIFS(存条明细!G:G,存条明细!C:C,B39,存条明细!D:D,C39),0)</f>
        <v>14950</v>
      </c>
      <c r="G39" s="14">
        <f>IFERROR(SUMIFS(出库明细!E:E,出库明细!C:C,B39,出库明细!D:D,C39),0)</f>
        <v>415</v>
      </c>
      <c r="H39" s="15">
        <f>IFERROR(SUMIFS(出库明细!G:G,出库明细!C:C,B39,出库明细!D:D,C39),0)</f>
        <v>26975</v>
      </c>
      <c r="I39" s="14">
        <f t="shared" si="3"/>
        <v>-185</v>
      </c>
      <c r="J39" s="15">
        <f t="shared" si="4"/>
        <v>-12025</v>
      </c>
      <c r="K39" s="23">
        <f ca="1" t="shared" si="5"/>
        <v>46289</v>
      </c>
      <c r="L39" s="2"/>
      <c r="M39" s="2"/>
      <c r="N39" s="2"/>
      <c r="O39" s="2"/>
      <c r="P39" s="2"/>
      <c r="Q39" s="2"/>
      <c r="R39" s="2"/>
      <c r="S39" s="2"/>
      <c r="T39" s="2"/>
    </row>
    <row r="40" ht="15" hidden="1" customHeight="1" spans="1:20">
      <c r="A40" s="12">
        <v>35</v>
      </c>
      <c r="B40" s="12" t="s">
        <v>18</v>
      </c>
      <c r="C40" s="12" t="s">
        <v>102</v>
      </c>
      <c r="D40" s="12">
        <f>IFERROR(SUMIFS(存条明细!E:E,存条明细!C:C,B40,存条明细!D:D,C40),0)</f>
        <v>695</v>
      </c>
      <c r="E40" s="24">
        <v>55</v>
      </c>
      <c r="F40" s="13">
        <f>IFERROR(SUMIFS(存条明细!G:G,存条明细!C:C,B40,存条明细!D:D,C40),0)</f>
        <v>38225</v>
      </c>
      <c r="G40" s="12">
        <f>IFERROR(SUMIFS(出库明细!E:E,出库明细!C:C,B40,出库明细!D:D,C40),0)</f>
        <v>125</v>
      </c>
      <c r="H40" s="13">
        <f>IFERROR(SUMIFS(出库明细!G:G,出库明细!C:C,B40,出库明细!D:D,C40),0)</f>
        <v>6875</v>
      </c>
      <c r="I40" s="12">
        <f t="shared" si="3"/>
        <v>570</v>
      </c>
      <c r="J40" s="13">
        <f t="shared" si="4"/>
        <v>31350</v>
      </c>
      <c r="K40" s="23">
        <f ca="1" t="shared" si="5"/>
        <v>46289</v>
      </c>
      <c r="L40" s="2"/>
      <c r="M40" s="2"/>
      <c r="N40" s="2"/>
      <c r="O40" s="2"/>
      <c r="P40" s="2"/>
      <c r="Q40" s="2"/>
      <c r="R40" s="2"/>
      <c r="S40" s="2"/>
      <c r="T40" s="2"/>
    </row>
    <row r="41" ht="15" hidden="1" customHeight="1" spans="1:20">
      <c r="A41" s="14">
        <v>36</v>
      </c>
      <c r="B41" s="12" t="s">
        <v>18</v>
      </c>
      <c r="C41" s="14" t="s">
        <v>101</v>
      </c>
      <c r="D41" s="14">
        <f>IFERROR(SUMIFS(存条明细!E:E,存条明细!C:C,B41,存条明细!D:D,C41),0)</f>
        <v>730</v>
      </c>
      <c r="E41" s="22">
        <v>47</v>
      </c>
      <c r="F41" s="15">
        <f>IFERROR(SUMIFS(存条明细!G:G,存条明细!C:C,B41,存条明细!D:D,C41),0)</f>
        <v>32430</v>
      </c>
      <c r="G41" s="14">
        <f>IFERROR(SUMIFS(出库明细!E:E,出库明细!C:C,B41,出库明细!D:D,C41),0)</f>
        <v>828</v>
      </c>
      <c r="H41" s="15">
        <f>IFERROR(SUMIFS(出库明细!G:G,出库明细!C:C,B41,出库明细!D:D,C41),0)</f>
        <v>38916</v>
      </c>
      <c r="I41" s="14">
        <f t="shared" si="3"/>
        <v>-98</v>
      </c>
      <c r="J41" s="15">
        <f t="shared" si="4"/>
        <v>-6486</v>
      </c>
      <c r="K41" s="23">
        <f ca="1" t="shared" si="5"/>
        <v>46289</v>
      </c>
      <c r="L41" s="2"/>
      <c r="M41" s="2"/>
      <c r="N41" s="2"/>
      <c r="O41" s="2"/>
      <c r="P41" s="2"/>
      <c r="Q41" s="2"/>
      <c r="R41" s="2"/>
      <c r="S41" s="2"/>
      <c r="T41" s="2"/>
    </row>
    <row r="42" ht="15" hidden="1" customHeight="1" spans="1:20">
      <c r="A42" s="12">
        <v>37</v>
      </c>
      <c r="B42" s="12" t="s">
        <v>18</v>
      </c>
      <c r="C42" s="12" t="s">
        <v>108</v>
      </c>
      <c r="D42" s="12">
        <f>IFERROR(SUMIFS(存条明细!E:E,存条明细!C:C,B42,存条明细!D:D,C42),0)</f>
        <v>70</v>
      </c>
      <c r="E42" s="24">
        <v>69</v>
      </c>
      <c r="F42" s="13">
        <f>IFERROR(SUMIFS(存条明细!G:G,存条明细!C:C,B42,存条明细!D:D,C42),0)</f>
        <v>4830</v>
      </c>
      <c r="G42" s="12">
        <f>IFERROR(SUMIFS(出库明细!E:E,出库明细!C:C,B42,出库明细!D:D,C42),0)</f>
        <v>10</v>
      </c>
      <c r="H42" s="13">
        <f>IFERROR(SUMIFS(出库明细!G:G,出库明细!C:C,B42,出库明细!D:D,C42),0)</f>
        <v>690</v>
      </c>
      <c r="I42" s="12">
        <f t="shared" si="3"/>
        <v>60</v>
      </c>
      <c r="J42" s="13">
        <f t="shared" si="4"/>
        <v>4140</v>
      </c>
      <c r="K42" s="23">
        <f ca="1" t="shared" si="5"/>
        <v>46289</v>
      </c>
      <c r="L42" s="2"/>
      <c r="M42" s="2"/>
      <c r="N42" s="2"/>
      <c r="O42" s="2"/>
      <c r="P42" s="2"/>
      <c r="Q42" s="2"/>
      <c r="R42" s="2"/>
      <c r="S42" s="2"/>
      <c r="T42" s="2"/>
    </row>
    <row r="43" ht="15" hidden="1" customHeight="1" spans="1:20">
      <c r="A43" s="14">
        <v>38</v>
      </c>
      <c r="B43" s="12" t="s">
        <v>18</v>
      </c>
      <c r="C43" s="14" t="s">
        <v>100</v>
      </c>
      <c r="D43" s="14">
        <f>IFERROR(SUMIFS(存条明细!E:E,存条明细!C:C,B43,存条明细!D:D,C43),0)</f>
        <v>10</v>
      </c>
      <c r="E43" s="24">
        <v>48</v>
      </c>
      <c r="F43" s="15">
        <f>IFERROR(SUMIFS(存条明细!G:G,存条明细!C:C,B43,存条明细!D:D,C43),0)</f>
        <v>480</v>
      </c>
      <c r="G43" s="14">
        <f>IFERROR(SUMIFS(出库明细!E:E,出库明细!C:C,B43,出库明细!D:D,C43),0)</f>
        <v>10</v>
      </c>
      <c r="H43" s="15">
        <f>IFERROR(SUMIFS(出库明细!G:G,出库明细!C:C,B43,出库明细!D:D,C43),0)</f>
        <v>480</v>
      </c>
      <c r="I43" s="14">
        <f t="shared" si="3"/>
        <v>0</v>
      </c>
      <c r="J43" s="15">
        <f t="shared" si="4"/>
        <v>0</v>
      </c>
      <c r="K43" s="23">
        <f ca="1" t="shared" si="5"/>
        <v>46289</v>
      </c>
      <c r="L43" s="2"/>
      <c r="M43" s="2"/>
      <c r="N43" s="2"/>
      <c r="O43" s="2"/>
      <c r="P43" s="2"/>
      <c r="Q43" s="2"/>
      <c r="R43" s="2"/>
      <c r="S43" s="2"/>
      <c r="T43" s="2"/>
    </row>
    <row r="44" ht="15" hidden="1" customHeight="1" spans="1:20">
      <c r="A44" s="12">
        <v>39</v>
      </c>
      <c r="B44" s="12" t="s">
        <v>18</v>
      </c>
      <c r="C44" s="12" t="s">
        <v>103</v>
      </c>
      <c r="D44" s="12">
        <f>IFERROR(SUMIFS(存条明细!E:E,存条明细!C:C,B44,存条明细!D:D,C44),0)</f>
        <v>158</v>
      </c>
      <c r="E44" s="22">
        <v>43</v>
      </c>
      <c r="F44" s="13">
        <f>IFERROR(SUMIFS(存条明细!G:G,存条明细!C:C,B44,存条明细!D:D,C44),0)</f>
        <v>6450</v>
      </c>
      <c r="G44" s="12">
        <f>IFERROR(SUMIFS(出库明细!E:E,出库明细!C:C,B44,出库明细!D:D,C44),0)</f>
        <v>268</v>
      </c>
      <c r="H44" s="13">
        <f>IFERROR(SUMIFS(出库明细!G:G,出库明细!C:C,B44,出库明细!D:D,C44),0)</f>
        <v>11524</v>
      </c>
      <c r="I44" s="12" t="s">
        <v>179</v>
      </c>
      <c r="J44" s="13">
        <f t="shared" si="4"/>
        <v>-5074</v>
      </c>
      <c r="K44" s="23">
        <f ca="1" t="shared" si="5"/>
        <v>46289</v>
      </c>
      <c r="L44" s="2"/>
      <c r="M44" s="2"/>
      <c r="N44" s="2"/>
      <c r="O44" s="2"/>
      <c r="P44" s="2"/>
      <c r="Q44" s="2"/>
      <c r="R44" s="2"/>
      <c r="S44" s="2"/>
      <c r="T44" s="2"/>
    </row>
    <row r="45" ht="15" hidden="1" customHeight="1" spans="1:20">
      <c r="A45" s="14">
        <v>42</v>
      </c>
      <c r="B45" s="12" t="s">
        <v>18</v>
      </c>
      <c r="C45" s="14" t="s">
        <v>104</v>
      </c>
      <c r="D45" s="14">
        <f>IFERROR(SUMIFS(存条明细!E:E,存条明细!C:C,B45,存条明细!D:D,C45),0)</f>
        <v>208</v>
      </c>
      <c r="E45" s="24">
        <v>83</v>
      </c>
      <c r="F45" s="15">
        <f>IFERROR(SUMIFS(存条明细!G:G,存条明细!C:C,B45,存条明细!D:D,C45),0)</f>
        <v>16600</v>
      </c>
      <c r="G45" s="14">
        <f>IFERROR(SUMIFS(出库明细!E:E,出库明细!C:C,B45,出库明细!D:D,C45),0)</f>
        <v>80</v>
      </c>
      <c r="H45" s="15">
        <f>IFERROR(SUMIFS(出库明细!G:G,出库明细!C:C,B45,出库明细!D:D,C45),0)</f>
        <v>6640</v>
      </c>
      <c r="I45" s="14">
        <f t="shared" si="3"/>
        <v>128</v>
      </c>
      <c r="J45" s="15">
        <f t="shared" si="4"/>
        <v>9960</v>
      </c>
      <c r="K45" s="23">
        <f ca="1" t="shared" si="5"/>
        <v>46289</v>
      </c>
      <c r="L45" s="2"/>
      <c r="M45" s="2"/>
      <c r="N45" s="2"/>
      <c r="O45" s="2"/>
      <c r="P45" s="2"/>
      <c r="Q45" s="2"/>
      <c r="R45" s="2"/>
      <c r="S45" s="2"/>
      <c r="T45" s="2"/>
    </row>
    <row r="46" ht="15" hidden="1" customHeight="1" spans="1:20">
      <c r="A46" s="14">
        <v>44</v>
      </c>
      <c r="B46" s="14" t="s">
        <v>20</v>
      </c>
      <c r="C46" s="14" t="s">
        <v>107</v>
      </c>
      <c r="D46" s="14">
        <f>IFERROR(SUMIFS(存条明细!E:E,存条明细!C:C,B46,存条明细!D:D,C46),0)</f>
        <v>200</v>
      </c>
      <c r="E46" s="24">
        <v>90</v>
      </c>
      <c r="F46" s="15">
        <f>IFERROR(SUMIFS(存条明细!G:G,存条明细!C:C,B46,存条明细!D:D,C46),0)</f>
        <v>18000</v>
      </c>
      <c r="G46" s="14">
        <f>IFERROR(SUMIFS(出库明细!E:E,出库明细!C:C,B46,出库明细!D:D,C46),0)</f>
        <v>200</v>
      </c>
      <c r="H46" s="15">
        <f>IFERROR(SUMIFS(出库明细!G:G,出库明细!C:C,B46,出库明细!D:D,C46),0)</f>
        <v>18000</v>
      </c>
      <c r="I46" s="14">
        <f t="shared" si="3"/>
        <v>0</v>
      </c>
      <c r="J46" s="15">
        <f t="shared" si="4"/>
        <v>0</v>
      </c>
      <c r="K46" s="23">
        <f ca="1" t="shared" si="5"/>
        <v>46289</v>
      </c>
      <c r="L46" s="2"/>
      <c r="M46" s="2"/>
      <c r="N46" s="2"/>
      <c r="O46" s="2"/>
      <c r="P46" s="2"/>
      <c r="Q46" s="2"/>
      <c r="R46" s="2"/>
      <c r="S46" s="2"/>
      <c r="T46" s="2"/>
    </row>
    <row r="47" ht="15" hidden="1" customHeight="1" spans="1:20">
      <c r="A47" s="12">
        <v>45</v>
      </c>
      <c r="B47" s="12" t="s">
        <v>21</v>
      </c>
      <c r="C47" s="12" t="s">
        <v>107</v>
      </c>
      <c r="D47" s="12">
        <v>615</v>
      </c>
      <c r="E47" s="22">
        <v>87.8</v>
      </c>
      <c r="F47" s="13">
        <v>54000</v>
      </c>
      <c r="G47" s="12">
        <f>IFERROR(SUMIFS(出库明细!E:E,出库明细!C:C,B47,出库明细!D:D,C47),0)</f>
        <v>615</v>
      </c>
      <c r="H47" s="13">
        <f>IFERROR(SUMIFS(出库明细!G:G,出库明细!C:C,B47,出库明细!D:D,C47),0)</f>
        <v>54877</v>
      </c>
      <c r="I47" s="12">
        <f t="shared" si="3"/>
        <v>0</v>
      </c>
      <c r="J47" s="13">
        <f t="shared" si="4"/>
        <v>-877</v>
      </c>
      <c r="K47" s="23">
        <f ca="1" t="shared" si="5"/>
        <v>46289</v>
      </c>
      <c r="L47" s="2"/>
      <c r="M47" s="2"/>
      <c r="N47" s="2"/>
      <c r="O47" s="2"/>
      <c r="P47" s="2"/>
      <c r="Q47" s="2"/>
      <c r="R47" s="2"/>
      <c r="S47" s="2"/>
      <c r="T47" s="2"/>
    </row>
    <row r="48" ht="15" hidden="1" customHeight="1" spans="1:20">
      <c r="A48" s="14">
        <v>46</v>
      </c>
      <c r="B48" s="12" t="s">
        <v>21</v>
      </c>
      <c r="C48" s="14" t="s">
        <v>99</v>
      </c>
      <c r="D48" s="14">
        <v>76</v>
      </c>
      <c r="E48" s="24"/>
      <c r="F48" s="15">
        <f>IFERROR(SUMIFS(存条明细!G:G,存条明细!C:C,B48,存条明细!D:D,C48),0)</f>
        <v>3900</v>
      </c>
      <c r="G48" s="14">
        <f>IFERROR(SUMIFS(出库明细!E:E,出库明细!C:C,B48,出库明细!D:D,C48),0)</f>
        <v>76</v>
      </c>
      <c r="H48" s="15">
        <f>IFERROR(SUMIFS(出库明细!G:G,出库明细!C:C,B48,出库明细!D:D,C48),0)</f>
        <v>3900</v>
      </c>
      <c r="I48" s="14">
        <f t="shared" si="3"/>
        <v>0</v>
      </c>
      <c r="J48" s="15">
        <f t="shared" si="4"/>
        <v>0</v>
      </c>
      <c r="K48" s="23">
        <f ca="1" t="shared" si="5"/>
        <v>46289</v>
      </c>
      <c r="L48" s="2"/>
      <c r="M48" s="2"/>
      <c r="N48" s="2"/>
      <c r="O48" s="2"/>
      <c r="P48" s="2"/>
      <c r="Q48" s="2"/>
      <c r="R48" s="2"/>
      <c r="S48" s="2"/>
      <c r="T48" s="2"/>
    </row>
    <row r="49" ht="15" hidden="1" customHeight="1" spans="1:20">
      <c r="A49" s="12">
        <v>47</v>
      </c>
      <c r="B49" s="27" t="s">
        <v>127</v>
      </c>
      <c r="C49" s="27" t="s">
        <v>107</v>
      </c>
      <c r="D49" s="12">
        <f>IFERROR(SUMIFS(存条明细!E:E,存条明细!C:C,B49,存条明细!D:D,C49),0)</f>
        <v>162</v>
      </c>
      <c r="E49" s="22">
        <v>90</v>
      </c>
      <c r="F49" s="13">
        <f>IFERROR(SUMIFS(存条明细!G:G,存条明细!C:C,B49,存条明细!D:D,C49),0)</f>
        <v>14580</v>
      </c>
      <c r="G49" s="12">
        <f>IFERROR(SUMIFS(出库明细!E:E,出库明细!C:C,B49,出库明细!D:D,C49),0)</f>
        <v>162</v>
      </c>
      <c r="H49" s="13">
        <f>IFERROR(SUMIFS(出库明细!G:G,出库明细!C:C,B49,出库明细!D:D,C49),0)</f>
        <v>14580</v>
      </c>
      <c r="I49" s="12">
        <f t="shared" si="3"/>
        <v>0</v>
      </c>
      <c r="J49" s="13">
        <f t="shared" si="4"/>
        <v>0</v>
      </c>
      <c r="K49" s="23">
        <f ca="1" t="shared" si="5"/>
        <v>46289</v>
      </c>
      <c r="L49" s="2"/>
      <c r="M49" s="2"/>
      <c r="N49" s="2"/>
      <c r="O49" s="2"/>
      <c r="P49" s="2"/>
      <c r="Q49" s="2"/>
      <c r="R49" s="2"/>
      <c r="S49" s="2"/>
      <c r="T49" s="2"/>
    </row>
    <row r="50" ht="15" hidden="1" customHeight="1" spans="1:20">
      <c r="A50" s="14">
        <v>48</v>
      </c>
      <c r="B50" s="27" t="s">
        <v>127</v>
      </c>
      <c r="C50" s="27" t="s">
        <v>102</v>
      </c>
      <c r="D50" s="14">
        <f>IFERROR(SUMIFS(存条明细!E:E,存条明细!C:C,B50,存条明细!D:D,C50),0)</f>
        <v>23</v>
      </c>
      <c r="E50" s="24">
        <v>55</v>
      </c>
      <c r="F50" s="15">
        <f>IFERROR(SUMIFS(存条明细!G:G,存条明细!C:C,B50,存条明细!D:D,C50),0)</f>
        <v>1265</v>
      </c>
      <c r="G50" s="14">
        <f>IFERROR(SUMIFS(出库明细!E:E,出库明细!C:C,B50,出库明细!D:D,C50),0)</f>
        <v>23</v>
      </c>
      <c r="H50" s="15">
        <f>IFERROR(SUMIFS(出库明细!G:G,出库明细!C:C,B50,出库明细!D:D,C50),0)</f>
        <v>1265</v>
      </c>
      <c r="I50" s="14">
        <f t="shared" si="3"/>
        <v>0</v>
      </c>
      <c r="J50" s="15">
        <f t="shared" si="4"/>
        <v>0</v>
      </c>
      <c r="K50" s="23">
        <f ca="1" t="shared" si="5"/>
        <v>46289</v>
      </c>
      <c r="L50" s="2"/>
      <c r="M50" s="2"/>
      <c r="N50" s="2"/>
      <c r="O50" s="2"/>
      <c r="P50" s="2"/>
      <c r="Q50" s="2"/>
      <c r="R50" s="2"/>
      <c r="S50" s="2"/>
      <c r="T50" s="2"/>
    </row>
    <row r="51" ht="15" hidden="1" customHeight="1" spans="1:20">
      <c r="A51" s="12">
        <v>49</v>
      </c>
      <c r="B51" s="27" t="s">
        <v>127</v>
      </c>
      <c r="C51" s="27" t="s">
        <v>99</v>
      </c>
      <c r="D51" s="12">
        <f>IFERROR(SUMIFS(存条明细!E:E,存条明细!C:C,B51,存条明细!D:D,C51),0)</f>
        <v>23</v>
      </c>
      <c r="E51" s="22">
        <v>65</v>
      </c>
      <c r="F51" s="13">
        <f>IFERROR(SUMIFS(存条明细!G:G,存条明细!C:C,B51,存条明细!D:D,C51),0)</f>
        <v>1495</v>
      </c>
      <c r="G51" s="12">
        <f>IFERROR(SUMIFS(出库明细!E:E,出库明细!C:C,B51,出库明细!D:D,C51),0)</f>
        <v>59</v>
      </c>
      <c r="H51" s="13">
        <f>IFERROR(SUMIFS(出库明细!G:G,出库明细!C:C,B51,出库明细!D:D,C51),0)</f>
        <v>3770</v>
      </c>
      <c r="I51" s="12">
        <f t="shared" si="3"/>
        <v>-36</v>
      </c>
      <c r="J51" s="13">
        <f t="shared" si="4"/>
        <v>-2275</v>
      </c>
      <c r="K51" s="23">
        <f ca="1" t="shared" si="5"/>
        <v>46289</v>
      </c>
      <c r="L51" s="2"/>
      <c r="M51" s="2"/>
      <c r="N51" s="2"/>
      <c r="O51" s="2"/>
      <c r="P51" s="2"/>
      <c r="Q51" s="2"/>
      <c r="R51" s="2"/>
      <c r="S51" s="2"/>
      <c r="T51" s="2"/>
    </row>
    <row r="52" ht="15" hidden="1" customHeight="1" spans="1:20">
      <c r="A52" s="14">
        <v>50</v>
      </c>
      <c r="B52" s="27" t="s">
        <v>127</v>
      </c>
      <c r="C52" s="27" t="s">
        <v>104</v>
      </c>
      <c r="D52" s="14">
        <f>IFERROR(SUMIFS(存条明细!E:E,存条明细!C:C,B52,存条明细!D:D,C52),0)</f>
        <v>68</v>
      </c>
      <c r="E52" s="24">
        <v>83</v>
      </c>
      <c r="F52" s="15">
        <f>IFERROR(SUMIFS(存条明细!G:G,存条明细!C:C,B52,存条明细!D:D,C52),0)</f>
        <v>5644</v>
      </c>
      <c r="G52" s="14">
        <f>IFERROR(SUMIFS(出库明细!E:E,出库明细!C:C,B52,出库明细!D:D,C52),0)</f>
        <v>10</v>
      </c>
      <c r="H52" s="15">
        <f>IFERROR(SUMIFS(出库明细!G:G,出库明细!C:C,B52,出库明细!D:D,C52),0)</f>
        <v>830</v>
      </c>
      <c r="I52" s="14">
        <f t="shared" si="3"/>
        <v>58</v>
      </c>
      <c r="J52" s="15">
        <f t="shared" si="4"/>
        <v>4814</v>
      </c>
      <c r="K52" s="23">
        <f ca="1" t="shared" si="5"/>
        <v>46289</v>
      </c>
      <c r="L52" s="2"/>
      <c r="M52" s="2"/>
      <c r="N52" s="2"/>
      <c r="O52" s="2"/>
      <c r="P52" s="2"/>
      <c r="Q52" s="2"/>
      <c r="R52" s="2"/>
      <c r="S52" s="2"/>
      <c r="T52" s="2"/>
    </row>
    <row r="53" ht="15" hidden="1" customHeight="1" spans="1:20">
      <c r="A53" s="12">
        <v>51</v>
      </c>
      <c r="B53" s="27" t="s">
        <v>127</v>
      </c>
      <c r="C53" s="27" t="s">
        <v>108</v>
      </c>
      <c r="D53" s="12">
        <f>IFERROR(SUMIFS(存条明细!E:E,存条明细!C:C,B53,存条明细!D:D,C53),0)</f>
        <v>11</v>
      </c>
      <c r="E53" s="22">
        <v>69</v>
      </c>
      <c r="F53" s="13">
        <f>IFERROR(SUMIFS(存条明细!G:G,存条明细!C:C,B53,存条明细!D:D,C53),0)</f>
        <v>759</v>
      </c>
      <c r="G53" s="12">
        <f>IFERROR(SUMIFS(出库明细!E:E,出库明细!C:C,B53,出库明细!D:D,C53),0)</f>
        <v>0</v>
      </c>
      <c r="H53" s="13">
        <f>IFERROR(SUMIFS(出库明细!G:G,出库明细!C:C,B53,出库明细!D:D,C53),0)</f>
        <v>0</v>
      </c>
      <c r="I53" s="12">
        <f t="shared" si="3"/>
        <v>11</v>
      </c>
      <c r="J53" s="13">
        <f t="shared" si="4"/>
        <v>759</v>
      </c>
      <c r="K53" s="23">
        <f ca="1" t="shared" si="5"/>
        <v>46289</v>
      </c>
      <c r="L53" s="2"/>
      <c r="M53" s="2"/>
      <c r="N53" s="2"/>
      <c r="O53" s="2"/>
      <c r="P53" s="2"/>
      <c r="Q53" s="2"/>
      <c r="R53" s="2"/>
      <c r="S53" s="2"/>
      <c r="T53" s="2"/>
    </row>
    <row r="54" ht="15" hidden="1" customHeight="1" spans="1:20">
      <c r="A54" s="14">
        <v>52</v>
      </c>
      <c r="B54" s="14" t="s">
        <v>24</v>
      </c>
      <c r="C54" s="14" t="s">
        <v>107</v>
      </c>
      <c r="D54" s="14">
        <v>300</v>
      </c>
      <c r="E54" s="24">
        <v>90</v>
      </c>
      <c r="F54" s="15">
        <f>IFERROR(SUMIFS(存条明细!G:G,存条明细!C:C,B54,存条明细!D:D,C54),0)</f>
        <v>27000</v>
      </c>
      <c r="G54" s="14">
        <f>IFERROR(SUMIFS(出库明细!E:E,出库明细!C:C,B54,出库明细!D:D,C54),0)</f>
        <v>300</v>
      </c>
      <c r="H54" s="15">
        <f>IFERROR(SUMIFS(出库明细!G:G,出库明细!C:C,B54,出库明细!D:D,C54),0)</f>
        <v>27000</v>
      </c>
      <c r="I54" s="14">
        <f t="shared" si="3"/>
        <v>0</v>
      </c>
      <c r="J54" s="15">
        <f t="shared" si="4"/>
        <v>0</v>
      </c>
      <c r="K54" s="23">
        <f ca="1" t="shared" si="5"/>
        <v>46289</v>
      </c>
      <c r="L54" s="2"/>
      <c r="M54" s="2"/>
      <c r="N54" s="2"/>
      <c r="O54" s="2"/>
      <c r="P54" s="2"/>
      <c r="Q54" s="2"/>
      <c r="R54" s="2"/>
      <c r="S54" s="2"/>
      <c r="T54" s="2"/>
    </row>
    <row r="55" ht="15" hidden="1" customHeight="1" spans="1:20">
      <c r="A55" s="12">
        <v>53</v>
      </c>
      <c r="B55" s="12" t="s">
        <v>26</v>
      </c>
      <c r="C55" s="12" t="s">
        <v>107</v>
      </c>
      <c r="D55" s="12">
        <v>250</v>
      </c>
      <c r="E55" s="22">
        <v>90</v>
      </c>
      <c r="F55" s="13">
        <f>IFERROR(SUMIFS(存条明细!G:G,存条明细!C:C,B55,存条明细!D:D,C55),0)</f>
        <v>22500</v>
      </c>
      <c r="G55" s="12">
        <f>IFERROR(SUMIFS(出库明细!E:E,出库明细!C:C,B55,出库明细!D:D,C55),0)</f>
        <v>130</v>
      </c>
      <c r="H55" s="13">
        <f>IFERROR(SUMIFS(出库明细!G:G,出库明细!C:C,B55,出库明细!D:D,C55),0)</f>
        <v>11700</v>
      </c>
      <c r="I55" s="12">
        <f t="shared" si="3"/>
        <v>120</v>
      </c>
      <c r="J55" s="13">
        <f t="shared" si="4"/>
        <v>10800</v>
      </c>
      <c r="K55" s="23">
        <f ca="1" t="shared" si="5"/>
        <v>46289</v>
      </c>
      <c r="L55" s="2"/>
      <c r="M55" s="2"/>
      <c r="N55" s="2"/>
      <c r="O55" s="2"/>
      <c r="P55" s="2"/>
      <c r="Q55" s="2"/>
      <c r="R55" s="2"/>
      <c r="S55" s="2"/>
      <c r="T55" s="2"/>
    </row>
    <row r="56" ht="15" hidden="1" customHeight="1" spans="1:20">
      <c r="A56" s="14">
        <v>54</v>
      </c>
      <c r="B56" s="12" t="s">
        <v>26</v>
      </c>
      <c r="C56" s="14" t="s">
        <v>102</v>
      </c>
      <c r="D56" s="14">
        <v>150</v>
      </c>
      <c r="E56" s="24">
        <v>55</v>
      </c>
      <c r="F56" s="15">
        <f>IFERROR(SUMIFS(存条明细!G:G,存条明细!C:C,B56,存条明细!D:D,C56),0)</f>
        <v>8250</v>
      </c>
      <c r="G56" s="14">
        <f>IFERROR(SUMIFS(出库明细!E:E,出库明细!C:C,B56,出库明细!D:D,C56),0)</f>
        <v>0</v>
      </c>
      <c r="H56" s="15">
        <f>IFERROR(SUMIFS(出库明细!G:G,出库明细!C:C,B56,出库明细!D:D,C56),0)</f>
        <v>0</v>
      </c>
      <c r="I56" s="14">
        <f t="shared" si="3"/>
        <v>150</v>
      </c>
      <c r="J56" s="15">
        <f t="shared" si="4"/>
        <v>8250</v>
      </c>
      <c r="K56" s="23">
        <f ca="1" t="shared" si="5"/>
        <v>46289</v>
      </c>
      <c r="L56" s="2"/>
      <c r="M56" s="2"/>
      <c r="N56" s="2"/>
      <c r="O56" s="2"/>
      <c r="P56" s="2"/>
      <c r="Q56" s="2"/>
      <c r="R56" s="2"/>
      <c r="S56" s="2"/>
      <c r="T56" s="2"/>
    </row>
    <row r="57" ht="15" hidden="1" customHeight="1" spans="1:20">
      <c r="A57" s="12">
        <v>55</v>
      </c>
      <c r="B57" s="12" t="s">
        <v>26</v>
      </c>
      <c r="C57" s="12" t="s">
        <v>103</v>
      </c>
      <c r="D57" s="12">
        <v>20</v>
      </c>
      <c r="E57" s="22">
        <v>43</v>
      </c>
      <c r="F57" s="13">
        <f>IFERROR(SUMIFS(存条明细!G:G,存条明细!C:C,B57,存条明细!D:D,C57),0)</f>
        <v>860</v>
      </c>
      <c r="G57" s="12">
        <f>IFERROR(SUMIFS(出库明细!E:E,出库明细!C:C,B57,出库明细!D:D,C57),0)</f>
        <v>0</v>
      </c>
      <c r="H57" s="13">
        <f>IFERROR(SUMIFS(出库明细!G:G,出库明细!C:C,B57,出库明细!D:D,C57),0)</f>
        <v>0</v>
      </c>
      <c r="I57" s="12">
        <f t="shared" si="3"/>
        <v>20</v>
      </c>
      <c r="J57" s="13">
        <f t="shared" si="4"/>
        <v>860</v>
      </c>
      <c r="K57" s="23">
        <f ca="1" t="shared" si="5"/>
        <v>46289</v>
      </c>
      <c r="L57" s="2"/>
      <c r="M57" s="2"/>
      <c r="N57" s="2"/>
      <c r="O57" s="2"/>
      <c r="P57" s="2"/>
      <c r="Q57" s="2"/>
      <c r="R57" s="2"/>
      <c r="S57" s="2"/>
      <c r="T57" s="2"/>
    </row>
    <row r="58" ht="15" hidden="1" customHeight="1" spans="1:20">
      <c r="A58" s="14">
        <v>56</v>
      </c>
      <c r="B58" s="12" t="s">
        <v>26</v>
      </c>
      <c r="C58" s="14" t="s">
        <v>104</v>
      </c>
      <c r="D58" s="14">
        <v>10</v>
      </c>
      <c r="E58" s="24">
        <v>83</v>
      </c>
      <c r="F58" s="15">
        <f>IFERROR(SUMIFS(存条明细!G:G,存条明细!C:C,B58,存条明细!D:D,C58),0)</f>
        <v>830</v>
      </c>
      <c r="G58" s="14">
        <f>IFERROR(SUMIFS(出库明细!E:E,出库明细!C:C,B58,出库明细!D:D,C58),0)</f>
        <v>0</v>
      </c>
      <c r="H58" s="15">
        <f>IFERROR(SUMIFS(出库明细!G:G,出库明细!C:C,B58,出库明细!D:D,C58),0)</f>
        <v>0</v>
      </c>
      <c r="I58" s="14">
        <f t="shared" si="3"/>
        <v>10</v>
      </c>
      <c r="J58" s="15">
        <f t="shared" si="4"/>
        <v>830</v>
      </c>
      <c r="K58" s="23">
        <f ca="1" t="shared" si="5"/>
        <v>46289</v>
      </c>
      <c r="L58" s="2"/>
      <c r="M58" s="2"/>
      <c r="N58" s="2"/>
      <c r="O58" s="2"/>
      <c r="P58" s="2"/>
      <c r="Q58" s="2"/>
      <c r="R58" s="2"/>
      <c r="S58" s="2"/>
      <c r="T58" s="2"/>
    </row>
    <row r="59" ht="15" hidden="1" customHeight="1" spans="1:20">
      <c r="A59" s="12">
        <v>57</v>
      </c>
      <c r="B59" s="12" t="s">
        <v>27</v>
      </c>
      <c r="C59" s="12" t="s">
        <v>107</v>
      </c>
      <c r="D59" s="12">
        <v>170</v>
      </c>
      <c r="E59" s="22">
        <v>90</v>
      </c>
      <c r="F59" s="13">
        <f>IFERROR(SUMIFS(存条明细!G:G,存条明细!C:C,B59,存条明细!D:D,C59),0)</f>
        <v>15300</v>
      </c>
      <c r="G59" s="12">
        <f>IFERROR(SUMIFS(出库明细!E:E,出库明细!C:C,B59,出库明细!D:D,C59),0)</f>
        <v>90</v>
      </c>
      <c r="H59" s="13">
        <f>IFERROR(SUMIFS(出库明细!G:G,出库明细!C:C,B59,出库明细!D:D,C59),0)</f>
        <v>8100</v>
      </c>
      <c r="I59" s="12">
        <f t="shared" si="3"/>
        <v>80</v>
      </c>
      <c r="J59" s="13">
        <f t="shared" si="4"/>
        <v>7200</v>
      </c>
      <c r="K59" s="23">
        <f ca="1" t="shared" si="5"/>
        <v>46289</v>
      </c>
      <c r="L59" s="2"/>
      <c r="M59" s="2"/>
      <c r="N59" s="2"/>
      <c r="O59" s="2"/>
      <c r="P59" s="2"/>
      <c r="Q59" s="2"/>
      <c r="R59" s="2"/>
      <c r="S59" s="2"/>
      <c r="T59" s="2"/>
    </row>
    <row r="60" ht="15" hidden="1" customHeight="1" spans="1:20">
      <c r="A60" s="14">
        <v>58</v>
      </c>
      <c r="B60" s="27" t="s">
        <v>28</v>
      </c>
      <c r="C60" s="27" t="s">
        <v>107</v>
      </c>
      <c r="D60" s="14">
        <f>IFERROR(SUMIFS(存条明细!E:E,存条明细!C:C,B60,存条明细!D:D,C60),0)</f>
        <v>464</v>
      </c>
      <c r="E60" s="24">
        <v>90</v>
      </c>
      <c r="F60" s="15">
        <f>IFERROR(SUMIFS(存条明细!G:G,存条明细!C:C,B60,存条明细!D:D,C60),0)</f>
        <v>41760</v>
      </c>
      <c r="G60" s="14">
        <f>IFERROR(SUMIFS(出库明细!E:E,出库明细!C:C,B60,出库明细!D:D,C60),0)</f>
        <v>364</v>
      </c>
      <c r="H60" s="15">
        <f>IFERROR(SUMIFS(出库明细!G:G,出库明细!C:C,B60,出库明细!D:D,C60),0)</f>
        <v>32760</v>
      </c>
      <c r="I60" s="14">
        <f t="shared" si="3"/>
        <v>100</v>
      </c>
      <c r="J60" s="15">
        <f t="shared" si="4"/>
        <v>9000</v>
      </c>
      <c r="K60" s="23">
        <f ca="1" t="shared" si="5"/>
        <v>46289</v>
      </c>
      <c r="L60" s="2"/>
      <c r="M60" s="2"/>
      <c r="N60" s="2"/>
      <c r="O60" s="2"/>
      <c r="P60" s="2"/>
      <c r="Q60" s="2"/>
      <c r="R60" s="2"/>
      <c r="S60" s="2"/>
      <c r="T60" s="2"/>
    </row>
    <row r="61" ht="15" hidden="1" customHeight="1" spans="1:20">
      <c r="A61" s="14">
        <v>59</v>
      </c>
      <c r="B61" s="27" t="s">
        <v>28</v>
      </c>
      <c r="C61" s="27" t="s">
        <v>99</v>
      </c>
      <c r="D61" s="27">
        <v>40</v>
      </c>
      <c r="E61" s="24">
        <v>65</v>
      </c>
      <c r="F61" s="15">
        <f>IFERROR(SUMIFS(存条明细!G:G,存条明细!C:C,B61,存条明细!D:D,C61),0)</f>
        <v>2600</v>
      </c>
      <c r="G61" s="14">
        <f>IFERROR(SUMIFS(出库明细!E:E,出库明细!C:C,B61,出库明细!D:D,C61),0)</f>
        <v>20</v>
      </c>
      <c r="H61" s="15">
        <f>IFERROR(SUMIFS(出库明细!G:G,出库明细!C:C,B61,出库明细!D:D,C61),0)</f>
        <v>1300</v>
      </c>
      <c r="I61" s="14">
        <f t="shared" ref="I61:I103" si="6">IFERROR(D61-G61,0)</f>
        <v>20</v>
      </c>
      <c r="J61" s="15">
        <f t="shared" ref="J61:J103" si="7">IFERROR(F61-H61,0)</f>
        <v>1300</v>
      </c>
      <c r="K61" s="23">
        <f ca="1" t="shared" ref="K61:K70" si="8">TODAY()</f>
        <v>46289</v>
      </c>
      <c r="L61" s="2"/>
      <c r="M61" s="2"/>
      <c r="N61" s="2"/>
      <c r="O61" s="2"/>
      <c r="P61" s="2"/>
      <c r="Q61" s="2"/>
      <c r="R61" s="2"/>
      <c r="S61" s="2"/>
      <c r="T61" s="2"/>
    </row>
    <row r="62" ht="15" hidden="1" customHeight="1" spans="1:20">
      <c r="A62" s="14">
        <v>60</v>
      </c>
      <c r="B62" s="27" t="s">
        <v>28</v>
      </c>
      <c r="C62" s="27" t="s">
        <v>102</v>
      </c>
      <c r="D62" s="27">
        <v>97</v>
      </c>
      <c r="E62" s="24">
        <v>55</v>
      </c>
      <c r="F62" s="15">
        <f>IFERROR(SUMIFS(存条明细!G:G,存条明细!C:C,B62,存条明细!D:D,C62),0)</f>
        <v>5335</v>
      </c>
      <c r="G62" s="14">
        <f>IFERROR(SUMIFS(出库明细!E:E,出库明细!C:C,B62,出库明细!D:D,C62),0)</f>
        <v>50</v>
      </c>
      <c r="H62" s="15">
        <f>IFERROR(SUMIFS(出库明细!G:G,出库明细!C:C,B62,出库明细!D:D,C62),0)</f>
        <v>2750</v>
      </c>
      <c r="I62" s="14">
        <f t="shared" si="6"/>
        <v>47</v>
      </c>
      <c r="J62" s="15">
        <f t="shared" si="7"/>
        <v>2585</v>
      </c>
      <c r="K62" s="23">
        <f ca="1" t="shared" si="8"/>
        <v>46289</v>
      </c>
      <c r="L62" s="2"/>
      <c r="M62" s="2"/>
      <c r="N62" s="2"/>
      <c r="O62" s="2"/>
      <c r="P62" s="2"/>
      <c r="Q62" s="2"/>
      <c r="R62" s="2"/>
      <c r="S62" s="2"/>
      <c r="T62" s="2"/>
    </row>
    <row r="63" ht="15" hidden="1" customHeight="1" spans="1:20">
      <c r="A63" s="14">
        <v>61</v>
      </c>
      <c r="B63" s="27" t="s">
        <v>28</v>
      </c>
      <c r="C63" s="27" t="s">
        <v>108</v>
      </c>
      <c r="D63" s="27">
        <v>64</v>
      </c>
      <c r="E63" s="24">
        <v>69</v>
      </c>
      <c r="F63" s="15">
        <f>IFERROR(SUMIFS(存条明细!G:G,存条明细!C:C,B63,存条明细!D:D,C63),0)</f>
        <v>4416</v>
      </c>
      <c r="G63" s="14">
        <f>IFERROR(SUMIFS(出库明细!E:E,出库明细!C:C,B63,出库明细!D:D,C63),0)</f>
        <v>0</v>
      </c>
      <c r="H63" s="15">
        <f>IFERROR(SUMIFS(出库明细!G:G,出库明细!C:C,B63,出库明细!D:D,C63),0)</f>
        <v>0</v>
      </c>
      <c r="I63" s="14">
        <f t="shared" si="6"/>
        <v>64</v>
      </c>
      <c r="J63" s="15">
        <f t="shared" si="7"/>
        <v>4416</v>
      </c>
      <c r="K63" s="23">
        <f ca="1" t="shared" si="8"/>
        <v>46289</v>
      </c>
      <c r="L63" s="2"/>
      <c r="M63" s="2"/>
      <c r="N63" s="2"/>
      <c r="O63" s="2"/>
      <c r="P63" s="2"/>
      <c r="Q63" s="2"/>
      <c r="R63" s="2"/>
      <c r="S63" s="2"/>
      <c r="T63" s="2"/>
    </row>
    <row r="64" ht="15" hidden="1" customHeight="1" spans="1:20">
      <c r="A64" s="14">
        <v>62</v>
      </c>
      <c r="B64" s="27" t="s">
        <v>28</v>
      </c>
      <c r="C64" s="27" t="s">
        <v>103</v>
      </c>
      <c r="D64" s="27">
        <v>15.5</v>
      </c>
      <c r="E64" s="24">
        <v>43</v>
      </c>
      <c r="F64" s="15">
        <f>IFERROR(SUMIFS(存条明细!G:G,存条明细!C:C,B64,存条明细!D:D,C64),0)</f>
        <v>666.5</v>
      </c>
      <c r="G64" s="14">
        <f>IFERROR(SUMIFS(出库明细!E:E,出库明细!C:C,B64,出库明细!D:D,C64),0)</f>
        <v>15.5</v>
      </c>
      <c r="H64" s="15">
        <f>IFERROR(SUMIFS(出库明细!G:G,出库明细!C:C,B64,出库明细!D:D,C64),0)</f>
        <v>666.5</v>
      </c>
      <c r="I64" s="14">
        <f t="shared" si="6"/>
        <v>0</v>
      </c>
      <c r="J64" s="15">
        <f t="shared" si="7"/>
        <v>0</v>
      </c>
      <c r="K64" s="23">
        <f ca="1" t="shared" si="8"/>
        <v>46289</v>
      </c>
      <c r="L64" s="2"/>
      <c r="M64" s="2"/>
      <c r="N64" s="2"/>
      <c r="O64" s="2"/>
      <c r="P64" s="2"/>
      <c r="Q64" s="2"/>
      <c r="R64" s="2"/>
      <c r="S64" s="2"/>
      <c r="T64" s="2"/>
    </row>
    <row r="65" ht="15" hidden="1" customHeight="1" spans="1:20">
      <c r="A65" s="14">
        <v>63</v>
      </c>
      <c r="B65" s="27" t="s">
        <v>28</v>
      </c>
      <c r="C65" s="27" t="s">
        <v>111</v>
      </c>
      <c r="D65" s="27">
        <v>39</v>
      </c>
      <c r="E65" s="24">
        <v>51</v>
      </c>
      <c r="F65" s="15">
        <f>IFERROR(SUMIFS(存条明细!G:G,存条明细!C:C,B65,存条明细!D:D,C65),0)</f>
        <v>1989</v>
      </c>
      <c r="G65" s="14">
        <f>IFERROR(SUMIFS(出库明细!E:E,出库明细!C:C,B65,出库明细!D:D,C65),0)</f>
        <v>20</v>
      </c>
      <c r="H65" s="15">
        <f>IFERROR(SUMIFS(出库明细!G:G,出库明细!C:C,B65,出库明细!D:D,C65),0)</f>
        <v>1020</v>
      </c>
      <c r="I65" s="14">
        <f t="shared" si="6"/>
        <v>19</v>
      </c>
      <c r="J65" s="15">
        <f t="shared" si="7"/>
        <v>969</v>
      </c>
      <c r="K65" s="23">
        <f ca="1" t="shared" si="8"/>
        <v>46289</v>
      </c>
      <c r="L65" s="2"/>
      <c r="M65" s="2"/>
      <c r="N65" s="2"/>
      <c r="O65" s="2"/>
      <c r="P65" s="2"/>
      <c r="Q65" s="2"/>
      <c r="R65" s="2"/>
      <c r="S65" s="2"/>
      <c r="T65" s="2"/>
    </row>
    <row r="66" ht="15" hidden="1" customHeight="1" spans="1:20">
      <c r="A66" s="14">
        <v>64</v>
      </c>
      <c r="B66" s="27" t="s">
        <v>28</v>
      </c>
      <c r="C66" s="27" t="s">
        <v>104</v>
      </c>
      <c r="D66" s="27">
        <v>19.5</v>
      </c>
      <c r="E66" s="24">
        <v>83</v>
      </c>
      <c r="F66" s="15">
        <f>IFERROR(SUMIFS(存条明细!G:G,存条明细!C:C,B66,存条明细!D:D,C66),0)</f>
        <v>1618.5</v>
      </c>
      <c r="G66" s="14">
        <f>IFERROR(SUMIFS(出库明细!E:E,出库明细!C:C,B66,出库明细!D:D,C66),0)</f>
        <v>0</v>
      </c>
      <c r="H66" s="15">
        <f>IFERROR(SUMIFS(出库明细!G:G,出库明细!C:C,B66,出库明细!D:D,C66),0)</f>
        <v>0</v>
      </c>
      <c r="I66" s="14">
        <f t="shared" si="6"/>
        <v>19.5</v>
      </c>
      <c r="J66" s="15">
        <f t="shared" si="7"/>
        <v>1618.5</v>
      </c>
      <c r="K66" s="23">
        <f ca="1" t="shared" si="8"/>
        <v>46289</v>
      </c>
      <c r="L66" s="2"/>
      <c r="M66" s="2"/>
      <c r="N66" s="2"/>
      <c r="O66" s="2"/>
      <c r="P66" s="2"/>
      <c r="Q66" s="2"/>
      <c r="R66" s="2"/>
      <c r="S66" s="2"/>
      <c r="T66" s="2"/>
    </row>
    <row r="67" ht="15" hidden="1" customHeight="1" spans="1:20">
      <c r="A67" s="14">
        <v>65</v>
      </c>
      <c r="B67" s="27" t="s">
        <v>28</v>
      </c>
      <c r="C67" s="27" t="s">
        <v>124</v>
      </c>
      <c r="D67" s="27">
        <v>275.5</v>
      </c>
      <c r="E67" s="24">
        <v>20</v>
      </c>
      <c r="F67" s="15">
        <f>IFERROR(SUMIFS(存条明细!G:G,存条明细!C:C,B67,存条明细!D:D,C67),0)</f>
        <v>5510</v>
      </c>
      <c r="G67" s="14">
        <f>IFERROR(SUMIFS(出库明细!E:E,出库明细!C:C,B67,出库明细!D:D,C67),0)</f>
        <v>0</v>
      </c>
      <c r="H67" s="15">
        <f>IFERROR(SUMIFS(出库明细!G:G,出库明细!C:C,B67,出库明细!D:D,C67),0)</f>
        <v>0</v>
      </c>
      <c r="I67" s="14">
        <f t="shared" si="6"/>
        <v>275.5</v>
      </c>
      <c r="J67" s="15">
        <f t="shared" si="7"/>
        <v>5510</v>
      </c>
      <c r="K67" s="23">
        <f ca="1" t="shared" si="8"/>
        <v>46289</v>
      </c>
      <c r="L67" s="2"/>
      <c r="M67" s="2"/>
      <c r="N67" s="2"/>
      <c r="O67" s="2"/>
      <c r="P67" s="2"/>
      <c r="Q67" s="2"/>
      <c r="R67" s="2"/>
      <c r="S67" s="2"/>
      <c r="T67" s="2"/>
    </row>
    <row r="68" ht="15" hidden="1" customHeight="1" spans="1:20">
      <c r="A68" s="14">
        <v>66</v>
      </c>
      <c r="B68" s="27" t="s">
        <v>29</v>
      </c>
      <c r="C68" s="27" t="s">
        <v>107</v>
      </c>
      <c r="D68" s="27">
        <v>524</v>
      </c>
      <c r="E68" s="24">
        <v>90</v>
      </c>
      <c r="F68" s="15">
        <f>IFERROR(SUMIFS(存条明细!G:G,存条明细!C:C,B68,存条明细!D:D,C68),0)</f>
        <v>47160</v>
      </c>
      <c r="G68" s="14">
        <f>IFERROR(SUMIFS(出库明细!E:E,出库明细!C:C,B68,出库明细!D:D,C68),0)</f>
        <v>524</v>
      </c>
      <c r="H68" s="15">
        <f>IFERROR(SUMIFS(出库明细!G:G,出库明细!C:C,B68,出库明细!D:D,C68),0)</f>
        <v>47160</v>
      </c>
      <c r="I68" s="14">
        <f t="shared" si="6"/>
        <v>0</v>
      </c>
      <c r="J68" s="15">
        <f t="shared" si="7"/>
        <v>0</v>
      </c>
      <c r="K68" s="23">
        <f ca="1" t="shared" si="8"/>
        <v>46289</v>
      </c>
      <c r="L68" s="2"/>
      <c r="M68" s="2"/>
      <c r="N68" s="2"/>
      <c r="O68" s="2"/>
      <c r="P68" s="2"/>
      <c r="Q68" s="2"/>
      <c r="R68" s="2"/>
      <c r="S68" s="2"/>
      <c r="T68" s="2"/>
    </row>
    <row r="69" ht="15" hidden="1" customHeight="1" spans="1:20">
      <c r="A69" s="14">
        <v>67</v>
      </c>
      <c r="B69" s="27" t="s">
        <v>29</v>
      </c>
      <c r="C69" s="27" t="s">
        <v>104</v>
      </c>
      <c r="D69" s="27">
        <v>80</v>
      </c>
      <c r="E69" s="24">
        <v>83</v>
      </c>
      <c r="F69" s="15">
        <f>IFERROR(SUMIFS(存条明细!G:G,存条明细!C:C,B69,存条明细!D:D,C69),0)</f>
        <v>6640</v>
      </c>
      <c r="G69" s="14">
        <f>IFERROR(SUMIFS(出库明细!E:E,出库明细!C:C,B69,出库明细!D:D,C69),0)</f>
        <v>80</v>
      </c>
      <c r="H69" s="15">
        <f>IFERROR(SUMIFS(出库明细!G:G,出库明细!C:C,B69,出库明细!D:D,C69),0)</f>
        <v>6640</v>
      </c>
      <c r="I69" s="14">
        <f t="shared" si="6"/>
        <v>0</v>
      </c>
      <c r="J69" s="15">
        <f t="shared" si="7"/>
        <v>0</v>
      </c>
      <c r="K69" s="23">
        <f ca="1" t="shared" si="8"/>
        <v>46289</v>
      </c>
      <c r="L69" s="2"/>
      <c r="M69" s="2"/>
      <c r="N69" s="2"/>
      <c r="O69" s="2"/>
      <c r="P69" s="2"/>
      <c r="Q69" s="2"/>
      <c r="R69" s="2"/>
      <c r="S69" s="2"/>
      <c r="T69" s="2"/>
    </row>
    <row r="70" ht="15" hidden="1" customHeight="1" spans="1:20">
      <c r="A70" s="14">
        <v>68</v>
      </c>
      <c r="B70" s="27" t="s">
        <v>29</v>
      </c>
      <c r="C70" s="27" t="s">
        <v>101</v>
      </c>
      <c r="D70" s="27">
        <v>30</v>
      </c>
      <c r="E70" s="24">
        <v>47</v>
      </c>
      <c r="F70" s="15">
        <f>IFERROR(SUMIFS(存条明细!G:G,存条明细!C:C,B70,存条明细!D:D,C70),0)</f>
        <v>1410</v>
      </c>
      <c r="G70" s="14">
        <f>IFERROR(SUMIFS(出库明细!E:E,出库明细!C:C,B70,出库明细!D:D,C70),0)</f>
        <v>30</v>
      </c>
      <c r="H70" s="15">
        <f>IFERROR(SUMIFS(出库明细!G:G,出库明细!C:C,B70,出库明细!D:D,C70),0)</f>
        <v>1410</v>
      </c>
      <c r="I70" s="14">
        <f t="shared" si="6"/>
        <v>0</v>
      </c>
      <c r="J70" s="15">
        <f t="shared" si="7"/>
        <v>0</v>
      </c>
      <c r="K70" s="23">
        <f ca="1" t="shared" si="8"/>
        <v>46289</v>
      </c>
      <c r="L70" s="2"/>
      <c r="M70" s="2"/>
      <c r="N70" s="2"/>
      <c r="O70" s="2"/>
      <c r="P70" s="2"/>
      <c r="Q70" s="2"/>
      <c r="R70" s="2"/>
      <c r="S70" s="2"/>
      <c r="T70" s="2"/>
    </row>
    <row r="71" ht="15" hidden="1" customHeight="1" spans="1:20">
      <c r="A71" s="14">
        <v>69</v>
      </c>
      <c r="B71" s="27" t="s">
        <v>29</v>
      </c>
      <c r="C71" s="27" t="s">
        <v>109</v>
      </c>
      <c r="D71" s="27">
        <v>30</v>
      </c>
      <c r="E71" s="24">
        <v>47</v>
      </c>
      <c r="F71" s="15">
        <f>IFERROR(SUMIFS(存条明细!G:G,存条明细!C:C,B71,存条明细!D:D,C71),0)</f>
        <v>1410</v>
      </c>
      <c r="G71" s="14">
        <f>IFERROR(SUMIFS(出库明细!E:E,出库明细!C:C,B71,出库明细!D:D,C71),0)</f>
        <v>30</v>
      </c>
      <c r="H71" s="15">
        <f>IFERROR(SUMIFS(出库明细!G:G,出库明细!C:C,B71,出库明细!D:D,C71),0)</f>
        <v>1410</v>
      </c>
      <c r="I71" s="14">
        <f t="shared" si="6"/>
        <v>0</v>
      </c>
      <c r="J71" s="15">
        <f t="shared" si="7"/>
        <v>0</v>
      </c>
      <c r="K71" s="23">
        <f ca="1" t="shared" ref="K71:K80" si="9">TODAY()</f>
        <v>46289</v>
      </c>
      <c r="L71" s="2"/>
      <c r="M71" s="2"/>
      <c r="N71" s="2"/>
      <c r="O71" s="2"/>
      <c r="P71" s="2"/>
      <c r="Q71" s="2"/>
      <c r="R71" s="2"/>
      <c r="S71" s="2"/>
      <c r="T71" s="2"/>
    </row>
    <row r="72" ht="15" hidden="1" customHeight="1" spans="1:20">
      <c r="A72" s="14">
        <v>70</v>
      </c>
      <c r="B72" s="27" t="s">
        <v>58</v>
      </c>
      <c r="C72" s="27" t="s">
        <v>107</v>
      </c>
      <c r="D72" s="27">
        <v>578</v>
      </c>
      <c r="E72" s="28">
        <v>90</v>
      </c>
      <c r="F72" s="15">
        <f>IFERROR(SUMIFS(存条明细!G:G,存条明细!C:C,B72,存条明细!D:D,C72),0)</f>
        <v>52020</v>
      </c>
      <c r="G72" s="14">
        <f>IFERROR(SUMIFS(出库明细!E:E,出库明细!C:C,B72,出库明细!D:D,C72),0)</f>
        <v>0</v>
      </c>
      <c r="H72" s="15">
        <f>IFERROR(SUMIFS(出库明细!G:G,出库明细!C:C,B72,出库明细!D:D,C72),0)</f>
        <v>0</v>
      </c>
      <c r="I72" s="14">
        <f t="shared" si="6"/>
        <v>578</v>
      </c>
      <c r="J72" s="15">
        <f t="shared" si="7"/>
        <v>52020</v>
      </c>
      <c r="K72" s="23">
        <f ca="1" t="shared" si="9"/>
        <v>46289</v>
      </c>
      <c r="L72" s="2"/>
      <c r="M72" s="2"/>
      <c r="N72" s="2"/>
      <c r="O72" s="2"/>
      <c r="P72" s="2"/>
      <c r="Q72" s="2"/>
      <c r="R72" s="2"/>
      <c r="S72" s="2"/>
      <c r="T72" s="2"/>
    </row>
    <row r="73" ht="15" hidden="1" customHeight="1" spans="1:20">
      <c r="A73" s="14">
        <v>71</v>
      </c>
      <c r="B73" s="27" t="s">
        <v>58</v>
      </c>
      <c r="C73" s="27" t="s">
        <v>102</v>
      </c>
      <c r="D73" s="27">
        <v>476</v>
      </c>
      <c r="E73" s="28">
        <v>55</v>
      </c>
      <c r="F73" s="15">
        <f>IFERROR(SUMIFS(存条明细!G:G,存条明细!C:C,B73,存条明细!D:D,C73),0)</f>
        <v>26180</v>
      </c>
      <c r="G73" s="14">
        <f>IFERROR(SUMIFS(出库明细!E:E,出库明细!C:C,B73,出库明细!D:D,C73),0)</f>
        <v>150</v>
      </c>
      <c r="H73" s="15">
        <f>IFERROR(SUMIFS(出库明细!G:G,出库明细!C:C,B73,出库明细!D:D,C73),0)</f>
        <v>8250</v>
      </c>
      <c r="I73" s="14">
        <f t="shared" si="6"/>
        <v>326</v>
      </c>
      <c r="J73" s="15">
        <f t="shared" si="7"/>
        <v>17930</v>
      </c>
      <c r="K73" s="23">
        <f ca="1" t="shared" si="9"/>
        <v>46289</v>
      </c>
      <c r="L73" s="2"/>
      <c r="M73" s="2"/>
      <c r="N73" s="2"/>
      <c r="O73" s="2"/>
      <c r="P73" s="2"/>
      <c r="Q73" s="2"/>
      <c r="R73" s="2"/>
      <c r="S73" s="2"/>
      <c r="T73" s="2"/>
    </row>
    <row r="74" ht="15" hidden="1" customHeight="1" spans="1:20">
      <c r="A74" s="14">
        <v>72</v>
      </c>
      <c r="B74" s="27" t="s">
        <v>58</v>
      </c>
      <c r="C74" s="27" t="s">
        <v>99</v>
      </c>
      <c r="D74" s="27">
        <v>458</v>
      </c>
      <c r="E74" s="28">
        <v>65</v>
      </c>
      <c r="F74" s="15">
        <f>IFERROR(SUMIFS(存条明细!G:G,存条明细!C:C,B74,存条明细!D:D,C74),0)</f>
        <v>29770</v>
      </c>
      <c r="G74" s="14">
        <f>IFERROR(SUMIFS(出库明细!E:E,出库明细!C:C,B74,出库明细!D:D,C74),0)</f>
        <v>150</v>
      </c>
      <c r="H74" s="15">
        <f>IFERROR(SUMIFS(出库明细!G:G,出库明细!C:C,B74,出库明细!D:D,C74),0)</f>
        <v>9750</v>
      </c>
      <c r="I74" s="14">
        <f t="shared" si="6"/>
        <v>308</v>
      </c>
      <c r="J74" s="15">
        <f t="shared" si="7"/>
        <v>20020</v>
      </c>
      <c r="K74" s="23">
        <f ca="1" t="shared" si="9"/>
        <v>46289</v>
      </c>
      <c r="L74" s="2"/>
      <c r="M74" s="2"/>
      <c r="N74" s="2"/>
      <c r="O74" s="2"/>
      <c r="P74" s="2"/>
      <c r="Q74" s="2"/>
      <c r="R74" s="2"/>
      <c r="S74" s="2"/>
      <c r="T74" s="2"/>
    </row>
    <row r="75" ht="15" hidden="1" customHeight="1" spans="1:20">
      <c r="A75" s="14">
        <v>73</v>
      </c>
      <c r="B75" s="27" t="s">
        <v>58</v>
      </c>
      <c r="C75" s="27" t="s">
        <v>103</v>
      </c>
      <c r="D75" s="27">
        <v>54</v>
      </c>
      <c r="E75" s="28">
        <v>43</v>
      </c>
      <c r="F75" s="15">
        <f>IFERROR(SUMIFS(存条明细!G:G,存条明细!C:C,B75,存条明细!D:D,C75),0)</f>
        <v>2322</v>
      </c>
      <c r="G75" s="14">
        <f>IFERROR(SUMIFS(出库明细!E:E,出库明细!C:C,B75,出库明细!D:D,C75),0)</f>
        <v>50</v>
      </c>
      <c r="H75" s="15">
        <f>IFERROR(SUMIFS(出库明细!G:G,出库明细!C:C,B75,出库明细!D:D,C75),0)</f>
        <v>2150</v>
      </c>
      <c r="I75" s="14">
        <f t="shared" si="6"/>
        <v>4</v>
      </c>
      <c r="J75" s="15">
        <f t="shared" si="7"/>
        <v>172</v>
      </c>
      <c r="K75" s="23">
        <f ca="1" t="shared" si="9"/>
        <v>46289</v>
      </c>
      <c r="L75" s="2"/>
      <c r="M75" s="2"/>
      <c r="N75" s="2"/>
      <c r="O75" s="2"/>
      <c r="P75" s="2"/>
      <c r="Q75" s="2"/>
      <c r="R75" s="2"/>
      <c r="S75" s="2"/>
      <c r="T75" s="2"/>
    </row>
    <row r="76" ht="15" hidden="1" customHeight="1" spans="1:20">
      <c r="A76" s="14">
        <v>74</v>
      </c>
      <c r="B76" s="27" t="s">
        <v>58</v>
      </c>
      <c r="C76" s="27" t="s">
        <v>104</v>
      </c>
      <c r="D76" s="27">
        <v>64</v>
      </c>
      <c r="E76" s="28">
        <v>83</v>
      </c>
      <c r="F76" s="15">
        <f>IFERROR(SUMIFS(存条明细!G:G,存条明细!C:C,B76,存条明细!D:D,C76),0)</f>
        <v>5312</v>
      </c>
      <c r="G76" s="14">
        <f>IFERROR(SUMIFS(出库明细!E:E,出库明细!C:C,B76,出库明细!D:D,C76),0)</f>
        <v>44</v>
      </c>
      <c r="H76" s="15">
        <f>IFERROR(SUMIFS(出库明细!G:G,出库明细!C:C,B76,出库明细!D:D,C76),0)</f>
        <v>3652</v>
      </c>
      <c r="I76" s="14">
        <f t="shared" si="6"/>
        <v>20</v>
      </c>
      <c r="J76" s="15">
        <f t="shared" si="7"/>
        <v>1660</v>
      </c>
      <c r="K76" s="23">
        <f ca="1" t="shared" si="9"/>
        <v>46289</v>
      </c>
      <c r="L76" s="2"/>
      <c r="M76" s="2"/>
      <c r="N76" s="2"/>
      <c r="O76" s="2"/>
      <c r="P76" s="2"/>
      <c r="Q76" s="2"/>
      <c r="R76" s="2"/>
      <c r="S76" s="2"/>
      <c r="T76" s="2"/>
    </row>
    <row r="77" ht="15" hidden="1" customHeight="1" spans="1:20">
      <c r="A77" s="14">
        <v>75</v>
      </c>
      <c r="B77" s="27" t="s">
        <v>58</v>
      </c>
      <c r="C77" s="27" t="s">
        <v>108</v>
      </c>
      <c r="D77" s="27">
        <v>262</v>
      </c>
      <c r="E77" s="28">
        <v>69</v>
      </c>
      <c r="F77" s="15">
        <f>IFERROR(SUMIFS(存条明细!G:G,存条明细!C:C,B77,存条明细!D:D,C77),0)</f>
        <v>18078</v>
      </c>
      <c r="G77" s="14">
        <f>IFERROR(SUMIFS(出库明细!E:E,出库明细!C:C,B77,出库明细!D:D,C77),0)</f>
        <v>0</v>
      </c>
      <c r="H77" s="15">
        <f>IFERROR(SUMIFS(出库明细!G:G,出库明细!C:C,B77,出库明细!D:D,C77),0)</f>
        <v>0</v>
      </c>
      <c r="I77" s="14">
        <f t="shared" si="6"/>
        <v>262</v>
      </c>
      <c r="J77" s="15">
        <f t="shared" si="7"/>
        <v>18078</v>
      </c>
      <c r="K77" s="23">
        <f ca="1" t="shared" si="9"/>
        <v>46289</v>
      </c>
      <c r="L77" s="2"/>
      <c r="M77" s="2"/>
      <c r="N77" s="2"/>
      <c r="O77" s="2"/>
      <c r="P77" s="2"/>
      <c r="Q77" s="2"/>
      <c r="R77" s="2"/>
      <c r="S77" s="2"/>
      <c r="T77" s="2"/>
    </row>
    <row r="78" ht="15" hidden="1" customHeight="1" spans="1:20">
      <c r="A78" s="14">
        <v>76</v>
      </c>
      <c r="B78" s="27" t="s">
        <v>58</v>
      </c>
      <c r="C78" s="27" t="s">
        <v>189</v>
      </c>
      <c r="D78" s="27">
        <v>30</v>
      </c>
      <c r="E78" s="28">
        <v>50</v>
      </c>
      <c r="F78" s="15">
        <f>IFERROR(SUMIFS(存条明细!G:G,存条明细!C:C,B78,存条明细!D:D,C78),0)</f>
        <v>1500</v>
      </c>
      <c r="G78" s="14">
        <f>IFERROR(SUMIFS(出库明细!E:E,出库明细!C:C,B78,出库明细!D:D,C78),0)</f>
        <v>0</v>
      </c>
      <c r="H78" s="15">
        <f>IFERROR(SUMIFS(出库明细!G:G,出库明细!C:C,B78,出库明细!D:D,C78),0)</f>
        <v>0</v>
      </c>
      <c r="I78" s="14">
        <f t="shared" si="6"/>
        <v>30</v>
      </c>
      <c r="J78" s="15">
        <f t="shared" si="7"/>
        <v>1500</v>
      </c>
      <c r="K78" s="23">
        <f ca="1" t="shared" si="9"/>
        <v>46289</v>
      </c>
      <c r="L78" s="2"/>
      <c r="M78" s="2"/>
      <c r="N78" s="2"/>
      <c r="O78" s="2"/>
      <c r="P78" s="2"/>
      <c r="Q78" s="2"/>
      <c r="R78" s="2"/>
      <c r="S78" s="2"/>
      <c r="T78" s="2"/>
    </row>
    <row r="79" ht="15" hidden="1" customHeight="1" spans="1:20">
      <c r="A79" s="14">
        <v>77</v>
      </c>
      <c r="B79" s="27" t="s">
        <v>58</v>
      </c>
      <c r="C79" s="27" t="s">
        <v>111</v>
      </c>
      <c r="D79" s="27">
        <v>50</v>
      </c>
      <c r="E79" s="28">
        <v>51</v>
      </c>
      <c r="F79" s="15">
        <f>IFERROR(SUMIFS(存条明细!G:G,存条明细!C:C,B79,存条明细!D:D,C79),0)</f>
        <v>2550</v>
      </c>
      <c r="G79" s="14">
        <f>IFERROR(SUMIFS(出库明细!E:E,出库明细!C:C,B79,出库明细!D:D,C79),0)</f>
        <v>0</v>
      </c>
      <c r="H79" s="15">
        <f>IFERROR(SUMIFS(出库明细!G:G,出库明细!C:C,B79,出库明细!D:D,C79),0)</f>
        <v>0</v>
      </c>
      <c r="I79" s="14">
        <f t="shared" si="6"/>
        <v>50</v>
      </c>
      <c r="J79" s="15">
        <f t="shared" si="7"/>
        <v>2550</v>
      </c>
      <c r="K79" s="23">
        <f ca="1" t="shared" si="9"/>
        <v>46289</v>
      </c>
      <c r="L79" s="2"/>
      <c r="M79" s="2"/>
      <c r="N79" s="2"/>
      <c r="O79" s="2"/>
      <c r="P79" s="2"/>
      <c r="Q79" s="2"/>
      <c r="R79" s="2"/>
      <c r="S79" s="2"/>
      <c r="T79" s="2"/>
    </row>
    <row r="80" ht="15" hidden="1" customHeight="1" spans="1:20">
      <c r="A80" s="14">
        <v>78</v>
      </c>
      <c r="B80" s="27" t="s">
        <v>30</v>
      </c>
      <c r="C80" s="14" t="s">
        <v>107</v>
      </c>
      <c r="D80" s="14">
        <v>90</v>
      </c>
      <c r="E80" s="24">
        <v>90</v>
      </c>
      <c r="F80" s="15">
        <f>IFERROR(SUMIFS(存条明细!G:G,存条明细!C:C,B80,存条明细!D:D,C80),0)</f>
        <v>8100</v>
      </c>
      <c r="G80" s="14">
        <f>IFERROR(SUMIFS(出库明细!E:E,出库明细!C:C,B80,出库明细!D:D,C80),0)</f>
        <v>0</v>
      </c>
      <c r="H80" s="15">
        <f>IFERROR(SUMIFS(出库明细!G:G,出库明细!C:C,B80,出库明细!D:D,C80),0)</f>
        <v>0</v>
      </c>
      <c r="I80" s="14">
        <f t="shared" si="6"/>
        <v>90</v>
      </c>
      <c r="J80" s="15">
        <f t="shared" si="7"/>
        <v>8100</v>
      </c>
      <c r="K80" s="23">
        <f ca="1" t="shared" si="9"/>
        <v>46289</v>
      </c>
      <c r="L80" s="2"/>
      <c r="M80" s="2"/>
      <c r="N80" s="2"/>
      <c r="O80" s="2"/>
      <c r="P80" s="2"/>
      <c r="Q80" s="2"/>
      <c r="R80" s="2"/>
      <c r="S80" s="2"/>
      <c r="T80" s="2"/>
    </row>
    <row r="81" ht="15" hidden="1" customHeight="1" spans="1:20">
      <c r="A81" s="14">
        <v>79</v>
      </c>
      <c r="B81" s="27" t="s">
        <v>31</v>
      </c>
      <c r="C81" s="14" t="s">
        <v>107</v>
      </c>
      <c r="D81" s="14">
        <v>35</v>
      </c>
      <c r="E81" s="24">
        <v>90</v>
      </c>
      <c r="F81" s="15">
        <f>IFERROR(SUMIFS(存条明细!G:G,存条明细!C:C,B81,存条明细!D:D,C81),0)</f>
        <v>3150</v>
      </c>
      <c r="G81" s="14">
        <f>IFERROR(SUMIFS(出库明细!E:E,出库明细!C:C,B81,出库明细!D:D,C81),0)</f>
        <v>67</v>
      </c>
      <c r="H81" s="15">
        <f>IFERROR(SUMIFS(出库明细!G:G,出库明细!C:C,B81,出库明细!D:D,C81),0)</f>
        <v>6030</v>
      </c>
      <c r="I81" s="14">
        <f t="shared" si="6"/>
        <v>-32</v>
      </c>
      <c r="J81" s="15">
        <f t="shared" si="7"/>
        <v>-2880</v>
      </c>
      <c r="K81" s="23"/>
      <c r="L81" s="2"/>
      <c r="M81" s="2"/>
      <c r="N81" s="2"/>
      <c r="O81" s="2"/>
      <c r="P81" s="2"/>
      <c r="Q81" s="2"/>
      <c r="R81" s="2"/>
      <c r="S81" s="2"/>
      <c r="T81" s="2"/>
    </row>
    <row r="82" ht="15" hidden="1" customHeight="1" spans="1:20">
      <c r="A82" s="14">
        <v>80</v>
      </c>
      <c r="B82" s="27" t="s">
        <v>32</v>
      </c>
      <c r="C82" s="27" t="s">
        <v>107</v>
      </c>
      <c r="D82" s="27">
        <v>379</v>
      </c>
      <c r="E82" s="24">
        <v>90</v>
      </c>
      <c r="F82" s="15">
        <f>IFERROR(SUMIFS(存条明细!G:G,存条明细!C:C,B82,存条明细!D:D,C82),0)</f>
        <v>142110</v>
      </c>
      <c r="G82" s="14">
        <f>IFERROR(SUMIFS(出库明细!E:E,出库明细!C:C,B82,出库明细!D:D,C82),0)</f>
        <v>100</v>
      </c>
      <c r="H82" s="15">
        <f>IFERROR(SUMIFS(出库明细!G:G,出库明细!C:C,B82,出库明细!D:D,C82),0)</f>
        <v>9000</v>
      </c>
      <c r="I82" s="14">
        <f t="shared" si="6"/>
        <v>279</v>
      </c>
      <c r="J82" s="15">
        <f t="shared" si="7"/>
        <v>133110</v>
      </c>
      <c r="K82" s="23"/>
      <c r="L82" s="2"/>
      <c r="M82" s="2"/>
      <c r="N82" s="2"/>
      <c r="O82" s="2"/>
      <c r="P82" s="2"/>
      <c r="Q82" s="2"/>
      <c r="R82" s="2"/>
      <c r="S82" s="2"/>
      <c r="T82" s="2"/>
    </row>
    <row r="83" ht="15" hidden="1" customHeight="1" spans="1:20">
      <c r="A83" s="14">
        <v>81</v>
      </c>
      <c r="B83" s="27" t="s">
        <v>32</v>
      </c>
      <c r="C83" s="27" t="s">
        <v>99</v>
      </c>
      <c r="D83" s="27">
        <v>214.5</v>
      </c>
      <c r="E83" s="24">
        <v>65</v>
      </c>
      <c r="F83" s="15">
        <f>IFERROR(SUMIFS(存条明细!G:G,存条明细!C:C,B83,存条明细!D:D,C83),0)</f>
        <v>13942.5</v>
      </c>
      <c r="G83" s="14">
        <f>IFERROR(SUMIFS(出库明细!E:E,出库明细!C:C,B83,出库明细!D:D,C83),0)</f>
        <v>0</v>
      </c>
      <c r="H83" s="15">
        <f>IFERROR(SUMIFS(出库明细!G:G,出库明细!C:C,B83,出库明细!D:D,C83),0)</f>
        <v>0</v>
      </c>
      <c r="I83" s="14">
        <f t="shared" si="6"/>
        <v>214.5</v>
      </c>
      <c r="J83" s="15">
        <f t="shared" si="7"/>
        <v>13942.5</v>
      </c>
      <c r="K83" s="23"/>
      <c r="L83" s="2"/>
      <c r="M83" s="2"/>
      <c r="N83" s="2"/>
      <c r="O83" s="2"/>
      <c r="P83" s="2"/>
      <c r="Q83" s="2"/>
      <c r="R83" s="2"/>
      <c r="S83" s="2"/>
      <c r="T83" s="2"/>
    </row>
    <row r="84" ht="15" hidden="1" customHeight="1" spans="1:20">
      <c r="A84" s="14">
        <v>82</v>
      </c>
      <c r="B84" s="27" t="s">
        <v>32</v>
      </c>
      <c r="C84" s="27" t="s">
        <v>102</v>
      </c>
      <c r="D84" s="27">
        <v>270</v>
      </c>
      <c r="E84" s="24">
        <v>55</v>
      </c>
      <c r="F84" s="15">
        <f>IFERROR(SUMIFS(存条明细!G:G,存条明细!C:C,B84,存条明细!D:D,C84),0)</f>
        <v>14850</v>
      </c>
      <c r="G84" s="14">
        <f>IFERROR(SUMIFS(出库明细!E:E,出库明细!C:C,B84,出库明细!D:D,C84),0)</f>
        <v>0</v>
      </c>
      <c r="H84" s="15">
        <f>IFERROR(SUMIFS(出库明细!G:G,出库明细!C:C,B84,出库明细!D:D,C84),0)</f>
        <v>0</v>
      </c>
      <c r="I84" s="14">
        <f t="shared" si="6"/>
        <v>270</v>
      </c>
      <c r="J84" s="15">
        <f t="shared" si="7"/>
        <v>14850</v>
      </c>
      <c r="K84" s="23"/>
      <c r="L84" s="2"/>
      <c r="M84" s="2"/>
      <c r="N84" s="2"/>
      <c r="O84" s="2"/>
      <c r="P84" s="2"/>
      <c r="Q84" s="2"/>
      <c r="R84" s="2"/>
      <c r="S84" s="2"/>
      <c r="T84" s="2"/>
    </row>
    <row r="85" ht="15" hidden="1" customHeight="1" spans="1:20">
      <c r="A85" s="14">
        <v>83</v>
      </c>
      <c r="B85" s="27" t="s">
        <v>32</v>
      </c>
      <c r="C85" s="27" t="s">
        <v>111</v>
      </c>
      <c r="D85" s="27">
        <v>20</v>
      </c>
      <c r="E85" s="24">
        <v>51</v>
      </c>
      <c r="F85" s="15">
        <f>IFERROR(SUMIFS(存条明细!G:G,存条明细!C:C,B85,存条明细!D:D,C85),0)</f>
        <v>1020</v>
      </c>
      <c r="G85" s="14">
        <f>IFERROR(SUMIFS(出库明细!E:E,出库明细!C:C,B85,出库明细!D:D,C85),0)</f>
        <v>0</v>
      </c>
      <c r="H85" s="15">
        <f>IFERROR(SUMIFS(出库明细!G:G,出库明细!C:C,B85,出库明细!D:D,C85),0)</f>
        <v>0</v>
      </c>
      <c r="I85" s="14">
        <f t="shared" si="6"/>
        <v>20</v>
      </c>
      <c r="J85" s="15">
        <f t="shared" si="7"/>
        <v>1020</v>
      </c>
      <c r="K85" s="23"/>
      <c r="L85" s="2"/>
      <c r="M85" s="2"/>
      <c r="N85" s="2"/>
      <c r="O85" s="2"/>
      <c r="P85" s="2"/>
      <c r="Q85" s="2"/>
      <c r="R85" s="2"/>
      <c r="S85" s="2"/>
      <c r="T85" s="2"/>
    </row>
    <row r="86" ht="15" hidden="1" customHeight="1" spans="1:20">
      <c r="A86" s="14">
        <v>84</v>
      </c>
      <c r="B86" s="27" t="s">
        <v>32</v>
      </c>
      <c r="C86" s="27" t="s">
        <v>104</v>
      </c>
      <c r="D86" s="27">
        <v>70</v>
      </c>
      <c r="E86" s="24">
        <v>83</v>
      </c>
      <c r="F86" s="15">
        <f>IFERROR(SUMIFS(存条明细!G:G,存条明细!C:C,B86,存条明细!D:D,C86),0)</f>
        <v>5810</v>
      </c>
      <c r="G86" s="14">
        <f>IFERROR(SUMIFS(出库明细!E:E,出库明细!C:C,B86,出库明细!D:D,C86),0)</f>
        <v>20</v>
      </c>
      <c r="H86" s="15">
        <f>IFERROR(SUMIFS(出库明细!G:G,出库明细!C:C,B86,出库明细!D:D,C86),0)</f>
        <v>1660</v>
      </c>
      <c r="I86" s="14">
        <f t="shared" si="6"/>
        <v>50</v>
      </c>
      <c r="J86" s="15">
        <f t="shared" si="7"/>
        <v>4150</v>
      </c>
      <c r="K86" s="23"/>
      <c r="L86" s="2"/>
      <c r="M86" s="2"/>
      <c r="N86" s="2"/>
      <c r="O86" s="2"/>
      <c r="P86" s="2"/>
      <c r="Q86" s="2"/>
      <c r="R86" s="2"/>
      <c r="S86" s="2"/>
      <c r="T86" s="2"/>
    </row>
    <row r="87" ht="15" hidden="1" customHeight="1" spans="1:20">
      <c r="A87" s="14">
        <v>85</v>
      </c>
      <c r="B87" s="27" t="s">
        <v>32</v>
      </c>
      <c r="C87" s="27" t="s">
        <v>108</v>
      </c>
      <c r="D87" s="27">
        <v>150</v>
      </c>
      <c r="E87" s="24">
        <v>69</v>
      </c>
      <c r="F87" s="15">
        <f>IFERROR(SUMIFS(存条明细!G:G,存条明细!C:C,B87,存条明细!D:D,C87),0)</f>
        <v>10350</v>
      </c>
      <c r="G87" s="14">
        <f>IFERROR(SUMIFS(出库明细!E:E,出库明细!C:C,B87,出库明细!D:D,C87),0)</f>
        <v>0</v>
      </c>
      <c r="H87" s="15">
        <f>IFERROR(SUMIFS(出库明细!G:G,出库明细!C:C,B87,出库明细!D:D,C87),0)</f>
        <v>0</v>
      </c>
      <c r="I87" s="14">
        <f t="shared" si="6"/>
        <v>150</v>
      </c>
      <c r="J87" s="15">
        <f t="shared" si="7"/>
        <v>10350</v>
      </c>
      <c r="K87" s="23"/>
      <c r="L87" s="2"/>
      <c r="M87" s="2"/>
      <c r="N87" s="2"/>
      <c r="O87" s="2"/>
      <c r="P87" s="2"/>
      <c r="Q87" s="2"/>
      <c r="R87" s="2"/>
      <c r="S87" s="2"/>
      <c r="T87" s="2"/>
    </row>
    <row r="88" ht="15" hidden="1" customHeight="1" spans="1:20">
      <c r="A88" s="14">
        <v>86</v>
      </c>
      <c r="B88" s="27" t="s">
        <v>33</v>
      </c>
      <c r="C88" s="14" t="s">
        <v>107</v>
      </c>
      <c r="D88" s="14">
        <v>50</v>
      </c>
      <c r="E88" s="24">
        <v>90</v>
      </c>
      <c r="F88" s="15">
        <f>IFERROR(SUMIFS(存条明细!G:G,存条明细!C:C,B88,存条明细!D:D,C88),0)</f>
        <v>4500</v>
      </c>
      <c r="G88" s="14">
        <f>IFERROR(SUMIFS(出库明细!E:E,出库明细!C:C,B88,出库明细!D:D,C88),0)</f>
        <v>0</v>
      </c>
      <c r="H88" s="15">
        <f>IFERROR(SUMIFS(出库明细!G:G,出库明细!C:C,B88,出库明细!D:D,C88),0)</f>
        <v>0</v>
      </c>
      <c r="I88" s="14">
        <f t="shared" si="6"/>
        <v>50</v>
      </c>
      <c r="J88" s="15">
        <f t="shared" si="7"/>
        <v>4500</v>
      </c>
      <c r="K88" s="23"/>
      <c r="L88" s="2"/>
      <c r="M88" s="2"/>
      <c r="N88" s="2"/>
      <c r="O88" s="2"/>
      <c r="P88" s="2"/>
      <c r="Q88" s="2"/>
      <c r="R88" s="2"/>
      <c r="S88" s="2"/>
      <c r="T88" s="2"/>
    </row>
    <row r="89" ht="15" hidden="1" customHeight="1" spans="1:20">
      <c r="A89" s="14">
        <v>87</v>
      </c>
      <c r="B89" s="27" t="s">
        <v>34</v>
      </c>
      <c r="C89" s="14" t="s">
        <v>107</v>
      </c>
      <c r="D89" s="14">
        <v>20</v>
      </c>
      <c r="E89" s="24">
        <v>90</v>
      </c>
      <c r="F89" s="15">
        <f>IFERROR(SUMIFS(存条明细!G:G,存条明细!C:C,B89,存条明细!D:D,C89),0)</f>
        <v>1800</v>
      </c>
      <c r="G89" s="14">
        <f>IFERROR(SUMIFS(出库明细!E:E,出库明细!C:C,B89,出库明细!D:D,C89),0)</f>
        <v>0</v>
      </c>
      <c r="H89" s="15">
        <f>IFERROR(SUMIFS(出库明细!G:G,出库明细!C:C,B89,出库明细!D:D,C89),0)</f>
        <v>0</v>
      </c>
      <c r="I89" s="14">
        <f t="shared" si="6"/>
        <v>20</v>
      </c>
      <c r="J89" s="15">
        <f t="shared" si="7"/>
        <v>1800</v>
      </c>
      <c r="K89" s="23"/>
      <c r="L89" s="2"/>
      <c r="M89" s="2"/>
      <c r="N89" s="2"/>
      <c r="O89" s="2"/>
      <c r="P89" s="2"/>
      <c r="Q89" s="2"/>
      <c r="R89" s="2"/>
      <c r="S89" s="2"/>
      <c r="T89" s="2"/>
    </row>
    <row r="90" ht="15" hidden="1" customHeight="1" spans="1:20">
      <c r="A90" s="14">
        <v>88</v>
      </c>
      <c r="B90" s="27" t="s">
        <v>36</v>
      </c>
      <c r="C90" s="27" t="s">
        <v>107</v>
      </c>
      <c r="D90" s="27">
        <v>100</v>
      </c>
      <c r="E90" s="24">
        <v>90</v>
      </c>
      <c r="F90" s="15">
        <f>IFERROR(SUMIFS(存条明细!G:G,存条明细!C:C,B90,存条明细!D:D,C90),0)</f>
        <v>9000</v>
      </c>
      <c r="G90" s="14">
        <f>IFERROR(SUMIFS(出库明细!E:E,出库明细!C:C,B90,出库明细!D:D,C90),0)</f>
        <v>100</v>
      </c>
      <c r="H90" s="15">
        <f>IFERROR(SUMIFS(出库明细!G:G,出库明细!C:C,B90,出库明细!D:D,C90),0)</f>
        <v>9000</v>
      </c>
      <c r="I90" s="14">
        <f t="shared" si="6"/>
        <v>0</v>
      </c>
      <c r="J90" s="15">
        <f t="shared" si="7"/>
        <v>0</v>
      </c>
      <c r="K90" s="23"/>
      <c r="L90" s="2"/>
      <c r="M90" s="2"/>
      <c r="N90" s="2"/>
      <c r="O90" s="2"/>
      <c r="P90" s="2"/>
      <c r="Q90" s="2"/>
      <c r="R90" s="2"/>
      <c r="S90" s="2"/>
      <c r="T90" s="2"/>
    </row>
    <row r="91" ht="15" hidden="1" customHeight="1" spans="1:20">
      <c r="A91" s="14">
        <v>89</v>
      </c>
      <c r="B91" s="27" t="s">
        <v>36</v>
      </c>
      <c r="C91" s="27" t="s">
        <v>99</v>
      </c>
      <c r="D91" s="27">
        <v>80</v>
      </c>
      <c r="E91" s="24">
        <v>65</v>
      </c>
      <c r="F91" s="15">
        <f>IFERROR(SUMIFS(存条明细!G:G,存条明细!C:C,B91,存条明细!D:D,C91),0)</f>
        <v>5200</v>
      </c>
      <c r="G91" s="14">
        <f>IFERROR(SUMIFS(出库明细!E:E,出库明细!C:C,B91,出库明细!D:D,C91),0)</f>
        <v>30</v>
      </c>
      <c r="H91" s="15">
        <f>IFERROR(SUMIFS(出库明细!G:G,出库明细!C:C,B91,出库明细!D:D,C91),0)</f>
        <v>1950</v>
      </c>
      <c r="I91" s="14">
        <f t="shared" si="6"/>
        <v>50</v>
      </c>
      <c r="J91" s="15">
        <f t="shared" si="7"/>
        <v>3250</v>
      </c>
      <c r="K91" s="23"/>
      <c r="L91" s="2"/>
      <c r="M91" s="2"/>
      <c r="N91" s="2"/>
      <c r="O91" s="2"/>
      <c r="P91" s="2"/>
      <c r="Q91" s="2"/>
      <c r="R91" s="2"/>
      <c r="S91" s="2"/>
      <c r="T91" s="2"/>
    </row>
    <row r="92" ht="15" hidden="1" customHeight="1" spans="1:20">
      <c r="A92" s="14">
        <v>90</v>
      </c>
      <c r="B92" s="27" t="s">
        <v>36</v>
      </c>
      <c r="C92" s="27" t="s">
        <v>102</v>
      </c>
      <c r="D92" s="27">
        <v>80</v>
      </c>
      <c r="E92" s="24">
        <v>55</v>
      </c>
      <c r="F92" s="15">
        <f>IFERROR(SUMIFS(存条明细!G:G,存条明细!C:C,B92,存条明细!D:D,C92),0)</f>
        <v>4400</v>
      </c>
      <c r="G92" s="14">
        <f>IFERROR(SUMIFS(出库明细!E:E,出库明细!C:C,B92,出库明细!D:D,C92),0)</f>
        <v>0</v>
      </c>
      <c r="H92" s="15">
        <f>IFERROR(SUMIFS(出库明细!G:G,出库明细!C:C,B92,出库明细!D:D,C92),0)</f>
        <v>0</v>
      </c>
      <c r="I92" s="14">
        <f t="shared" si="6"/>
        <v>80</v>
      </c>
      <c r="J92" s="15">
        <f t="shared" si="7"/>
        <v>4400</v>
      </c>
      <c r="K92" s="23"/>
      <c r="L92" s="2"/>
      <c r="M92" s="2"/>
      <c r="N92" s="2"/>
      <c r="O92" s="2"/>
      <c r="P92" s="2"/>
      <c r="Q92" s="2"/>
      <c r="R92" s="2"/>
      <c r="S92" s="2"/>
      <c r="T92" s="2"/>
    </row>
    <row r="93" ht="15" hidden="1" customHeight="1" spans="1:20">
      <c r="A93" s="14">
        <v>91</v>
      </c>
      <c r="B93" s="27" t="s">
        <v>36</v>
      </c>
      <c r="C93" s="27" t="s">
        <v>108</v>
      </c>
      <c r="D93" s="27">
        <v>80</v>
      </c>
      <c r="E93" s="24">
        <v>69</v>
      </c>
      <c r="F93" s="15">
        <f>IFERROR(SUMIFS(存条明细!G:G,存条明细!C:C,B93,存条明细!D:D,C93),0)</f>
        <v>5520</v>
      </c>
      <c r="G93" s="14">
        <f>IFERROR(SUMIFS(出库明细!E:E,出库明细!C:C,B93,出库明细!D:D,C93),0)</f>
        <v>80</v>
      </c>
      <c r="H93" s="15">
        <f>IFERROR(SUMIFS(出库明细!G:G,出库明细!C:C,B93,出库明细!D:D,C93),0)</f>
        <v>5520</v>
      </c>
      <c r="I93" s="14">
        <f t="shared" si="6"/>
        <v>0</v>
      </c>
      <c r="J93" s="15">
        <f t="shared" si="7"/>
        <v>0</v>
      </c>
      <c r="K93" s="23"/>
      <c r="L93" s="2"/>
      <c r="M93" s="2"/>
      <c r="N93" s="2"/>
      <c r="O93" s="2"/>
      <c r="P93" s="2"/>
      <c r="Q93" s="2"/>
      <c r="R93" s="2"/>
      <c r="S93" s="2"/>
      <c r="T93" s="2"/>
    </row>
    <row r="94" ht="15" hidden="1" customHeight="1" spans="1:20">
      <c r="A94" s="14">
        <v>92</v>
      </c>
      <c r="B94" s="27" t="s">
        <v>36</v>
      </c>
      <c r="C94" s="27" t="s">
        <v>103</v>
      </c>
      <c r="D94" s="27">
        <v>80</v>
      </c>
      <c r="E94" s="24">
        <v>43</v>
      </c>
      <c r="F94" s="15">
        <f>IFERROR(SUMIFS(存条明细!G:G,存条明细!C:C,B94,存条明细!D:D,C94),0)</f>
        <v>3680</v>
      </c>
      <c r="G94" s="14">
        <f>IFERROR(SUMIFS(出库明细!E:E,出库明细!C:C,B94,出库明细!D:D,C94),0)</f>
        <v>80</v>
      </c>
      <c r="H94" s="15">
        <f>IFERROR(SUMIFS(出库明细!G:G,出库明细!C:C,B94,出库明细!D:D,C94),0)</f>
        <v>3440</v>
      </c>
      <c r="I94" s="14">
        <f t="shared" si="6"/>
        <v>0</v>
      </c>
      <c r="J94" s="15">
        <f t="shared" si="7"/>
        <v>240</v>
      </c>
      <c r="K94" s="23"/>
      <c r="L94" s="2"/>
      <c r="M94" s="2"/>
      <c r="N94" s="2"/>
      <c r="O94" s="2"/>
      <c r="P94" s="2"/>
      <c r="Q94" s="2"/>
      <c r="R94" s="2"/>
      <c r="S94" s="2"/>
      <c r="T94" s="2"/>
    </row>
    <row r="95" ht="15" hidden="1" customHeight="1" spans="1:20">
      <c r="A95" s="14">
        <v>93</v>
      </c>
      <c r="B95" s="27" t="s">
        <v>36</v>
      </c>
      <c r="C95" s="27" t="s">
        <v>109</v>
      </c>
      <c r="D95" s="27">
        <v>40</v>
      </c>
      <c r="E95" s="24">
        <v>47</v>
      </c>
      <c r="F95" s="15">
        <f>IFERROR(SUMIFS(存条明细!G:G,存条明细!C:C,B95,存条明细!D:D,C95),0)</f>
        <v>1880</v>
      </c>
      <c r="G95" s="14">
        <f>IFERROR(SUMIFS(出库明细!E:E,出库明细!C:C,B95,出库明细!D:D,C95),0)</f>
        <v>0</v>
      </c>
      <c r="H95" s="15">
        <f>IFERROR(SUMIFS(出库明细!G:G,出库明细!C:C,B95,出库明细!D:D,C95),0)</f>
        <v>0</v>
      </c>
      <c r="I95" s="14">
        <f t="shared" si="6"/>
        <v>40</v>
      </c>
      <c r="J95" s="15">
        <f t="shared" si="7"/>
        <v>1880</v>
      </c>
      <c r="K95" s="23"/>
      <c r="L95" s="2"/>
      <c r="M95" s="2"/>
      <c r="N95" s="2"/>
      <c r="O95" s="2"/>
      <c r="P95" s="2"/>
      <c r="Q95" s="2"/>
      <c r="R95" s="2"/>
      <c r="S95" s="2"/>
      <c r="T95" s="2"/>
    </row>
    <row r="96" ht="15" hidden="1" customHeight="1" spans="1:20">
      <c r="A96" s="14">
        <v>94</v>
      </c>
      <c r="B96" s="27" t="s">
        <v>36</v>
      </c>
      <c r="C96" s="27" t="s">
        <v>101</v>
      </c>
      <c r="D96" s="27">
        <v>40</v>
      </c>
      <c r="E96" s="24">
        <v>47</v>
      </c>
      <c r="F96" s="15">
        <f>IFERROR(SUMIFS(存条明细!G:G,存条明细!C:C,B96,存条明细!D:D,C96),0)</f>
        <v>1880</v>
      </c>
      <c r="G96" s="14">
        <f>IFERROR(SUMIFS(出库明细!E:E,出库明细!C:C,B96,出库明细!D:D,C96),0)</f>
        <v>20</v>
      </c>
      <c r="H96" s="15">
        <f>IFERROR(SUMIFS(出库明细!G:G,出库明细!C:C,B96,出库明细!D:D,C96),0)</f>
        <v>940</v>
      </c>
      <c r="I96" s="14">
        <f t="shared" si="6"/>
        <v>20</v>
      </c>
      <c r="J96" s="15">
        <f t="shared" si="7"/>
        <v>940</v>
      </c>
      <c r="K96" s="23"/>
      <c r="L96" s="2"/>
      <c r="M96" s="2"/>
      <c r="N96" s="2"/>
      <c r="O96" s="2"/>
      <c r="P96" s="2"/>
      <c r="Q96" s="2"/>
      <c r="R96" s="2"/>
      <c r="S96" s="2"/>
      <c r="T96" s="2"/>
    </row>
    <row r="97" ht="15" hidden="1" customHeight="1" spans="1:20">
      <c r="A97" s="14">
        <v>95</v>
      </c>
      <c r="B97" s="27" t="s">
        <v>36</v>
      </c>
      <c r="C97" s="27" t="s">
        <v>104</v>
      </c>
      <c r="D97" s="27">
        <v>80</v>
      </c>
      <c r="E97" s="24">
        <v>83</v>
      </c>
      <c r="F97" s="15">
        <f>IFERROR(SUMIFS(存条明细!G:G,存条明细!C:C,B97,存条明细!D:D,C97),0)</f>
        <v>6880</v>
      </c>
      <c r="G97" s="14">
        <f>IFERROR(SUMIFS(出库明细!E:E,出库明细!C:C,B97,出库明细!D:D,C97),0)</f>
        <v>80</v>
      </c>
      <c r="H97" s="15">
        <f>IFERROR(SUMIFS(出库明细!G:G,出库明细!C:C,B97,出库明细!D:D,C97),0)</f>
        <v>6640</v>
      </c>
      <c r="I97" s="14">
        <f t="shared" si="6"/>
        <v>0</v>
      </c>
      <c r="J97" s="15">
        <f t="shared" si="7"/>
        <v>240</v>
      </c>
      <c r="K97" s="23"/>
      <c r="L97" s="2"/>
      <c r="M97" s="2"/>
      <c r="N97" s="2"/>
      <c r="O97" s="2"/>
      <c r="P97" s="2"/>
      <c r="Q97" s="2"/>
      <c r="R97" s="2"/>
      <c r="S97" s="2"/>
      <c r="T97" s="2"/>
    </row>
    <row r="98" ht="15" hidden="1" customHeight="1" spans="1:20">
      <c r="A98" s="14">
        <v>96</v>
      </c>
      <c r="B98" s="27" t="s">
        <v>37</v>
      </c>
      <c r="C98" s="27" t="s">
        <v>102</v>
      </c>
      <c r="D98" s="14">
        <v>80</v>
      </c>
      <c r="E98" s="24">
        <v>55</v>
      </c>
      <c r="F98" s="15">
        <f>IFERROR(SUMIFS(存条明细!G:G,存条明细!C:C,B98,存条明细!D:D,C98),0)</f>
        <v>4400</v>
      </c>
      <c r="G98" s="14">
        <f>IFERROR(SUMIFS(出库明细!E:E,出库明细!C:C,B98,出库明细!D:D,C98),0)</f>
        <v>40</v>
      </c>
      <c r="H98" s="15">
        <f>IFERROR(SUMIFS(出库明细!G:G,出库明细!C:C,B98,出库明细!D:D,C98),0)</f>
        <v>2200</v>
      </c>
      <c r="I98" s="14">
        <f t="shared" si="6"/>
        <v>40</v>
      </c>
      <c r="J98" s="15">
        <f t="shared" si="7"/>
        <v>2200</v>
      </c>
      <c r="K98" s="23"/>
      <c r="L98" s="2"/>
      <c r="M98" s="2"/>
      <c r="N98" s="2"/>
      <c r="O98" s="2"/>
      <c r="P98" s="2"/>
      <c r="Q98" s="2"/>
      <c r="R98" s="2"/>
      <c r="S98" s="2"/>
      <c r="T98" s="2"/>
    </row>
    <row r="99" ht="15" hidden="1" customHeight="1" spans="1:20">
      <c r="A99" s="14">
        <v>97</v>
      </c>
      <c r="B99" s="27" t="s">
        <v>37</v>
      </c>
      <c r="C99" s="27" t="s">
        <v>99</v>
      </c>
      <c r="D99" s="14">
        <v>60</v>
      </c>
      <c r="E99" s="24">
        <v>65</v>
      </c>
      <c r="F99" s="15">
        <f>IFERROR(SUMIFS(存条明细!G:G,存条明细!C:C,B99,存条明细!D:D,C99),0)</f>
        <v>3900</v>
      </c>
      <c r="G99" s="14">
        <f>IFERROR(SUMIFS(出库明细!E:E,出库明细!C:C,B99,出库明细!D:D,C99),0)</f>
        <v>50</v>
      </c>
      <c r="H99" s="15">
        <f>IFERROR(SUMIFS(出库明细!G:G,出库明细!C:C,B99,出库明细!D:D,C99),0)</f>
        <v>3250</v>
      </c>
      <c r="I99" s="14">
        <f t="shared" si="6"/>
        <v>10</v>
      </c>
      <c r="J99" s="15">
        <f t="shared" si="7"/>
        <v>650</v>
      </c>
      <c r="K99" s="23"/>
      <c r="L99" s="2"/>
      <c r="M99" s="2"/>
      <c r="N99" s="2"/>
      <c r="O99" s="2"/>
      <c r="P99" s="2"/>
      <c r="Q99" s="2"/>
      <c r="R99" s="2"/>
      <c r="S99" s="2"/>
      <c r="T99" s="2"/>
    </row>
    <row r="100" ht="15" hidden="1" customHeight="1" spans="1:20">
      <c r="A100" s="14">
        <v>98</v>
      </c>
      <c r="B100" s="27" t="s">
        <v>37</v>
      </c>
      <c r="C100" s="27" t="s">
        <v>103</v>
      </c>
      <c r="D100" s="14">
        <v>80</v>
      </c>
      <c r="E100" s="24">
        <v>43</v>
      </c>
      <c r="F100" s="15">
        <f>IFERROR(SUMIFS(存条明细!G:G,存条明细!C:C,B100,存条明细!D:D,C100),0)</f>
        <v>3440</v>
      </c>
      <c r="G100" s="14">
        <f>IFERROR(SUMIFS(出库明细!E:E,出库明细!C:C,B100,出库明细!D:D,C100),0)</f>
        <v>60</v>
      </c>
      <c r="H100" s="15">
        <f>IFERROR(SUMIFS(出库明细!G:G,出库明细!C:C,B100,出库明细!D:D,C100),0)</f>
        <v>2580</v>
      </c>
      <c r="I100" s="14">
        <f t="shared" si="6"/>
        <v>20</v>
      </c>
      <c r="J100" s="15">
        <f t="shared" si="7"/>
        <v>860</v>
      </c>
      <c r="K100" s="23"/>
      <c r="L100" s="2"/>
      <c r="M100" s="2"/>
      <c r="N100" s="2"/>
      <c r="O100" s="2"/>
      <c r="P100" s="2"/>
      <c r="Q100" s="2"/>
      <c r="R100" s="2"/>
      <c r="S100" s="2"/>
      <c r="T100" s="2"/>
    </row>
    <row r="101" ht="15" hidden="1" customHeight="1" spans="1:20">
      <c r="A101" s="14">
        <v>99</v>
      </c>
      <c r="B101" s="27" t="s">
        <v>42</v>
      </c>
      <c r="C101" s="14" t="s">
        <v>107</v>
      </c>
      <c r="D101" s="14">
        <v>500</v>
      </c>
      <c r="E101" s="24">
        <v>90</v>
      </c>
      <c r="F101" s="15">
        <f>IFERROR(SUMIFS(存条明细!G:G,存条明细!C:C,B101,存条明细!D:D,C101),0)</f>
        <v>45000</v>
      </c>
      <c r="G101" s="14">
        <f>IFERROR(SUMIFS(出库明细!E:E,出库明细!C:C,B101,出库明细!D:D,C101),0)</f>
        <v>300</v>
      </c>
      <c r="H101" s="15">
        <f>IFERROR(SUMIFS(出库明细!G:G,出库明细!C:C,B101,出库明细!D:D,C101),0)</f>
        <v>27000</v>
      </c>
      <c r="I101" s="14">
        <f t="shared" si="6"/>
        <v>200</v>
      </c>
      <c r="J101" s="15">
        <f t="shared" si="7"/>
        <v>18000</v>
      </c>
      <c r="K101" s="23"/>
      <c r="L101" s="2"/>
      <c r="M101" s="2"/>
      <c r="N101" s="2"/>
      <c r="O101" s="2"/>
      <c r="P101" s="2"/>
      <c r="Q101" s="2"/>
      <c r="R101" s="2"/>
      <c r="S101" s="2"/>
      <c r="T101" s="2"/>
    </row>
    <row r="102" ht="15" hidden="1" customHeight="1" spans="1:20">
      <c r="A102" s="14">
        <v>100</v>
      </c>
      <c r="B102" s="27" t="s">
        <v>44</v>
      </c>
      <c r="C102" s="14" t="s">
        <v>107</v>
      </c>
      <c r="D102" s="14">
        <v>300</v>
      </c>
      <c r="E102" s="24">
        <v>90</v>
      </c>
      <c r="F102" s="15">
        <f>IFERROR(SUMIFS(存条明细!G:G,存条明细!C:C,B102,存条明细!D:D,C102),0)</f>
        <v>27000</v>
      </c>
      <c r="G102" s="14">
        <f>IFERROR(SUMIFS(出库明细!E:E,出库明细!C:C,B102,出库明细!D:D,C102),0)</f>
        <v>300</v>
      </c>
      <c r="H102" s="15">
        <f>IFERROR(SUMIFS(出库明细!G:G,出库明细!C:C,B102,出库明细!D:D,C102),0)</f>
        <v>27000</v>
      </c>
      <c r="I102" s="14">
        <f t="shared" si="6"/>
        <v>0</v>
      </c>
      <c r="J102" s="15">
        <f t="shared" si="7"/>
        <v>0</v>
      </c>
      <c r="K102" s="23"/>
      <c r="L102" s="2"/>
      <c r="M102" s="2"/>
      <c r="N102" s="2"/>
      <c r="O102" s="2"/>
      <c r="P102" s="2"/>
      <c r="Q102" s="2"/>
      <c r="R102" s="2"/>
      <c r="S102" s="2"/>
      <c r="T102" s="2"/>
    </row>
    <row r="103" s="16" customFormat="1" ht="15" hidden="1" customHeight="1" spans="1:20">
      <c r="A103" s="29">
        <v>103</v>
      </c>
      <c r="B103" s="30" t="s">
        <v>47</v>
      </c>
      <c r="C103" s="29" t="s">
        <v>107</v>
      </c>
      <c r="D103" s="29">
        <v>50</v>
      </c>
      <c r="E103" s="31">
        <v>90</v>
      </c>
      <c r="F103" s="32">
        <f>IFERROR(SUMIFS(存条明细!G:G,存条明细!C:C,B103,存条明细!D:D,C103),0)</f>
        <v>4500</v>
      </c>
      <c r="G103" s="29">
        <f>IFERROR(SUMIFS(出库明细!E:E,出库明细!C:C,B103,出库明细!D:D,C103),0)</f>
        <v>80</v>
      </c>
      <c r="H103" s="32">
        <f>IFERROR(SUMIFS(出库明细!G:G,出库明细!C:C,B103,出库明细!D:D,C103),0)</f>
        <v>7200</v>
      </c>
      <c r="I103" s="29">
        <f t="shared" si="6"/>
        <v>-30</v>
      </c>
      <c r="J103" s="32">
        <f t="shared" si="7"/>
        <v>-2700</v>
      </c>
      <c r="K103" s="33"/>
      <c r="L103" s="34"/>
      <c r="M103" s="34"/>
      <c r="N103" s="34"/>
      <c r="O103" s="34"/>
      <c r="P103" s="34"/>
      <c r="Q103" s="34"/>
      <c r="R103" s="34"/>
      <c r="S103" s="34"/>
      <c r="T103" s="34"/>
    </row>
    <row r="104" ht="15" hidden="1" customHeight="1" spans="1:20">
      <c r="A104" s="14">
        <v>105</v>
      </c>
      <c r="B104" s="14" t="s">
        <v>49</v>
      </c>
      <c r="C104" s="14" t="s">
        <v>107</v>
      </c>
      <c r="D104" s="14">
        <v>4000</v>
      </c>
      <c r="E104" s="24">
        <v>90</v>
      </c>
      <c r="F104" s="15">
        <f>IFERROR(SUMIFS(存条明细!G:G,存条明细!C:C,B104,存条明细!D:D,C104),0)</f>
        <v>360000</v>
      </c>
      <c r="G104" s="14">
        <f>IFERROR(SUMIFS(出库明细!E:E,出库明细!C:C,B104,出库明细!D:D,C104),0)</f>
        <v>1550</v>
      </c>
      <c r="H104" s="15">
        <f>IFERROR(SUMIFS(出库明细!G:G,出库明细!C:C,B104,出库明细!D:D,C104),0)</f>
        <v>139500</v>
      </c>
      <c r="I104" s="14">
        <f t="shared" ref="I104:I139" si="10">IFERROR(D104-G104,0)</f>
        <v>2450</v>
      </c>
      <c r="J104" s="15">
        <f t="shared" ref="J104:J140" si="11">IFERROR(F104-H104,0)</f>
        <v>220500</v>
      </c>
      <c r="K104" s="23"/>
      <c r="L104" s="2"/>
      <c r="M104" s="2"/>
      <c r="N104" s="2"/>
      <c r="O104" s="2"/>
      <c r="P104" s="2"/>
      <c r="Q104" s="2"/>
      <c r="R104" s="2"/>
      <c r="S104" s="2"/>
      <c r="T104" s="2"/>
    </row>
    <row r="105" ht="15" hidden="1" customHeight="1" spans="1:20">
      <c r="A105" s="14">
        <v>106</v>
      </c>
      <c r="B105" s="27" t="s">
        <v>53</v>
      </c>
      <c r="C105" s="14" t="s">
        <v>107</v>
      </c>
      <c r="D105" s="14">
        <v>25</v>
      </c>
      <c r="E105" s="24">
        <v>93</v>
      </c>
      <c r="F105" s="15">
        <f>IFERROR(SUMIFS(存条明细!G:G,存条明细!C:C,B105,存条明细!D:D,C105),0)</f>
        <v>2325</v>
      </c>
      <c r="G105" s="14">
        <f>IFERROR(SUMIFS(出库明细!E:E,出库明细!C:C,B105,出库明细!D:D,C105),0)</f>
        <v>25</v>
      </c>
      <c r="H105" s="15">
        <f>IFERROR(SUMIFS(出库明细!G:G,出库明细!C:C,B105,出库明细!D:D,C105),0)</f>
        <v>2325</v>
      </c>
      <c r="I105" s="14">
        <f t="shared" si="10"/>
        <v>0</v>
      </c>
      <c r="J105" s="15">
        <f t="shared" si="11"/>
        <v>0</v>
      </c>
      <c r="K105" s="23"/>
      <c r="L105" s="2"/>
      <c r="M105" s="2"/>
      <c r="N105" s="2"/>
      <c r="O105" s="2"/>
      <c r="P105" s="2"/>
      <c r="Q105" s="2"/>
      <c r="R105" s="2"/>
      <c r="S105" s="2"/>
      <c r="T105" s="2"/>
    </row>
    <row r="106" ht="15" hidden="1" customHeight="1" spans="1:20">
      <c r="A106" s="14">
        <v>107</v>
      </c>
      <c r="B106" s="27" t="s">
        <v>54</v>
      </c>
      <c r="C106" s="14" t="s">
        <v>107</v>
      </c>
      <c r="D106" s="14">
        <v>22</v>
      </c>
      <c r="E106" s="24">
        <v>93</v>
      </c>
      <c r="F106" s="15">
        <f>IFERROR(SUMIFS(存条明细!G:G,存条明细!C:C,B106,存条明细!D:D,C106),0)</f>
        <v>2046</v>
      </c>
      <c r="G106" s="14">
        <f>IFERROR(SUMIFS(出库明细!E:E,出库明细!C:C,B106,出库明细!D:D,C106),0)</f>
        <v>5</v>
      </c>
      <c r="H106" s="15">
        <f>IFERROR(SUMIFS(出库明细!G:G,出库明细!C:C,B106,出库明细!D:D,C106),0)</f>
        <v>465</v>
      </c>
      <c r="I106" s="14">
        <f t="shared" si="10"/>
        <v>17</v>
      </c>
      <c r="J106" s="15">
        <f t="shared" si="11"/>
        <v>1581</v>
      </c>
      <c r="K106" s="23"/>
      <c r="L106" s="2"/>
      <c r="M106" s="2"/>
      <c r="N106" s="2"/>
      <c r="O106" s="2"/>
      <c r="P106" s="2"/>
      <c r="Q106" s="2"/>
      <c r="R106" s="2"/>
      <c r="S106" s="2"/>
      <c r="T106" s="2"/>
    </row>
    <row r="107" ht="15" hidden="1" customHeight="1" spans="1:20">
      <c r="A107" s="14">
        <v>108</v>
      </c>
      <c r="B107" s="27" t="s">
        <v>55</v>
      </c>
      <c r="C107" s="27" t="s">
        <v>101</v>
      </c>
      <c r="D107" s="14">
        <v>23</v>
      </c>
      <c r="E107" s="24">
        <v>50</v>
      </c>
      <c r="F107" s="15">
        <f>IFERROR(SUMIFS(存条明细!G:G,存条明细!C:C,B107,存条明细!D:D,C107),0)</f>
        <v>1150</v>
      </c>
      <c r="G107" s="14">
        <f>IFERROR(SUMIFS(出库明细!E:E,出库明细!C:C,B107,出库明细!D:D,C107),0)</f>
        <v>12</v>
      </c>
      <c r="H107" s="15">
        <f>IFERROR(SUMIFS(出库明细!G:G,出库明细!C:C,B107,出库明细!D:D,C107),0)</f>
        <v>600</v>
      </c>
      <c r="I107" s="14">
        <f t="shared" si="10"/>
        <v>11</v>
      </c>
      <c r="J107" s="15">
        <f t="shared" si="11"/>
        <v>550</v>
      </c>
      <c r="K107" s="23"/>
      <c r="L107" s="2"/>
      <c r="M107" s="2"/>
      <c r="N107" s="2"/>
      <c r="O107" s="2"/>
      <c r="P107" s="2"/>
      <c r="Q107" s="2"/>
      <c r="R107" s="2"/>
      <c r="S107" s="2"/>
      <c r="T107" s="2"/>
    </row>
    <row r="108" ht="15" hidden="1" customHeight="1" spans="1:20">
      <c r="A108" s="14">
        <v>109</v>
      </c>
      <c r="B108" s="27" t="s">
        <v>55</v>
      </c>
      <c r="C108" s="27" t="s">
        <v>104</v>
      </c>
      <c r="D108" s="14">
        <v>3</v>
      </c>
      <c r="E108" s="24">
        <v>86</v>
      </c>
      <c r="F108" s="15">
        <f>IFERROR(SUMIFS(存条明细!G:G,存条明细!C:C,B108,存条明细!D:D,C108),0)</f>
        <v>258</v>
      </c>
      <c r="G108" s="14">
        <f>IFERROR(SUMIFS(出库明细!E:E,出库明细!C:C,B108,出库明细!D:D,C108),0)</f>
        <v>3</v>
      </c>
      <c r="H108" s="15">
        <f>IFERROR(SUMIFS(出库明细!G:G,出库明细!C:C,B108,出库明细!D:D,C108),0)</f>
        <v>258</v>
      </c>
      <c r="I108" s="14">
        <f t="shared" si="10"/>
        <v>0</v>
      </c>
      <c r="J108" s="15">
        <f t="shared" si="11"/>
        <v>0</v>
      </c>
      <c r="K108" s="23"/>
      <c r="L108" s="2"/>
      <c r="M108" s="2"/>
      <c r="N108" s="2"/>
      <c r="O108" s="2"/>
      <c r="P108" s="2"/>
      <c r="Q108" s="2"/>
      <c r="R108" s="2"/>
      <c r="S108" s="2"/>
      <c r="T108" s="2"/>
    </row>
    <row r="109" ht="15" hidden="1" customHeight="1" spans="1:20">
      <c r="A109" s="14">
        <v>110</v>
      </c>
      <c r="B109" s="27" t="s">
        <v>55</v>
      </c>
      <c r="C109" s="27" t="s">
        <v>102</v>
      </c>
      <c r="D109" s="14">
        <v>3</v>
      </c>
      <c r="E109" s="24">
        <v>58</v>
      </c>
      <c r="F109" s="15">
        <f>IFERROR(SUMIFS(存条明细!G:G,存条明细!C:C,B109,存条明细!D:D,C109),0)</f>
        <v>174</v>
      </c>
      <c r="G109" s="14">
        <f>IFERROR(SUMIFS(出库明细!E:E,出库明细!C:C,B109,出库明细!D:D,C109),0)</f>
        <v>3</v>
      </c>
      <c r="H109" s="15">
        <f>IFERROR(SUMIFS(出库明细!G:G,出库明细!C:C,B109,出库明细!D:D,C109),0)</f>
        <v>174</v>
      </c>
      <c r="I109" s="14">
        <f t="shared" si="10"/>
        <v>0</v>
      </c>
      <c r="J109" s="15">
        <f t="shared" si="11"/>
        <v>0</v>
      </c>
      <c r="K109" s="23"/>
      <c r="L109" s="2"/>
      <c r="M109" s="2"/>
      <c r="N109" s="2"/>
      <c r="O109" s="2"/>
      <c r="P109" s="2"/>
      <c r="Q109" s="2"/>
      <c r="R109" s="2"/>
      <c r="S109" s="2"/>
      <c r="T109" s="2"/>
    </row>
    <row r="110" ht="15" hidden="1" customHeight="1" spans="1:20">
      <c r="A110" s="14">
        <v>111</v>
      </c>
      <c r="B110" s="27" t="s">
        <v>22</v>
      </c>
      <c r="C110" s="14" t="s">
        <v>107</v>
      </c>
      <c r="D110" s="14">
        <v>200</v>
      </c>
      <c r="E110" s="24">
        <v>93</v>
      </c>
      <c r="F110" s="15">
        <f>IFERROR(SUMIFS(存条明细!G:G,存条明细!C:C,B110,存条明细!D:D,C110),0)</f>
        <v>18600</v>
      </c>
      <c r="G110" s="14">
        <f>IFERROR(SUMIFS(出库明细!E:E,出库明细!C:C,B110,出库明细!D:D,C110),0)</f>
        <v>50</v>
      </c>
      <c r="H110" s="15">
        <f>IFERROR(SUMIFS(出库明细!G:G,出库明细!C:C,B110,出库明细!D:D,C110),0)</f>
        <v>4650</v>
      </c>
      <c r="I110" s="14">
        <f t="shared" si="10"/>
        <v>150</v>
      </c>
      <c r="J110" s="15">
        <f t="shared" si="11"/>
        <v>13950</v>
      </c>
      <c r="K110" s="23"/>
      <c r="L110" s="2"/>
      <c r="M110" s="2"/>
      <c r="N110" s="2"/>
      <c r="O110" s="2"/>
      <c r="P110" s="2"/>
      <c r="Q110" s="2"/>
      <c r="R110" s="2"/>
      <c r="S110" s="2"/>
      <c r="T110" s="2"/>
    </row>
    <row r="111" ht="15" hidden="1" customHeight="1" spans="1:20">
      <c r="A111" s="14">
        <v>113</v>
      </c>
      <c r="B111" s="14" t="s">
        <v>70</v>
      </c>
      <c r="C111" s="14" t="s">
        <v>107</v>
      </c>
      <c r="D111" s="14">
        <v>10</v>
      </c>
      <c r="E111" s="24">
        <v>93</v>
      </c>
      <c r="F111" s="15">
        <f>IFERROR(SUMIFS(存条明细!G:G,存条明细!C:C,B111,存条明细!D:D,C111),0)</f>
        <v>930</v>
      </c>
      <c r="G111" s="14">
        <f>IFERROR(SUMIFS(出库明细!E:E,出库明细!C:C,B111,出库明细!D:D,C111),0)</f>
        <v>10</v>
      </c>
      <c r="H111" s="15">
        <f>IFERROR(SUMIFS(出库明细!G:G,出库明细!C:C,B111,出库明细!D:D,C111),0)</f>
        <v>930</v>
      </c>
      <c r="I111" s="14">
        <f t="shared" si="10"/>
        <v>0</v>
      </c>
      <c r="J111" s="15">
        <f t="shared" si="11"/>
        <v>0</v>
      </c>
      <c r="K111" s="23"/>
      <c r="L111" s="2"/>
      <c r="M111" s="2"/>
      <c r="N111" s="2"/>
      <c r="O111" s="2"/>
      <c r="P111" s="2"/>
      <c r="Q111" s="2"/>
      <c r="R111" s="2"/>
      <c r="S111" s="2"/>
      <c r="T111" s="2"/>
    </row>
    <row r="112" ht="15" hidden="1" customHeight="1" spans="1:20">
      <c r="A112" s="14">
        <v>114</v>
      </c>
      <c r="B112" s="27" t="s">
        <v>46</v>
      </c>
      <c r="C112" s="14" t="s">
        <v>107</v>
      </c>
      <c r="D112" s="14">
        <v>60</v>
      </c>
      <c r="E112" s="24">
        <v>90</v>
      </c>
      <c r="F112" s="15">
        <f>IFERROR(SUMIFS(存条明细!G:G,存条明细!C:C,B112,存条明细!D:D,C112),0)</f>
        <v>5400</v>
      </c>
      <c r="G112" s="14">
        <f>IFERROR(SUMIFS(出库明细!E:E,出库明细!C:C,B112,出库明细!D:D,C112),0)</f>
        <v>60</v>
      </c>
      <c r="H112" s="15">
        <f>IFERROR(SUMIFS(出库明细!G:G,出库明细!C:C,B112,出库明细!D:D,C112),0)</f>
        <v>5400</v>
      </c>
      <c r="I112" s="14">
        <f t="shared" si="10"/>
        <v>0</v>
      </c>
      <c r="J112" s="15">
        <f t="shared" si="11"/>
        <v>0</v>
      </c>
      <c r="K112" s="23">
        <f ca="1">TODAY()</f>
        <v>46289</v>
      </c>
      <c r="L112" s="2"/>
      <c r="M112" s="2"/>
      <c r="N112" s="2"/>
      <c r="O112" s="2"/>
      <c r="P112" s="2"/>
      <c r="Q112" s="2"/>
      <c r="R112" s="2"/>
      <c r="S112" s="2"/>
      <c r="T112" s="2"/>
    </row>
    <row r="113" ht="15" hidden="1" customHeight="1" spans="1:20">
      <c r="A113" s="14">
        <v>115</v>
      </c>
      <c r="B113" s="14" t="s">
        <v>21</v>
      </c>
      <c r="C113" s="14" t="s">
        <v>101</v>
      </c>
      <c r="D113" s="14">
        <v>139</v>
      </c>
      <c r="E113" s="24">
        <v>47</v>
      </c>
      <c r="F113" s="15">
        <f>IFERROR(SUMIFS(存条明细!G:G,存条明细!C:C,B113,存条明细!D:D,C113),0)</f>
        <v>6345</v>
      </c>
      <c r="G113" s="14">
        <f>IFERROR(SUMIFS(出库明细!E:E,出库明细!C:C,B113,出库明细!D:D,C113),0)</f>
        <v>89</v>
      </c>
      <c r="H113" s="15">
        <f>IFERROR(SUMIFS(出库明细!G:G,出库明细!C:C,B113,出库明细!D:D,C113),0)</f>
        <v>3995</v>
      </c>
      <c r="I113" s="14">
        <f t="shared" si="10"/>
        <v>50</v>
      </c>
      <c r="J113" s="15">
        <f t="shared" si="11"/>
        <v>2350</v>
      </c>
      <c r="K113" s="23"/>
      <c r="L113" s="2"/>
      <c r="M113" s="2"/>
      <c r="N113" s="2"/>
      <c r="O113" s="2"/>
      <c r="P113" s="2"/>
      <c r="Q113" s="2"/>
      <c r="R113" s="2"/>
      <c r="S113" s="2"/>
      <c r="T113" s="2"/>
    </row>
    <row r="114" ht="15" hidden="1" customHeight="1" spans="1:20">
      <c r="A114" s="14">
        <v>116</v>
      </c>
      <c r="B114" s="14" t="s">
        <v>21</v>
      </c>
      <c r="C114" s="14" t="s">
        <v>103</v>
      </c>
      <c r="D114" s="14">
        <v>52</v>
      </c>
      <c r="E114" s="24">
        <v>43</v>
      </c>
      <c r="F114" s="15">
        <f>IFERROR(SUMIFS(存条明细!G:G,存条明细!C:C,B114,存条明细!D:D,C114),0)</f>
        <v>2171.5</v>
      </c>
      <c r="G114" s="14">
        <f>IFERROR(SUMIFS(出库明细!E:E,出库明细!C:C,B114,出库明细!D:D,C114),0)</f>
        <v>52</v>
      </c>
      <c r="H114" s="15">
        <f>IFERROR(SUMIFS(出库明细!G:G,出库明细!C:C,B114,出库明细!D:D,C114),0)</f>
        <v>2171.5</v>
      </c>
      <c r="I114" s="14">
        <f t="shared" si="10"/>
        <v>0</v>
      </c>
      <c r="J114" s="15">
        <f t="shared" si="11"/>
        <v>0</v>
      </c>
      <c r="K114" s="23"/>
      <c r="L114" s="2"/>
      <c r="M114" s="2"/>
      <c r="N114" s="2"/>
      <c r="O114" s="2"/>
      <c r="P114" s="2"/>
      <c r="Q114" s="2"/>
      <c r="R114" s="2"/>
      <c r="S114" s="2"/>
      <c r="T114" s="2"/>
    </row>
    <row r="115" ht="15" hidden="1" customHeight="1" spans="1:20">
      <c r="A115" s="14">
        <v>118</v>
      </c>
      <c r="B115" s="27" t="s">
        <v>71</v>
      </c>
      <c r="C115" s="14" t="s">
        <v>107</v>
      </c>
      <c r="D115" s="14">
        <v>15</v>
      </c>
      <c r="E115" s="24">
        <v>93</v>
      </c>
      <c r="F115" s="15">
        <f>IFERROR(SUMIFS(存条明细!G:G,存条明细!C:C,B115,存条明细!D:D,C115),0)</f>
        <v>1395</v>
      </c>
      <c r="G115" s="14">
        <f>IFERROR(SUMIFS(出库明细!E:E,出库明细!C:C,B115,出库明细!D:D,C115),0)</f>
        <v>0</v>
      </c>
      <c r="H115" s="15">
        <f>IFERROR(SUMIFS(出库明细!G:G,出库明细!C:C,B115,出库明细!D:D,C115),0)</f>
        <v>0</v>
      </c>
      <c r="I115" s="14">
        <f t="shared" si="10"/>
        <v>15</v>
      </c>
      <c r="J115" s="15">
        <f t="shared" si="11"/>
        <v>1395</v>
      </c>
      <c r="K115" s="23"/>
      <c r="L115" s="2"/>
      <c r="M115" s="2"/>
      <c r="N115" s="2"/>
      <c r="O115" s="2"/>
      <c r="P115" s="2"/>
      <c r="Q115" s="2"/>
      <c r="R115" s="2"/>
      <c r="S115" s="2"/>
      <c r="T115" s="2"/>
    </row>
    <row r="116" ht="15" hidden="1" customHeight="1" spans="1:20">
      <c r="A116" s="14">
        <v>119</v>
      </c>
      <c r="B116" s="27" t="s">
        <v>73</v>
      </c>
      <c r="C116" s="14" t="s">
        <v>107</v>
      </c>
      <c r="D116" s="14">
        <v>15</v>
      </c>
      <c r="E116" s="24">
        <v>93</v>
      </c>
      <c r="F116" s="15">
        <f>IFERROR(SUMIFS(存条明细!G:G,存条明细!C:C,B116,存条明细!D:D,C116),0)</f>
        <v>1395</v>
      </c>
      <c r="G116" s="14">
        <f>IFERROR(SUMIFS(出库明细!E:E,出库明细!C:C,B116,出库明细!D:D,C116),0)</f>
        <v>0</v>
      </c>
      <c r="H116" s="15">
        <f>IFERROR(SUMIFS(出库明细!G:G,出库明细!C:C,B116,出库明细!D:D,C116),0)</f>
        <v>0</v>
      </c>
      <c r="I116" s="14">
        <f t="shared" si="10"/>
        <v>15</v>
      </c>
      <c r="J116" s="15">
        <f t="shared" si="11"/>
        <v>1395</v>
      </c>
      <c r="K116" s="23"/>
      <c r="L116" s="2"/>
      <c r="M116" s="2"/>
      <c r="N116" s="2"/>
      <c r="O116" s="2"/>
      <c r="P116" s="2"/>
      <c r="Q116" s="2"/>
      <c r="R116" s="2"/>
      <c r="S116" s="2"/>
      <c r="T116" s="2"/>
    </row>
    <row r="117" ht="15" hidden="1" customHeight="1" spans="1:20">
      <c r="A117" s="14">
        <v>120</v>
      </c>
      <c r="B117" s="27" t="s">
        <v>50</v>
      </c>
      <c r="C117" s="27" t="s">
        <v>107</v>
      </c>
      <c r="D117" s="14">
        <v>25</v>
      </c>
      <c r="E117" s="24">
        <v>93</v>
      </c>
      <c r="F117" s="15">
        <f>IFERROR(SUMIFS(存条明细!G:G,存条明细!C:C,B117,存条明细!D:D,C117),0)</f>
        <v>2325</v>
      </c>
      <c r="G117" s="12">
        <f>IFERROR(SUMIFS(出库明细!E:E,出库明细!C:C,B117,出库明细!D:D,C117),0)</f>
        <v>25</v>
      </c>
      <c r="H117" s="13">
        <f>IFERROR(SUMIFS(出库明细!G:G,出库明细!C:C,B117,出库明细!D:D,C117),0)</f>
        <v>2325</v>
      </c>
      <c r="I117" s="25">
        <f t="shared" si="10"/>
        <v>0</v>
      </c>
      <c r="J117" s="13">
        <f t="shared" si="11"/>
        <v>0</v>
      </c>
      <c r="K117" s="23">
        <f ca="1">TODAY()</f>
        <v>46289</v>
      </c>
      <c r="L117" s="2"/>
      <c r="M117" s="2"/>
      <c r="N117" s="2"/>
      <c r="O117" s="2"/>
      <c r="P117" s="2"/>
      <c r="Q117" s="2"/>
      <c r="R117" s="2"/>
      <c r="S117" s="2"/>
      <c r="T117" s="2"/>
    </row>
    <row r="118" ht="15" hidden="1" customHeight="1" spans="1:20">
      <c r="A118" s="14">
        <v>121</v>
      </c>
      <c r="B118" s="27" t="s">
        <v>50</v>
      </c>
      <c r="C118" s="27" t="s">
        <v>102</v>
      </c>
      <c r="D118" s="14">
        <v>5</v>
      </c>
      <c r="E118" s="24">
        <v>58</v>
      </c>
      <c r="F118" s="15">
        <f>IFERROR(SUMIFS(存条明细!G:G,存条明细!C:C,B118,存条明细!D:D,C118),0)</f>
        <v>290</v>
      </c>
      <c r="G118" s="12">
        <f>IFERROR(SUMIFS(出库明细!E:E,出库明细!C:C,B118,出库明细!D:D,C118),0)</f>
        <v>5</v>
      </c>
      <c r="H118" s="13">
        <f>IFERROR(SUMIFS(出库明细!G:G,出库明细!C:C,B118,出库明细!D:D,C118),0)</f>
        <v>290</v>
      </c>
      <c r="I118" s="25">
        <f t="shared" si="10"/>
        <v>0</v>
      </c>
      <c r="J118" s="13">
        <f t="shared" si="11"/>
        <v>0</v>
      </c>
      <c r="K118" s="23">
        <f ca="1">TODAY()</f>
        <v>46289</v>
      </c>
      <c r="L118" s="2"/>
      <c r="M118" s="2"/>
      <c r="N118" s="2"/>
      <c r="O118" s="2"/>
      <c r="P118" s="2"/>
      <c r="Q118" s="2"/>
      <c r="R118" s="2"/>
      <c r="S118" s="2"/>
      <c r="T118" s="2"/>
    </row>
    <row r="119" ht="15" hidden="1" customHeight="1" spans="1:20">
      <c r="A119" s="14">
        <v>122</v>
      </c>
      <c r="B119" s="27" t="s">
        <v>50</v>
      </c>
      <c r="C119" s="27" t="s">
        <v>99</v>
      </c>
      <c r="D119" s="14">
        <v>5</v>
      </c>
      <c r="E119" s="24">
        <v>68</v>
      </c>
      <c r="F119" s="15">
        <f>IFERROR(SUMIFS(存条明细!G:G,存条明细!C:C,B119,存条明细!D:D,C119),0)</f>
        <v>340</v>
      </c>
      <c r="G119" s="12">
        <f>IFERROR(SUMIFS(出库明细!E:E,出库明细!C:C,B119,出库明细!D:D,C119),0)</f>
        <v>5</v>
      </c>
      <c r="H119" s="13">
        <f>IFERROR(SUMIFS(出库明细!G:G,出库明细!C:C,B119,出库明细!D:D,C119),0)</f>
        <v>340</v>
      </c>
      <c r="I119" s="25">
        <f t="shared" si="10"/>
        <v>0</v>
      </c>
      <c r="J119" s="13">
        <f t="shared" si="11"/>
        <v>0</v>
      </c>
      <c r="K119" s="23">
        <f ca="1">TODAY()</f>
        <v>46289</v>
      </c>
      <c r="L119" s="2"/>
      <c r="M119" s="2"/>
      <c r="N119" s="2"/>
      <c r="O119" s="2"/>
      <c r="P119" s="2"/>
      <c r="Q119" s="2"/>
      <c r="R119" s="2"/>
      <c r="S119" s="2"/>
      <c r="T119" s="2"/>
    </row>
    <row r="120" ht="15" hidden="1" customHeight="1" spans="1:20">
      <c r="A120" s="14">
        <v>123</v>
      </c>
      <c r="B120" s="27" t="s">
        <v>51</v>
      </c>
      <c r="C120" s="14" t="s">
        <v>107</v>
      </c>
      <c r="D120" s="14">
        <v>50</v>
      </c>
      <c r="E120" s="24">
        <v>90</v>
      </c>
      <c r="F120" s="15">
        <f>IFERROR(SUMIFS(存条明细!G:G,存条明细!C:C,B120,存条明细!D:D,C120),0)</f>
        <v>4500</v>
      </c>
      <c r="G120" s="12">
        <f>IFERROR(SUMIFS(出库明细!E:E,出库明细!C:C,B120,出库明细!D:D,C120),0)</f>
        <v>50</v>
      </c>
      <c r="H120" s="13">
        <f>IFERROR(SUMIFS(出库明细!G:G,出库明细!C:C,B120,出库明细!D:D,C120),0)</f>
        <v>4500</v>
      </c>
      <c r="I120" s="25">
        <f t="shared" si="10"/>
        <v>0</v>
      </c>
      <c r="J120" s="13">
        <f t="shared" si="11"/>
        <v>0</v>
      </c>
      <c r="K120" s="23">
        <f ca="1">TODAY()</f>
        <v>46289</v>
      </c>
      <c r="L120" s="2"/>
      <c r="M120" s="2"/>
      <c r="N120" s="2"/>
      <c r="O120" s="2"/>
      <c r="P120" s="2"/>
      <c r="Q120" s="2"/>
      <c r="R120" s="2"/>
      <c r="S120" s="2"/>
      <c r="T120" s="2"/>
    </row>
    <row r="121" ht="15" hidden="1" customHeight="1" spans="1:20">
      <c r="A121" s="14">
        <v>124</v>
      </c>
      <c r="B121" s="27" t="s">
        <v>52</v>
      </c>
      <c r="C121" s="27" t="s">
        <v>107</v>
      </c>
      <c r="D121" s="27">
        <v>15.5</v>
      </c>
      <c r="E121" s="24">
        <v>93</v>
      </c>
      <c r="F121" s="15">
        <f>IFERROR(SUMIFS(存条明细!G:G,存条明细!C:C,B121,存条明细!D:D,C121),0)</f>
        <v>1441.5</v>
      </c>
      <c r="G121" s="12">
        <f>IFERROR(SUMIFS(出库明细!E:E,出库明细!C:C,B121,出库明细!D:D,C121),0)</f>
        <v>15.5</v>
      </c>
      <c r="H121" s="13">
        <f>IFERROR(SUMIFS(出库明细!G:G,出库明细!C:C,B121,出库明细!D:D,C121),0)</f>
        <v>1441.5</v>
      </c>
      <c r="I121" s="25">
        <f t="shared" si="10"/>
        <v>0</v>
      </c>
      <c r="J121" s="13">
        <f t="shared" si="11"/>
        <v>0</v>
      </c>
      <c r="K121" s="23"/>
      <c r="L121" s="2"/>
      <c r="M121" s="2"/>
      <c r="N121" s="2"/>
      <c r="O121" s="2"/>
      <c r="P121" s="2"/>
      <c r="Q121" s="2"/>
      <c r="R121" s="2"/>
      <c r="S121" s="2"/>
      <c r="T121" s="2"/>
    </row>
    <row r="122" ht="15" hidden="1" customHeight="1" spans="1:20">
      <c r="A122" s="14">
        <v>125</v>
      </c>
      <c r="B122" s="27" t="s">
        <v>52</v>
      </c>
      <c r="C122" s="27" t="s">
        <v>99</v>
      </c>
      <c r="D122" s="27">
        <v>2.5</v>
      </c>
      <c r="E122" s="24">
        <v>68</v>
      </c>
      <c r="F122" s="15">
        <f>IFERROR(SUMIFS(存条明细!G:G,存条明细!C:C,B122,存条明细!D:D,C122),0)</f>
        <v>170</v>
      </c>
      <c r="G122" s="12">
        <f>IFERROR(SUMIFS(出库明细!E:E,出库明细!C:C,B122,出库明细!D:D,C122),0)</f>
        <v>2.5</v>
      </c>
      <c r="H122" s="13">
        <f>IFERROR(SUMIFS(出库明细!G:G,出库明细!C:C,B122,出库明细!D:D,C122),0)</f>
        <v>170</v>
      </c>
      <c r="I122" s="25">
        <f t="shared" si="10"/>
        <v>0</v>
      </c>
      <c r="J122" s="13">
        <f t="shared" si="11"/>
        <v>0</v>
      </c>
      <c r="K122" s="23"/>
      <c r="L122" s="2"/>
      <c r="M122" s="2"/>
      <c r="N122" s="2"/>
      <c r="O122" s="2"/>
      <c r="P122" s="2"/>
      <c r="Q122" s="2"/>
      <c r="R122" s="2"/>
      <c r="S122" s="2"/>
      <c r="T122" s="2"/>
    </row>
    <row r="123" ht="15" hidden="1" customHeight="1" spans="1:20">
      <c r="A123" s="14">
        <v>126</v>
      </c>
      <c r="B123" s="27" t="s">
        <v>52</v>
      </c>
      <c r="C123" s="27" t="s">
        <v>103</v>
      </c>
      <c r="D123" s="27">
        <v>5</v>
      </c>
      <c r="E123" s="24">
        <v>46</v>
      </c>
      <c r="F123" s="15">
        <f>IFERROR(SUMIFS(存条明细!G:G,存条明细!C:C,B123,存条明细!D:D,C123),0)</f>
        <v>230</v>
      </c>
      <c r="G123" s="12">
        <f>IFERROR(SUMIFS(出库明细!E:E,出库明细!C:C,B123,出库明细!D:D,C123),0)</f>
        <v>5</v>
      </c>
      <c r="H123" s="13">
        <f>IFERROR(SUMIFS(出库明细!G:G,出库明细!C:C,B123,出库明细!D:D,C123),0)</f>
        <v>230</v>
      </c>
      <c r="I123" s="25">
        <f t="shared" si="10"/>
        <v>0</v>
      </c>
      <c r="J123" s="13">
        <f t="shared" si="11"/>
        <v>0</v>
      </c>
      <c r="K123" s="23"/>
      <c r="L123" s="2"/>
      <c r="M123" s="2"/>
      <c r="N123" s="2"/>
      <c r="O123" s="2"/>
      <c r="P123" s="2"/>
      <c r="Q123" s="2"/>
      <c r="R123" s="2"/>
      <c r="S123" s="2"/>
      <c r="T123" s="2"/>
    </row>
    <row r="124" ht="15" hidden="1" customHeight="1" spans="1:20">
      <c r="A124" s="14">
        <v>127</v>
      </c>
      <c r="B124" s="27" t="s">
        <v>52</v>
      </c>
      <c r="C124" s="27" t="s">
        <v>109</v>
      </c>
      <c r="D124" s="27">
        <v>2</v>
      </c>
      <c r="E124" s="24">
        <v>50</v>
      </c>
      <c r="F124" s="15">
        <f>IFERROR(SUMIFS(存条明细!G:G,存条明细!C:C,B124,存条明细!D:D,C124),0)</f>
        <v>100</v>
      </c>
      <c r="G124" s="12">
        <f>IFERROR(SUMIFS(出库明细!E:E,出库明细!C:C,B124,出库明细!D:D,C124),0)</f>
        <v>2</v>
      </c>
      <c r="H124" s="13">
        <f>IFERROR(SUMIFS(出库明细!G:G,出库明细!C:C,B124,出库明细!D:D,C124),0)</f>
        <v>100</v>
      </c>
      <c r="I124" s="25">
        <f t="shared" si="10"/>
        <v>0</v>
      </c>
      <c r="J124" s="13">
        <f t="shared" si="11"/>
        <v>0</v>
      </c>
      <c r="K124" s="23"/>
      <c r="L124" s="2"/>
      <c r="M124" s="2"/>
      <c r="N124" s="2"/>
      <c r="O124" s="2"/>
      <c r="P124" s="2"/>
      <c r="Q124" s="2"/>
      <c r="R124" s="2"/>
      <c r="S124" s="2"/>
      <c r="T124" s="2"/>
    </row>
    <row r="125" ht="15" hidden="1" customHeight="1" spans="1:20">
      <c r="A125" s="14">
        <v>128</v>
      </c>
      <c r="B125" s="27" t="s">
        <v>52</v>
      </c>
      <c r="C125" s="27" t="s">
        <v>104</v>
      </c>
      <c r="D125" s="27">
        <v>1</v>
      </c>
      <c r="E125" s="24">
        <v>86</v>
      </c>
      <c r="F125" s="15">
        <f>IFERROR(SUMIFS(存条明细!G:G,存条明细!C:C,B125,存条明细!D:D,C125),0)</f>
        <v>86</v>
      </c>
      <c r="G125" s="12">
        <f>IFERROR(SUMIFS(出库明细!E:E,出库明细!C:C,B125,出库明细!D:D,C125),0)</f>
        <v>1</v>
      </c>
      <c r="H125" s="13">
        <f>IFERROR(SUMIFS(出库明细!G:G,出库明细!C:C,B125,出库明细!D:D,C125),0)</f>
        <v>86</v>
      </c>
      <c r="I125" s="25">
        <f t="shared" si="10"/>
        <v>0</v>
      </c>
      <c r="J125" s="13">
        <f t="shared" si="11"/>
        <v>0</v>
      </c>
      <c r="K125" s="23"/>
      <c r="L125" s="2"/>
      <c r="M125" s="2"/>
      <c r="N125" s="2"/>
      <c r="O125" s="2"/>
      <c r="P125" s="2"/>
      <c r="Q125" s="2"/>
      <c r="R125" s="2"/>
      <c r="S125" s="2"/>
      <c r="T125" s="2"/>
    </row>
    <row r="126" ht="15" hidden="1" customHeight="1" spans="1:20">
      <c r="A126" s="14">
        <v>129</v>
      </c>
      <c r="B126" s="27" t="s">
        <v>52</v>
      </c>
      <c r="C126" s="27" t="s">
        <v>110</v>
      </c>
      <c r="D126" s="27">
        <v>1</v>
      </c>
      <c r="E126" s="24">
        <v>46</v>
      </c>
      <c r="F126" s="15">
        <f>IFERROR(SUMIFS(存条明细!G:G,存条明细!C:C,B126,存条明细!D:D,C126),0)</f>
        <v>46</v>
      </c>
      <c r="G126" s="12">
        <f>IFERROR(SUMIFS(出库明细!E:E,出库明细!C:C,B126,出库明细!D:D,C126),0)</f>
        <v>1</v>
      </c>
      <c r="H126" s="13">
        <f>IFERROR(SUMIFS(出库明细!G:G,出库明细!C:C,B126,出库明细!D:D,C126),0)</f>
        <v>46</v>
      </c>
      <c r="I126" s="25">
        <f t="shared" si="10"/>
        <v>0</v>
      </c>
      <c r="J126" s="13">
        <f t="shared" si="11"/>
        <v>0</v>
      </c>
      <c r="K126" s="23"/>
      <c r="L126" s="2"/>
      <c r="M126" s="2"/>
      <c r="N126" s="2"/>
      <c r="O126" s="2"/>
      <c r="P126" s="2"/>
      <c r="Q126" s="2"/>
      <c r="R126" s="2"/>
      <c r="S126" s="2"/>
      <c r="T126" s="2"/>
    </row>
    <row r="127" ht="15" hidden="1" customHeight="1" spans="1:20">
      <c r="A127" s="14">
        <v>130</v>
      </c>
      <c r="B127" s="27" t="s">
        <v>52</v>
      </c>
      <c r="C127" s="27" t="s">
        <v>133</v>
      </c>
      <c r="D127" s="27">
        <v>1</v>
      </c>
      <c r="E127" s="24">
        <v>93</v>
      </c>
      <c r="F127" s="15">
        <f>IFERROR(SUMIFS(存条明细!G:G,存条明细!C:C,B127,存条明细!D:D,C127),0)</f>
        <v>93</v>
      </c>
      <c r="G127" s="12">
        <f>IFERROR(SUMIFS(出库明细!E:E,出库明细!C:C,B127,出库明细!D:D,C127),0)</f>
        <v>1</v>
      </c>
      <c r="H127" s="13">
        <f>IFERROR(SUMIFS(出库明细!G:G,出库明细!C:C,B127,出库明细!D:D,C127),0)</f>
        <v>93</v>
      </c>
      <c r="I127" s="25">
        <f t="shared" si="10"/>
        <v>0</v>
      </c>
      <c r="J127" s="13">
        <f t="shared" si="11"/>
        <v>0</v>
      </c>
      <c r="K127" s="23"/>
      <c r="L127" s="2"/>
      <c r="M127" s="2"/>
      <c r="N127" s="2"/>
      <c r="O127" s="2"/>
      <c r="P127" s="2"/>
      <c r="Q127" s="2"/>
      <c r="R127" s="2"/>
      <c r="S127" s="2"/>
      <c r="T127" s="2"/>
    </row>
    <row r="128" ht="15" hidden="1" customHeight="1" spans="1:20">
      <c r="A128" s="14">
        <v>131</v>
      </c>
      <c r="B128" s="27" t="s">
        <v>52</v>
      </c>
      <c r="C128" s="27" t="s">
        <v>102</v>
      </c>
      <c r="D128" s="27">
        <v>1</v>
      </c>
      <c r="E128" s="24">
        <v>58</v>
      </c>
      <c r="F128" s="15">
        <f>IFERROR(SUMIFS(存条明细!G:G,存条明细!C:C,B128,存条明细!D:D,C128),0)</f>
        <v>58</v>
      </c>
      <c r="G128" s="12">
        <f>IFERROR(SUMIFS(出库明细!E:E,出库明细!C:C,B128,出库明细!D:D,C128),0)</f>
        <v>1</v>
      </c>
      <c r="H128" s="13">
        <f>IFERROR(SUMIFS(出库明细!G:G,出库明细!C:C,B128,出库明细!D:D,C128),0)</f>
        <v>58</v>
      </c>
      <c r="I128" s="25">
        <f t="shared" si="10"/>
        <v>0</v>
      </c>
      <c r="J128" s="13">
        <f t="shared" si="11"/>
        <v>0</v>
      </c>
      <c r="K128" s="23"/>
      <c r="L128" s="2"/>
      <c r="M128" s="2"/>
      <c r="N128" s="2"/>
      <c r="O128" s="2"/>
      <c r="P128" s="2"/>
      <c r="Q128" s="2"/>
      <c r="R128" s="2"/>
      <c r="S128" s="2"/>
      <c r="T128" s="2"/>
    </row>
    <row r="129" ht="15" hidden="1" customHeight="1" spans="1:20">
      <c r="A129" s="14">
        <v>132</v>
      </c>
      <c r="B129" s="27" t="s">
        <v>52</v>
      </c>
      <c r="C129" s="27" t="s">
        <v>134</v>
      </c>
      <c r="D129" s="27">
        <v>5</v>
      </c>
      <c r="E129" s="24">
        <v>36</v>
      </c>
      <c r="F129" s="15">
        <f>IFERROR(SUMIFS(存条明细!G:G,存条明细!C:C,B129,存条明细!D:D,C129),0)</f>
        <v>180</v>
      </c>
      <c r="G129" s="12">
        <f>IFERROR(SUMIFS(出库明细!E:E,出库明细!C:C,B129,出库明细!D:D,C129),0)</f>
        <v>5</v>
      </c>
      <c r="H129" s="13">
        <f>IFERROR(SUMIFS(出库明细!G:G,出库明细!C:C,B129,出库明细!D:D,C129),0)</f>
        <v>180</v>
      </c>
      <c r="I129" s="25">
        <f t="shared" si="10"/>
        <v>0</v>
      </c>
      <c r="J129" s="13">
        <f t="shared" si="11"/>
        <v>0</v>
      </c>
      <c r="K129" s="23"/>
      <c r="L129" s="2"/>
      <c r="M129" s="2"/>
      <c r="N129" s="2"/>
      <c r="O129" s="2"/>
      <c r="P129" s="2"/>
      <c r="Q129" s="2"/>
      <c r="R129" s="2"/>
      <c r="S129" s="2"/>
      <c r="T129" s="2"/>
    </row>
    <row r="130" ht="15" hidden="1" customHeight="1" spans="1:20">
      <c r="A130" s="14">
        <v>133</v>
      </c>
      <c r="B130" s="27" t="s">
        <v>52</v>
      </c>
      <c r="C130" s="27" t="s">
        <v>108</v>
      </c>
      <c r="D130" s="27">
        <v>1</v>
      </c>
      <c r="E130" s="24">
        <v>72</v>
      </c>
      <c r="F130" s="15">
        <f>IFERROR(SUMIFS(存条明细!G:G,存条明细!C:C,B130,存条明细!D:D,C130),0)</f>
        <v>72</v>
      </c>
      <c r="G130" s="12">
        <f>IFERROR(SUMIFS(出库明细!E:E,出库明细!C:C,B130,出库明细!D:D,C130),0)</f>
        <v>1</v>
      </c>
      <c r="H130" s="13">
        <f>IFERROR(SUMIFS(出库明细!G:G,出库明细!C:C,B130,出库明细!D:D,C130),0)</f>
        <v>72</v>
      </c>
      <c r="I130" s="25">
        <f t="shared" si="10"/>
        <v>0</v>
      </c>
      <c r="J130" s="13">
        <f t="shared" si="11"/>
        <v>0</v>
      </c>
      <c r="K130" s="23"/>
      <c r="L130" s="2"/>
      <c r="M130" s="2"/>
      <c r="N130" s="2"/>
      <c r="O130" s="2"/>
      <c r="P130" s="2"/>
      <c r="Q130" s="2"/>
      <c r="R130" s="2"/>
      <c r="S130" s="2"/>
      <c r="T130" s="2"/>
    </row>
    <row r="131" ht="15" hidden="1" customHeight="1" spans="1:20">
      <c r="A131" s="14">
        <v>134</v>
      </c>
      <c r="B131" s="27" t="s">
        <v>52</v>
      </c>
      <c r="C131" s="27" t="s">
        <v>101</v>
      </c>
      <c r="D131" s="27">
        <v>1</v>
      </c>
      <c r="E131" s="24">
        <v>50</v>
      </c>
      <c r="F131" s="15">
        <f>IFERROR(SUMIFS(存条明细!G:G,存条明细!C:C,B131,存条明细!D:D,C131),0)</f>
        <v>50</v>
      </c>
      <c r="G131" s="12">
        <f>IFERROR(SUMIFS(出库明细!E:E,出库明细!C:C,B131,出库明细!D:D,C131),0)</f>
        <v>1</v>
      </c>
      <c r="H131" s="13">
        <f>IFERROR(SUMIFS(出库明细!G:G,出库明细!C:C,B131,出库明细!D:D,C131),0)</f>
        <v>50</v>
      </c>
      <c r="I131" s="25">
        <f t="shared" si="10"/>
        <v>0</v>
      </c>
      <c r="J131" s="13">
        <f t="shared" si="11"/>
        <v>0</v>
      </c>
      <c r="K131" s="23"/>
      <c r="L131" s="2"/>
      <c r="M131" s="2"/>
      <c r="N131" s="2"/>
      <c r="O131" s="2"/>
      <c r="P131" s="2"/>
      <c r="Q131" s="2"/>
      <c r="R131" s="2"/>
      <c r="S131" s="2"/>
      <c r="T131" s="2"/>
    </row>
    <row r="132" ht="15" hidden="1" customHeight="1" spans="1:20">
      <c r="A132" s="14">
        <v>135</v>
      </c>
      <c r="B132" s="14" t="s">
        <v>32</v>
      </c>
      <c r="C132" s="14" t="s">
        <v>107</v>
      </c>
      <c r="D132" s="14">
        <v>1200</v>
      </c>
      <c r="E132" s="24">
        <v>90</v>
      </c>
      <c r="F132" s="15">
        <f>IFERROR(SUMIFS(存条明细!G:G,存条明细!C:C,B132,存条明细!D:D,C132),0)</f>
        <v>142110</v>
      </c>
      <c r="G132" s="12">
        <f>IFERROR(SUMIFS(出库明细!E:E,出库明细!C:C,B132,出库明细!D:D,C132),0)</f>
        <v>100</v>
      </c>
      <c r="H132" s="13">
        <f>IFERROR(SUMIFS(出库明细!G:G,出库明细!C:C,B132,出库明细!D:D,C132),0)</f>
        <v>9000</v>
      </c>
      <c r="I132" s="25">
        <f t="shared" si="10"/>
        <v>1100</v>
      </c>
      <c r="J132" s="13">
        <f t="shared" si="11"/>
        <v>133110</v>
      </c>
      <c r="K132" s="23"/>
      <c r="L132" s="2"/>
      <c r="M132" s="2"/>
      <c r="N132" s="2"/>
      <c r="O132" s="2"/>
      <c r="P132" s="2"/>
      <c r="Q132" s="2"/>
      <c r="R132" s="2"/>
      <c r="S132" s="2"/>
      <c r="T132" s="2"/>
    </row>
    <row r="133" ht="15" hidden="1" customHeight="1" spans="1:20">
      <c r="A133" s="14">
        <v>136</v>
      </c>
      <c r="B133" s="14" t="s">
        <v>13</v>
      </c>
      <c r="C133" s="14" t="s">
        <v>101</v>
      </c>
      <c r="D133" s="14">
        <v>416</v>
      </c>
      <c r="E133" s="24">
        <v>47</v>
      </c>
      <c r="F133" s="15">
        <f>IFERROR(SUMIFS(存条明细!G:G,存条明细!C:C,B133,存条明细!D:D,C133),0)</f>
        <v>18800</v>
      </c>
      <c r="G133" s="12">
        <f>IFERROR(SUMIFS(出库明细!E:E,出库明细!C:C,B133,出库明细!D:D,C133),0)</f>
        <v>100</v>
      </c>
      <c r="H133" s="13">
        <f>IFERROR(SUMIFS(出库明细!G:G,出库明细!C:C,B133,出库明细!D:D,C133),0)</f>
        <v>4700</v>
      </c>
      <c r="I133" s="25">
        <f t="shared" si="10"/>
        <v>316</v>
      </c>
      <c r="J133" s="13">
        <f t="shared" si="11"/>
        <v>14100</v>
      </c>
      <c r="K133" s="23"/>
      <c r="L133" s="2"/>
      <c r="M133" s="2"/>
      <c r="N133" s="2"/>
      <c r="O133" s="2"/>
      <c r="P133" s="2"/>
      <c r="Q133" s="2"/>
      <c r="R133" s="2"/>
      <c r="S133" s="2"/>
      <c r="T133" s="2"/>
    </row>
    <row r="134" ht="15" hidden="1" customHeight="1" spans="1:20">
      <c r="A134" s="14">
        <v>138</v>
      </c>
      <c r="B134" s="14" t="s">
        <v>13</v>
      </c>
      <c r="C134" s="14" t="s">
        <v>104</v>
      </c>
      <c r="D134" s="14">
        <v>104</v>
      </c>
      <c r="E134" s="24">
        <v>83</v>
      </c>
      <c r="F134" s="15">
        <f>IFERROR(SUMIFS(存条明细!G:G,存条明细!C:C,B134,存条明细!D:D,C134),0)</f>
        <v>8300</v>
      </c>
      <c r="G134" s="12">
        <f>IFERROR(SUMIFS(出库明细!E:E,出库明细!C:C,B134,出库明细!D:D,C134),0)</f>
        <v>30</v>
      </c>
      <c r="H134" s="13">
        <f>IFERROR(SUMIFS(出库明细!G:G,出库明细!C:C,B134,出库明细!D:D,C134),0)</f>
        <v>2490</v>
      </c>
      <c r="I134" s="25">
        <f t="shared" si="10"/>
        <v>74</v>
      </c>
      <c r="J134" s="13">
        <f t="shared" si="11"/>
        <v>5810</v>
      </c>
      <c r="K134" s="23"/>
      <c r="L134" s="2"/>
      <c r="M134" s="2"/>
      <c r="N134" s="2"/>
      <c r="O134" s="2"/>
      <c r="P134" s="2"/>
      <c r="Q134" s="2"/>
      <c r="R134" s="2"/>
      <c r="S134" s="2"/>
      <c r="T134" s="2"/>
    </row>
    <row r="135" ht="15" hidden="1" customHeight="1" spans="1:20">
      <c r="A135" s="14">
        <v>142</v>
      </c>
      <c r="B135" s="14" t="s">
        <v>13</v>
      </c>
      <c r="C135" s="14" t="s">
        <v>107</v>
      </c>
      <c r="D135" s="14">
        <v>808</v>
      </c>
      <c r="E135" s="24">
        <v>90</v>
      </c>
      <c r="F135" s="15">
        <f>IFERROR(SUMIFS(存条明细!G:G,存条明细!C:C,B135,存条明细!D:D,C135),0)</f>
        <v>72000</v>
      </c>
      <c r="G135" s="12">
        <f>IFERROR(SUMIFS(出库明细!E:E,出库明细!C:C,B135,出库明细!D:D,C135),0)</f>
        <v>500</v>
      </c>
      <c r="H135" s="13">
        <f>IFERROR(SUMIFS(出库明细!G:G,出库明细!C:C,B135,出库明细!D:D,C135),0)</f>
        <v>45000</v>
      </c>
      <c r="I135" s="25">
        <f t="shared" si="10"/>
        <v>308</v>
      </c>
      <c r="J135" s="13">
        <f t="shared" si="11"/>
        <v>27000</v>
      </c>
      <c r="K135" s="23"/>
      <c r="L135" s="2"/>
      <c r="M135" s="2"/>
      <c r="N135" s="2"/>
      <c r="O135" s="2"/>
      <c r="P135" s="2"/>
      <c r="Q135" s="2"/>
      <c r="R135" s="2"/>
      <c r="S135" s="2"/>
      <c r="T135" s="2"/>
    </row>
    <row r="136" ht="15" hidden="1" customHeight="1" spans="1:20">
      <c r="A136" s="14">
        <v>144</v>
      </c>
      <c r="B136" s="27" t="s">
        <v>45</v>
      </c>
      <c r="C136" s="27" t="s">
        <v>107</v>
      </c>
      <c r="D136" s="14">
        <v>255</v>
      </c>
      <c r="E136" s="24">
        <v>90</v>
      </c>
      <c r="F136" s="15">
        <f>IFERROR(SUMIFS(存条明细!G:G,存条明细!C:C,B136,存条明细!D:D,C136),0)</f>
        <v>22500</v>
      </c>
      <c r="G136" s="12">
        <f>IFERROR(SUMIFS(出库明细!E:E,出库明细!C:C,B136,出库明细!D:D,C136),0)</f>
        <v>105</v>
      </c>
      <c r="H136" s="13">
        <f>IFERROR(SUMIFS(出库明细!G:G,出库明细!C:C,B136,出库明细!D:D,C136),0)</f>
        <v>9765</v>
      </c>
      <c r="I136" s="25">
        <f t="shared" si="10"/>
        <v>150</v>
      </c>
      <c r="J136" s="13">
        <f t="shared" si="11"/>
        <v>12735</v>
      </c>
      <c r="K136" s="23"/>
      <c r="L136" s="2"/>
      <c r="M136" s="2"/>
      <c r="N136" s="2"/>
      <c r="O136" s="2"/>
      <c r="P136" s="2"/>
      <c r="Q136" s="2"/>
      <c r="R136" s="2"/>
      <c r="S136" s="2"/>
      <c r="T136" s="2"/>
    </row>
    <row r="137" ht="15" hidden="1" customHeight="1" spans="1:20">
      <c r="A137" s="14">
        <v>145</v>
      </c>
      <c r="B137" s="27" t="s">
        <v>45</v>
      </c>
      <c r="C137" s="27" t="s">
        <v>99</v>
      </c>
      <c r="D137" s="14">
        <v>22</v>
      </c>
      <c r="E137" s="24">
        <v>68</v>
      </c>
      <c r="F137" s="15">
        <f>IFERROR(SUMIFS(存条明细!G:G,存条明细!C:C,B137,存条明细!D:D,C137),0)</f>
        <v>1360</v>
      </c>
      <c r="G137" s="12">
        <f>IFERROR(SUMIFS(出库明细!E:E,出库明细!C:C,B137,出库明细!D:D,C137),0)</f>
        <v>22</v>
      </c>
      <c r="H137" s="13">
        <f>IFERROR(SUMIFS(出库明细!G:G,出库明细!C:C,B137,出库明细!D:D,C137),0)</f>
        <v>1496</v>
      </c>
      <c r="I137" s="25">
        <f t="shared" ref="I137:I149" si="12">IFERROR(D137-G137,0)</f>
        <v>0</v>
      </c>
      <c r="J137" s="13">
        <f t="shared" si="11"/>
        <v>-136</v>
      </c>
      <c r="K137" s="23"/>
      <c r="L137" s="2"/>
      <c r="M137" s="2"/>
      <c r="N137" s="2"/>
      <c r="O137" s="2"/>
      <c r="P137" s="2"/>
      <c r="Q137" s="2"/>
      <c r="R137" s="2"/>
      <c r="S137" s="2"/>
      <c r="T137" s="2"/>
    </row>
    <row r="138" ht="15" hidden="1" customHeight="1" spans="1:20">
      <c r="A138" s="14">
        <v>146</v>
      </c>
      <c r="B138" s="27" t="s">
        <v>45</v>
      </c>
      <c r="C138" s="27" t="s">
        <v>101</v>
      </c>
      <c r="D138" s="14">
        <v>17</v>
      </c>
      <c r="E138" s="24">
        <v>50</v>
      </c>
      <c r="F138" s="15">
        <f>IFERROR(SUMIFS(存条明细!G:G,存条明细!C:C,B138,存条明细!D:D,C138),0)</f>
        <v>750</v>
      </c>
      <c r="G138" s="12">
        <f>IFERROR(SUMIFS(出库明细!E:E,出库明细!C:C,B138,出库明细!D:D,C138),0)</f>
        <v>8</v>
      </c>
      <c r="H138" s="13">
        <f>IFERROR(SUMIFS(出库明细!G:G,出库明细!C:C,B138,出库明细!D:D,C138),0)</f>
        <v>400</v>
      </c>
      <c r="I138" s="25">
        <f t="shared" si="12"/>
        <v>9</v>
      </c>
      <c r="J138" s="13">
        <f t="shared" ref="J138:J149" si="13">IFERROR(F138-H138,0)</f>
        <v>350</v>
      </c>
      <c r="K138" s="23"/>
      <c r="L138" s="2"/>
      <c r="M138" s="2"/>
      <c r="N138" s="2"/>
      <c r="O138" s="2"/>
      <c r="P138" s="2"/>
      <c r="Q138" s="2"/>
      <c r="R138" s="2"/>
      <c r="S138" s="2"/>
      <c r="T138" s="2"/>
    </row>
    <row r="139" ht="15" hidden="1" customHeight="1" spans="1:20">
      <c r="A139" s="14">
        <v>147</v>
      </c>
      <c r="B139" s="27" t="s">
        <v>45</v>
      </c>
      <c r="C139" s="27" t="s">
        <v>103</v>
      </c>
      <c r="D139" s="14">
        <v>10</v>
      </c>
      <c r="E139" s="24">
        <v>46</v>
      </c>
      <c r="F139" s="15">
        <f>IFERROR(SUMIFS(存条明细!G:G,存条明细!C:C,B139,存条明细!D:D,C139),0)</f>
        <v>460</v>
      </c>
      <c r="G139" s="12">
        <f>IFERROR(SUMIFS(出库明细!E:E,出库明细!C:C,B139,出库明细!D:D,C139),0)</f>
        <v>10</v>
      </c>
      <c r="H139" s="13">
        <f>IFERROR(SUMIFS(出库明细!G:G,出库明细!C:C,B139,出库明细!D:D,C139),0)</f>
        <v>460</v>
      </c>
      <c r="I139" s="25">
        <f t="shared" si="12"/>
        <v>0</v>
      </c>
      <c r="J139" s="13">
        <f t="shared" si="13"/>
        <v>0</v>
      </c>
      <c r="K139" s="23"/>
      <c r="L139" s="2"/>
      <c r="M139" s="2"/>
      <c r="N139" s="2"/>
      <c r="O139" s="2"/>
      <c r="P139" s="2"/>
      <c r="Q139" s="2"/>
      <c r="R139" s="2"/>
      <c r="S139" s="2"/>
      <c r="T139" s="2"/>
    </row>
    <row r="140" ht="15" hidden="1" customHeight="1" spans="1:20">
      <c r="A140" s="14">
        <v>148</v>
      </c>
      <c r="B140" s="27" t="s">
        <v>45</v>
      </c>
      <c r="C140" s="27" t="s">
        <v>102</v>
      </c>
      <c r="D140" s="14">
        <v>15</v>
      </c>
      <c r="E140" s="24">
        <v>58</v>
      </c>
      <c r="F140" s="15">
        <f>IFERROR(SUMIFS(存条明细!G:G,存条明细!C:C,B140,存条明细!D:D,C140),0)</f>
        <v>870</v>
      </c>
      <c r="G140" s="12">
        <f>IFERROR(SUMIFS(出库明细!E:E,出库明细!C:C,B140,出库明细!D:D,C140),0)</f>
        <v>15</v>
      </c>
      <c r="H140" s="13">
        <f>IFERROR(SUMIFS(出库明细!G:G,出库明细!C:C,B140,出库明细!D:D,C140),0)</f>
        <v>870</v>
      </c>
      <c r="I140" s="25">
        <f t="shared" si="12"/>
        <v>0</v>
      </c>
      <c r="J140" s="13">
        <f t="shared" si="13"/>
        <v>0</v>
      </c>
      <c r="K140" s="23"/>
      <c r="L140" s="2"/>
      <c r="M140" s="2"/>
      <c r="N140" s="2"/>
      <c r="O140" s="2"/>
      <c r="P140" s="2"/>
      <c r="Q140" s="2"/>
      <c r="R140" s="2"/>
      <c r="S140" s="2"/>
      <c r="T140" s="2"/>
    </row>
    <row r="141" ht="15" hidden="1" customHeight="1" spans="1:20">
      <c r="A141" s="14">
        <v>149</v>
      </c>
      <c r="B141" s="27" t="s">
        <v>45</v>
      </c>
      <c r="C141" s="27" t="s">
        <v>108</v>
      </c>
      <c r="D141" s="14">
        <v>2</v>
      </c>
      <c r="E141" s="24">
        <v>72</v>
      </c>
      <c r="F141" s="15">
        <f>IFERROR(SUMIFS(存条明细!G:G,存条明细!C:C,B141,存条明细!D:D,C141),0)</f>
        <v>144</v>
      </c>
      <c r="G141" s="12">
        <f>IFERROR(SUMIFS(出库明细!E:E,出库明细!C:C,B141,出库明细!D:D,C141),0)</f>
        <v>2</v>
      </c>
      <c r="H141" s="13">
        <f>IFERROR(SUMIFS(出库明细!G:G,出库明细!C:C,B141,出库明细!D:D,C141),0)</f>
        <v>144</v>
      </c>
      <c r="I141" s="25">
        <f t="shared" si="12"/>
        <v>0</v>
      </c>
      <c r="J141" s="13">
        <f t="shared" si="13"/>
        <v>0</v>
      </c>
      <c r="K141" s="23"/>
      <c r="L141" s="2"/>
      <c r="M141" s="2"/>
      <c r="N141" s="2"/>
      <c r="O141" s="2"/>
      <c r="P141" s="2"/>
      <c r="Q141" s="2"/>
      <c r="R141" s="2"/>
      <c r="S141" s="2"/>
      <c r="T141" s="2"/>
    </row>
    <row r="142" ht="15" hidden="1" customHeight="1" spans="1:20">
      <c r="A142" s="14">
        <v>150</v>
      </c>
      <c r="B142" s="27" t="s">
        <v>45</v>
      </c>
      <c r="C142" s="27" t="s">
        <v>109</v>
      </c>
      <c r="D142" s="14">
        <v>2</v>
      </c>
      <c r="E142" s="24">
        <v>50</v>
      </c>
      <c r="F142" s="15">
        <f>IFERROR(SUMIFS(存条明细!G:G,存条明细!C:C,B142,存条明细!D:D,C142),0)</f>
        <v>100</v>
      </c>
      <c r="G142" s="12">
        <f>IFERROR(SUMIFS(出库明细!E:E,出库明细!C:C,B142,出库明细!D:D,C142),0)</f>
        <v>2</v>
      </c>
      <c r="H142" s="13">
        <f>IFERROR(SUMIFS(出库明细!G:G,出库明细!C:C,B142,出库明细!D:D,C142),0)</f>
        <v>100</v>
      </c>
      <c r="I142" s="25">
        <f t="shared" si="12"/>
        <v>0</v>
      </c>
      <c r="J142" s="13">
        <f t="shared" si="13"/>
        <v>0</v>
      </c>
      <c r="K142" s="23"/>
      <c r="L142" s="2"/>
      <c r="M142" s="2"/>
      <c r="N142" s="2"/>
      <c r="O142" s="2"/>
      <c r="P142" s="2"/>
      <c r="Q142" s="2"/>
      <c r="R142" s="2"/>
      <c r="S142" s="2"/>
      <c r="T142" s="2"/>
    </row>
    <row r="143" ht="15" hidden="1" customHeight="1" spans="1:20">
      <c r="A143" s="14">
        <v>151</v>
      </c>
      <c r="B143" s="27" t="s">
        <v>45</v>
      </c>
      <c r="C143" s="27" t="s">
        <v>110</v>
      </c>
      <c r="D143" s="14">
        <v>4</v>
      </c>
      <c r="E143" s="24">
        <v>46</v>
      </c>
      <c r="F143" s="15">
        <f>IFERROR(SUMIFS(存条明细!G:G,存条明细!C:C,B143,存条明细!D:D,C143),0)</f>
        <v>184</v>
      </c>
      <c r="G143" s="12">
        <f>IFERROR(SUMIFS(出库明细!E:E,出库明细!C:C,B143,出库明细!D:D,C143),0)</f>
        <v>4</v>
      </c>
      <c r="H143" s="13">
        <f>IFERROR(SUMIFS(出库明细!G:G,出库明细!C:C,B143,出库明细!D:D,C143),0)</f>
        <v>184</v>
      </c>
      <c r="I143" s="25">
        <f t="shared" si="12"/>
        <v>0</v>
      </c>
      <c r="J143" s="13">
        <f t="shared" si="13"/>
        <v>0</v>
      </c>
      <c r="K143" s="23"/>
      <c r="L143" s="2"/>
      <c r="M143" s="2"/>
      <c r="N143" s="2"/>
      <c r="O143" s="2"/>
      <c r="P143" s="2"/>
      <c r="Q143" s="2"/>
      <c r="R143" s="2"/>
      <c r="S143" s="2"/>
      <c r="T143" s="2"/>
    </row>
    <row r="144" ht="15" hidden="1" customHeight="1" spans="1:20">
      <c r="A144" s="14">
        <v>152</v>
      </c>
      <c r="B144" s="27" t="s">
        <v>45</v>
      </c>
      <c r="C144" s="27" t="s">
        <v>100</v>
      </c>
      <c r="D144" s="14">
        <v>2</v>
      </c>
      <c r="E144" s="24">
        <v>51</v>
      </c>
      <c r="F144" s="15">
        <f>IFERROR(SUMIFS(存条明细!G:G,存条明细!C:C,B144,存条明细!D:D,C144),0)</f>
        <v>102</v>
      </c>
      <c r="G144" s="12">
        <f>IFERROR(SUMIFS(出库明细!E:E,出库明细!C:C,B144,出库明细!D:D,C144),0)</f>
        <v>2</v>
      </c>
      <c r="H144" s="13">
        <f>IFERROR(SUMIFS(出库明细!G:G,出库明细!C:C,B144,出库明细!D:D,C144),0)</f>
        <v>102</v>
      </c>
      <c r="I144" s="25">
        <f t="shared" si="12"/>
        <v>0</v>
      </c>
      <c r="J144" s="13">
        <f t="shared" si="13"/>
        <v>0</v>
      </c>
      <c r="K144" s="23"/>
      <c r="L144" s="2"/>
      <c r="M144" s="2"/>
      <c r="N144" s="2"/>
      <c r="O144" s="2"/>
      <c r="P144" s="2"/>
      <c r="Q144" s="2"/>
      <c r="R144" s="2"/>
      <c r="S144" s="2"/>
      <c r="T144" s="2"/>
    </row>
    <row r="145" ht="15" hidden="1" customHeight="1" spans="1:20">
      <c r="A145" s="14">
        <v>153</v>
      </c>
      <c r="B145" s="27" t="s">
        <v>59</v>
      </c>
      <c r="C145" s="27" t="s">
        <v>104</v>
      </c>
      <c r="D145" s="14">
        <v>7</v>
      </c>
      <c r="E145" s="24">
        <v>86</v>
      </c>
      <c r="F145" s="15">
        <f>IFERROR(SUMIFS(存条明细!G:G,存条明细!C:C,B145,存条明细!D:D,C145),0)</f>
        <v>602</v>
      </c>
      <c r="G145" s="12">
        <f>IFERROR(SUMIFS(出库明细!E:E,出库明细!C:C,B145,出库明细!D:D,C145),0)</f>
        <v>7</v>
      </c>
      <c r="H145" s="13">
        <f>IFERROR(SUMIFS(出库明细!G:G,出库明细!C:C,B145,出库明细!D:D,C145),0)</f>
        <v>602</v>
      </c>
      <c r="I145" s="25">
        <f t="shared" si="12"/>
        <v>0</v>
      </c>
      <c r="J145" s="13">
        <f t="shared" si="13"/>
        <v>0</v>
      </c>
      <c r="K145" s="23"/>
      <c r="L145" s="2"/>
      <c r="M145" s="2"/>
      <c r="N145" s="2"/>
      <c r="O145" s="2"/>
      <c r="P145" s="2"/>
      <c r="Q145" s="2"/>
      <c r="R145" s="2"/>
      <c r="S145" s="2"/>
      <c r="T145" s="2"/>
    </row>
    <row r="146" ht="15" hidden="1" customHeight="1" spans="1:20">
      <c r="A146" s="14">
        <v>154</v>
      </c>
      <c r="B146" s="27" t="s">
        <v>59</v>
      </c>
      <c r="C146" s="27" t="s">
        <v>107</v>
      </c>
      <c r="D146" s="14">
        <v>50</v>
      </c>
      <c r="E146" s="24">
        <v>93</v>
      </c>
      <c r="F146" s="15">
        <f>IFERROR(SUMIFS(存条明细!G:G,存条明细!C:C,B146,存条明细!D:D,C146),0)</f>
        <v>4650</v>
      </c>
      <c r="G146" s="12">
        <f>IFERROR(SUMIFS(出库明细!E:E,出库明细!C:C,B146,出库明细!D:D,C146),0)</f>
        <v>50</v>
      </c>
      <c r="H146" s="13">
        <f>IFERROR(SUMIFS(出库明细!G:G,出库明细!C:C,B146,出库明细!D:D,C146),0)</f>
        <v>4650</v>
      </c>
      <c r="I146" s="25">
        <f t="shared" si="12"/>
        <v>0</v>
      </c>
      <c r="J146" s="13">
        <f t="shared" si="13"/>
        <v>0</v>
      </c>
      <c r="K146" s="23"/>
      <c r="L146" s="2"/>
      <c r="M146" s="2"/>
      <c r="N146" s="2"/>
      <c r="O146" s="2"/>
      <c r="P146" s="2"/>
      <c r="Q146" s="2"/>
      <c r="R146" s="2"/>
      <c r="S146" s="2"/>
      <c r="T146" s="2"/>
    </row>
    <row r="147" ht="15" hidden="1" customHeight="1" spans="1:20">
      <c r="A147" s="14">
        <v>155</v>
      </c>
      <c r="B147" s="27" t="s">
        <v>16</v>
      </c>
      <c r="C147" s="27" t="s">
        <v>106</v>
      </c>
      <c r="D147" s="14">
        <v>104</v>
      </c>
      <c r="E147" s="24">
        <v>90</v>
      </c>
      <c r="F147" s="15">
        <f>IFERROR(SUMIFS(存条明细!G:G,存条明细!C:C,B147,存条明细!D:D,C147),0)</f>
        <v>9000</v>
      </c>
      <c r="G147" s="12">
        <f>IFERROR(SUMIFS(出库明细!E:E,出库明细!C:C,B147,出库明细!D:D,C147),0)</f>
        <v>30</v>
      </c>
      <c r="H147" s="13">
        <f>IFERROR(SUMIFS(出库明细!G:G,出库明细!C:C,B147,出库明细!D:D,C147),0)</f>
        <v>2700</v>
      </c>
      <c r="I147" s="25">
        <f t="shared" si="12"/>
        <v>74</v>
      </c>
      <c r="J147" s="13">
        <f t="shared" si="13"/>
        <v>6300</v>
      </c>
      <c r="K147" s="23"/>
      <c r="L147" s="2"/>
      <c r="M147" s="2"/>
      <c r="N147" s="2"/>
      <c r="O147" s="2"/>
      <c r="P147" s="2"/>
      <c r="Q147" s="2"/>
      <c r="R147" s="2"/>
      <c r="S147" s="2"/>
      <c r="T147" s="2"/>
    </row>
    <row r="148" ht="15" hidden="1" customHeight="1" spans="1:20">
      <c r="A148" s="14">
        <v>156</v>
      </c>
      <c r="B148" s="27" t="s">
        <v>15</v>
      </c>
      <c r="C148" s="27" t="s">
        <v>106</v>
      </c>
      <c r="D148" s="14">
        <v>104</v>
      </c>
      <c r="E148" s="24">
        <v>90</v>
      </c>
      <c r="F148" s="15">
        <f>IFERROR(SUMIFS(存条明细!G:G,存条明细!C:C,B148,存条明细!D:D,C148),0)</f>
        <v>9000</v>
      </c>
      <c r="G148" s="12">
        <f>IFERROR(SUMIFS(出库明细!E:E,出库明细!C:C,B148,出库明细!D:D,C148),0)</f>
        <v>54</v>
      </c>
      <c r="H148" s="13">
        <f>IFERROR(SUMIFS(出库明细!G:G,出库明细!C:C,B148,出库明细!D:D,C148),0)</f>
        <v>4500</v>
      </c>
      <c r="I148" s="25">
        <f t="shared" si="12"/>
        <v>50</v>
      </c>
      <c r="J148" s="13">
        <f t="shared" si="13"/>
        <v>4500</v>
      </c>
      <c r="K148" s="23"/>
      <c r="L148" s="2"/>
      <c r="M148" s="2"/>
      <c r="N148" s="2"/>
      <c r="O148" s="2"/>
      <c r="P148" s="2"/>
      <c r="Q148" s="2"/>
      <c r="R148" s="2"/>
      <c r="S148" s="2"/>
      <c r="T148" s="2"/>
    </row>
    <row r="149" ht="15" hidden="1" customHeight="1" spans="1:20">
      <c r="A149" s="14">
        <v>157</v>
      </c>
      <c r="B149" s="27" t="s">
        <v>61</v>
      </c>
      <c r="C149" s="27" t="s">
        <v>107</v>
      </c>
      <c r="D149" s="14">
        <v>26</v>
      </c>
      <c r="E149" s="24">
        <v>90</v>
      </c>
      <c r="F149" s="15">
        <f>IFERROR(SUMIFS(存条明细!G:G,存条明细!C:C,B149,存条明细!D:D,C149),0)</f>
        <v>2325</v>
      </c>
      <c r="G149" s="12">
        <f>IFERROR(SUMIFS(出库明细!E:E,出库明细!C:C,B149,出库明细!D:D,C149),0)</f>
        <v>16</v>
      </c>
      <c r="H149" s="13">
        <f>IFERROR(SUMIFS(出库明细!G:G,出库明细!C:C,B149,出库明细!D:D,C149),0)</f>
        <v>23808</v>
      </c>
      <c r="I149" s="25">
        <f t="shared" si="12"/>
        <v>10</v>
      </c>
      <c r="J149" s="13">
        <f t="shared" si="13"/>
        <v>-21483</v>
      </c>
      <c r="K149" s="23"/>
      <c r="L149" s="2"/>
      <c r="M149" s="2"/>
      <c r="N149" s="2"/>
      <c r="O149" s="2"/>
      <c r="P149" s="2"/>
      <c r="Q149" s="2"/>
      <c r="R149" s="2"/>
      <c r="S149" s="2"/>
      <c r="T149" s="2"/>
    </row>
    <row r="150" ht="15" hidden="1" customHeight="1" spans="1:20">
      <c r="A150" s="14">
        <v>158</v>
      </c>
      <c r="B150" s="27" t="s">
        <v>61</v>
      </c>
      <c r="C150" s="27" t="s">
        <v>104</v>
      </c>
      <c r="D150" s="14">
        <v>2</v>
      </c>
      <c r="E150" s="24">
        <v>86</v>
      </c>
      <c r="F150" s="15">
        <f>IFERROR(SUMIFS(存条明细!G:G,存条明细!C:C,B150,存条明细!D:D,C150),0)</f>
        <v>172</v>
      </c>
      <c r="G150" s="12">
        <f>IFERROR(SUMIFS(出库明细!E:E,出库明细!C:C,B150,出库明细!D:D,C150),0)</f>
        <v>2</v>
      </c>
      <c r="H150" s="13">
        <f>IFERROR(SUMIFS(出库明细!G:G,出库明细!C:C,B150,出库明细!D:D,C150),0)</f>
        <v>172</v>
      </c>
      <c r="I150" s="25">
        <f t="shared" ref="I150:I213" si="14">IFERROR(D150-G150,0)</f>
        <v>0</v>
      </c>
      <c r="J150" s="13">
        <f t="shared" ref="J150:J213" si="15">IFERROR(F150-H150,0)</f>
        <v>0</v>
      </c>
      <c r="K150" s="23"/>
      <c r="L150" s="2"/>
      <c r="M150" s="2"/>
      <c r="N150" s="2"/>
      <c r="O150" s="2"/>
      <c r="P150" s="2"/>
      <c r="Q150" s="2"/>
      <c r="R150" s="2"/>
      <c r="S150" s="2"/>
      <c r="T150" s="2"/>
    </row>
    <row r="151" ht="15" hidden="1" customHeight="1" spans="1:20">
      <c r="A151" s="14">
        <v>159</v>
      </c>
      <c r="B151" s="27" t="s">
        <v>61</v>
      </c>
      <c r="C151" s="27" t="s">
        <v>101</v>
      </c>
      <c r="D151" s="14">
        <v>4</v>
      </c>
      <c r="E151" s="24">
        <v>50</v>
      </c>
      <c r="F151" s="15">
        <f>IFERROR(SUMIFS(存条明细!G:G,存条明细!C:C,B151,存条明细!D:D,C151),0)</f>
        <v>200</v>
      </c>
      <c r="G151" s="12">
        <f>IFERROR(SUMIFS(出库明细!E:E,出库明细!C:C,B151,出库明细!D:D,C151),0)</f>
        <v>4</v>
      </c>
      <c r="H151" s="13">
        <f>IFERROR(SUMIFS(出库明细!G:G,出库明细!C:C,B151,出库明细!D:D,C151),0)</f>
        <v>200</v>
      </c>
      <c r="I151" s="25">
        <f t="shared" si="14"/>
        <v>0</v>
      </c>
      <c r="J151" s="13">
        <f t="shared" si="15"/>
        <v>0</v>
      </c>
      <c r="K151" s="23"/>
      <c r="L151" s="2"/>
      <c r="M151" s="2"/>
      <c r="N151" s="2"/>
      <c r="O151" s="2"/>
      <c r="P151" s="2"/>
      <c r="Q151" s="2"/>
      <c r="R151" s="2"/>
      <c r="S151" s="2"/>
      <c r="T151" s="2"/>
    </row>
    <row r="152" ht="15" hidden="1" customHeight="1" spans="1:20">
      <c r="A152" s="14">
        <v>160</v>
      </c>
      <c r="B152" s="27" t="s">
        <v>62</v>
      </c>
      <c r="C152" s="27" t="s">
        <v>107</v>
      </c>
      <c r="D152" s="14">
        <v>25</v>
      </c>
      <c r="E152" s="24">
        <v>90</v>
      </c>
      <c r="F152" s="15">
        <f>IFERROR(SUMIFS(存条明细!G:G,存条明细!C:C,B152,存条明细!D:D,C152),0)</f>
        <v>2325</v>
      </c>
      <c r="G152" s="12">
        <f>IFERROR(SUMIFS(出库明细!E:E,出库明细!C:C,B152,出库明细!D:D,C152),0)</f>
        <v>15</v>
      </c>
      <c r="H152" s="13">
        <f>IFERROR(SUMIFS(出库明细!G:G,出库明细!C:C,B152,出库明细!D:D,C152),0)</f>
        <v>1395</v>
      </c>
      <c r="I152" s="25">
        <f t="shared" si="14"/>
        <v>10</v>
      </c>
      <c r="J152" s="13">
        <f t="shared" si="15"/>
        <v>930</v>
      </c>
      <c r="K152" s="23"/>
      <c r="L152" s="2"/>
      <c r="M152" s="2"/>
      <c r="N152" s="2"/>
      <c r="O152" s="2"/>
      <c r="P152" s="2"/>
      <c r="Q152" s="2"/>
      <c r="R152" s="2"/>
      <c r="S152" s="2"/>
      <c r="T152" s="2"/>
    </row>
    <row r="153" ht="15" hidden="1" customHeight="1" spans="1:20">
      <c r="A153" s="14">
        <v>161</v>
      </c>
      <c r="B153" s="27" t="s">
        <v>63</v>
      </c>
      <c r="C153" s="27" t="s">
        <v>107</v>
      </c>
      <c r="D153" s="14">
        <v>25</v>
      </c>
      <c r="E153" s="24">
        <v>93</v>
      </c>
      <c r="F153" s="15">
        <f>IFERROR(SUMIFS(存条明细!G:G,存条明细!C:C,B153,存条明细!D:D,C153),0)</f>
        <v>2325</v>
      </c>
      <c r="G153" s="12">
        <f>IFERROR(SUMIFS(出库明细!E:E,出库明细!C:C,B153,出库明细!D:D,C153),0)</f>
        <v>0</v>
      </c>
      <c r="H153" s="13">
        <f>IFERROR(SUMIFS(出库明细!G:G,出库明细!C:C,B153,出库明细!D:D,C153),0)</f>
        <v>0</v>
      </c>
      <c r="I153" s="25">
        <f t="shared" si="14"/>
        <v>25</v>
      </c>
      <c r="J153" s="13">
        <f t="shared" si="15"/>
        <v>2325</v>
      </c>
      <c r="K153" s="23"/>
      <c r="L153" s="2"/>
      <c r="M153" s="2"/>
      <c r="N153" s="2"/>
      <c r="O153" s="2"/>
      <c r="P153" s="2"/>
      <c r="Q153" s="2"/>
      <c r="R153" s="2"/>
      <c r="S153" s="2"/>
      <c r="T153" s="2"/>
    </row>
    <row r="154" ht="15" hidden="1" customHeight="1" spans="1:20">
      <c r="A154" s="14">
        <v>162</v>
      </c>
      <c r="B154" s="14" t="s">
        <v>64</v>
      </c>
      <c r="C154" s="27" t="s">
        <v>107</v>
      </c>
      <c r="D154" s="14">
        <v>25</v>
      </c>
      <c r="E154" s="24">
        <v>93</v>
      </c>
      <c r="F154" s="15">
        <f>IFERROR(SUMIFS(存条明细!G:G,存条明细!C:C,B154,存条明细!D:D,C154),0)</f>
        <v>2325</v>
      </c>
      <c r="G154" s="12">
        <f>IFERROR(SUMIFS(出库明细!E:E,出库明细!C:C,B154,出库明细!D:D,C154),0)</f>
        <v>25</v>
      </c>
      <c r="H154" s="13">
        <f>IFERROR(SUMIFS(出库明细!G:G,出库明细!C:C,B154,出库明细!D:D,C154),0)</f>
        <v>2325</v>
      </c>
      <c r="I154" s="25">
        <f t="shared" si="14"/>
        <v>0</v>
      </c>
      <c r="J154" s="13">
        <f t="shared" si="15"/>
        <v>0</v>
      </c>
      <c r="K154" s="23"/>
      <c r="L154" s="2"/>
      <c r="M154" s="2"/>
      <c r="N154" s="2"/>
      <c r="O154" s="2"/>
      <c r="P154" s="2"/>
      <c r="Q154" s="2"/>
      <c r="R154" s="2"/>
      <c r="S154" s="2"/>
      <c r="T154" s="2"/>
    </row>
    <row r="155" ht="15" hidden="1" customHeight="1" spans="1:20">
      <c r="A155" s="14">
        <v>163</v>
      </c>
      <c r="B155" s="27" t="s">
        <v>65</v>
      </c>
      <c r="C155" s="27" t="s">
        <v>107</v>
      </c>
      <c r="D155" s="14">
        <v>50</v>
      </c>
      <c r="E155" s="24">
        <v>93</v>
      </c>
      <c r="F155" s="15">
        <f>IFERROR(SUMIFS(存条明细!G:G,存条明细!C:C,B155,存条明细!D:D,C155),0)</f>
        <v>4650</v>
      </c>
      <c r="G155" s="12">
        <f>IFERROR(SUMIFS(出库明细!E:E,出库明细!C:C,B155,出库明细!D:D,C155),0)</f>
        <v>30</v>
      </c>
      <c r="H155" s="13">
        <f>IFERROR(SUMIFS(出库明细!G:G,出库明细!C:C,B155,出库明细!D:D,C155),0)</f>
        <v>2790</v>
      </c>
      <c r="I155" s="25">
        <f t="shared" si="14"/>
        <v>20</v>
      </c>
      <c r="J155" s="13">
        <f t="shared" si="15"/>
        <v>1860</v>
      </c>
      <c r="K155" s="23"/>
      <c r="L155" s="2"/>
      <c r="M155" s="2"/>
      <c r="N155" s="2"/>
      <c r="O155" s="2"/>
      <c r="P155" s="2"/>
      <c r="Q155" s="2"/>
      <c r="R155" s="2"/>
      <c r="S155" s="2"/>
      <c r="T155" s="2"/>
    </row>
    <row r="156" ht="15" hidden="1" customHeight="1" spans="1:20">
      <c r="A156" s="14">
        <v>164</v>
      </c>
      <c r="B156" s="27" t="s">
        <v>65</v>
      </c>
      <c r="C156" s="27" t="s">
        <v>99</v>
      </c>
      <c r="D156" s="14">
        <v>10</v>
      </c>
      <c r="E156" s="24">
        <v>68</v>
      </c>
      <c r="F156" s="15">
        <f>IFERROR(SUMIFS(存条明细!G:G,存条明细!C:C,B156,存条明细!D:D,C156),0)</f>
        <v>680</v>
      </c>
      <c r="G156" s="12">
        <f>IFERROR(SUMIFS(出库明细!E:E,出库明细!C:C,B156,出库明细!D:D,C156),0)</f>
        <v>10</v>
      </c>
      <c r="H156" s="13">
        <f>IFERROR(SUMIFS(出库明细!G:G,出库明细!C:C,B156,出库明细!D:D,C156),0)</f>
        <v>680</v>
      </c>
      <c r="I156" s="25">
        <f t="shared" si="14"/>
        <v>0</v>
      </c>
      <c r="J156" s="13">
        <f t="shared" si="15"/>
        <v>0</v>
      </c>
      <c r="K156" s="23"/>
      <c r="L156" s="2"/>
      <c r="M156" s="2"/>
      <c r="N156" s="2"/>
      <c r="O156" s="2"/>
      <c r="P156" s="2"/>
      <c r="Q156" s="2"/>
      <c r="R156" s="2"/>
      <c r="S156" s="2"/>
      <c r="T156" s="2"/>
    </row>
    <row r="157" ht="15" hidden="1" customHeight="1" spans="1:20">
      <c r="A157" s="14">
        <v>165</v>
      </c>
      <c r="B157" s="27" t="s">
        <v>66</v>
      </c>
      <c r="C157" s="27" t="s">
        <v>107</v>
      </c>
      <c r="D157" s="14">
        <v>10</v>
      </c>
      <c r="E157" s="24">
        <v>93</v>
      </c>
      <c r="F157" s="15">
        <f>IFERROR(SUMIFS(存条明细!G:G,存条明细!C:C,B157,存条明细!D:D,C157),0)</f>
        <v>930</v>
      </c>
      <c r="G157" s="12">
        <f>IFERROR(SUMIFS(出库明细!E:E,出库明细!C:C,B157,出库明细!D:D,C157),0)</f>
        <v>0</v>
      </c>
      <c r="H157" s="13">
        <f>IFERROR(SUMIFS(出库明细!G:G,出库明细!C:C,B157,出库明细!D:D,C157),0)</f>
        <v>0</v>
      </c>
      <c r="I157" s="25">
        <f t="shared" si="14"/>
        <v>10</v>
      </c>
      <c r="J157" s="13">
        <f t="shared" si="15"/>
        <v>930</v>
      </c>
      <c r="K157" s="23"/>
      <c r="L157" s="2"/>
      <c r="M157" s="2"/>
      <c r="N157" s="2"/>
      <c r="O157" s="2"/>
      <c r="P157" s="2"/>
      <c r="Q157" s="2"/>
      <c r="R157" s="2"/>
      <c r="S157" s="2"/>
      <c r="T157" s="2"/>
    </row>
    <row r="158" ht="15" hidden="1" customHeight="1" spans="1:20">
      <c r="A158" s="14">
        <v>166</v>
      </c>
      <c r="B158" s="27" t="s">
        <v>38</v>
      </c>
      <c r="C158" s="27" t="s">
        <v>107</v>
      </c>
      <c r="D158" s="14">
        <v>100</v>
      </c>
      <c r="E158" s="24">
        <v>90</v>
      </c>
      <c r="F158" s="15">
        <f>IFERROR(SUMIFS(存条明细!G:G,存条明细!C:C,B158,存条明细!D:D,C158),0)</f>
        <v>9000</v>
      </c>
      <c r="G158" s="12">
        <f>IFERROR(SUMIFS(出库明细!E:E,出库明细!C:C,B158,出库明细!D:D,C158),0)</f>
        <v>100</v>
      </c>
      <c r="H158" s="13">
        <f>IFERROR(SUMIFS(出库明细!G:G,出库明细!C:C,B158,出库明细!D:D,C158),0)</f>
        <v>9000</v>
      </c>
      <c r="I158" s="25">
        <f t="shared" si="14"/>
        <v>0</v>
      </c>
      <c r="J158" s="13">
        <f t="shared" si="15"/>
        <v>0</v>
      </c>
      <c r="K158" s="23"/>
      <c r="L158" s="2"/>
      <c r="M158" s="2"/>
      <c r="N158" s="2"/>
      <c r="O158" s="2"/>
      <c r="P158" s="2"/>
      <c r="Q158" s="2"/>
      <c r="R158" s="2"/>
      <c r="S158" s="2"/>
      <c r="T158" s="2"/>
    </row>
    <row r="159" ht="15" hidden="1" customHeight="1" spans="1:20">
      <c r="A159" s="14">
        <v>167</v>
      </c>
      <c r="B159" s="27" t="s">
        <v>67</v>
      </c>
      <c r="C159" s="27" t="s">
        <v>107</v>
      </c>
      <c r="D159" s="14">
        <v>15</v>
      </c>
      <c r="E159" s="24">
        <v>93</v>
      </c>
      <c r="F159" s="15">
        <f>IFERROR(SUMIFS(存条明细!G:G,存条明细!C:C,B159,存条明细!D:D,C159),0)</f>
        <v>1395</v>
      </c>
      <c r="G159" s="12">
        <f>IFERROR(SUMIFS(出库明细!E:E,出库明细!C:C,B159,出库明细!D:D,C159),0)</f>
        <v>15</v>
      </c>
      <c r="H159" s="13">
        <f>IFERROR(SUMIFS(出库明细!G:G,出库明细!C:C,B159,出库明细!D:D,C159),0)</f>
        <v>1395</v>
      </c>
      <c r="I159" s="25">
        <f t="shared" si="14"/>
        <v>0</v>
      </c>
      <c r="J159" s="13">
        <f t="shared" si="15"/>
        <v>0</v>
      </c>
      <c r="K159" s="23"/>
      <c r="L159" s="2"/>
      <c r="M159" s="2"/>
      <c r="N159" s="2"/>
      <c r="O159" s="2"/>
      <c r="P159" s="2"/>
      <c r="Q159" s="2"/>
      <c r="R159" s="2"/>
      <c r="S159" s="2"/>
      <c r="T159" s="2"/>
    </row>
    <row r="160" ht="15" hidden="1" customHeight="1" spans="1:20">
      <c r="A160" s="14">
        <v>168</v>
      </c>
      <c r="B160" s="27" t="s">
        <v>68</v>
      </c>
      <c r="C160" s="27" t="s">
        <v>99</v>
      </c>
      <c r="D160" s="14">
        <v>11</v>
      </c>
      <c r="E160" s="24">
        <v>68</v>
      </c>
      <c r="F160" s="15">
        <f>IFERROR(SUMIFS(存条明细!G:G,存条明细!C:C,B160,存条明细!D:D,C160),0)</f>
        <v>680</v>
      </c>
      <c r="G160" s="12">
        <f>IFERROR(SUMIFS(出库明细!E:E,出库明细!C:C,B160,出库明细!D:D,C160),0)</f>
        <v>4</v>
      </c>
      <c r="H160" s="13">
        <f>IFERROR(SUMIFS(出库明细!G:G,出库明细!C:C,B160,出库明细!D:D,C160),0)</f>
        <v>272</v>
      </c>
      <c r="I160" s="25">
        <f t="shared" si="14"/>
        <v>7</v>
      </c>
      <c r="J160" s="13">
        <f t="shared" si="15"/>
        <v>408</v>
      </c>
      <c r="K160" s="23"/>
      <c r="L160" s="2"/>
      <c r="M160" s="2"/>
      <c r="N160" s="2"/>
      <c r="O160" s="2"/>
      <c r="P160" s="2"/>
      <c r="Q160" s="2"/>
      <c r="R160" s="2"/>
      <c r="S160" s="2"/>
      <c r="T160" s="2"/>
    </row>
    <row r="161" ht="15" hidden="1" customHeight="1" spans="1:20">
      <c r="A161" s="14">
        <v>169</v>
      </c>
      <c r="B161" s="27" t="s">
        <v>68</v>
      </c>
      <c r="C161" s="27" t="s">
        <v>101</v>
      </c>
      <c r="D161" s="14">
        <v>27</v>
      </c>
      <c r="E161" s="24">
        <v>50</v>
      </c>
      <c r="F161" s="15">
        <f>IFERROR(SUMIFS(存条明细!G:G,存条明细!C:C,B161,存条明细!D:D,C161),0)</f>
        <v>1250</v>
      </c>
      <c r="G161" s="12">
        <f>IFERROR(SUMIFS(出库明细!E:E,出库明细!C:C,B161,出库明细!D:D,C161),0)</f>
        <v>35</v>
      </c>
      <c r="H161" s="13">
        <f>IFERROR(SUMIFS(出库明细!G:G,出库明细!C:C,B161,出库明细!D:D,C161),0)</f>
        <v>1750</v>
      </c>
      <c r="I161" s="25">
        <f t="shared" si="14"/>
        <v>-8</v>
      </c>
      <c r="J161" s="13">
        <f t="shared" si="15"/>
        <v>-500</v>
      </c>
      <c r="K161" s="23"/>
      <c r="L161" s="2"/>
      <c r="M161" s="2"/>
      <c r="N161" s="2"/>
      <c r="O161" s="2"/>
      <c r="P161" s="2"/>
      <c r="Q161" s="2"/>
      <c r="R161" s="2"/>
      <c r="S161" s="2"/>
      <c r="T161" s="2"/>
    </row>
    <row r="162" ht="15" hidden="1" customHeight="1" spans="1:20">
      <c r="A162" s="14">
        <v>170</v>
      </c>
      <c r="B162" s="27" t="s">
        <v>68</v>
      </c>
      <c r="C162" s="27" t="s">
        <v>102</v>
      </c>
      <c r="D162" s="14">
        <v>10</v>
      </c>
      <c r="E162" s="24">
        <v>58</v>
      </c>
      <c r="F162" s="15">
        <f>IFERROR(SUMIFS(存条明细!G:G,存条明细!C:C,B162,存条明细!D:D,C162),0)</f>
        <v>580</v>
      </c>
      <c r="G162" s="12">
        <f>IFERROR(SUMIFS(出库明细!E:E,出库明细!C:C,B162,出库明细!D:D,C162),0)</f>
        <v>3</v>
      </c>
      <c r="H162" s="13">
        <f>IFERROR(SUMIFS(出库明细!G:G,出库明细!C:C,B162,出库明细!D:D,C162),0)</f>
        <v>174</v>
      </c>
      <c r="I162" s="25">
        <f t="shared" si="14"/>
        <v>7</v>
      </c>
      <c r="J162" s="13">
        <f t="shared" si="15"/>
        <v>406</v>
      </c>
      <c r="K162" s="23"/>
      <c r="L162" s="2"/>
      <c r="M162" s="2"/>
      <c r="N162" s="2"/>
      <c r="O162" s="2"/>
      <c r="P162" s="2"/>
      <c r="Q162" s="2"/>
      <c r="R162" s="2"/>
      <c r="S162" s="2"/>
      <c r="T162" s="2"/>
    </row>
    <row r="163" ht="15" hidden="1" customHeight="1" spans="1:20">
      <c r="A163" s="14">
        <v>171</v>
      </c>
      <c r="B163" s="27" t="s">
        <v>68</v>
      </c>
      <c r="C163" s="27" t="s">
        <v>103</v>
      </c>
      <c r="D163" s="14">
        <v>15</v>
      </c>
      <c r="E163" s="24">
        <v>46</v>
      </c>
      <c r="F163" s="15">
        <f>IFERROR(SUMIFS(存条明细!G:G,存条明细!C:C,B163,存条明细!D:D,C163),0)</f>
        <v>690</v>
      </c>
      <c r="G163" s="12">
        <f>IFERROR(SUMIFS(出库明细!E:E,出库明细!C:C,B163,出库明细!D:D,C163),0)</f>
        <v>5</v>
      </c>
      <c r="H163" s="13">
        <f>IFERROR(SUMIFS(出库明细!G:G,出库明细!C:C,B163,出库明细!D:D,C163),0)</f>
        <v>230</v>
      </c>
      <c r="I163" s="25">
        <f t="shared" si="14"/>
        <v>10</v>
      </c>
      <c r="J163" s="13">
        <f t="shared" si="15"/>
        <v>460</v>
      </c>
      <c r="K163" s="23"/>
      <c r="L163" s="2"/>
      <c r="M163" s="2"/>
      <c r="N163" s="2"/>
      <c r="O163" s="2"/>
      <c r="P163" s="2"/>
      <c r="Q163" s="2"/>
      <c r="R163" s="2"/>
      <c r="S163" s="2"/>
      <c r="T163" s="2"/>
    </row>
    <row r="164" ht="15" hidden="1" customHeight="1" spans="1:20">
      <c r="A164" s="14">
        <v>172</v>
      </c>
      <c r="B164" s="27" t="s">
        <v>69</v>
      </c>
      <c r="C164" s="27" t="s">
        <v>101</v>
      </c>
      <c r="D164" s="14">
        <v>27</v>
      </c>
      <c r="E164" s="24">
        <v>50</v>
      </c>
      <c r="F164" s="15">
        <f>IFERROR(SUMIFS(存条明细!G:G,存条明细!C:C,B164,存条明细!D:D,C164),0)</f>
        <v>1250</v>
      </c>
      <c r="G164" s="12">
        <f>IFERROR(SUMIFS(出库明细!E:E,出库明细!C:C,B164,出库明细!D:D,C164),0)</f>
        <v>20</v>
      </c>
      <c r="H164" s="13">
        <f>IFERROR(SUMIFS(出库明细!G:G,出库明细!C:C,B164,出库明细!D:D,C164),0)</f>
        <v>1000</v>
      </c>
      <c r="I164" s="25">
        <f t="shared" si="14"/>
        <v>7</v>
      </c>
      <c r="J164" s="13">
        <f t="shared" si="15"/>
        <v>250</v>
      </c>
      <c r="K164" s="23"/>
      <c r="L164" s="2"/>
      <c r="M164" s="2"/>
      <c r="N164" s="2"/>
      <c r="O164" s="2"/>
      <c r="P164" s="2"/>
      <c r="Q164" s="2"/>
      <c r="R164" s="2"/>
      <c r="S164" s="2"/>
      <c r="T164" s="2"/>
    </row>
    <row r="165" ht="15" hidden="1" customHeight="1" spans="1:20">
      <c r="A165" s="14">
        <v>174</v>
      </c>
      <c r="B165" s="27" t="s">
        <v>69</v>
      </c>
      <c r="C165" s="27" t="s">
        <v>99</v>
      </c>
      <c r="D165" s="14">
        <v>11</v>
      </c>
      <c r="E165" s="24">
        <v>68</v>
      </c>
      <c r="F165" s="15">
        <f>IFERROR(SUMIFS(存条明细!G:G,存条明细!C:C,B165,存条明细!D:D,C165),0)</f>
        <v>680</v>
      </c>
      <c r="G165" s="12">
        <f>IFERROR(SUMIFS(出库明细!E:E,出库明细!C:C,B165,出库明细!D:D,C165),0)</f>
        <v>6</v>
      </c>
      <c r="H165" s="13">
        <f>IFERROR(SUMIFS(出库明细!G:G,出库明细!C:C,B165,出库明细!D:D,C165),0)</f>
        <v>408</v>
      </c>
      <c r="I165" s="25">
        <f t="shared" si="14"/>
        <v>5</v>
      </c>
      <c r="J165" s="13">
        <f t="shared" si="15"/>
        <v>272</v>
      </c>
      <c r="K165" s="23"/>
      <c r="L165" s="2"/>
      <c r="M165" s="2"/>
      <c r="N165" s="2"/>
      <c r="O165" s="2"/>
      <c r="P165" s="2"/>
      <c r="Q165" s="2"/>
      <c r="R165" s="2"/>
      <c r="S165" s="2"/>
      <c r="T165" s="2"/>
    </row>
    <row r="166" ht="15" hidden="1" customHeight="1" spans="1:20">
      <c r="A166" s="14">
        <v>176</v>
      </c>
      <c r="B166" s="27" t="s">
        <v>69</v>
      </c>
      <c r="C166" s="27" t="s">
        <v>102</v>
      </c>
      <c r="D166" s="14">
        <v>15</v>
      </c>
      <c r="E166" s="24">
        <v>58</v>
      </c>
      <c r="F166" s="15">
        <f>IFERROR(SUMIFS(存条明细!G:G,存条明细!C:C,B166,存条明细!D:D,C166),0)</f>
        <v>870</v>
      </c>
      <c r="G166" s="12">
        <f>IFERROR(SUMIFS(出库明细!E:E,出库明细!C:C,B166,出库明细!D:D,C166),0)</f>
        <v>3</v>
      </c>
      <c r="H166" s="13">
        <f>IFERROR(SUMIFS(出库明细!G:G,出库明细!C:C,B166,出库明细!D:D,C166),0)</f>
        <v>174</v>
      </c>
      <c r="I166" s="25">
        <f t="shared" si="14"/>
        <v>12</v>
      </c>
      <c r="J166" s="13">
        <f t="shared" si="15"/>
        <v>696</v>
      </c>
      <c r="K166" s="23"/>
      <c r="L166" s="2"/>
      <c r="M166" s="2"/>
      <c r="N166" s="2"/>
      <c r="O166" s="2"/>
      <c r="P166" s="2"/>
      <c r="Q166" s="2"/>
      <c r="R166" s="2"/>
      <c r="S166" s="2"/>
      <c r="T166" s="2"/>
    </row>
    <row r="167" ht="15" hidden="1" customHeight="1" spans="1:20">
      <c r="A167" s="14">
        <v>177</v>
      </c>
      <c r="B167" s="27" t="s">
        <v>69</v>
      </c>
      <c r="C167" s="27" t="s">
        <v>103</v>
      </c>
      <c r="D167" s="14">
        <v>7</v>
      </c>
      <c r="E167" s="24">
        <v>46</v>
      </c>
      <c r="F167" s="15">
        <f>IFERROR(SUMIFS(存条明细!G:G,存条明细!C:C,B167,存条明细!D:D,C167),0)</f>
        <v>322</v>
      </c>
      <c r="G167" s="12">
        <f>IFERROR(SUMIFS(出库明细!E:E,出库明细!C:C,B167,出库明细!D:D,C167),0)</f>
        <v>2</v>
      </c>
      <c r="H167" s="13">
        <f>IFERROR(SUMIFS(出库明细!G:G,出库明细!C:C,B167,出库明细!D:D,C167),0)</f>
        <v>92</v>
      </c>
      <c r="I167" s="25">
        <f t="shared" si="14"/>
        <v>5</v>
      </c>
      <c r="J167" s="13">
        <f t="shared" si="15"/>
        <v>230</v>
      </c>
      <c r="K167" s="23"/>
      <c r="L167" s="2"/>
      <c r="M167" s="2"/>
      <c r="N167" s="2"/>
      <c r="O167" s="2"/>
      <c r="P167" s="2"/>
      <c r="Q167" s="2"/>
      <c r="R167" s="2"/>
      <c r="S167" s="2"/>
      <c r="T167" s="2"/>
    </row>
    <row r="168" ht="15" customHeight="1" spans="1:20">
      <c r="A168" s="14">
        <v>178</v>
      </c>
      <c r="B168" s="27" t="s">
        <v>69</v>
      </c>
      <c r="C168" s="27" t="s">
        <v>104</v>
      </c>
      <c r="D168" s="14">
        <v>3</v>
      </c>
      <c r="E168" s="24">
        <v>258</v>
      </c>
      <c r="F168" s="15">
        <f>IFERROR(SUMIFS(存条明细!G:G,存条明细!C:C,B168,存条明细!D:D,C168),0)</f>
        <v>258</v>
      </c>
      <c r="G168" s="12">
        <f>IFERROR(SUMIFS(出库明细!E:E,出库明细!C:C,B168,出库明细!D:D,C168),0)</f>
        <v>3</v>
      </c>
      <c r="H168" s="13">
        <f>IFERROR(SUMIFS(出库明细!G:G,出库明细!C:C,B168,出库明细!D:D,C168),0)</f>
        <v>258</v>
      </c>
      <c r="I168" s="25">
        <f t="shared" si="14"/>
        <v>0</v>
      </c>
      <c r="J168" s="13">
        <f t="shared" si="15"/>
        <v>0</v>
      </c>
      <c r="K168" s="23"/>
      <c r="L168" s="2"/>
      <c r="M168" s="2"/>
      <c r="N168" s="2"/>
      <c r="O168" s="2"/>
      <c r="P168" s="2"/>
      <c r="Q168" s="2"/>
      <c r="R168" s="2"/>
      <c r="S168" s="2"/>
      <c r="T168" s="2"/>
    </row>
    <row r="169" ht="15" hidden="1" customHeight="1" spans="1:20">
      <c r="A169" s="14">
        <v>179</v>
      </c>
      <c r="B169" s="27" t="s">
        <v>72</v>
      </c>
      <c r="C169" s="27" t="s">
        <v>107</v>
      </c>
      <c r="D169" s="14">
        <v>26</v>
      </c>
      <c r="E169" s="24">
        <v>93</v>
      </c>
      <c r="F169" s="15">
        <f>IFERROR(SUMIFS(存条明细!G:G,存条明细!C:C,B169,存条明细!D:D,C169),0)</f>
        <v>2325</v>
      </c>
      <c r="G169" s="12">
        <f>IFERROR(SUMIFS(出库明细!E:E,出库明细!C:C,B169,出库明细!D:D,C169),0)</f>
        <v>26</v>
      </c>
      <c r="H169" s="13">
        <f>IFERROR(SUMIFS(出库明细!G:G,出库明细!C:C,B169,出库明细!D:D,C169),0)</f>
        <v>2325</v>
      </c>
      <c r="I169" s="25">
        <f t="shared" si="14"/>
        <v>0</v>
      </c>
      <c r="J169" s="13">
        <f t="shared" si="15"/>
        <v>0</v>
      </c>
      <c r="K169" s="23"/>
      <c r="L169" s="2"/>
      <c r="M169" s="2"/>
      <c r="N169" s="2"/>
      <c r="O169" s="2"/>
      <c r="P169" s="2"/>
      <c r="Q169" s="2"/>
      <c r="R169" s="2"/>
      <c r="S169" s="2"/>
      <c r="T169" s="2"/>
    </row>
    <row r="170" ht="15" hidden="1" customHeight="1" spans="1:20">
      <c r="A170" s="14">
        <v>180</v>
      </c>
      <c r="B170" s="27" t="s">
        <v>72</v>
      </c>
      <c r="C170" s="27" t="s">
        <v>99</v>
      </c>
      <c r="D170" s="14">
        <v>11</v>
      </c>
      <c r="E170" s="24">
        <v>68</v>
      </c>
      <c r="F170" s="15">
        <f>IFERROR(SUMIFS(存条明细!G:G,存条明细!C:C,B170,存条明细!D:D,C170),0)</f>
        <v>680</v>
      </c>
      <c r="G170" s="12">
        <f>IFERROR(SUMIFS(出库明细!E:E,出库明细!C:C,B170,出库明细!D:D,C170),0)</f>
        <v>8</v>
      </c>
      <c r="H170" s="13">
        <f>IFERROR(SUMIFS(出库明细!G:G,出库明细!C:C,B170,出库明细!D:D,C170),0)</f>
        <v>476</v>
      </c>
      <c r="I170" s="25">
        <f t="shared" si="14"/>
        <v>3</v>
      </c>
      <c r="J170" s="13">
        <f t="shared" si="15"/>
        <v>204</v>
      </c>
      <c r="K170" s="23"/>
      <c r="L170" s="2"/>
      <c r="M170" s="2"/>
      <c r="N170" s="2"/>
      <c r="O170" s="2"/>
      <c r="P170" s="2"/>
      <c r="Q170" s="2"/>
      <c r="R170" s="2"/>
      <c r="S170" s="2"/>
      <c r="T170" s="2"/>
    </row>
    <row r="171" ht="15" hidden="1" customHeight="1" spans="1:20">
      <c r="A171" s="14">
        <v>181</v>
      </c>
      <c r="B171" s="27" t="s">
        <v>74</v>
      </c>
      <c r="C171" s="27" t="s">
        <v>107</v>
      </c>
      <c r="D171" s="14">
        <v>25</v>
      </c>
      <c r="E171" s="24">
        <v>93</v>
      </c>
      <c r="F171" s="15">
        <f>IFERROR(SUMIFS(存条明细!G:G,存条明细!C:C,B171,存条明细!D:D,C171),0)</f>
        <v>2325</v>
      </c>
      <c r="G171" s="12">
        <f>IFERROR(SUMIFS(出库明细!E:E,出库明细!C:C,B171,出库明细!D:D,C171),0)</f>
        <v>25</v>
      </c>
      <c r="H171" s="13">
        <f>IFERROR(SUMIFS(出库明细!G:G,出库明细!C:C,B171,出库明细!D:D,C171),0)</f>
        <v>2325</v>
      </c>
      <c r="I171" s="25">
        <f t="shared" si="14"/>
        <v>0</v>
      </c>
      <c r="J171" s="13">
        <f t="shared" si="15"/>
        <v>0</v>
      </c>
      <c r="K171" s="23"/>
      <c r="L171" s="2"/>
      <c r="M171" s="2"/>
      <c r="N171" s="2"/>
      <c r="O171" s="2"/>
      <c r="P171" s="2"/>
      <c r="Q171" s="2"/>
      <c r="R171" s="2"/>
      <c r="S171" s="2"/>
      <c r="T171" s="2"/>
    </row>
    <row r="172" ht="15" hidden="1" customHeight="1" spans="1:20">
      <c r="A172" s="14">
        <v>182</v>
      </c>
      <c r="B172" s="27" t="s">
        <v>75</v>
      </c>
      <c r="C172" s="27" t="s">
        <v>101</v>
      </c>
      <c r="D172" s="14">
        <v>11</v>
      </c>
      <c r="E172" s="24">
        <v>50</v>
      </c>
      <c r="F172" s="15">
        <f>IFERROR(SUMIFS(存条明细!G:G,存条明细!C:C,B172,存条明细!D:D,C172),0)</f>
        <v>500</v>
      </c>
      <c r="G172" s="12">
        <f>IFERROR(SUMIFS(出库明细!E:E,出库明细!C:C,B172,出库明细!D:D,C172),0)</f>
        <v>7</v>
      </c>
      <c r="H172" s="13">
        <f>IFERROR(SUMIFS(出库明细!G:G,出库明细!C:C,B172,出库明细!D:D,C172),0)</f>
        <v>300</v>
      </c>
      <c r="I172" s="25">
        <f t="shared" si="14"/>
        <v>4</v>
      </c>
      <c r="J172" s="13">
        <f t="shared" si="15"/>
        <v>200</v>
      </c>
      <c r="K172" s="23"/>
      <c r="L172" s="2"/>
      <c r="M172" s="2"/>
      <c r="N172" s="2"/>
      <c r="O172" s="2"/>
      <c r="P172" s="2"/>
      <c r="Q172" s="2"/>
      <c r="R172" s="2"/>
      <c r="S172" s="2"/>
      <c r="T172" s="2"/>
    </row>
    <row r="173" ht="15" hidden="1" customHeight="1" spans="1:20">
      <c r="A173" s="14">
        <v>183</v>
      </c>
      <c r="B173" s="27" t="s">
        <v>75</v>
      </c>
      <c r="C173" s="27" t="s">
        <v>103</v>
      </c>
      <c r="D173" s="14">
        <v>10</v>
      </c>
      <c r="E173" s="24">
        <v>46</v>
      </c>
      <c r="F173" s="15">
        <f>IFERROR(SUMIFS(存条明细!G:G,存条明细!C:C,B173,存条明细!D:D,C173),0)</f>
        <v>460</v>
      </c>
      <c r="G173" s="12">
        <f>IFERROR(SUMIFS(出库明细!E:E,出库明细!C:C,B173,出库明细!D:D,C173),0)</f>
        <v>6</v>
      </c>
      <c r="H173" s="13">
        <f>IFERROR(SUMIFS(出库明细!G:G,出库明细!C:C,B173,出库明细!D:D,C173),0)</f>
        <v>276</v>
      </c>
      <c r="I173" s="25">
        <f t="shared" si="14"/>
        <v>4</v>
      </c>
      <c r="J173" s="13">
        <f t="shared" si="15"/>
        <v>184</v>
      </c>
      <c r="K173" s="23"/>
      <c r="L173" s="2"/>
      <c r="M173" s="2"/>
      <c r="N173" s="2"/>
      <c r="O173" s="2"/>
      <c r="P173" s="2"/>
      <c r="Q173" s="2"/>
      <c r="R173" s="2"/>
      <c r="S173" s="2"/>
      <c r="T173" s="2"/>
    </row>
    <row r="174" ht="15" hidden="1" customHeight="1" spans="1:20">
      <c r="A174" s="14">
        <v>185</v>
      </c>
      <c r="B174" s="27" t="s">
        <v>75</v>
      </c>
      <c r="C174" s="27" t="s">
        <v>99</v>
      </c>
      <c r="D174" s="14">
        <v>11</v>
      </c>
      <c r="E174" s="24">
        <v>68</v>
      </c>
      <c r="F174" s="15">
        <f>IFERROR(SUMIFS(存条明细!G:G,存条明细!C:C,B174,存条明细!D:D,C174),0)</f>
        <v>680</v>
      </c>
      <c r="G174" s="12">
        <f>IFERROR(SUMIFS(出库明细!E:E,出库明细!C:C,B174,出库明细!D:D,C174),0)</f>
        <v>1</v>
      </c>
      <c r="H174" s="13">
        <f>IFERROR(SUMIFS(出库明细!G:G,出库明细!C:C,B174,出库明细!D:D,C174),0)</f>
        <v>0</v>
      </c>
      <c r="I174" s="25">
        <f t="shared" si="14"/>
        <v>10</v>
      </c>
      <c r="J174" s="13">
        <f t="shared" si="15"/>
        <v>680</v>
      </c>
      <c r="K174" s="23"/>
      <c r="L174" s="2"/>
      <c r="M174" s="2"/>
      <c r="N174" s="2"/>
      <c r="O174" s="2"/>
      <c r="P174" s="2"/>
      <c r="Q174" s="2"/>
      <c r="R174" s="2"/>
      <c r="S174" s="2"/>
      <c r="T174" s="2"/>
    </row>
    <row r="175" ht="15" hidden="1" customHeight="1" spans="1:20">
      <c r="A175" s="14">
        <v>187</v>
      </c>
      <c r="B175" s="27" t="s">
        <v>75</v>
      </c>
      <c r="C175" s="35" t="s">
        <v>107</v>
      </c>
      <c r="D175" s="14">
        <v>15</v>
      </c>
      <c r="E175" s="24">
        <v>93</v>
      </c>
      <c r="F175" s="15">
        <f>IFERROR(SUMIFS(存条明细!G:G,存条明细!C:C,B175,存条明细!D:D,C175),0)</f>
        <v>1395</v>
      </c>
      <c r="G175" s="12">
        <f>IFERROR(SUMIFS(出库明细!E:E,出库明细!C:C,B175,出库明细!D:D,C175),0)</f>
        <v>0</v>
      </c>
      <c r="H175" s="13">
        <f>IFERROR(SUMIFS(出库明细!G:G,出库明细!C:C,B175,出库明细!D:D,C175),0)</f>
        <v>0</v>
      </c>
      <c r="I175" s="25">
        <f t="shared" si="14"/>
        <v>15</v>
      </c>
      <c r="J175" s="13">
        <f t="shared" si="15"/>
        <v>1395</v>
      </c>
      <c r="K175" s="23"/>
      <c r="L175" s="2"/>
      <c r="M175" s="2"/>
      <c r="N175" s="2"/>
      <c r="O175" s="2"/>
      <c r="P175" s="2"/>
      <c r="Q175" s="2"/>
      <c r="R175" s="2"/>
      <c r="S175" s="2"/>
      <c r="T175" s="2"/>
    </row>
    <row r="176" ht="15" hidden="1" customHeight="1" spans="1:20">
      <c r="A176" s="14">
        <v>188</v>
      </c>
      <c r="B176" s="35" t="s">
        <v>76</v>
      </c>
      <c r="C176" s="35" t="s">
        <v>107</v>
      </c>
      <c r="D176" s="14">
        <v>25</v>
      </c>
      <c r="E176" s="24">
        <v>93</v>
      </c>
      <c r="F176" s="15">
        <f>IFERROR(SUMIFS(存条明细!G:G,存条明细!C:C,B176,存条明细!D:D,C176),0)</f>
        <v>2325</v>
      </c>
      <c r="G176" s="12">
        <f>IFERROR(SUMIFS(出库明细!E:E,出库明细!C:C,B176,出库明细!D:D,C176),0)</f>
        <v>0</v>
      </c>
      <c r="H176" s="13">
        <f>IFERROR(SUMIFS(出库明细!G:G,出库明细!C:C,B176,出库明细!D:D,C176),0)</f>
        <v>0</v>
      </c>
      <c r="I176" s="25">
        <f t="shared" si="14"/>
        <v>25</v>
      </c>
      <c r="J176" s="13">
        <f t="shared" si="15"/>
        <v>2325</v>
      </c>
      <c r="K176" s="23"/>
      <c r="L176" s="2"/>
      <c r="M176" s="2"/>
      <c r="N176" s="2"/>
      <c r="O176" s="2"/>
      <c r="P176" s="2"/>
      <c r="Q176" s="2"/>
      <c r="R176" s="2"/>
      <c r="S176" s="2"/>
      <c r="T176" s="2"/>
    </row>
    <row r="177" ht="15" hidden="1" customHeight="1" spans="1:20">
      <c r="A177" s="14">
        <v>189</v>
      </c>
      <c r="B177" s="35" t="s">
        <v>76</v>
      </c>
      <c r="C177" s="35" t="s">
        <v>99</v>
      </c>
      <c r="D177" s="14">
        <v>5</v>
      </c>
      <c r="E177" s="24">
        <v>68</v>
      </c>
      <c r="F177" s="15">
        <f>IFERROR(SUMIFS(存条明细!G:G,存条明细!C:C,B177,存条明细!D:D,C177),0)</f>
        <v>340</v>
      </c>
      <c r="G177" s="12">
        <f>IFERROR(SUMIFS(出库明细!E:E,出库明细!C:C,B177,出库明细!D:D,C177),0)</f>
        <v>0</v>
      </c>
      <c r="H177" s="13">
        <f>IFERROR(SUMIFS(出库明细!G:G,出库明细!C:C,B177,出库明细!D:D,C177),0)</f>
        <v>0</v>
      </c>
      <c r="I177" s="25">
        <f t="shared" si="14"/>
        <v>5</v>
      </c>
      <c r="J177" s="13">
        <f t="shared" si="15"/>
        <v>340</v>
      </c>
      <c r="K177" s="23"/>
      <c r="L177" s="2"/>
      <c r="M177" s="2"/>
      <c r="N177" s="2"/>
      <c r="O177" s="2"/>
      <c r="P177" s="2"/>
      <c r="Q177" s="2"/>
      <c r="R177" s="2"/>
      <c r="S177" s="2"/>
      <c r="T177" s="2"/>
    </row>
    <row r="178" ht="15" hidden="1" customHeight="1" spans="1:20">
      <c r="A178" s="14">
        <v>190</v>
      </c>
      <c r="B178" s="35" t="s">
        <v>76</v>
      </c>
      <c r="C178" s="35" t="s">
        <v>101</v>
      </c>
      <c r="D178" s="14">
        <v>3</v>
      </c>
      <c r="E178" s="24">
        <v>50</v>
      </c>
      <c r="F178" s="15">
        <f>IFERROR(SUMIFS(存条明细!G:G,存条明细!C:C,B178,存条明细!D:D,C178),0)</f>
        <v>150</v>
      </c>
      <c r="G178" s="12">
        <f>IFERROR(SUMIFS(出库明细!E:E,出库明细!C:C,B178,出库明细!D:D,C178),0)</f>
        <v>3</v>
      </c>
      <c r="H178" s="13">
        <f>IFERROR(SUMIFS(出库明细!G:G,出库明细!C:C,B178,出库明细!D:D,C178),0)</f>
        <v>150</v>
      </c>
      <c r="I178" s="25">
        <f t="shared" si="14"/>
        <v>0</v>
      </c>
      <c r="J178" s="13">
        <f t="shared" si="15"/>
        <v>0</v>
      </c>
      <c r="K178" s="23"/>
      <c r="L178" s="2"/>
      <c r="M178" s="2"/>
      <c r="N178" s="2"/>
      <c r="O178" s="2"/>
      <c r="P178" s="2"/>
      <c r="Q178" s="2"/>
      <c r="R178" s="2"/>
      <c r="S178" s="2"/>
      <c r="T178" s="2"/>
    </row>
    <row r="179" ht="15" hidden="1" customHeight="1" spans="1:20">
      <c r="A179" s="14">
        <v>191</v>
      </c>
      <c r="B179" s="35" t="s">
        <v>76</v>
      </c>
      <c r="C179" s="35" t="s">
        <v>103</v>
      </c>
      <c r="D179" s="14">
        <v>2</v>
      </c>
      <c r="E179" s="24">
        <v>46</v>
      </c>
      <c r="F179" s="15">
        <f>IFERROR(SUMIFS(存条明细!G:G,存条明细!C:C,B179,存条明细!D:D,C179),0)</f>
        <v>92</v>
      </c>
      <c r="G179" s="12">
        <f>IFERROR(SUMIFS(出库明细!E:E,出库明细!C:C,B179,出库明细!D:D,C179),0)</f>
        <v>2</v>
      </c>
      <c r="H179" s="13">
        <f>IFERROR(SUMIFS(出库明细!G:G,出库明细!C:C,B179,出库明细!D:D,C179),0)</f>
        <v>92</v>
      </c>
      <c r="I179" s="25">
        <f t="shared" si="14"/>
        <v>0</v>
      </c>
      <c r="J179" s="13">
        <f t="shared" si="15"/>
        <v>0</v>
      </c>
      <c r="K179" s="23"/>
      <c r="L179" s="2"/>
      <c r="M179" s="2"/>
      <c r="N179" s="2"/>
      <c r="O179" s="2"/>
      <c r="P179" s="2"/>
      <c r="Q179" s="2"/>
      <c r="R179" s="2"/>
      <c r="S179" s="2"/>
      <c r="T179" s="2"/>
    </row>
    <row r="180" ht="15" hidden="1" customHeight="1" spans="1:20">
      <c r="A180" s="14">
        <v>192</v>
      </c>
      <c r="B180" s="27" t="s">
        <v>77</v>
      </c>
      <c r="C180" s="27" t="s">
        <v>107</v>
      </c>
      <c r="D180" s="14">
        <v>15</v>
      </c>
      <c r="E180" s="24">
        <v>93</v>
      </c>
      <c r="F180" s="15">
        <f>IFERROR(SUMIFS(存条明细!G:G,存条明细!C:C,B180,存条明细!D:D,C180),0)</f>
        <v>1395</v>
      </c>
      <c r="G180" s="12">
        <f>IFERROR(SUMIFS(出库明细!E:E,出库明细!C:C,B180,出库明细!D:D,C180),0)</f>
        <v>15</v>
      </c>
      <c r="H180" s="13">
        <f>IFERROR(SUMIFS(出库明细!G:G,出库明细!C:C,B180,出库明细!D:D,C180),0)</f>
        <v>1395</v>
      </c>
      <c r="I180" s="25">
        <f t="shared" si="14"/>
        <v>0</v>
      </c>
      <c r="J180" s="13">
        <f t="shared" si="15"/>
        <v>0</v>
      </c>
      <c r="K180" s="23"/>
      <c r="L180" s="2"/>
      <c r="M180" s="2"/>
      <c r="N180" s="2"/>
      <c r="O180" s="2"/>
      <c r="P180" s="2"/>
      <c r="Q180" s="2"/>
      <c r="R180" s="2"/>
      <c r="S180" s="2"/>
      <c r="T180" s="2"/>
    </row>
    <row r="181" ht="15" hidden="1" customHeight="1" spans="1:20">
      <c r="A181" s="14">
        <v>193</v>
      </c>
      <c r="B181" s="27" t="s">
        <v>77</v>
      </c>
      <c r="C181" s="27" t="s">
        <v>104</v>
      </c>
      <c r="D181" s="14">
        <v>2</v>
      </c>
      <c r="E181" s="24">
        <v>86</v>
      </c>
      <c r="F181" s="15">
        <f>IFERROR(SUMIFS(存条明细!G:G,存条明细!C:C,B181,存条明细!D:D,C181),0)</f>
        <v>172</v>
      </c>
      <c r="G181" s="12">
        <f>IFERROR(SUMIFS(出库明细!E:E,出库明细!C:C,B181,出库明细!D:D,C181),0)</f>
        <v>2</v>
      </c>
      <c r="H181" s="13">
        <f>IFERROR(SUMIFS(出库明细!G:G,出库明细!C:C,B181,出库明细!D:D,C181),0)</f>
        <v>172</v>
      </c>
      <c r="I181" s="25">
        <f t="shared" si="14"/>
        <v>0</v>
      </c>
      <c r="J181" s="13">
        <f t="shared" si="15"/>
        <v>0</v>
      </c>
      <c r="K181" s="23"/>
      <c r="L181" s="2"/>
      <c r="M181" s="2"/>
      <c r="N181" s="2"/>
      <c r="O181" s="2"/>
      <c r="P181" s="2"/>
      <c r="Q181" s="2"/>
      <c r="R181" s="2"/>
      <c r="S181" s="2"/>
      <c r="T181" s="2"/>
    </row>
    <row r="182" ht="15" hidden="1" customHeight="1" spans="1:20">
      <c r="A182" s="14">
        <v>194</v>
      </c>
      <c r="B182" s="35" t="s">
        <v>78</v>
      </c>
      <c r="C182" s="27" t="s">
        <v>107</v>
      </c>
      <c r="D182" s="14">
        <v>50</v>
      </c>
      <c r="E182" s="24">
        <v>90</v>
      </c>
      <c r="F182" s="15">
        <f>IFERROR(SUMIFS(存条明细!G:G,存条明细!C:C,B182,存条明细!D:D,C182),0)</f>
        <v>4500</v>
      </c>
      <c r="G182" s="12">
        <f>IFERROR(SUMIFS(出库明细!E:E,出库明细!C:C,B182,出库明细!D:D,C182),0)</f>
        <v>0</v>
      </c>
      <c r="H182" s="13">
        <f>IFERROR(SUMIFS(出库明细!G:G,出库明细!C:C,B182,出库明细!D:D,C182),0)</f>
        <v>0</v>
      </c>
      <c r="I182" s="25">
        <f t="shared" si="14"/>
        <v>50</v>
      </c>
      <c r="J182" s="13">
        <f t="shared" si="15"/>
        <v>4500</v>
      </c>
      <c r="K182" s="23"/>
      <c r="L182" s="2"/>
      <c r="M182" s="2"/>
      <c r="N182" s="2"/>
      <c r="O182" s="2"/>
      <c r="P182" s="2"/>
      <c r="Q182" s="2"/>
      <c r="R182" s="2"/>
      <c r="S182" s="2"/>
      <c r="T182" s="2"/>
    </row>
    <row r="183" ht="15" hidden="1" customHeight="1" spans="1:20">
      <c r="A183" s="14">
        <v>195</v>
      </c>
      <c r="B183" s="35" t="s">
        <v>79</v>
      </c>
      <c r="C183" s="27" t="s">
        <v>107</v>
      </c>
      <c r="D183" s="14">
        <v>100</v>
      </c>
      <c r="E183" s="24">
        <v>90</v>
      </c>
      <c r="F183" s="15">
        <f>IFERROR(SUMIFS(存条明细!G:G,存条明细!C:C,B183,存条明细!D:D,C183),0)</f>
        <v>9000</v>
      </c>
      <c r="G183" s="12">
        <f>IFERROR(SUMIFS(出库明细!E:E,出库明细!C:C,B183,出库明细!D:D,C183),0)</f>
        <v>50</v>
      </c>
      <c r="H183" s="13">
        <f>IFERROR(SUMIFS(出库明细!G:G,出库明细!C:C,B183,出库明细!D:D,C183),0)</f>
        <v>4500</v>
      </c>
      <c r="I183" s="25">
        <f t="shared" si="14"/>
        <v>50</v>
      </c>
      <c r="J183" s="13">
        <f t="shared" si="15"/>
        <v>4500</v>
      </c>
      <c r="K183" s="23"/>
      <c r="L183" s="2"/>
      <c r="M183" s="2"/>
      <c r="N183" s="2"/>
      <c r="O183" s="2"/>
      <c r="P183" s="2"/>
      <c r="Q183" s="2"/>
      <c r="R183" s="2"/>
      <c r="S183" s="2"/>
      <c r="T183" s="2"/>
    </row>
    <row r="184" ht="15" hidden="1" customHeight="1" spans="1:20">
      <c r="A184" s="14">
        <v>196</v>
      </c>
      <c r="B184" s="35" t="s">
        <v>192</v>
      </c>
      <c r="C184" s="27" t="s">
        <v>107</v>
      </c>
      <c r="D184" s="14">
        <v>100</v>
      </c>
      <c r="E184" s="24">
        <v>90</v>
      </c>
      <c r="F184" s="15">
        <f>IFERROR(SUMIFS(存条明细!G:G,存条明细!C:C,B184,存条明细!D:D,C184),0)</f>
        <v>9000</v>
      </c>
      <c r="G184" s="12">
        <f>IFERROR(SUMIFS(出库明细!E:E,出库明细!C:C,B184,出库明细!D:D,C184),0)</f>
        <v>0</v>
      </c>
      <c r="H184" s="13">
        <f>IFERROR(SUMIFS(出库明细!G:G,出库明细!C:C,B184,出库明细!D:D,C184),0)</f>
        <v>0</v>
      </c>
      <c r="I184" s="25">
        <f t="shared" si="14"/>
        <v>100</v>
      </c>
      <c r="J184" s="13">
        <f t="shared" si="15"/>
        <v>9000</v>
      </c>
      <c r="K184" s="23"/>
      <c r="L184" s="2"/>
      <c r="M184" s="2"/>
      <c r="N184" s="2"/>
      <c r="O184" s="2"/>
      <c r="P184" s="2"/>
      <c r="Q184" s="2"/>
      <c r="R184" s="2"/>
      <c r="S184" s="2"/>
      <c r="T184" s="2"/>
    </row>
    <row r="185" ht="15" hidden="1" customHeight="1" spans="1:20">
      <c r="A185" s="14">
        <v>197</v>
      </c>
      <c r="B185" s="35" t="s">
        <v>192</v>
      </c>
      <c r="C185" s="27" t="s">
        <v>102</v>
      </c>
      <c r="D185" s="14">
        <v>20</v>
      </c>
      <c r="E185" s="24">
        <v>55</v>
      </c>
      <c r="F185" s="15">
        <f>IFERROR(SUMIFS(存条明细!G:G,存条明细!C:C,B185,存条明细!D:D,C185),0)</f>
        <v>1100</v>
      </c>
      <c r="G185" s="12">
        <f>IFERROR(SUMIFS(出库明细!E:E,出库明细!C:C,B185,出库明细!D:D,C185),0)</f>
        <v>0</v>
      </c>
      <c r="H185" s="13">
        <f>IFERROR(SUMIFS(出库明细!G:G,出库明细!C:C,B185,出库明细!D:D,C185),0)</f>
        <v>0</v>
      </c>
      <c r="I185" s="25">
        <f t="shared" si="14"/>
        <v>20</v>
      </c>
      <c r="J185" s="13">
        <f t="shared" si="15"/>
        <v>1100</v>
      </c>
      <c r="K185" s="23"/>
      <c r="L185" s="2"/>
      <c r="M185" s="2"/>
      <c r="N185" s="2"/>
      <c r="O185" s="2"/>
      <c r="P185" s="2"/>
      <c r="Q185" s="2"/>
      <c r="R185" s="2"/>
      <c r="S185" s="2"/>
      <c r="T185" s="2"/>
    </row>
    <row r="186" ht="15" hidden="1" customHeight="1" spans="1:20">
      <c r="A186" s="14">
        <v>198</v>
      </c>
      <c r="B186" s="27" t="s">
        <v>44</v>
      </c>
      <c r="C186" s="27" t="s">
        <v>102</v>
      </c>
      <c r="D186" s="14">
        <v>103</v>
      </c>
      <c r="E186" s="24">
        <v>55</v>
      </c>
      <c r="F186" s="15">
        <f>IFERROR(SUMIFS(存条明细!G:G,存条明细!C:C,B186,存条明细!D:D,C186),0)</f>
        <v>5500</v>
      </c>
      <c r="G186" s="12">
        <f>IFERROR(SUMIFS(出库明细!E:E,出库明细!C:C,B186,出库明细!D:D,C186),0)</f>
        <v>100</v>
      </c>
      <c r="H186" s="13">
        <f>IFERROR(SUMIFS(出库明细!G:G,出库明细!C:C,B186,出库明细!D:D,C186),0)</f>
        <v>5500</v>
      </c>
      <c r="I186" s="25">
        <f t="shared" si="14"/>
        <v>3</v>
      </c>
      <c r="J186" s="13">
        <f t="shared" si="15"/>
        <v>0</v>
      </c>
      <c r="K186" s="23"/>
      <c r="L186" s="2"/>
      <c r="M186" s="2"/>
      <c r="N186" s="2"/>
      <c r="O186" s="2"/>
      <c r="P186" s="2"/>
      <c r="Q186" s="2"/>
      <c r="R186" s="2"/>
      <c r="S186" s="2"/>
      <c r="T186" s="2"/>
    </row>
    <row r="187" ht="15" hidden="1" customHeight="1" spans="1:20">
      <c r="A187" s="14">
        <v>199</v>
      </c>
      <c r="B187" s="27" t="s">
        <v>44</v>
      </c>
      <c r="C187" s="27" t="s">
        <v>101</v>
      </c>
      <c r="D187" s="14">
        <v>103</v>
      </c>
      <c r="E187" s="24">
        <v>47</v>
      </c>
      <c r="F187" s="15">
        <f>IFERROR(SUMIFS(存条明细!G:G,存条明细!C:C,B187,存条明细!D:D,C187),0)</f>
        <v>4700</v>
      </c>
      <c r="G187" s="12">
        <f>IFERROR(SUMIFS(出库明细!E:E,出库明细!C:C,B187,出库明细!D:D,C187),0)</f>
        <v>100</v>
      </c>
      <c r="H187" s="13">
        <f>IFERROR(SUMIFS(出库明细!G:G,出库明细!C:C,B187,出库明细!D:D,C187),0)</f>
        <v>4700</v>
      </c>
      <c r="I187" s="25">
        <f t="shared" si="14"/>
        <v>3</v>
      </c>
      <c r="J187" s="13">
        <f t="shared" si="15"/>
        <v>0</v>
      </c>
      <c r="K187" s="23"/>
      <c r="L187" s="2"/>
      <c r="M187" s="2"/>
      <c r="N187" s="2"/>
      <c r="O187" s="2"/>
      <c r="P187" s="2"/>
      <c r="Q187" s="2"/>
      <c r="R187" s="2"/>
      <c r="S187" s="2"/>
      <c r="T187" s="2"/>
    </row>
    <row r="188" ht="15" hidden="1" customHeight="1" spans="1:20">
      <c r="A188" s="14">
        <v>200</v>
      </c>
      <c r="B188" s="27" t="s">
        <v>44</v>
      </c>
      <c r="C188" s="27" t="s">
        <v>103</v>
      </c>
      <c r="D188" s="14">
        <v>36</v>
      </c>
      <c r="E188" s="24">
        <v>43</v>
      </c>
      <c r="F188" s="15">
        <f>IFERROR(SUMIFS(存条明细!G:G,存条明细!C:C,B188,存条明细!D:D,C188),0)</f>
        <v>1505</v>
      </c>
      <c r="G188" s="12">
        <f>IFERROR(SUMIFS(出库明细!E:E,出库明细!C:C,B188,出库明细!D:D,C188),0)</f>
        <v>43</v>
      </c>
      <c r="H188" s="13">
        <f>IFERROR(SUMIFS(出库明细!G:G,出库明细!C:C,B188,出库明细!D:D,C188),0)</f>
        <v>1849</v>
      </c>
      <c r="I188" s="25">
        <f t="shared" si="14"/>
        <v>-7</v>
      </c>
      <c r="J188" s="13">
        <f t="shared" si="15"/>
        <v>-344</v>
      </c>
      <c r="K188" s="23"/>
      <c r="L188" s="2"/>
      <c r="M188" s="2"/>
      <c r="N188" s="2"/>
      <c r="O188" s="2"/>
      <c r="P188" s="2"/>
      <c r="Q188" s="2"/>
      <c r="R188" s="2"/>
      <c r="S188" s="2"/>
      <c r="T188" s="2"/>
    </row>
    <row r="189" ht="15" hidden="1" customHeight="1" spans="1:20">
      <c r="A189" s="14">
        <v>201</v>
      </c>
      <c r="B189" s="35" t="s">
        <v>81</v>
      </c>
      <c r="C189" s="27" t="s">
        <v>107</v>
      </c>
      <c r="D189" s="14">
        <v>25</v>
      </c>
      <c r="E189" s="24">
        <v>93</v>
      </c>
      <c r="F189" s="15">
        <f>IFERROR(SUMIFS(存条明细!G:G,存条明细!C:C,B189,存条明细!D:D,C189),0)</f>
        <v>2325</v>
      </c>
      <c r="G189" s="12">
        <f>IFERROR(SUMIFS(出库明细!E:E,出库明细!C:C,B189,出库明细!D:D,C189),0)</f>
        <v>25</v>
      </c>
      <c r="H189" s="13">
        <f>IFERROR(SUMIFS(出库明细!G:G,出库明细!C:C,B189,出库明细!D:D,C189),0)</f>
        <v>2325</v>
      </c>
      <c r="I189" s="25">
        <f t="shared" si="14"/>
        <v>0</v>
      </c>
      <c r="J189" s="13">
        <f t="shared" si="15"/>
        <v>0</v>
      </c>
      <c r="K189" s="23"/>
      <c r="L189" s="2"/>
      <c r="M189" s="2"/>
      <c r="N189" s="2"/>
      <c r="O189" s="2"/>
      <c r="P189" s="2"/>
      <c r="Q189" s="2"/>
      <c r="R189" s="2"/>
      <c r="S189" s="2"/>
      <c r="T189" s="2"/>
    </row>
    <row r="190" ht="15" hidden="1" customHeight="1" spans="1:20">
      <c r="A190" s="14">
        <v>202</v>
      </c>
      <c r="B190" s="35" t="s">
        <v>82</v>
      </c>
      <c r="C190" s="27" t="s">
        <v>107</v>
      </c>
      <c r="D190" s="14">
        <v>20</v>
      </c>
      <c r="E190" s="24">
        <v>93</v>
      </c>
      <c r="F190" s="15">
        <f>IFERROR(SUMIFS(存条明细!G:G,存条明细!C:C,B190,存条明细!D:D,C190),0)</f>
        <v>1860</v>
      </c>
      <c r="G190" s="12">
        <f>IFERROR(SUMIFS(出库明细!E:E,出库明细!C:C,B190,出库明细!D:D,C190),0)</f>
        <v>20</v>
      </c>
      <c r="H190" s="13">
        <f>IFERROR(SUMIFS(出库明细!G:G,出库明细!C:C,B190,出库明细!D:D,C190),0)</f>
        <v>1860</v>
      </c>
      <c r="I190" s="25">
        <f t="shared" si="14"/>
        <v>0</v>
      </c>
      <c r="J190" s="13">
        <f t="shared" si="15"/>
        <v>0</v>
      </c>
      <c r="K190" s="23"/>
      <c r="L190" s="2"/>
      <c r="M190" s="2"/>
      <c r="N190" s="2"/>
      <c r="O190" s="2"/>
      <c r="P190" s="2"/>
      <c r="Q190" s="2"/>
      <c r="R190" s="2"/>
      <c r="S190" s="2"/>
      <c r="T190" s="2"/>
    </row>
    <row r="191" ht="15" hidden="1" customHeight="1" spans="1:20">
      <c r="A191" s="14">
        <v>203</v>
      </c>
      <c r="B191" s="36" t="s">
        <v>83</v>
      </c>
      <c r="C191" s="27" t="s">
        <v>107</v>
      </c>
      <c r="D191" s="14">
        <v>50</v>
      </c>
      <c r="E191" s="24">
        <v>90</v>
      </c>
      <c r="F191" s="15">
        <f>IFERROR(SUMIFS(存条明细!G:G,存条明细!C:C,B191,存条明细!D:D,C191),0)</f>
        <v>4500</v>
      </c>
      <c r="G191" s="12">
        <f>IFERROR(SUMIFS(出库明细!E:E,出库明细!C:C,B191,出库明细!D:D,C191),0)</f>
        <v>0</v>
      </c>
      <c r="H191" s="13">
        <f>IFERROR(SUMIFS(出库明细!G:G,出库明细!C:C,B191,出库明细!D:D,C191),0)</f>
        <v>0</v>
      </c>
      <c r="I191" s="25">
        <f t="shared" si="14"/>
        <v>50</v>
      </c>
      <c r="J191" s="13">
        <f t="shared" si="15"/>
        <v>4500</v>
      </c>
      <c r="K191" s="23"/>
      <c r="L191" s="2"/>
      <c r="M191" s="2"/>
      <c r="N191" s="2"/>
      <c r="O191" s="2"/>
      <c r="P191" s="2"/>
      <c r="Q191" s="2"/>
      <c r="R191" s="2"/>
      <c r="S191" s="2"/>
      <c r="T191" s="2"/>
    </row>
    <row r="192" ht="15" hidden="1" customHeight="1" spans="1:20">
      <c r="A192" s="14">
        <v>204</v>
      </c>
      <c r="B192" s="27" t="s">
        <v>16</v>
      </c>
      <c r="C192" s="27" t="s">
        <v>193</v>
      </c>
      <c r="D192" s="14">
        <v>50</v>
      </c>
      <c r="E192" s="24">
        <v>42</v>
      </c>
      <c r="F192" s="15">
        <f>IFERROR(SUMIFS(存条明细!G:G,存条明细!C:C,B192,存条明细!D:D,C192),0)</f>
        <v>2100</v>
      </c>
      <c r="G192" s="12">
        <f>IFERROR(SUMIFS(出库明细!E:E,出库明细!C:C,B192,出库明细!D:D,C192),0)</f>
        <v>0</v>
      </c>
      <c r="H192" s="13">
        <f>IFERROR(SUMIFS(出库明细!G:G,出库明细!C:C,B192,出库明细!D:D,C192),0)</f>
        <v>0</v>
      </c>
      <c r="I192" s="25">
        <f t="shared" si="14"/>
        <v>50</v>
      </c>
      <c r="J192" s="13">
        <f t="shared" si="15"/>
        <v>2100</v>
      </c>
      <c r="K192" s="23"/>
      <c r="L192" s="2"/>
      <c r="M192" s="2"/>
      <c r="N192" s="2"/>
      <c r="O192" s="2"/>
      <c r="P192" s="2"/>
      <c r="Q192" s="2"/>
      <c r="R192" s="2"/>
      <c r="S192" s="2"/>
      <c r="T192" s="2"/>
    </row>
    <row r="193" ht="15" hidden="1" customHeight="1" spans="1:20">
      <c r="A193" s="14">
        <v>205</v>
      </c>
      <c r="B193" s="35" t="s">
        <v>84</v>
      </c>
      <c r="C193" s="27" t="s">
        <v>101</v>
      </c>
      <c r="D193" s="14">
        <v>10</v>
      </c>
      <c r="E193" s="24">
        <v>50</v>
      </c>
      <c r="F193" s="15">
        <f>IFERROR(SUMIFS(存条明细!G:G,存条明细!C:C,B193,存条明细!D:D,C193),0)</f>
        <v>500</v>
      </c>
      <c r="G193" s="12">
        <f>IFERROR(SUMIFS(出库明细!E:E,出库明细!C:C,B193,出库明细!D:D,C193),0)</f>
        <v>0</v>
      </c>
      <c r="H193" s="13">
        <f>IFERROR(SUMIFS(出库明细!G:G,出库明细!C:C,B193,出库明细!D:D,C193),0)</f>
        <v>0</v>
      </c>
      <c r="I193" s="25">
        <f t="shared" si="14"/>
        <v>10</v>
      </c>
      <c r="J193" s="13">
        <f t="shared" si="15"/>
        <v>500</v>
      </c>
      <c r="K193" s="23"/>
      <c r="L193" s="2"/>
      <c r="M193" s="2"/>
      <c r="N193" s="2"/>
      <c r="O193" s="2"/>
      <c r="P193" s="2"/>
      <c r="Q193" s="2"/>
      <c r="R193" s="2"/>
      <c r="S193" s="2"/>
      <c r="T193" s="2"/>
    </row>
    <row r="194" ht="15" hidden="1" customHeight="1" spans="1:20">
      <c r="A194" s="14">
        <v>206</v>
      </c>
      <c r="B194" s="35" t="s">
        <v>84</v>
      </c>
      <c r="C194" s="27" t="s">
        <v>103</v>
      </c>
      <c r="D194" s="14">
        <v>10</v>
      </c>
      <c r="E194" s="24">
        <v>46</v>
      </c>
      <c r="F194" s="15">
        <f>IFERROR(SUMIFS(存条明细!G:G,存条明细!C:C,B194,存条明细!D:D,C194),0)</f>
        <v>460</v>
      </c>
      <c r="G194" s="12">
        <f>IFERROR(SUMIFS(出库明细!E:E,出库明细!C:C,B194,出库明细!D:D,C194),0)</f>
        <v>0</v>
      </c>
      <c r="H194" s="13">
        <f>IFERROR(SUMIFS(出库明细!G:G,出库明细!C:C,B194,出库明细!D:D,C194),0)</f>
        <v>0</v>
      </c>
      <c r="I194" s="25">
        <f t="shared" si="14"/>
        <v>10</v>
      </c>
      <c r="J194" s="13">
        <f t="shared" si="15"/>
        <v>460</v>
      </c>
      <c r="K194" s="23"/>
      <c r="L194" s="2"/>
      <c r="M194" s="2"/>
      <c r="N194" s="2"/>
      <c r="O194" s="2"/>
      <c r="P194" s="2"/>
      <c r="Q194" s="2"/>
      <c r="R194" s="2"/>
      <c r="S194" s="2"/>
      <c r="T194" s="2"/>
    </row>
    <row r="195" ht="15" hidden="1" customHeight="1" spans="1:20">
      <c r="A195" s="14">
        <v>207</v>
      </c>
      <c r="B195" s="35" t="s">
        <v>84</v>
      </c>
      <c r="C195" s="27" t="s">
        <v>99</v>
      </c>
      <c r="D195" s="14">
        <v>10</v>
      </c>
      <c r="E195" s="24">
        <v>68</v>
      </c>
      <c r="F195" s="15">
        <f>IFERROR(SUMIFS(存条明细!G:G,存条明细!C:C,B195,存条明细!D:D,C195),0)</f>
        <v>680</v>
      </c>
      <c r="G195" s="12">
        <f>IFERROR(SUMIFS(出库明细!E:E,出库明细!C:C,B195,出库明细!D:D,C195),0)</f>
        <v>0</v>
      </c>
      <c r="H195" s="13">
        <f>IFERROR(SUMIFS(出库明细!G:G,出库明细!C:C,B195,出库明细!D:D,C195),0)</f>
        <v>0</v>
      </c>
      <c r="I195" s="25">
        <f t="shared" si="14"/>
        <v>10</v>
      </c>
      <c r="J195" s="13">
        <f t="shared" si="15"/>
        <v>680</v>
      </c>
      <c r="K195" s="23"/>
      <c r="L195" s="2"/>
      <c r="M195" s="2"/>
      <c r="N195" s="2"/>
      <c r="O195" s="2"/>
      <c r="P195" s="2"/>
      <c r="Q195" s="2"/>
      <c r="R195" s="2"/>
      <c r="S195" s="2"/>
      <c r="T195" s="2"/>
    </row>
    <row r="196" ht="15" hidden="1" customHeight="1" spans="1:20">
      <c r="A196" s="14">
        <v>208</v>
      </c>
      <c r="B196" s="35" t="s">
        <v>85</v>
      </c>
      <c r="C196" s="27" t="s">
        <v>107</v>
      </c>
      <c r="D196" s="14">
        <v>25</v>
      </c>
      <c r="E196" s="24">
        <v>93</v>
      </c>
      <c r="F196" s="15">
        <f>IFERROR(SUMIFS(存条明细!G:G,存条明细!C:C,B196,存条明细!D:D,C196),0)</f>
        <v>2325</v>
      </c>
      <c r="G196" s="12">
        <f>IFERROR(SUMIFS(出库明细!E:E,出库明细!C:C,B196,出库明细!D:D,C196),0)</f>
        <v>25</v>
      </c>
      <c r="H196" s="13">
        <f>IFERROR(SUMIFS(出库明细!G:G,出库明细!C:C,B196,出库明细!D:D,C196),0)</f>
        <v>2325</v>
      </c>
      <c r="I196" s="25">
        <f t="shared" si="14"/>
        <v>0</v>
      </c>
      <c r="J196" s="13">
        <f t="shared" si="15"/>
        <v>0</v>
      </c>
      <c r="K196" s="23"/>
      <c r="L196" s="2"/>
      <c r="M196" s="2"/>
      <c r="N196" s="2"/>
      <c r="O196" s="2"/>
      <c r="P196" s="2"/>
      <c r="Q196" s="2"/>
      <c r="R196" s="2"/>
      <c r="S196" s="2"/>
      <c r="T196" s="2"/>
    </row>
    <row r="197" ht="15" hidden="1" customHeight="1" spans="1:20">
      <c r="A197" s="14"/>
      <c r="B197" s="35" t="s">
        <v>86</v>
      </c>
      <c r="C197" s="27" t="s">
        <v>124</v>
      </c>
      <c r="D197" s="14">
        <v>5</v>
      </c>
      <c r="E197" s="24">
        <v>21.5</v>
      </c>
      <c r="F197" s="15">
        <f>IFERROR(SUMIFS(存条明细!G:G,存条明细!C:C,B197,存条明细!D:D,C197),0)</f>
        <v>107.5</v>
      </c>
      <c r="G197" s="12">
        <f>IFERROR(SUMIFS(出库明细!E:E,出库明细!C:C,B197,出库明细!D:D,C197),0)</f>
        <v>0</v>
      </c>
      <c r="H197" s="13">
        <f>IFERROR(SUMIFS(出库明细!G:G,出库明细!C:C,B197,出库明细!D:D,C197),0)</f>
        <v>0</v>
      </c>
      <c r="I197" s="25">
        <f t="shared" si="14"/>
        <v>5</v>
      </c>
      <c r="J197" s="13">
        <f t="shared" si="15"/>
        <v>107.5</v>
      </c>
      <c r="K197" s="23"/>
      <c r="L197" s="2"/>
      <c r="M197" s="2"/>
      <c r="N197" s="2"/>
      <c r="O197" s="2"/>
      <c r="P197" s="2"/>
      <c r="Q197" s="2"/>
      <c r="R197" s="2"/>
      <c r="S197" s="2"/>
      <c r="T197" s="2"/>
    </row>
    <row r="198" ht="14" hidden="1" customHeight="1" spans="1:20">
      <c r="A198" s="14"/>
      <c r="B198" s="14" t="s">
        <v>27</v>
      </c>
      <c r="C198" s="14" t="s">
        <v>99</v>
      </c>
      <c r="D198" s="14">
        <v>18</v>
      </c>
      <c r="E198" s="24">
        <v>65</v>
      </c>
      <c r="F198" s="15">
        <f>IFERROR(SUMIFS(存条明细!G:G,存条明细!C:C,B198,存条明细!D:D,C198),0)</f>
        <v>1137.5</v>
      </c>
      <c r="G198" s="12">
        <f>IFERROR(SUMIFS(出库明细!E:E,出库明细!C:C,B198,出库明细!D:D,C198),0)</f>
        <v>18</v>
      </c>
      <c r="H198" s="13">
        <f>IFERROR(SUMIFS(出库明细!G:G,出库明细!C:C,B198,出库明细!D:D,C198),0)</f>
        <v>1170</v>
      </c>
      <c r="I198" s="25">
        <f t="shared" si="14"/>
        <v>0</v>
      </c>
      <c r="J198" s="13">
        <f t="shared" si="15"/>
        <v>-32.5</v>
      </c>
      <c r="K198" s="23"/>
      <c r="L198" s="2"/>
      <c r="M198" s="2"/>
      <c r="N198" s="2"/>
      <c r="O198" s="2"/>
      <c r="P198" s="2"/>
      <c r="Q198" s="2"/>
      <c r="R198" s="2"/>
      <c r="S198" s="2"/>
      <c r="T198" s="2"/>
    </row>
    <row r="199" ht="14" hidden="1" customHeight="1" spans="1:20">
      <c r="A199" s="14"/>
      <c r="B199" s="14" t="s">
        <v>42</v>
      </c>
      <c r="C199" s="14" t="s">
        <v>193</v>
      </c>
      <c r="D199" s="14">
        <v>50</v>
      </c>
      <c r="E199" s="24">
        <v>42</v>
      </c>
      <c r="F199" s="15">
        <f>IFERROR(SUMIFS(存条明细!G:G,存条明细!C:C,B199,存条明细!D:D,C199),0)</f>
        <v>2100</v>
      </c>
      <c r="G199" s="12">
        <f>IFERROR(SUMIFS(出库明细!E:E,出库明细!C:C,B199,出库明细!D:D,C199),0)</f>
        <v>0</v>
      </c>
      <c r="H199" s="13">
        <f>IFERROR(SUMIFS(出库明细!G:G,出库明细!C:C,B199,出库明细!D:D,C199),0)</f>
        <v>0</v>
      </c>
      <c r="I199" s="25">
        <f t="shared" si="14"/>
        <v>50</v>
      </c>
      <c r="J199" s="13">
        <f t="shared" si="15"/>
        <v>2100</v>
      </c>
      <c r="K199" s="23"/>
      <c r="L199" s="2"/>
      <c r="M199" s="2"/>
      <c r="N199" s="2"/>
      <c r="O199" s="2"/>
      <c r="P199" s="2"/>
      <c r="Q199" s="2"/>
      <c r="R199" s="2"/>
      <c r="S199" s="2"/>
      <c r="T199" s="2"/>
    </row>
    <row r="200" ht="14" hidden="1" customHeight="1" spans="1:20">
      <c r="A200" s="14"/>
      <c r="B200" s="35" t="s">
        <v>87</v>
      </c>
      <c r="C200" s="14" t="s">
        <v>107</v>
      </c>
      <c r="D200" s="14">
        <v>30</v>
      </c>
      <c r="E200" s="24">
        <v>93</v>
      </c>
      <c r="F200" s="15">
        <f>IFERROR(SUMIFS(存条明细!G:G,存条明细!C:C,B200,存条明细!D:D,C200),0)</f>
        <v>2790</v>
      </c>
      <c r="G200" s="12">
        <f>IFERROR(SUMIFS(出库明细!E:E,出库明细!C:C,B200,出库明细!D:D,C200),0)</f>
        <v>0</v>
      </c>
      <c r="H200" s="13">
        <f>IFERROR(SUMIFS(出库明细!G:G,出库明细!C:C,B200,出库明细!D:D,C200),0)</f>
        <v>0</v>
      </c>
      <c r="I200" s="25">
        <f t="shared" si="14"/>
        <v>30</v>
      </c>
      <c r="J200" s="13">
        <f t="shared" si="15"/>
        <v>2790</v>
      </c>
      <c r="K200" s="23"/>
      <c r="L200" s="2"/>
      <c r="M200" s="2"/>
      <c r="N200" s="2"/>
      <c r="O200" s="2"/>
      <c r="P200" s="2"/>
      <c r="Q200" s="2"/>
      <c r="R200" s="2"/>
      <c r="S200" s="2"/>
      <c r="T200" s="2"/>
    </row>
    <row r="201" ht="14" hidden="1" customHeight="1" spans="1:20">
      <c r="A201" s="14"/>
      <c r="B201" s="35" t="s">
        <v>88</v>
      </c>
      <c r="C201" s="14" t="s">
        <v>107</v>
      </c>
      <c r="D201" s="14">
        <v>50</v>
      </c>
      <c r="E201" s="24">
        <v>90</v>
      </c>
      <c r="F201" s="15">
        <f>IFERROR(SUMIFS(存条明细!G:G,存条明细!C:C,B201,存条明细!D:D,C201),0)</f>
        <v>4500</v>
      </c>
      <c r="G201" s="12">
        <f>IFERROR(SUMIFS(出库明细!E:E,出库明细!C:C,B201,出库明细!D:D,C201),0)</f>
        <v>0</v>
      </c>
      <c r="H201" s="13">
        <f>IFERROR(SUMIFS(出库明细!G:G,出库明细!C:C,B201,出库明细!D:D,C201),0)</f>
        <v>0</v>
      </c>
      <c r="I201" s="25">
        <f t="shared" si="14"/>
        <v>50</v>
      </c>
      <c r="J201" s="13">
        <f t="shared" si="15"/>
        <v>4500</v>
      </c>
      <c r="K201" s="23"/>
      <c r="L201" s="2"/>
      <c r="M201" s="2"/>
      <c r="N201" s="2"/>
      <c r="O201" s="2"/>
      <c r="P201" s="2"/>
      <c r="Q201" s="2"/>
      <c r="R201" s="2"/>
      <c r="S201" s="2"/>
      <c r="T201" s="2"/>
    </row>
    <row r="202" ht="14" hidden="1" customHeight="1" spans="1:20">
      <c r="A202" s="14"/>
      <c r="B202" s="35" t="s">
        <v>89</v>
      </c>
      <c r="C202" s="14" t="s">
        <v>107</v>
      </c>
      <c r="D202" s="14">
        <v>30</v>
      </c>
      <c r="E202" s="24">
        <v>90</v>
      </c>
      <c r="F202" s="15">
        <f>IFERROR(SUMIFS(存条明细!G:G,存条明细!C:C,B202,存条明细!D:D,C202),0)</f>
        <v>2700</v>
      </c>
      <c r="G202" s="12">
        <f>IFERROR(SUMIFS(出库明细!E:E,出库明细!C:C,B202,出库明细!D:D,C202),0)</f>
        <v>0</v>
      </c>
      <c r="H202" s="13">
        <f>IFERROR(SUMIFS(出库明细!G:G,出库明细!C:C,B202,出库明细!D:D,C202),0)</f>
        <v>0</v>
      </c>
      <c r="I202" s="25">
        <f t="shared" si="14"/>
        <v>30</v>
      </c>
      <c r="J202" s="13">
        <f t="shared" si="15"/>
        <v>2700</v>
      </c>
      <c r="K202" s="23"/>
      <c r="L202" s="2"/>
      <c r="M202" s="2"/>
      <c r="N202" s="2"/>
      <c r="O202" s="2"/>
      <c r="P202" s="2"/>
      <c r="Q202" s="2"/>
      <c r="R202" s="2"/>
      <c r="S202" s="2"/>
      <c r="T202" s="2"/>
    </row>
    <row r="203" ht="14" hidden="1" customHeight="1" spans="1:20">
      <c r="A203" s="14"/>
      <c r="B203" s="35" t="s">
        <v>90</v>
      </c>
      <c r="C203" s="35" t="s">
        <v>194</v>
      </c>
      <c r="D203" s="14">
        <v>250</v>
      </c>
      <c r="E203" s="24">
        <v>7.6</v>
      </c>
      <c r="F203" s="15">
        <f>IFERROR(SUMIFS(存条明细!G:G,存条明细!C:C,B203,存条明细!D:D,C203),0)</f>
        <v>1900</v>
      </c>
      <c r="G203" s="12">
        <f>IFERROR(SUMIFS(出库明细!E:E,出库明细!C:C,B203,出库明细!D:D,C203),0)</f>
        <v>0</v>
      </c>
      <c r="H203" s="13">
        <f>IFERROR(SUMIFS(出库明细!G:G,出库明细!C:C,B203,出库明细!D:D,C203),0)</f>
        <v>0</v>
      </c>
      <c r="I203" s="25">
        <f t="shared" si="14"/>
        <v>250</v>
      </c>
      <c r="J203" s="13">
        <f t="shared" si="15"/>
        <v>1900</v>
      </c>
      <c r="K203" s="23"/>
      <c r="L203" s="2"/>
      <c r="M203" s="2"/>
      <c r="N203" s="2"/>
      <c r="O203" s="2"/>
      <c r="P203" s="2"/>
      <c r="Q203" s="2"/>
      <c r="R203" s="2"/>
      <c r="S203" s="2"/>
      <c r="T203" s="2"/>
    </row>
    <row r="204" ht="14" hidden="1" customHeight="1" spans="1:20">
      <c r="A204" s="14"/>
      <c r="B204" s="35" t="s">
        <v>49</v>
      </c>
      <c r="C204" s="35" t="s">
        <v>102</v>
      </c>
      <c r="D204" s="14">
        <v>624</v>
      </c>
      <c r="E204" s="24"/>
      <c r="F204" s="15">
        <f>IFERROR(SUMIFS(存条明细!G:G,存条明细!C:C,B204,存条明细!D:D,C204),0)</f>
        <v>33000</v>
      </c>
      <c r="G204" s="12">
        <f>IFERROR(SUMIFS(出库明细!E:E,出库明细!C:C,B204,出库明细!D:D,C204),0)</f>
        <v>203</v>
      </c>
      <c r="H204" s="13">
        <f>IFERROR(SUMIFS(出库明细!G:G,出库明细!C:C,B204,出库明细!D:D,C204),0)</f>
        <v>11165</v>
      </c>
      <c r="I204" s="25">
        <f t="shared" si="14"/>
        <v>421</v>
      </c>
      <c r="J204" s="13">
        <f t="shared" si="15"/>
        <v>21835</v>
      </c>
      <c r="K204" s="23"/>
      <c r="L204" s="2"/>
      <c r="M204" s="2"/>
      <c r="N204" s="2"/>
      <c r="O204" s="2"/>
      <c r="P204" s="2"/>
      <c r="Q204" s="2"/>
      <c r="R204" s="2"/>
      <c r="S204" s="2"/>
      <c r="T204" s="2"/>
    </row>
    <row r="205" ht="14" hidden="1" customHeight="1" spans="1:20">
      <c r="A205" s="14"/>
      <c r="B205" s="35" t="s">
        <v>49</v>
      </c>
      <c r="C205" s="35" t="s">
        <v>103</v>
      </c>
      <c r="D205" s="14">
        <v>624</v>
      </c>
      <c r="E205" s="24"/>
      <c r="F205" s="15">
        <f>IFERROR(SUMIFS(存条明细!G:G,存条明细!C:C,B205,存条明细!D:D,C205),0)</f>
        <v>25800</v>
      </c>
      <c r="G205" s="12">
        <f>IFERROR(SUMIFS(出库明细!E:E,出库明细!C:C,B205,出库明细!D:D,C205),0)</f>
        <v>0</v>
      </c>
      <c r="H205" s="13">
        <f>IFERROR(SUMIFS(出库明细!G:G,出库明细!C:C,B205,出库明细!D:D,C205),0)</f>
        <v>0</v>
      </c>
      <c r="I205" s="25">
        <f t="shared" si="14"/>
        <v>624</v>
      </c>
      <c r="J205" s="13">
        <f t="shared" si="15"/>
        <v>25800</v>
      </c>
      <c r="K205" s="23"/>
      <c r="L205" s="2"/>
      <c r="M205" s="2"/>
      <c r="N205" s="2"/>
      <c r="O205" s="2"/>
      <c r="P205" s="2"/>
      <c r="Q205" s="2"/>
      <c r="R205" s="2"/>
      <c r="S205" s="2"/>
      <c r="T205" s="2"/>
    </row>
    <row r="206" ht="14" hidden="1" customHeight="1" spans="1:20">
      <c r="A206" s="14"/>
      <c r="B206" s="35" t="s">
        <v>49</v>
      </c>
      <c r="C206" s="35" t="s">
        <v>101</v>
      </c>
      <c r="D206" s="14">
        <v>520</v>
      </c>
      <c r="E206" s="24"/>
      <c r="F206" s="15">
        <f>IFERROR(SUMIFS(存条明细!G:G,存条明细!C:C,B206,存条明细!D:D,C206),0)</f>
        <v>24000</v>
      </c>
      <c r="G206" s="12">
        <f>IFERROR(SUMIFS(出库明细!E:E,出库明细!C:C,B206,出库明细!D:D,C206),0)</f>
        <v>150</v>
      </c>
      <c r="H206" s="13">
        <f>IFERROR(SUMIFS(出库明细!G:G,出库明细!C:C,B206,出库明细!D:D,C206),0)</f>
        <v>7050</v>
      </c>
      <c r="I206" s="25">
        <f t="shared" si="14"/>
        <v>370</v>
      </c>
      <c r="J206" s="13">
        <f t="shared" si="15"/>
        <v>16950</v>
      </c>
      <c r="K206" s="23"/>
      <c r="L206" s="2"/>
      <c r="M206" s="2"/>
      <c r="N206" s="2"/>
      <c r="O206" s="2"/>
      <c r="P206" s="2"/>
      <c r="Q206" s="2"/>
      <c r="R206" s="2"/>
      <c r="S206" s="2"/>
      <c r="T206" s="2"/>
    </row>
    <row r="207" ht="14" hidden="1" customHeight="1" spans="1:20">
      <c r="A207" s="14"/>
      <c r="B207" s="35" t="s">
        <v>49</v>
      </c>
      <c r="C207" s="35" t="s">
        <v>104</v>
      </c>
      <c r="D207" s="14">
        <v>104</v>
      </c>
      <c r="E207" s="24"/>
      <c r="F207" s="15">
        <f>IFERROR(SUMIFS(存条明细!G:G,存条明细!C:C,B207,存条明细!D:D,C207),0)</f>
        <v>8300</v>
      </c>
      <c r="G207" s="12">
        <f>IFERROR(SUMIFS(出库明细!E:E,出库明细!C:C,B207,出库明细!D:D,C207),0)</f>
        <v>0</v>
      </c>
      <c r="H207" s="13">
        <f>IFERROR(SUMIFS(出库明细!G:G,出库明细!C:C,B207,出库明细!D:D,C207),0)</f>
        <v>0</v>
      </c>
      <c r="I207" s="25">
        <f t="shared" si="14"/>
        <v>104</v>
      </c>
      <c r="J207" s="13">
        <f t="shared" si="15"/>
        <v>8300</v>
      </c>
      <c r="K207" s="23"/>
      <c r="L207" s="2"/>
      <c r="M207" s="2"/>
      <c r="N207" s="2"/>
      <c r="O207" s="2"/>
      <c r="P207" s="2"/>
      <c r="Q207" s="2"/>
      <c r="R207" s="2"/>
      <c r="S207" s="2"/>
      <c r="T207" s="2"/>
    </row>
    <row r="208" ht="14" hidden="1" customHeight="1" spans="1:20">
      <c r="A208" s="14"/>
      <c r="B208" s="35" t="s">
        <v>49</v>
      </c>
      <c r="C208" s="35" t="s">
        <v>99</v>
      </c>
      <c r="D208" s="14">
        <v>220</v>
      </c>
      <c r="E208" s="24"/>
      <c r="F208" s="15">
        <f>IFERROR(SUMIFS(存条明细!G:G,存条明细!C:C,B208,存条明细!D:D,C208),0)</f>
        <v>13000</v>
      </c>
      <c r="G208" s="12">
        <f>IFERROR(SUMIFS(出库明细!E:E,出库明细!C:C,B208,出库明细!D:D,C208),0)</f>
        <v>0</v>
      </c>
      <c r="H208" s="13">
        <f>IFERROR(SUMIFS(出库明细!G:G,出库明细!C:C,B208,出库明细!D:D,C208),0)</f>
        <v>0</v>
      </c>
      <c r="I208" s="25">
        <f t="shared" si="14"/>
        <v>220</v>
      </c>
      <c r="J208" s="13">
        <f t="shared" si="15"/>
        <v>13000</v>
      </c>
      <c r="K208" s="23"/>
      <c r="L208" s="2"/>
      <c r="M208" s="2"/>
      <c r="N208" s="2"/>
      <c r="O208" s="2"/>
      <c r="P208" s="2"/>
      <c r="Q208" s="2"/>
      <c r="R208" s="2"/>
      <c r="S208" s="2"/>
      <c r="T208" s="2"/>
    </row>
    <row r="209" ht="14" hidden="1" customHeight="1" spans="1:20">
      <c r="A209" s="14"/>
      <c r="B209" s="14"/>
      <c r="C209" s="14"/>
      <c r="D209" s="14"/>
      <c r="E209" s="24"/>
      <c r="F209" s="15"/>
      <c r="G209" s="12">
        <f>IFERROR(SUMIFS(出库明细!E:E,出库明细!C:C,B209,出库明细!D:D,C209),0)</f>
        <v>0</v>
      </c>
      <c r="H209" s="13">
        <f>IFERROR(SUMIFS(出库明细!G:G,出库明细!C:C,B209,出库明细!D:D,C209),0)</f>
        <v>0</v>
      </c>
      <c r="I209" s="25">
        <f t="shared" ref="I209:I220" si="16">IFERROR(D209-G209,0)</f>
        <v>0</v>
      </c>
      <c r="J209" s="13">
        <f t="shared" ref="J209:J220" si="17">IFERROR(F209-H209,0)</f>
        <v>0</v>
      </c>
      <c r="K209" s="23"/>
      <c r="L209" s="2"/>
      <c r="M209" s="2"/>
      <c r="N209" s="2"/>
      <c r="O209" s="2"/>
      <c r="P209" s="2"/>
      <c r="Q209" s="2"/>
      <c r="R209" s="2"/>
      <c r="S209" s="2"/>
      <c r="T209" s="2"/>
    </row>
    <row r="210" ht="14" hidden="1" customHeight="1" spans="1:20">
      <c r="A210" s="14"/>
      <c r="B210" s="14"/>
      <c r="C210" s="14"/>
      <c r="D210" s="14"/>
      <c r="E210" s="24"/>
      <c r="F210" s="15"/>
      <c r="G210" s="12">
        <f>IFERROR(SUMIFS(出库明细!E:E,出库明细!C:C,B210,出库明细!D:D,C210),0)</f>
        <v>0</v>
      </c>
      <c r="H210" s="13">
        <f>IFERROR(SUMIFS(出库明细!G:G,出库明细!C:C,B210,出库明细!D:D,C210),0)</f>
        <v>0</v>
      </c>
      <c r="I210" s="25">
        <f t="shared" si="16"/>
        <v>0</v>
      </c>
      <c r="J210" s="13">
        <f t="shared" si="17"/>
        <v>0</v>
      </c>
      <c r="K210" s="23"/>
      <c r="L210" s="2"/>
      <c r="M210" s="2"/>
      <c r="N210" s="2"/>
      <c r="O210" s="2"/>
      <c r="P210" s="2"/>
      <c r="Q210" s="2"/>
      <c r="R210" s="2"/>
      <c r="S210" s="2"/>
      <c r="T210" s="2"/>
    </row>
    <row r="211" ht="14" hidden="1" customHeight="1" spans="1:20">
      <c r="A211" s="14"/>
      <c r="B211" s="14"/>
      <c r="C211" s="14"/>
      <c r="D211" s="14"/>
      <c r="E211" s="24"/>
      <c r="F211" s="15"/>
      <c r="G211" s="12">
        <f>IFERROR(SUMIFS(出库明细!E:E,出库明细!C:C,B211,出库明细!D:D,C211),0)</f>
        <v>0</v>
      </c>
      <c r="H211" s="13">
        <f>IFERROR(SUMIFS(出库明细!G:G,出库明细!C:C,B211,出库明细!D:D,C211),0)</f>
        <v>0</v>
      </c>
      <c r="I211" s="25">
        <f t="shared" si="16"/>
        <v>0</v>
      </c>
      <c r="J211" s="13">
        <f t="shared" si="17"/>
        <v>0</v>
      </c>
      <c r="K211" s="23"/>
      <c r="L211" s="2"/>
      <c r="M211" s="2"/>
      <c r="N211" s="2"/>
      <c r="O211" s="2"/>
      <c r="P211" s="2"/>
      <c r="Q211" s="2"/>
      <c r="R211" s="2"/>
      <c r="S211" s="2"/>
      <c r="T211" s="2"/>
    </row>
    <row r="212" ht="14" hidden="1" customHeight="1" spans="1:20">
      <c r="A212" s="14"/>
      <c r="B212" s="14"/>
      <c r="C212" s="14"/>
      <c r="D212" s="14"/>
      <c r="E212" s="24"/>
      <c r="F212" s="15"/>
      <c r="G212" s="12">
        <f>IFERROR(SUMIFS(出库明细!E:E,出库明细!C:C,B212,出库明细!D:D,C212),0)</f>
        <v>0</v>
      </c>
      <c r="H212" s="13">
        <f>IFERROR(SUMIFS(出库明细!G:G,出库明细!C:C,B212,出库明细!D:D,C212),0)</f>
        <v>0</v>
      </c>
      <c r="I212" s="25">
        <f t="shared" si="16"/>
        <v>0</v>
      </c>
      <c r="J212" s="13">
        <f t="shared" si="17"/>
        <v>0</v>
      </c>
      <c r="K212" s="23"/>
      <c r="L212" s="2"/>
      <c r="M212" s="2"/>
      <c r="N212" s="2"/>
      <c r="O212" s="2"/>
      <c r="P212" s="2"/>
      <c r="Q212" s="2"/>
      <c r="R212" s="2"/>
      <c r="S212" s="2"/>
      <c r="T212" s="2"/>
    </row>
    <row r="213" ht="14" hidden="1" customHeight="1" spans="1:20">
      <c r="A213" s="14"/>
      <c r="B213" s="14"/>
      <c r="C213" s="14"/>
      <c r="D213" s="14"/>
      <c r="E213" s="24"/>
      <c r="F213" s="15"/>
      <c r="G213" s="12">
        <f>IFERROR(SUMIFS(出库明细!E:E,出库明细!C:C,B213,出库明细!D:D,C213),0)</f>
        <v>0</v>
      </c>
      <c r="H213" s="13">
        <f>IFERROR(SUMIFS(出库明细!G:G,出库明细!C:C,B213,出库明细!D:D,C213),0)</f>
        <v>0</v>
      </c>
      <c r="I213" s="25">
        <f t="shared" si="16"/>
        <v>0</v>
      </c>
      <c r="J213" s="13">
        <f t="shared" si="17"/>
        <v>0</v>
      </c>
      <c r="K213" s="23"/>
      <c r="L213" s="2"/>
      <c r="M213" s="2"/>
      <c r="N213" s="2"/>
      <c r="O213" s="2"/>
      <c r="P213" s="2"/>
      <c r="Q213" s="2"/>
      <c r="R213" s="2"/>
      <c r="S213" s="2"/>
      <c r="T213" s="2"/>
    </row>
    <row r="214" ht="14" hidden="1" customHeight="1" spans="1:20">
      <c r="A214" s="14"/>
      <c r="B214" s="14"/>
      <c r="C214" s="14"/>
      <c r="D214" s="14"/>
      <c r="E214" s="24"/>
      <c r="F214" s="15"/>
      <c r="G214" s="12">
        <f>IFERROR(SUMIFS(出库明细!E:E,出库明细!C:C,B214,出库明细!D:D,C214),0)</f>
        <v>0</v>
      </c>
      <c r="H214" s="13">
        <f>IFERROR(SUMIFS(出库明细!G:G,出库明细!C:C,B214,出库明细!D:D,C214),0)</f>
        <v>0</v>
      </c>
      <c r="I214" s="25">
        <f t="shared" si="16"/>
        <v>0</v>
      </c>
      <c r="J214" s="13">
        <f t="shared" si="17"/>
        <v>0</v>
      </c>
      <c r="K214" s="23"/>
      <c r="L214" s="2"/>
      <c r="M214" s="2"/>
      <c r="N214" s="2"/>
      <c r="O214" s="2"/>
      <c r="P214" s="2"/>
      <c r="Q214" s="2"/>
      <c r="R214" s="2"/>
      <c r="S214" s="2"/>
      <c r="T214" s="2"/>
    </row>
    <row r="215" ht="14" hidden="1" customHeight="1" spans="1:20">
      <c r="A215" s="14"/>
      <c r="B215" s="14"/>
      <c r="C215" s="14"/>
      <c r="D215" s="14"/>
      <c r="E215" s="24"/>
      <c r="F215" s="15"/>
      <c r="G215" s="12">
        <f>IFERROR(SUMIFS(出库明细!E:E,出库明细!C:C,B215,出库明细!D:D,C215),0)</f>
        <v>0</v>
      </c>
      <c r="H215" s="13">
        <f>IFERROR(SUMIFS(出库明细!G:G,出库明细!C:C,B215,出库明细!D:D,C215),0)</f>
        <v>0</v>
      </c>
      <c r="I215" s="25">
        <f t="shared" si="16"/>
        <v>0</v>
      </c>
      <c r="J215" s="13">
        <f t="shared" si="17"/>
        <v>0</v>
      </c>
      <c r="K215" s="23"/>
      <c r="L215" s="2"/>
      <c r="M215" s="2"/>
      <c r="N215" s="2"/>
      <c r="O215" s="2"/>
      <c r="P215" s="2"/>
      <c r="Q215" s="2"/>
      <c r="R215" s="2"/>
      <c r="S215" s="2"/>
      <c r="T215" s="2"/>
    </row>
    <row r="216" ht="14" hidden="1" customHeight="1" spans="1:20">
      <c r="A216" s="14"/>
      <c r="B216" s="14"/>
      <c r="C216" s="14"/>
      <c r="D216" s="14"/>
      <c r="E216" s="24"/>
      <c r="F216" s="15"/>
      <c r="G216" s="12">
        <f>IFERROR(SUMIFS(出库明细!E:E,出库明细!C:C,B216,出库明细!D:D,C216),0)</f>
        <v>0</v>
      </c>
      <c r="H216" s="13">
        <f>IFERROR(SUMIFS(出库明细!G:G,出库明细!C:C,B216,出库明细!D:D,C216),0)</f>
        <v>0</v>
      </c>
      <c r="I216" s="25">
        <f t="shared" si="16"/>
        <v>0</v>
      </c>
      <c r="J216" s="13">
        <f t="shared" si="17"/>
        <v>0</v>
      </c>
      <c r="K216" s="23"/>
      <c r="L216" s="2"/>
      <c r="M216" s="2"/>
      <c r="N216" s="2"/>
      <c r="O216" s="2"/>
      <c r="P216" s="2"/>
      <c r="Q216" s="2"/>
      <c r="R216" s="2"/>
      <c r="S216" s="2"/>
      <c r="T216" s="2"/>
    </row>
    <row r="217" ht="14" hidden="1" customHeight="1" spans="1:20">
      <c r="A217" s="14"/>
      <c r="B217" s="14"/>
      <c r="C217" s="14"/>
      <c r="D217" s="14"/>
      <c r="E217" s="24"/>
      <c r="F217" s="15"/>
      <c r="G217" s="12">
        <f>IFERROR(SUMIFS(出库明细!E:E,出库明细!C:C,B217,出库明细!D:D,C217),0)</f>
        <v>0</v>
      </c>
      <c r="H217" s="13">
        <f>IFERROR(SUMIFS(出库明细!G:G,出库明细!C:C,B217,出库明细!D:D,C217),0)</f>
        <v>0</v>
      </c>
      <c r="I217" s="25">
        <f t="shared" si="16"/>
        <v>0</v>
      </c>
      <c r="J217" s="13">
        <f t="shared" si="17"/>
        <v>0</v>
      </c>
      <c r="K217" s="23"/>
      <c r="L217" s="2"/>
      <c r="M217" s="2"/>
      <c r="N217" s="2"/>
      <c r="O217" s="2"/>
      <c r="P217" s="2"/>
      <c r="Q217" s="2"/>
      <c r="R217" s="2"/>
      <c r="S217" s="2"/>
      <c r="T217" s="2"/>
    </row>
    <row r="218" ht="14" hidden="1" customHeight="1" spans="1:20">
      <c r="A218" s="14"/>
      <c r="B218" s="14"/>
      <c r="C218" s="14"/>
      <c r="D218" s="14"/>
      <c r="E218" s="24"/>
      <c r="F218" s="15"/>
      <c r="G218" s="12">
        <f>IFERROR(SUMIFS(出库明细!E:E,出库明细!C:C,B218,出库明细!D:D,C218),0)</f>
        <v>0</v>
      </c>
      <c r="H218" s="13">
        <f>IFERROR(SUMIFS(出库明细!G:G,出库明细!C:C,B218,出库明细!D:D,C218),0)</f>
        <v>0</v>
      </c>
      <c r="I218" s="25">
        <f t="shared" si="16"/>
        <v>0</v>
      </c>
      <c r="J218" s="13">
        <f t="shared" si="17"/>
        <v>0</v>
      </c>
      <c r="K218" s="23"/>
      <c r="L218" s="2"/>
      <c r="M218" s="2"/>
      <c r="N218" s="2"/>
      <c r="O218" s="2"/>
      <c r="P218" s="2"/>
      <c r="Q218" s="2"/>
      <c r="R218" s="2"/>
      <c r="S218" s="2"/>
      <c r="T218" s="2"/>
    </row>
    <row r="219" ht="14" hidden="1" customHeight="1" spans="1:20">
      <c r="A219" s="14"/>
      <c r="B219" s="14"/>
      <c r="C219" s="14"/>
      <c r="D219" s="14"/>
      <c r="E219" s="24"/>
      <c r="F219" s="15"/>
      <c r="G219" s="12">
        <f>IFERROR(SUMIFS(出库明细!E:E,出库明细!C:C,B219,出库明细!D:D,C219),0)</f>
        <v>0</v>
      </c>
      <c r="H219" s="13">
        <f>IFERROR(SUMIFS(出库明细!G:G,出库明细!C:C,B219,出库明细!D:D,C219),0)</f>
        <v>0</v>
      </c>
      <c r="I219" s="25">
        <f t="shared" si="16"/>
        <v>0</v>
      </c>
      <c r="J219" s="13">
        <f t="shared" si="17"/>
        <v>0</v>
      </c>
      <c r="K219" s="23"/>
      <c r="L219" s="2"/>
      <c r="M219" s="2"/>
      <c r="N219" s="2"/>
      <c r="O219" s="2"/>
      <c r="P219" s="2"/>
      <c r="Q219" s="2"/>
      <c r="R219" s="2"/>
      <c r="S219" s="2"/>
      <c r="T219" s="2"/>
    </row>
    <row r="220" ht="14" hidden="1" customHeight="1" spans="1:20">
      <c r="A220" s="14"/>
      <c r="B220" s="14"/>
      <c r="C220" s="14"/>
      <c r="D220" s="14"/>
      <c r="E220" s="24"/>
      <c r="F220" s="15"/>
      <c r="G220" s="12">
        <f>IFERROR(SUMIFS(出库明细!E:E,出库明细!C:C,B220,出库明细!D:D,C220),0)</f>
        <v>0</v>
      </c>
      <c r="H220" s="13">
        <f>IFERROR(SUMIFS(出库明细!G:G,出库明细!C:C,B220,出库明细!D:D,C220),0)</f>
        <v>0</v>
      </c>
      <c r="I220" s="25">
        <f t="shared" si="16"/>
        <v>0</v>
      </c>
      <c r="J220" s="13">
        <f t="shared" si="17"/>
        <v>0</v>
      </c>
      <c r="K220" s="23"/>
      <c r="L220" s="2"/>
      <c r="M220" s="2"/>
      <c r="N220" s="2"/>
      <c r="O220" s="2"/>
      <c r="P220" s="2"/>
      <c r="Q220" s="2"/>
      <c r="R220" s="2"/>
      <c r="S220" s="2"/>
      <c r="T220" s="2"/>
    </row>
    <row r="221" ht="14" hidden="1" customHeight="1" spans="1:20">
      <c r="A221" s="14"/>
      <c r="B221" s="14"/>
      <c r="C221" s="14"/>
      <c r="D221" s="14"/>
      <c r="E221" s="24"/>
      <c r="F221" s="15"/>
      <c r="G221" s="12"/>
      <c r="H221" s="13"/>
      <c r="I221" s="25"/>
      <c r="J221" s="13"/>
      <c r="K221" s="23"/>
      <c r="L221" s="2"/>
      <c r="M221" s="2"/>
      <c r="N221" s="2"/>
      <c r="O221" s="2"/>
      <c r="P221" s="2"/>
      <c r="Q221" s="2"/>
      <c r="R221" s="2"/>
      <c r="S221" s="2"/>
      <c r="T221" s="2"/>
    </row>
    <row r="222" ht="14" hidden="1" customHeight="1" spans="1:20">
      <c r="A222" s="14"/>
      <c r="B222" s="14"/>
      <c r="C222" s="14"/>
      <c r="D222" s="14"/>
      <c r="E222" s="24"/>
      <c r="F222" s="15"/>
      <c r="G222" s="12"/>
      <c r="H222" s="13"/>
      <c r="I222" s="25"/>
      <c r="J222" s="13"/>
      <c r="K222" s="23"/>
      <c r="L222" s="2"/>
      <c r="M222" s="2"/>
      <c r="N222" s="2"/>
      <c r="O222" s="2"/>
      <c r="P222" s="2"/>
      <c r="Q222" s="2"/>
      <c r="R222" s="2"/>
      <c r="S222" s="2"/>
      <c r="T222" s="2"/>
    </row>
    <row r="223" ht="14" hidden="1" customHeight="1" spans="1:20">
      <c r="A223" s="14"/>
      <c r="B223" s="14"/>
      <c r="C223" s="14"/>
      <c r="D223" s="14"/>
      <c r="E223" s="24"/>
      <c r="F223" s="15"/>
      <c r="G223" s="12"/>
      <c r="H223" s="13"/>
      <c r="I223" s="25"/>
      <c r="J223" s="13"/>
      <c r="K223" s="23"/>
      <c r="L223" s="2"/>
      <c r="M223" s="2"/>
      <c r="N223" s="2"/>
      <c r="O223" s="2"/>
      <c r="P223" s="2"/>
      <c r="Q223" s="2"/>
      <c r="R223" s="2"/>
      <c r="S223" s="2"/>
      <c r="T223" s="2"/>
    </row>
    <row r="224" ht="14" hidden="1" customHeight="1" spans="1:20">
      <c r="A224" s="14"/>
      <c r="B224" s="14"/>
      <c r="C224" s="14"/>
      <c r="D224" s="14"/>
      <c r="E224" s="24"/>
      <c r="F224" s="15"/>
      <c r="G224" s="12"/>
      <c r="H224" s="13"/>
      <c r="I224" s="25"/>
      <c r="J224" s="13"/>
      <c r="K224" s="23"/>
      <c r="L224" s="2"/>
      <c r="M224" s="2"/>
      <c r="N224" s="2"/>
      <c r="O224" s="2"/>
      <c r="P224" s="2"/>
      <c r="Q224" s="2"/>
      <c r="R224" s="2"/>
      <c r="S224" s="2"/>
      <c r="T224" s="2"/>
    </row>
    <row r="225" ht="14" hidden="1" customHeight="1" spans="1:20">
      <c r="A225" s="14"/>
      <c r="B225" s="14"/>
      <c r="C225" s="14"/>
      <c r="D225" s="14"/>
      <c r="E225" s="24"/>
      <c r="F225" s="15"/>
      <c r="G225" s="12"/>
      <c r="H225" s="13"/>
      <c r="I225" s="25"/>
      <c r="J225" s="13"/>
      <c r="K225" s="23"/>
      <c r="L225" s="2"/>
      <c r="M225" s="2"/>
      <c r="N225" s="2"/>
      <c r="O225" s="2"/>
      <c r="P225" s="2"/>
      <c r="Q225" s="2"/>
      <c r="R225" s="2"/>
      <c r="S225" s="2"/>
      <c r="T225" s="2"/>
    </row>
    <row r="226" ht="14" hidden="1" customHeight="1" spans="1:20">
      <c r="A226" s="14"/>
      <c r="B226" s="14"/>
      <c r="C226" s="14"/>
      <c r="D226" s="14"/>
      <c r="E226" s="24"/>
      <c r="F226" s="15"/>
      <c r="G226" s="12"/>
      <c r="H226" s="13"/>
      <c r="I226" s="25"/>
      <c r="J226" s="13"/>
      <c r="K226" s="23"/>
      <c r="L226" s="2"/>
      <c r="M226" s="2"/>
      <c r="N226" s="2"/>
      <c r="O226" s="2"/>
      <c r="P226" s="2"/>
      <c r="Q226" s="2"/>
      <c r="R226" s="2"/>
      <c r="S226" s="2"/>
      <c r="T226" s="2"/>
    </row>
    <row r="227" ht="14" hidden="1" customHeight="1" spans="1:20">
      <c r="A227" s="14"/>
      <c r="B227" s="14"/>
      <c r="C227" s="14"/>
      <c r="D227" s="14"/>
      <c r="E227" s="24"/>
      <c r="F227" s="15"/>
      <c r="G227" s="12"/>
      <c r="H227" s="13"/>
      <c r="I227" s="25"/>
      <c r="J227" s="13"/>
      <c r="K227" s="23"/>
      <c r="L227" s="2"/>
      <c r="M227" s="2"/>
      <c r="N227" s="2"/>
      <c r="O227" s="2"/>
      <c r="P227" s="2"/>
      <c r="Q227" s="2"/>
      <c r="R227" s="2"/>
      <c r="S227" s="2"/>
      <c r="T227" s="2"/>
    </row>
    <row r="228" ht="14" hidden="1" customHeight="1" spans="1:20">
      <c r="A228" s="14"/>
      <c r="B228" s="14"/>
      <c r="C228" s="14"/>
      <c r="D228" s="14"/>
      <c r="E228" s="24"/>
      <c r="F228" s="15"/>
      <c r="G228" s="12"/>
      <c r="H228" s="13"/>
      <c r="I228" s="25"/>
      <c r="J228" s="13"/>
      <c r="K228" s="23"/>
      <c r="L228" s="2"/>
      <c r="M228" s="2"/>
      <c r="N228" s="2"/>
      <c r="O228" s="2"/>
      <c r="P228" s="2"/>
      <c r="Q228" s="2"/>
      <c r="R228" s="2"/>
      <c r="S228" s="2"/>
      <c r="T228" s="2"/>
    </row>
    <row r="229" ht="14" hidden="1" customHeight="1" spans="1:20">
      <c r="A229" s="14"/>
      <c r="B229" s="14"/>
      <c r="C229" s="14"/>
      <c r="D229" s="14"/>
      <c r="E229" s="24"/>
      <c r="F229" s="15"/>
      <c r="G229" s="12"/>
      <c r="H229" s="13"/>
      <c r="I229" s="25"/>
      <c r="J229" s="13"/>
      <c r="K229" s="23"/>
      <c r="L229" s="2"/>
      <c r="M229" s="2"/>
      <c r="N229" s="2"/>
      <c r="O229" s="2"/>
      <c r="P229" s="2"/>
      <c r="Q229" s="2"/>
      <c r="R229" s="2"/>
      <c r="S229" s="2"/>
      <c r="T229" s="2"/>
    </row>
    <row r="230" ht="14" hidden="1" customHeight="1" spans="1:20">
      <c r="A230" s="14"/>
      <c r="B230" s="14"/>
      <c r="C230" s="14"/>
      <c r="D230" s="14"/>
      <c r="E230" s="24"/>
      <c r="F230" s="15"/>
      <c r="G230" s="12"/>
      <c r="H230" s="13"/>
      <c r="I230" s="25"/>
      <c r="J230" s="13"/>
      <c r="K230" s="23"/>
      <c r="L230" s="2"/>
      <c r="M230" s="2"/>
      <c r="N230" s="2"/>
      <c r="O230" s="2"/>
      <c r="P230" s="2"/>
      <c r="Q230" s="2"/>
      <c r="R230" s="2"/>
      <c r="S230" s="2"/>
      <c r="T230" s="2"/>
    </row>
    <row r="231" ht="14" hidden="1" customHeight="1" spans="1:20">
      <c r="A231" s="14"/>
      <c r="B231" s="14"/>
      <c r="C231" s="14"/>
      <c r="D231" s="14"/>
      <c r="E231" s="24"/>
      <c r="F231" s="15"/>
      <c r="G231" s="12"/>
      <c r="H231" s="13"/>
      <c r="I231" s="25"/>
      <c r="J231" s="13"/>
      <c r="K231" s="23"/>
      <c r="L231" s="2"/>
      <c r="M231" s="2"/>
      <c r="N231" s="2"/>
      <c r="O231" s="2"/>
      <c r="P231" s="2"/>
      <c r="Q231" s="2"/>
      <c r="R231" s="2"/>
      <c r="S231" s="2"/>
      <c r="T231" s="2"/>
    </row>
    <row r="232" ht="14" hidden="1" customHeight="1" spans="1:20">
      <c r="A232" s="14"/>
      <c r="B232" s="14"/>
      <c r="C232" s="14"/>
      <c r="D232" s="14"/>
      <c r="E232" s="24"/>
      <c r="F232" s="15"/>
      <c r="G232" s="12"/>
      <c r="H232" s="13"/>
      <c r="I232" s="25"/>
      <c r="J232" s="13"/>
      <c r="K232" s="23"/>
      <c r="L232" s="2"/>
      <c r="M232" s="2"/>
      <c r="N232" s="2"/>
      <c r="O232" s="2"/>
      <c r="P232" s="2"/>
      <c r="Q232" s="2"/>
      <c r="R232" s="2"/>
      <c r="S232" s="2"/>
      <c r="T232" s="2"/>
    </row>
    <row r="233" ht="14" hidden="1" customHeight="1" spans="1:20">
      <c r="A233" s="14"/>
      <c r="B233" s="14"/>
      <c r="C233" s="14"/>
      <c r="D233" s="14"/>
      <c r="E233" s="24"/>
      <c r="F233" s="15"/>
      <c r="G233" s="12"/>
      <c r="H233" s="13"/>
      <c r="I233" s="25"/>
      <c r="J233" s="13"/>
      <c r="K233" s="23"/>
      <c r="L233" s="2"/>
      <c r="M233" s="2"/>
      <c r="N233" s="2"/>
      <c r="O233" s="2"/>
      <c r="P233" s="2"/>
      <c r="Q233" s="2"/>
      <c r="R233" s="2"/>
      <c r="S233" s="2"/>
      <c r="T233" s="2"/>
    </row>
    <row r="234" ht="14" hidden="1" customHeight="1" spans="1:20">
      <c r="A234" s="14"/>
      <c r="B234" s="14"/>
      <c r="C234" s="14"/>
      <c r="D234" s="14"/>
      <c r="E234" s="24"/>
      <c r="F234" s="15"/>
      <c r="G234" s="12"/>
      <c r="H234" s="13"/>
      <c r="I234" s="25"/>
      <c r="J234" s="13"/>
      <c r="K234" s="23"/>
      <c r="L234" s="2"/>
      <c r="M234" s="2"/>
      <c r="N234" s="2"/>
      <c r="O234" s="2"/>
      <c r="P234" s="2"/>
      <c r="Q234" s="2"/>
      <c r="R234" s="2"/>
      <c r="S234" s="2"/>
      <c r="T234" s="2"/>
    </row>
    <row r="235" ht="14" hidden="1" customHeight="1" spans="1:20">
      <c r="A235" s="14"/>
      <c r="B235" s="14"/>
      <c r="C235" s="14"/>
      <c r="D235" s="14"/>
      <c r="E235" s="24"/>
      <c r="F235" s="15"/>
      <c r="G235" s="12"/>
      <c r="H235" s="13"/>
      <c r="I235" s="25"/>
      <c r="J235" s="13"/>
      <c r="K235" s="23"/>
      <c r="L235" s="2"/>
      <c r="M235" s="2"/>
      <c r="N235" s="2"/>
      <c r="O235" s="2"/>
      <c r="P235" s="2"/>
      <c r="Q235" s="2"/>
      <c r="R235" s="2"/>
      <c r="S235" s="2"/>
      <c r="T235" s="2"/>
    </row>
    <row r="236" ht="14" hidden="1" customHeight="1" spans="1:20">
      <c r="A236" s="14"/>
      <c r="B236" s="14"/>
      <c r="C236" s="14"/>
      <c r="D236" s="14"/>
      <c r="E236" s="24"/>
      <c r="F236" s="15"/>
      <c r="G236" s="12"/>
      <c r="H236" s="13"/>
      <c r="I236" s="25"/>
      <c r="J236" s="13"/>
      <c r="K236" s="23"/>
      <c r="L236" s="2"/>
      <c r="M236" s="2"/>
      <c r="N236" s="2"/>
      <c r="O236" s="2"/>
      <c r="P236" s="2"/>
      <c r="Q236" s="2"/>
      <c r="R236" s="2"/>
      <c r="S236" s="2"/>
      <c r="T236" s="2"/>
    </row>
    <row r="237" ht="14" hidden="1" customHeight="1" spans="1:20">
      <c r="A237" s="14"/>
      <c r="B237" s="14"/>
      <c r="C237" s="14"/>
      <c r="D237" s="14"/>
      <c r="E237" s="24"/>
      <c r="F237" s="15"/>
      <c r="G237" s="12"/>
      <c r="H237" s="13"/>
      <c r="I237" s="25"/>
      <c r="J237" s="13"/>
      <c r="K237" s="23"/>
      <c r="L237" s="2"/>
      <c r="M237" s="2"/>
      <c r="N237" s="2"/>
      <c r="O237" s="2"/>
      <c r="P237" s="2"/>
      <c r="Q237" s="2"/>
      <c r="R237" s="2"/>
      <c r="S237" s="2"/>
      <c r="T237" s="2"/>
    </row>
    <row r="238" ht="14" hidden="1" customHeight="1" spans="1:20">
      <c r="A238" s="14"/>
      <c r="B238" s="14"/>
      <c r="C238" s="14"/>
      <c r="D238" s="14"/>
      <c r="E238" s="24"/>
      <c r="F238" s="15"/>
      <c r="G238" s="12"/>
      <c r="H238" s="13"/>
      <c r="I238" s="25"/>
      <c r="J238" s="13"/>
      <c r="K238" s="23"/>
      <c r="L238" s="2"/>
      <c r="M238" s="2"/>
      <c r="N238" s="2"/>
      <c r="O238" s="2"/>
      <c r="P238" s="2"/>
      <c r="Q238" s="2"/>
      <c r="R238" s="2"/>
      <c r="S238" s="2"/>
      <c r="T238" s="2"/>
    </row>
    <row r="239" ht="14" hidden="1" customHeight="1" spans="1:20">
      <c r="A239" s="14"/>
      <c r="B239" s="14"/>
      <c r="C239" s="14"/>
      <c r="D239" s="14"/>
      <c r="E239" s="24"/>
      <c r="F239" s="15"/>
      <c r="G239" s="12"/>
      <c r="H239" s="13"/>
      <c r="I239" s="25"/>
      <c r="J239" s="13"/>
      <c r="K239" s="23"/>
      <c r="L239" s="2"/>
      <c r="M239" s="2"/>
      <c r="N239" s="2"/>
      <c r="O239" s="2"/>
      <c r="P239" s="2"/>
      <c r="Q239" s="2"/>
      <c r="R239" s="2"/>
      <c r="S239" s="2"/>
      <c r="T239" s="2"/>
    </row>
    <row r="240" ht="14" hidden="1" customHeight="1" spans="1:20">
      <c r="A240" s="14"/>
      <c r="B240" s="14"/>
      <c r="C240" s="14"/>
      <c r="D240" s="14"/>
      <c r="E240" s="24"/>
      <c r="F240" s="15"/>
      <c r="G240" s="12"/>
      <c r="H240" s="13"/>
      <c r="I240" s="25"/>
      <c r="J240" s="13"/>
      <c r="K240" s="23"/>
      <c r="L240" s="2"/>
      <c r="M240" s="2"/>
      <c r="N240" s="2"/>
      <c r="O240" s="2"/>
      <c r="P240" s="2"/>
      <c r="Q240" s="2"/>
      <c r="R240" s="2"/>
      <c r="S240" s="2"/>
      <c r="T240" s="2"/>
    </row>
    <row r="241" ht="14" hidden="1" customHeight="1" spans="1:20">
      <c r="A241" s="14"/>
      <c r="B241" s="14"/>
      <c r="C241" s="14"/>
      <c r="D241" s="14"/>
      <c r="E241" s="24"/>
      <c r="F241" s="15"/>
      <c r="G241" s="12"/>
      <c r="H241" s="13"/>
      <c r="I241" s="25"/>
      <c r="J241" s="13"/>
      <c r="K241" s="23"/>
      <c r="L241" s="2"/>
      <c r="M241" s="2"/>
      <c r="N241" s="2"/>
      <c r="O241" s="2"/>
      <c r="P241" s="2"/>
      <c r="Q241" s="2"/>
      <c r="R241" s="2"/>
      <c r="S241" s="2"/>
      <c r="T241" s="2"/>
    </row>
    <row r="242" ht="14" hidden="1" customHeight="1" spans="1:20">
      <c r="A242" s="14"/>
      <c r="B242" s="14"/>
      <c r="C242" s="14"/>
      <c r="D242" s="14"/>
      <c r="E242" s="24"/>
      <c r="F242" s="15"/>
      <c r="G242" s="12"/>
      <c r="H242" s="13"/>
      <c r="I242" s="25"/>
      <c r="J242" s="13"/>
      <c r="K242" s="23"/>
      <c r="L242" s="2"/>
      <c r="M242" s="2"/>
      <c r="N242" s="2"/>
      <c r="O242" s="2"/>
      <c r="P242" s="2"/>
      <c r="Q242" s="2"/>
      <c r="R242" s="2"/>
      <c r="S242" s="2"/>
      <c r="T242" s="2"/>
    </row>
    <row r="243" ht="14" hidden="1" customHeight="1" spans="1:20">
      <c r="A243" s="14"/>
      <c r="B243" s="14"/>
      <c r="C243" s="14"/>
      <c r="D243" s="14"/>
      <c r="E243" s="24"/>
      <c r="F243" s="15"/>
      <c r="G243" s="12"/>
      <c r="H243" s="13"/>
      <c r="I243" s="25"/>
      <c r="J243" s="13"/>
      <c r="K243" s="23"/>
      <c r="L243" s="2"/>
      <c r="M243" s="2"/>
      <c r="N243" s="2"/>
      <c r="O243" s="2"/>
      <c r="P243" s="2"/>
      <c r="Q243" s="2"/>
      <c r="R243" s="2"/>
      <c r="S243" s="2"/>
      <c r="T243" s="2"/>
    </row>
    <row r="244" ht="14" hidden="1" customHeight="1" spans="1:20">
      <c r="A244" s="14"/>
      <c r="B244" s="14"/>
      <c r="C244" s="14"/>
      <c r="D244" s="14"/>
      <c r="E244" s="24"/>
      <c r="F244" s="15"/>
      <c r="G244" s="12"/>
      <c r="H244" s="13"/>
      <c r="I244" s="25"/>
      <c r="J244" s="13"/>
      <c r="K244" s="23"/>
      <c r="L244" s="2"/>
      <c r="M244" s="2"/>
      <c r="N244" s="2"/>
      <c r="O244" s="2"/>
      <c r="P244" s="2"/>
      <c r="Q244" s="2"/>
      <c r="R244" s="2"/>
      <c r="S244" s="2"/>
      <c r="T244" s="2"/>
    </row>
    <row r="245" ht="14" hidden="1" customHeight="1" spans="1:20">
      <c r="A245" s="14"/>
      <c r="B245" s="14"/>
      <c r="C245" s="14"/>
      <c r="D245" s="14"/>
      <c r="E245" s="24"/>
      <c r="F245" s="15"/>
      <c r="G245" s="12"/>
      <c r="H245" s="13"/>
      <c r="I245" s="25"/>
      <c r="J245" s="13"/>
      <c r="K245" s="23"/>
      <c r="L245" s="2"/>
      <c r="M245" s="2"/>
      <c r="N245" s="2"/>
      <c r="O245" s="2"/>
      <c r="P245" s="2"/>
      <c r="Q245" s="2"/>
      <c r="R245" s="2"/>
      <c r="S245" s="2"/>
      <c r="T245" s="2"/>
    </row>
    <row r="246" ht="14" hidden="1" customHeight="1" spans="1:20">
      <c r="A246" s="14"/>
      <c r="B246" s="14"/>
      <c r="C246" s="14"/>
      <c r="D246" s="14"/>
      <c r="E246" s="24"/>
      <c r="F246" s="15"/>
      <c r="G246" s="12"/>
      <c r="H246" s="13"/>
      <c r="I246" s="25"/>
      <c r="J246" s="13"/>
      <c r="K246" s="23"/>
      <c r="L246" s="2"/>
      <c r="M246" s="2"/>
      <c r="N246" s="2"/>
      <c r="O246" s="2"/>
      <c r="P246" s="2"/>
      <c r="Q246" s="2"/>
      <c r="R246" s="2"/>
      <c r="S246" s="2"/>
      <c r="T246" s="2"/>
    </row>
    <row r="247" ht="14" hidden="1" customHeight="1" spans="1:20">
      <c r="A247" s="14"/>
      <c r="B247" s="14"/>
      <c r="C247" s="14"/>
      <c r="D247" s="14"/>
      <c r="E247" s="24"/>
      <c r="F247" s="15"/>
      <c r="G247" s="12"/>
      <c r="H247" s="13"/>
      <c r="I247" s="25"/>
      <c r="J247" s="13"/>
      <c r="K247" s="23"/>
      <c r="L247" s="2"/>
      <c r="M247" s="2"/>
      <c r="N247" s="2"/>
      <c r="O247" s="2"/>
      <c r="P247" s="2"/>
      <c r="Q247" s="2"/>
      <c r="R247" s="2"/>
      <c r="S247" s="2"/>
      <c r="T247" s="2"/>
    </row>
    <row r="248" ht="14" hidden="1" customHeight="1" spans="1:20">
      <c r="A248" s="14"/>
      <c r="B248" s="14"/>
      <c r="C248" s="14"/>
      <c r="D248" s="14"/>
      <c r="E248" s="24"/>
      <c r="F248" s="15"/>
      <c r="G248" s="12"/>
      <c r="H248" s="13"/>
      <c r="I248" s="25"/>
      <c r="J248" s="13"/>
      <c r="K248" s="23"/>
      <c r="L248" s="2"/>
      <c r="M248" s="2"/>
      <c r="N248" s="2"/>
      <c r="O248" s="2"/>
      <c r="P248" s="2"/>
      <c r="Q248" s="2"/>
      <c r="R248" s="2"/>
      <c r="S248" s="2"/>
      <c r="T248" s="2"/>
    </row>
    <row r="249" ht="14" hidden="1" customHeight="1" spans="1:20">
      <c r="A249" s="14"/>
      <c r="B249" s="14"/>
      <c r="C249" s="14"/>
      <c r="D249" s="14"/>
      <c r="E249" s="24"/>
      <c r="F249" s="15"/>
      <c r="G249" s="12"/>
      <c r="H249" s="13"/>
      <c r="I249" s="25"/>
      <c r="J249" s="13"/>
      <c r="K249" s="23"/>
      <c r="L249" s="2"/>
      <c r="M249" s="2"/>
      <c r="N249" s="2"/>
      <c r="O249" s="2"/>
      <c r="P249" s="2"/>
      <c r="Q249" s="2"/>
      <c r="R249" s="2"/>
      <c r="S249" s="2"/>
      <c r="T249" s="2"/>
    </row>
    <row r="250" ht="14" hidden="1" customHeight="1" spans="1:20">
      <c r="A250" s="14"/>
      <c r="B250" s="14"/>
      <c r="C250" s="14"/>
      <c r="D250" s="14"/>
      <c r="E250" s="24"/>
      <c r="F250" s="15"/>
      <c r="G250" s="12"/>
      <c r="H250" s="13"/>
      <c r="I250" s="25"/>
      <c r="J250" s="13"/>
      <c r="K250" s="23"/>
      <c r="L250" s="2"/>
      <c r="M250" s="2"/>
      <c r="N250" s="2"/>
      <c r="O250" s="2"/>
      <c r="P250" s="2"/>
      <c r="Q250" s="2"/>
      <c r="R250" s="2"/>
      <c r="S250" s="2"/>
      <c r="T250" s="2"/>
    </row>
    <row r="251" ht="14" hidden="1" customHeight="1" spans="1:20">
      <c r="A251" s="14"/>
      <c r="B251" s="14"/>
      <c r="C251" s="14"/>
      <c r="D251" s="14"/>
      <c r="E251" s="24"/>
      <c r="F251" s="15"/>
      <c r="G251" s="12"/>
      <c r="H251" s="13"/>
      <c r="I251" s="25"/>
      <c r="J251" s="13"/>
      <c r="K251" s="23"/>
      <c r="L251" s="2"/>
      <c r="M251" s="2"/>
      <c r="N251" s="2"/>
      <c r="O251" s="2"/>
      <c r="P251" s="2"/>
      <c r="Q251" s="2"/>
      <c r="R251" s="2"/>
      <c r="S251" s="2"/>
      <c r="T251" s="2"/>
    </row>
    <row r="252" ht="14" hidden="1" customHeight="1" spans="1:20">
      <c r="A252" s="14"/>
      <c r="B252" s="14"/>
      <c r="C252" s="14"/>
      <c r="D252" s="14"/>
      <c r="E252" s="24"/>
      <c r="F252" s="15"/>
      <c r="G252" s="12"/>
      <c r="H252" s="13"/>
      <c r="I252" s="25"/>
      <c r="J252" s="13"/>
      <c r="K252" s="23"/>
      <c r="L252" s="2"/>
      <c r="M252" s="2"/>
      <c r="N252" s="2"/>
      <c r="O252" s="2"/>
      <c r="P252" s="2"/>
      <c r="Q252" s="2"/>
      <c r="R252" s="2"/>
      <c r="S252" s="2"/>
      <c r="T252" s="2"/>
    </row>
    <row r="253" ht="14" hidden="1" customHeight="1" spans="1:20">
      <c r="A253" s="14"/>
      <c r="B253" s="14"/>
      <c r="C253" s="14"/>
      <c r="D253" s="14"/>
      <c r="E253" s="24"/>
      <c r="F253" s="15"/>
      <c r="G253" s="12"/>
      <c r="H253" s="13"/>
      <c r="I253" s="25"/>
      <c r="J253" s="13"/>
      <c r="K253" s="23"/>
      <c r="L253" s="2"/>
      <c r="M253" s="2"/>
      <c r="N253" s="2"/>
      <c r="O253" s="2"/>
      <c r="P253" s="2"/>
      <c r="Q253" s="2"/>
      <c r="R253" s="2"/>
      <c r="S253" s="2"/>
      <c r="T253" s="2"/>
    </row>
    <row r="254" ht="14" hidden="1" customHeight="1" spans="1:20">
      <c r="A254" s="14"/>
      <c r="B254" s="14"/>
      <c r="C254" s="14"/>
      <c r="D254" s="14"/>
      <c r="E254" s="24"/>
      <c r="F254" s="15"/>
      <c r="G254" s="12"/>
      <c r="H254" s="13"/>
      <c r="I254" s="25"/>
      <c r="J254" s="13"/>
      <c r="K254" s="23"/>
      <c r="L254" s="2"/>
      <c r="M254" s="2"/>
      <c r="N254" s="2"/>
      <c r="O254" s="2"/>
      <c r="P254" s="2"/>
      <c r="Q254" s="2"/>
      <c r="R254" s="2"/>
      <c r="S254" s="2"/>
      <c r="T254" s="2"/>
    </row>
    <row r="255" ht="14" hidden="1" customHeight="1" spans="1:20">
      <c r="A255" s="14"/>
      <c r="B255" s="14"/>
      <c r="C255" s="14"/>
      <c r="D255" s="14"/>
      <c r="E255" s="24"/>
      <c r="F255" s="15"/>
      <c r="G255" s="12"/>
      <c r="H255" s="13"/>
      <c r="I255" s="25"/>
      <c r="J255" s="13"/>
      <c r="K255" s="23"/>
      <c r="L255" s="2"/>
      <c r="M255" s="2"/>
      <c r="N255" s="2"/>
      <c r="O255" s="2"/>
      <c r="P255" s="2"/>
      <c r="Q255" s="2"/>
      <c r="R255" s="2"/>
      <c r="S255" s="2"/>
      <c r="T255" s="2"/>
    </row>
    <row r="256" ht="14" hidden="1" customHeight="1" spans="1:20">
      <c r="A256" s="14"/>
      <c r="B256" s="14"/>
      <c r="C256" s="14"/>
      <c r="D256" s="14"/>
      <c r="E256" s="24"/>
      <c r="F256" s="15"/>
      <c r="G256" s="12"/>
      <c r="H256" s="13"/>
      <c r="I256" s="25"/>
      <c r="J256" s="13"/>
      <c r="K256" s="23"/>
      <c r="L256" s="2"/>
      <c r="M256" s="2"/>
      <c r="N256" s="2"/>
      <c r="O256" s="2"/>
      <c r="P256" s="2"/>
      <c r="Q256" s="2"/>
      <c r="R256" s="2"/>
      <c r="S256" s="2"/>
      <c r="T256" s="2"/>
    </row>
    <row r="257" ht="14" hidden="1" customHeight="1" spans="1:20">
      <c r="A257" s="14"/>
      <c r="B257" s="14"/>
      <c r="C257" s="14"/>
      <c r="D257" s="14"/>
      <c r="E257" s="24"/>
      <c r="F257" s="15"/>
      <c r="G257" s="12"/>
      <c r="H257" s="13"/>
      <c r="I257" s="25"/>
      <c r="J257" s="13"/>
      <c r="K257" s="23"/>
      <c r="L257" s="2"/>
      <c r="M257" s="2"/>
      <c r="N257" s="2"/>
      <c r="O257" s="2"/>
      <c r="P257" s="2"/>
      <c r="Q257" s="2"/>
      <c r="R257" s="2"/>
      <c r="S257" s="2"/>
      <c r="T257" s="2"/>
    </row>
    <row r="258" ht="14" hidden="1" customHeight="1" spans="1:20">
      <c r="A258" s="14"/>
      <c r="B258" s="14"/>
      <c r="C258" s="14"/>
      <c r="D258" s="14"/>
      <c r="E258" s="24"/>
      <c r="F258" s="15"/>
      <c r="G258" s="12"/>
      <c r="H258" s="13"/>
      <c r="I258" s="25"/>
      <c r="J258" s="13"/>
      <c r="K258" s="23"/>
      <c r="L258" s="2"/>
      <c r="M258" s="2"/>
      <c r="N258" s="2"/>
      <c r="O258" s="2"/>
      <c r="P258" s="2"/>
      <c r="Q258" s="2"/>
      <c r="R258" s="2"/>
      <c r="S258" s="2"/>
      <c r="T258" s="2"/>
    </row>
    <row r="259" ht="14" hidden="1" customHeight="1" spans="1:20">
      <c r="A259" s="14"/>
      <c r="B259" s="14"/>
      <c r="C259" s="14"/>
      <c r="D259" s="14"/>
      <c r="E259" s="24"/>
      <c r="F259" s="15"/>
      <c r="G259" s="12"/>
      <c r="H259" s="13"/>
      <c r="I259" s="25"/>
      <c r="J259" s="13"/>
      <c r="K259" s="23"/>
      <c r="L259" s="2"/>
      <c r="M259" s="2"/>
      <c r="N259" s="2"/>
      <c r="O259" s="2"/>
      <c r="P259" s="2"/>
      <c r="Q259" s="2"/>
      <c r="R259" s="2"/>
      <c r="S259" s="2"/>
      <c r="T259" s="2"/>
    </row>
    <row r="260" ht="14" hidden="1" customHeight="1" spans="1:20">
      <c r="A260" s="14"/>
      <c r="B260" s="14"/>
      <c r="C260" s="14"/>
      <c r="D260" s="14"/>
      <c r="E260" s="24"/>
      <c r="F260" s="15"/>
      <c r="G260" s="12"/>
      <c r="H260" s="13"/>
      <c r="I260" s="25"/>
      <c r="J260" s="13"/>
      <c r="K260" s="23"/>
      <c r="L260" s="2"/>
      <c r="M260" s="2"/>
      <c r="N260" s="2"/>
      <c r="O260" s="2"/>
      <c r="P260" s="2"/>
      <c r="Q260" s="2"/>
      <c r="R260" s="2"/>
      <c r="S260" s="2"/>
      <c r="T260" s="2"/>
    </row>
    <row r="261" ht="14" hidden="1" customHeight="1" spans="1:20">
      <c r="A261" s="14"/>
      <c r="B261" s="14"/>
      <c r="C261" s="14"/>
      <c r="D261" s="14"/>
      <c r="E261" s="24"/>
      <c r="F261" s="15"/>
      <c r="G261" s="12"/>
      <c r="H261" s="13"/>
      <c r="I261" s="25"/>
      <c r="J261" s="13"/>
      <c r="K261" s="23"/>
      <c r="L261" s="2"/>
      <c r="M261" s="2"/>
      <c r="N261" s="2"/>
      <c r="O261" s="2"/>
      <c r="P261" s="2"/>
      <c r="Q261" s="2"/>
      <c r="R261" s="2"/>
      <c r="S261" s="2"/>
      <c r="T261" s="2"/>
    </row>
    <row r="262" ht="14" hidden="1" customHeight="1" spans="1:20">
      <c r="A262" s="14"/>
      <c r="B262" s="14"/>
      <c r="C262" s="14"/>
      <c r="D262" s="14"/>
      <c r="E262" s="24"/>
      <c r="F262" s="15"/>
      <c r="G262" s="12"/>
      <c r="H262" s="13"/>
      <c r="I262" s="25"/>
      <c r="J262" s="13"/>
      <c r="K262" s="23"/>
      <c r="L262" s="2"/>
      <c r="M262" s="2"/>
      <c r="N262" s="2"/>
      <c r="O262" s="2"/>
      <c r="P262" s="2"/>
      <c r="Q262" s="2"/>
      <c r="R262" s="2"/>
      <c r="S262" s="2"/>
      <c r="T262" s="2"/>
    </row>
    <row r="263" ht="14" hidden="1" customHeight="1" spans="1:20">
      <c r="A263" s="14"/>
      <c r="B263" s="14"/>
      <c r="C263" s="14"/>
      <c r="D263" s="14"/>
      <c r="E263" s="24"/>
      <c r="F263" s="15"/>
      <c r="G263" s="12"/>
      <c r="H263" s="13"/>
      <c r="I263" s="25"/>
      <c r="J263" s="13"/>
      <c r="K263" s="23"/>
      <c r="L263" s="2"/>
      <c r="M263" s="2"/>
      <c r="N263" s="2"/>
      <c r="O263" s="2"/>
      <c r="P263" s="2"/>
      <c r="Q263" s="2"/>
      <c r="R263" s="2"/>
      <c r="S263" s="2"/>
      <c r="T263" s="2"/>
    </row>
    <row r="264" ht="14" hidden="1" customHeight="1" spans="1:20">
      <c r="A264" s="14"/>
      <c r="B264" s="14"/>
      <c r="C264" s="14"/>
      <c r="D264" s="14"/>
      <c r="E264" s="24"/>
      <c r="F264" s="15"/>
      <c r="G264" s="12"/>
      <c r="H264" s="13"/>
      <c r="I264" s="25"/>
      <c r="J264" s="13"/>
      <c r="K264" s="23"/>
      <c r="L264" s="2"/>
      <c r="M264" s="2"/>
      <c r="N264" s="2"/>
      <c r="O264" s="2"/>
      <c r="P264" s="2"/>
      <c r="Q264" s="2"/>
      <c r="R264" s="2"/>
      <c r="S264" s="2"/>
      <c r="T264" s="2"/>
    </row>
    <row r="265" ht="14" hidden="1" customHeight="1" spans="1:20">
      <c r="A265" s="14"/>
      <c r="B265" s="14"/>
      <c r="C265" s="14"/>
      <c r="D265" s="14"/>
      <c r="E265" s="24"/>
      <c r="F265" s="15"/>
      <c r="G265" s="12"/>
      <c r="H265" s="13"/>
      <c r="I265" s="25"/>
      <c r="J265" s="13"/>
      <c r="K265" s="23"/>
      <c r="L265" s="2"/>
      <c r="M265" s="2"/>
      <c r="N265" s="2"/>
      <c r="O265" s="2"/>
      <c r="P265" s="2"/>
      <c r="Q265" s="2"/>
      <c r="R265" s="2"/>
      <c r="S265" s="2"/>
      <c r="T265" s="2"/>
    </row>
    <row r="266" ht="14" hidden="1" customHeight="1" spans="1:20">
      <c r="A266" s="14"/>
      <c r="B266" s="14"/>
      <c r="C266" s="14"/>
      <c r="D266" s="14"/>
      <c r="E266" s="24"/>
      <c r="F266" s="15"/>
      <c r="G266" s="12"/>
      <c r="H266" s="13"/>
      <c r="I266" s="25"/>
      <c r="J266" s="13"/>
      <c r="K266" s="23"/>
      <c r="L266" s="2"/>
      <c r="M266" s="2"/>
      <c r="N266" s="2"/>
      <c r="O266" s="2"/>
      <c r="P266" s="2"/>
      <c r="Q266" s="2"/>
      <c r="R266" s="2"/>
      <c r="S266" s="2"/>
      <c r="T266" s="2"/>
    </row>
    <row r="267" ht="14" hidden="1" customHeight="1" spans="1:20">
      <c r="A267" s="14"/>
      <c r="B267" s="14"/>
      <c r="C267" s="14"/>
      <c r="D267" s="14"/>
      <c r="E267" s="24"/>
      <c r="F267" s="15"/>
      <c r="G267" s="12"/>
      <c r="H267" s="13"/>
      <c r="I267" s="25"/>
      <c r="J267" s="13"/>
      <c r="K267" s="23"/>
      <c r="L267" s="2"/>
      <c r="M267" s="2"/>
      <c r="N267" s="2"/>
      <c r="O267" s="2"/>
      <c r="P267" s="2"/>
      <c r="Q267" s="2"/>
      <c r="R267" s="2"/>
      <c r="S267" s="2"/>
      <c r="T267" s="2"/>
    </row>
    <row r="268" ht="14" hidden="1" customHeight="1" spans="1:20">
      <c r="A268" s="14"/>
      <c r="B268" s="14"/>
      <c r="C268" s="14"/>
      <c r="D268" s="14"/>
      <c r="E268" s="24"/>
      <c r="F268" s="15"/>
      <c r="G268" s="12"/>
      <c r="H268" s="13"/>
      <c r="I268" s="25"/>
      <c r="J268" s="13"/>
      <c r="K268" s="23"/>
      <c r="L268" s="2"/>
      <c r="M268" s="2"/>
      <c r="N268" s="2"/>
      <c r="O268" s="2"/>
      <c r="P268" s="2"/>
      <c r="Q268" s="2"/>
      <c r="R268" s="2"/>
      <c r="S268" s="2"/>
      <c r="T268" s="2"/>
    </row>
    <row r="269" ht="14" hidden="1" customHeight="1" spans="1:20">
      <c r="A269" s="14"/>
      <c r="B269" s="14"/>
      <c r="C269" s="14"/>
      <c r="D269" s="14"/>
      <c r="E269" s="24"/>
      <c r="F269" s="15"/>
      <c r="G269" s="12"/>
      <c r="H269" s="13"/>
      <c r="I269" s="25"/>
      <c r="J269" s="13"/>
      <c r="K269" s="23"/>
      <c r="L269" s="2"/>
      <c r="M269" s="2"/>
      <c r="N269" s="2"/>
      <c r="O269" s="2"/>
      <c r="P269" s="2"/>
      <c r="Q269" s="2"/>
      <c r="R269" s="2"/>
      <c r="S269" s="2"/>
      <c r="T269" s="2"/>
    </row>
    <row r="270" ht="14" hidden="1" customHeight="1" spans="1:20">
      <c r="A270" s="14"/>
      <c r="B270" s="14"/>
      <c r="C270" s="14"/>
      <c r="D270" s="14"/>
      <c r="E270" s="24"/>
      <c r="F270" s="15"/>
      <c r="G270" s="12"/>
      <c r="H270" s="13"/>
      <c r="I270" s="25"/>
      <c r="J270" s="13"/>
      <c r="K270" s="23"/>
      <c r="L270" s="2"/>
      <c r="M270" s="2"/>
      <c r="N270" s="2"/>
      <c r="O270" s="2"/>
      <c r="P270" s="2"/>
      <c r="Q270" s="2"/>
      <c r="R270" s="2"/>
      <c r="S270" s="2"/>
      <c r="T270" s="2"/>
    </row>
    <row r="271" ht="14" hidden="1" customHeight="1" spans="1:20">
      <c r="A271" s="14"/>
      <c r="B271" s="14"/>
      <c r="C271" s="14"/>
      <c r="D271" s="14"/>
      <c r="E271" s="24"/>
      <c r="F271" s="15"/>
      <c r="G271" s="12"/>
      <c r="H271" s="13"/>
      <c r="I271" s="25"/>
      <c r="J271" s="13"/>
      <c r="K271" s="23"/>
      <c r="L271" s="2"/>
      <c r="M271" s="2"/>
      <c r="N271" s="2"/>
      <c r="O271" s="2"/>
      <c r="P271" s="2"/>
      <c r="Q271" s="2"/>
      <c r="R271" s="2"/>
      <c r="S271" s="2"/>
      <c r="T271" s="2"/>
    </row>
    <row r="272" ht="14" hidden="1" customHeight="1" spans="1:20">
      <c r="A272" s="14"/>
      <c r="B272" s="14"/>
      <c r="C272" s="14"/>
      <c r="D272" s="14"/>
      <c r="E272" s="24"/>
      <c r="F272" s="15"/>
      <c r="G272" s="12"/>
      <c r="H272" s="13"/>
      <c r="I272" s="25"/>
      <c r="J272" s="13"/>
      <c r="K272" s="23"/>
      <c r="L272" s="2"/>
      <c r="M272" s="2"/>
      <c r="N272" s="2"/>
      <c r="O272" s="2"/>
      <c r="P272" s="2"/>
      <c r="Q272" s="2"/>
      <c r="R272" s="2"/>
      <c r="S272" s="2"/>
      <c r="T272" s="2"/>
    </row>
    <row r="273" ht="14" hidden="1" customHeight="1" spans="1:20">
      <c r="A273" s="14"/>
      <c r="B273" s="14"/>
      <c r="C273" s="14"/>
      <c r="D273" s="14"/>
      <c r="E273" s="24"/>
      <c r="F273" s="15"/>
      <c r="G273" s="12"/>
      <c r="H273" s="13"/>
      <c r="I273" s="25"/>
      <c r="J273" s="13"/>
      <c r="K273" s="23"/>
      <c r="L273" s="2"/>
      <c r="M273" s="2"/>
      <c r="N273" s="2"/>
      <c r="O273" s="2"/>
      <c r="P273" s="2"/>
      <c r="Q273" s="2"/>
      <c r="R273" s="2"/>
      <c r="S273" s="2"/>
      <c r="T273" s="2"/>
    </row>
    <row r="274" ht="14" hidden="1" customHeight="1" spans="1:20">
      <c r="A274" s="14"/>
      <c r="B274" s="14"/>
      <c r="C274" s="14"/>
      <c r="D274" s="14"/>
      <c r="E274" s="24"/>
      <c r="F274" s="15"/>
      <c r="G274" s="12"/>
      <c r="H274" s="13"/>
      <c r="I274" s="25"/>
      <c r="J274" s="13"/>
      <c r="K274" s="23"/>
      <c r="L274" s="2"/>
      <c r="M274" s="2"/>
      <c r="N274" s="2"/>
      <c r="O274" s="2"/>
      <c r="P274" s="2"/>
      <c r="Q274" s="2"/>
      <c r="R274" s="2"/>
      <c r="S274" s="2"/>
      <c r="T274" s="2"/>
    </row>
    <row r="275" ht="14" hidden="1" customHeight="1" spans="1:20">
      <c r="A275" s="14"/>
      <c r="B275" s="14"/>
      <c r="C275" s="14"/>
      <c r="D275" s="14"/>
      <c r="E275" s="24"/>
      <c r="F275" s="15"/>
      <c r="G275" s="12"/>
      <c r="H275" s="13"/>
      <c r="I275" s="25"/>
      <c r="J275" s="13"/>
      <c r="K275" s="23"/>
      <c r="L275" s="2"/>
      <c r="M275" s="2"/>
      <c r="N275" s="2"/>
      <c r="O275" s="2"/>
      <c r="P275" s="2"/>
      <c r="Q275" s="2"/>
      <c r="R275" s="2"/>
      <c r="S275" s="2"/>
      <c r="T275" s="2"/>
    </row>
    <row r="276" ht="14" hidden="1" customHeight="1" spans="1:20">
      <c r="A276" s="14"/>
      <c r="B276" s="14"/>
      <c r="C276" s="14"/>
      <c r="D276" s="14"/>
      <c r="E276" s="24"/>
      <c r="F276" s="15"/>
      <c r="G276" s="12"/>
      <c r="H276" s="13"/>
      <c r="I276" s="25"/>
      <c r="J276" s="13"/>
      <c r="K276" s="23"/>
      <c r="L276" s="2"/>
      <c r="M276" s="2"/>
      <c r="N276" s="2"/>
      <c r="O276" s="2"/>
      <c r="P276" s="2"/>
      <c r="Q276" s="2"/>
      <c r="R276" s="2"/>
      <c r="S276" s="2"/>
      <c r="T276" s="2"/>
    </row>
    <row r="277" ht="14" hidden="1" customHeight="1" spans="1:20">
      <c r="A277" s="14"/>
      <c r="B277" s="14"/>
      <c r="C277" s="14"/>
      <c r="D277" s="14"/>
      <c r="E277" s="24"/>
      <c r="F277" s="15"/>
      <c r="G277" s="12"/>
      <c r="H277" s="13"/>
      <c r="I277" s="25"/>
      <c r="J277" s="13"/>
      <c r="K277" s="23"/>
      <c r="L277" s="2"/>
      <c r="M277" s="2"/>
      <c r="N277" s="2"/>
      <c r="O277" s="2"/>
      <c r="P277" s="2"/>
      <c r="Q277" s="2"/>
      <c r="R277" s="2"/>
      <c r="S277" s="2"/>
      <c r="T277" s="2"/>
    </row>
    <row r="278" ht="14" hidden="1" customHeight="1" spans="1:20">
      <c r="A278" s="14"/>
      <c r="B278" s="14"/>
      <c r="C278" s="14"/>
      <c r="D278" s="14"/>
      <c r="E278" s="24"/>
      <c r="F278" s="15"/>
      <c r="G278" s="12"/>
      <c r="H278" s="13"/>
      <c r="I278" s="25"/>
      <c r="J278" s="13"/>
      <c r="K278" s="23"/>
      <c r="L278" s="2"/>
      <c r="M278" s="2"/>
      <c r="N278" s="2"/>
      <c r="O278" s="2"/>
      <c r="P278" s="2"/>
      <c r="Q278" s="2"/>
      <c r="R278" s="2"/>
      <c r="S278" s="2"/>
      <c r="T278" s="2"/>
    </row>
    <row r="279" ht="14" hidden="1" customHeight="1" spans="1:20">
      <c r="A279" s="14"/>
      <c r="B279" s="14"/>
      <c r="C279" s="14"/>
      <c r="D279" s="14"/>
      <c r="E279" s="24"/>
      <c r="F279" s="15"/>
      <c r="G279" s="12"/>
      <c r="H279" s="13"/>
      <c r="I279" s="25"/>
      <c r="J279" s="13"/>
      <c r="K279" s="23"/>
      <c r="L279" s="2"/>
      <c r="M279" s="2"/>
      <c r="N279" s="2"/>
      <c r="O279" s="2"/>
      <c r="P279" s="2"/>
      <c r="Q279" s="2"/>
      <c r="R279" s="2"/>
      <c r="S279" s="2"/>
      <c r="T279" s="2"/>
    </row>
    <row r="280" ht="14" hidden="1" customHeight="1" spans="1:20">
      <c r="A280" s="14"/>
      <c r="B280" s="14"/>
      <c r="C280" s="14"/>
      <c r="D280" s="14"/>
      <c r="E280" s="24"/>
      <c r="F280" s="15"/>
      <c r="G280" s="12"/>
      <c r="H280" s="13"/>
      <c r="I280" s="25"/>
      <c r="J280" s="13"/>
      <c r="K280" s="23"/>
      <c r="L280" s="2"/>
      <c r="M280" s="2"/>
      <c r="N280" s="2"/>
      <c r="O280" s="2"/>
      <c r="P280" s="2"/>
      <c r="Q280" s="2"/>
      <c r="R280" s="2"/>
      <c r="S280" s="2"/>
      <c r="T280" s="2"/>
    </row>
    <row r="281" ht="14" hidden="1" customHeight="1" spans="1:20">
      <c r="A281" s="14"/>
      <c r="B281" s="14"/>
      <c r="C281" s="14"/>
      <c r="D281" s="14"/>
      <c r="E281" s="24"/>
      <c r="F281" s="15"/>
      <c r="G281" s="12"/>
      <c r="H281" s="13"/>
      <c r="I281" s="25"/>
      <c r="J281" s="13"/>
      <c r="K281" s="23"/>
      <c r="L281" s="2"/>
      <c r="M281" s="2"/>
      <c r="N281" s="2"/>
      <c r="O281" s="2"/>
      <c r="P281" s="2"/>
      <c r="Q281" s="2"/>
      <c r="R281" s="2"/>
      <c r="S281" s="2"/>
      <c r="T281" s="2"/>
    </row>
    <row r="282" ht="14" hidden="1" customHeight="1" spans="1:20">
      <c r="A282" s="14"/>
      <c r="B282" s="14"/>
      <c r="C282" s="14"/>
      <c r="D282" s="14"/>
      <c r="E282" s="24"/>
      <c r="F282" s="15"/>
      <c r="G282" s="12"/>
      <c r="H282" s="13"/>
      <c r="I282" s="25"/>
      <c r="J282" s="13"/>
      <c r="K282" s="23"/>
      <c r="L282" s="2"/>
      <c r="M282" s="2"/>
      <c r="N282" s="2"/>
      <c r="O282" s="2"/>
      <c r="P282" s="2"/>
      <c r="Q282" s="2"/>
      <c r="R282" s="2"/>
      <c r="S282" s="2"/>
      <c r="T282" s="2"/>
    </row>
    <row r="283" ht="14" hidden="1" customHeight="1" spans="1:20">
      <c r="A283" s="14"/>
      <c r="B283" s="14"/>
      <c r="C283" s="14"/>
      <c r="D283" s="14"/>
      <c r="E283" s="24"/>
      <c r="F283" s="15"/>
      <c r="G283" s="12"/>
      <c r="H283" s="13"/>
      <c r="I283" s="25"/>
      <c r="J283" s="13"/>
      <c r="K283" s="23"/>
      <c r="L283" s="2"/>
      <c r="M283" s="2"/>
      <c r="N283" s="2"/>
      <c r="O283" s="2"/>
      <c r="P283" s="2"/>
      <c r="Q283" s="2"/>
      <c r="R283" s="2"/>
      <c r="S283" s="2"/>
      <c r="T283" s="2"/>
    </row>
    <row r="284" ht="14" hidden="1" customHeight="1" spans="1:20">
      <c r="A284" s="14"/>
      <c r="B284" s="14"/>
      <c r="C284" s="14"/>
      <c r="D284" s="14"/>
      <c r="E284" s="24"/>
      <c r="F284" s="15"/>
      <c r="G284" s="12"/>
      <c r="H284" s="13"/>
      <c r="I284" s="25"/>
      <c r="J284" s="13"/>
      <c r="K284" s="23"/>
      <c r="L284" s="2"/>
      <c r="M284" s="2"/>
      <c r="N284" s="2"/>
      <c r="O284" s="2"/>
      <c r="P284" s="2"/>
      <c r="Q284" s="2"/>
      <c r="R284" s="2"/>
      <c r="S284" s="2"/>
      <c r="T284" s="2"/>
    </row>
    <row r="285" ht="14" hidden="1" customHeight="1" spans="1:20">
      <c r="A285" s="14"/>
      <c r="B285" s="14"/>
      <c r="C285" s="14"/>
      <c r="D285" s="14"/>
      <c r="E285" s="24"/>
      <c r="F285" s="15"/>
      <c r="G285" s="12"/>
      <c r="H285" s="13"/>
      <c r="I285" s="25"/>
      <c r="J285" s="13"/>
      <c r="K285" s="23"/>
      <c r="L285" s="2"/>
      <c r="M285" s="2"/>
      <c r="N285" s="2"/>
      <c r="O285" s="2"/>
      <c r="P285" s="2"/>
      <c r="Q285" s="2"/>
      <c r="R285" s="2"/>
      <c r="S285" s="2"/>
      <c r="T285" s="2"/>
    </row>
    <row r="286" ht="14" hidden="1" customHeight="1" spans="1:20">
      <c r="A286" s="14"/>
      <c r="B286" s="14"/>
      <c r="C286" s="14"/>
      <c r="D286" s="14"/>
      <c r="E286" s="24"/>
      <c r="F286" s="15"/>
      <c r="G286" s="12"/>
      <c r="H286" s="13"/>
      <c r="I286" s="25"/>
      <c r="J286" s="13"/>
      <c r="K286" s="23"/>
      <c r="L286" s="2"/>
      <c r="M286" s="2"/>
      <c r="N286" s="2"/>
      <c r="O286" s="2"/>
      <c r="P286" s="2"/>
      <c r="Q286" s="2"/>
      <c r="R286" s="2"/>
      <c r="S286" s="2"/>
      <c r="T286" s="2"/>
    </row>
    <row r="287" ht="14" hidden="1" customHeight="1" spans="1:20">
      <c r="A287" s="14"/>
      <c r="B287" s="14"/>
      <c r="C287" s="14"/>
      <c r="D287" s="14"/>
      <c r="E287" s="24"/>
      <c r="F287" s="15"/>
      <c r="G287" s="12"/>
      <c r="H287" s="13"/>
      <c r="I287" s="25"/>
      <c r="J287" s="13"/>
      <c r="K287" s="23"/>
      <c r="L287" s="2"/>
      <c r="M287" s="2"/>
      <c r="N287" s="2"/>
      <c r="O287" s="2"/>
      <c r="P287" s="2"/>
      <c r="Q287" s="2"/>
      <c r="R287" s="2"/>
      <c r="S287" s="2"/>
      <c r="T287" s="2"/>
    </row>
    <row r="288" ht="14" hidden="1" customHeight="1" spans="1:20">
      <c r="A288" s="14"/>
      <c r="B288" s="14"/>
      <c r="C288" s="14"/>
      <c r="D288" s="14"/>
      <c r="E288" s="24"/>
      <c r="F288" s="15"/>
      <c r="G288" s="12"/>
      <c r="H288" s="13"/>
      <c r="I288" s="25"/>
      <c r="J288" s="13"/>
      <c r="K288" s="23"/>
      <c r="L288" s="2"/>
      <c r="M288" s="2"/>
      <c r="N288" s="2"/>
      <c r="O288" s="2"/>
      <c r="P288" s="2"/>
      <c r="Q288" s="2"/>
      <c r="R288" s="2"/>
      <c r="S288" s="2"/>
      <c r="T288" s="2"/>
    </row>
    <row r="289" ht="14" hidden="1" customHeight="1" spans="1:20">
      <c r="A289" s="14"/>
      <c r="B289" s="14"/>
      <c r="C289" s="14"/>
      <c r="D289" s="14"/>
      <c r="E289" s="24"/>
      <c r="F289" s="15"/>
      <c r="G289" s="12"/>
      <c r="H289" s="13"/>
      <c r="I289" s="25"/>
      <c r="J289" s="13"/>
      <c r="K289" s="23"/>
      <c r="L289" s="2"/>
      <c r="M289" s="2"/>
      <c r="N289" s="2"/>
      <c r="O289" s="2"/>
      <c r="P289" s="2"/>
      <c r="Q289" s="2"/>
      <c r="R289" s="2"/>
      <c r="S289" s="2"/>
      <c r="T289" s="2"/>
    </row>
    <row r="290" ht="14" hidden="1" customHeight="1" spans="1:20">
      <c r="A290" s="14"/>
      <c r="B290" s="14"/>
      <c r="C290" s="14"/>
      <c r="D290" s="14"/>
      <c r="E290" s="24"/>
      <c r="F290" s="15"/>
      <c r="G290" s="12"/>
      <c r="H290" s="13"/>
      <c r="I290" s="25"/>
      <c r="J290" s="13"/>
      <c r="K290" s="23"/>
      <c r="L290" s="2"/>
      <c r="M290" s="2"/>
      <c r="N290" s="2"/>
      <c r="O290" s="2"/>
      <c r="P290" s="2"/>
      <c r="Q290" s="2"/>
      <c r="R290" s="2"/>
      <c r="S290" s="2"/>
      <c r="T290" s="2"/>
    </row>
    <row r="291" ht="14" hidden="1" customHeight="1" spans="1:20">
      <c r="A291" s="14"/>
      <c r="B291" s="14"/>
      <c r="C291" s="14"/>
      <c r="D291" s="14"/>
      <c r="E291" s="24"/>
      <c r="F291" s="15"/>
      <c r="G291" s="12"/>
      <c r="H291" s="13"/>
      <c r="I291" s="25"/>
      <c r="J291" s="13"/>
      <c r="K291" s="23"/>
      <c r="L291" s="2"/>
      <c r="M291" s="2"/>
      <c r="N291" s="2"/>
      <c r="O291" s="2"/>
      <c r="P291" s="2"/>
      <c r="Q291" s="2"/>
      <c r="R291" s="2"/>
      <c r="S291" s="2"/>
      <c r="T291" s="2"/>
    </row>
    <row r="292" ht="14" hidden="1" customHeight="1" spans="1:20">
      <c r="A292" s="14"/>
      <c r="B292" s="14"/>
      <c r="C292" s="14"/>
      <c r="D292" s="14"/>
      <c r="E292" s="24"/>
      <c r="F292" s="15"/>
      <c r="G292" s="12"/>
      <c r="H292" s="13"/>
      <c r="I292" s="25"/>
      <c r="J292" s="13"/>
      <c r="K292" s="23"/>
      <c r="L292" s="2"/>
      <c r="M292" s="2"/>
      <c r="N292" s="2"/>
      <c r="O292" s="2"/>
      <c r="P292" s="2"/>
      <c r="Q292" s="2"/>
      <c r="R292" s="2"/>
      <c r="S292" s="2"/>
      <c r="T292" s="2"/>
    </row>
    <row r="293" ht="14" hidden="1" customHeight="1" spans="1:20">
      <c r="A293" s="14"/>
      <c r="B293" s="14"/>
      <c r="C293" s="14"/>
      <c r="D293" s="14"/>
      <c r="E293" s="24"/>
      <c r="F293" s="15"/>
      <c r="G293" s="12"/>
      <c r="H293" s="13"/>
      <c r="I293" s="25"/>
      <c r="J293" s="13"/>
      <c r="K293" s="23"/>
      <c r="L293" s="2"/>
      <c r="M293" s="2"/>
      <c r="N293" s="2"/>
      <c r="O293" s="2"/>
      <c r="P293" s="2"/>
      <c r="Q293" s="2"/>
      <c r="R293" s="2"/>
      <c r="S293" s="2"/>
      <c r="T293" s="2"/>
    </row>
    <row r="294" ht="15" hidden="1" customHeight="1" spans="1:20">
      <c r="A294" s="14"/>
      <c r="B294" s="14"/>
      <c r="C294" s="14"/>
      <c r="D294" s="14"/>
      <c r="E294" s="24"/>
      <c r="F294" s="15">
        <f>IFERROR(SUMIFS(存条明细!G:G,存条明细!C:C,B294,存条明细!D:D,C294),0)</f>
        <v>0</v>
      </c>
      <c r="G294" s="12">
        <f>IFERROR(SUMIFS(出库明细!E:E,出库明细!C:C,B294,出库明细!D:D,C294),0)</f>
        <v>0</v>
      </c>
      <c r="H294" s="13">
        <f>IFERROR(SUMIFS(出库明细!G:G,出库明细!C:C,B294,出库明细!D:D,C294),0)</f>
        <v>0</v>
      </c>
      <c r="I294" s="25">
        <f>IFERROR(D294-G294,0)</f>
        <v>0</v>
      </c>
      <c r="J294" s="13">
        <f>IFERROR(F294-H294,0)</f>
        <v>0</v>
      </c>
      <c r="K294" s="23"/>
      <c r="L294" s="2"/>
      <c r="M294" s="2"/>
      <c r="N294" s="2"/>
      <c r="O294" s="2"/>
      <c r="P294" s="2"/>
      <c r="Q294" s="2"/>
      <c r="R294" s="2"/>
      <c r="S294" s="2"/>
      <c r="T294" s="2"/>
    </row>
    <row r="295" ht="15" hidden="1" customHeight="1" spans="1:20">
      <c r="A295" s="14"/>
      <c r="B295" s="14"/>
      <c r="C295" s="14"/>
      <c r="D295" s="14"/>
      <c r="E295" s="24"/>
      <c r="F295" s="15"/>
      <c r="G295" s="14"/>
      <c r="H295" s="15"/>
      <c r="I295" s="25">
        <f>IFERROR(D295-G295,0)</f>
        <v>0</v>
      </c>
      <c r="J295" s="15"/>
      <c r="K295" s="23"/>
      <c r="L295" s="2"/>
      <c r="M295" s="2"/>
      <c r="N295" s="2"/>
      <c r="O295" s="2"/>
      <c r="P295" s="2"/>
      <c r="Q295" s="2"/>
      <c r="R295" s="2"/>
      <c r="S295" s="2"/>
      <c r="T295" s="2"/>
    </row>
    <row r="296" ht="15" hidden="1" customHeight="1" spans="1:20">
      <c r="A296" s="12">
        <v>59</v>
      </c>
      <c r="B296" s="12"/>
      <c r="C296" s="12"/>
      <c r="D296" s="12">
        <f>IFERROR(SUMIFS(存条明细!E:E,存条明细!C:C,B296,存条明细!D:D,C296),0)</f>
        <v>0</v>
      </c>
      <c r="E296" s="22"/>
      <c r="F296" s="13">
        <f>IFERROR(SUMIFS(存条明细!G:G,存条明细!C:C,B296,存条明细!D:D,C296),0)</f>
        <v>0</v>
      </c>
      <c r="G296" s="12">
        <f>IFERROR(SUMIFS(出库明细!E:E,出库明细!C:C,B296,出库明细!D:D,C296),0)</f>
        <v>0</v>
      </c>
      <c r="H296" s="13">
        <f>IFERROR(SUMIFS(出库明细!G:G,出库明细!C:C,B296,出库明细!D:D,C296),0)</f>
        <v>0</v>
      </c>
      <c r="I296" s="12">
        <f>IFERROR(D296-G296,0)</f>
        <v>0</v>
      </c>
      <c r="J296" s="13">
        <f>IFERROR(F296-H296,0)</f>
        <v>0</v>
      </c>
      <c r="K296" s="23">
        <f ca="1">TODAY()</f>
        <v>46289</v>
      </c>
      <c r="L296" s="2"/>
      <c r="M296" s="2"/>
      <c r="N296" s="2"/>
      <c r="O296" s="2"/>
      <c r="P296" s="2"/>
      <c r="Q296" s="2"/>
      <c r="R296" s="2"/>
      <c r="S296" s="2"/>
      <c r="T296" s="2"/>
    </row>
    <row r="297" ht="15" hidden="1" customHeight="1" spans="1:20">
      <c r="A297" s="14">
        <v>60</v>
      </c>
      <c r="B297" s="14"/>
      <c r="C297" s="14"/>
      <c r="D297" s="14">
        <f>IFERROR(SUMIFS(存条明细!E:E,存条明细!C:C,B297,存条明细!D:D,C297),0)</f>
        <v>0</v>
      </c>
      <c r="E297" s="24"/>
      <c r="F297" s="15">
        <f>IFERROR(SUMIFS(存条明细!G:G,存条明细!C:C,B297,存条明细!D:D,C297),0)</f>
        <v>0</v>
      </c>
      <c r="G297" s="14">
        <f>IFERROR(SUMIFS(出库明细!E:E,出库明细!C:C,B297,出库明细!D:D,C297),0)</f>
        <v>0</v>
      </c>
      <c r="H297" s="15">
        <f>IFERROR(SUMIFS(出库明细!G:G,出库明细!C:C,B297,出库明细!D:D,C297),0)</f>
        <v>0</v>
      </c>
      <c r="I297" s="14">
        <f>IFERROR(D297-G297,0)</f>
        <v>0</v>
      </c>
      <c r="J297" s="15">
        <f>IFERROR(F297-H297,0)</f>
        <v>0</v>
      </c>
      <c r="K297" s="23">
        <f ca="1">TODAY()</f>
        <v>46289</v>
      </c>
      <c r="L297" s="2"/>
      <c r="M297" s="2"/>
      <c r="N297" s="2"/>
      <c r="O297" s="2"/>
      <c r="P297" s="2"/>
      <c r="Q297" s="2"/>
      <c r="R297" s="2"/>
      <c r="S297" s="2"/>
      <c r="T297" s="2"/>
    </row>
    <row r="298" ht="15" hidden="1" customHeight="1" spans="1:20">
      <c r="A298" s="37" t="s">
        <v>12</v>
      </c>
      <c r="B298" s="2"/>
      <c r="C298" s="2"/>
      <c r="D298" s="37">
        <f>IFERROR(SUMIFS(存条明细!E:E,存条明细!C:C,B298,存条明细!D:D,C298),0)</f>
        <v>0</v>
      </c>
      <c r="E298" s="38"/>
      <c r="F298" s="39">
        <f>IFERROR(SUMIFS(存条明细!G:G,存条明细!C:C,B298,存条明细!D:D,C298),0)</f>
        <v>0</v>
      </c>
      <c r="G298" s="37">
        <f>IFERROR(SUMIFS(出库明细!E:E,出库明细!C:C,B298,出库明细!D:D,C298),0)</f>
        <v>0</v>
      </c>
      <c r="H298" s="39">
        <f>IFERROR(SUMIFS(出库明细!G:G,出库明细!C:C,B298,出库明细!D:D,C298),0)</f>
        <v>0</v>
      </c>
      <c r="I298" s="37">
        <f>IFERROR(D298-G298,0)</f>
        <v>0</v>
      </c>
      <c r="J298" s="39">
        <f>IFERROR(F298-H298,0)</f>
        <v>0</v>
      </c>
      <c r="K298" s="23">
        <f ca="1">TODAY()</f>
        <v>46289</v>
      </c>
      <c r="L298" s="2"/>
      <c r="M298" s="2"/>
      <c r="N298" s="2"/>
      <c r="O298" s="2"/>
      <c r="P298" s="2"/>
      <c r="Q298" s="2"/>
      <c r="R298" s="2"/>
      <c r="S298" s="2"/>
      <c r="T298" s="2"/>
    </row>
    <row r="299" hidden="1" spans="1:20">
      <c r="A299" s="2"/>
      <c r="B299" s="27"/>
      <c r="C299" s="2"/>
      <c r="D299" s="2"/>
      <c r="E299" s="19"/>
      <c r="F299" s="2"/>
      <c r="G299" s="2"/>
      <c r="H299" s="2"/>
      <c r="I299" s="2"/>
      <c r="J299" s="2"/>
      <c r="K299" s="2"/>
    </row>
    <row r="300" spans="1:20">
      <c r="A300" s="2"/>
      <c r="B300" s="35"/>
      <c r="C300" s="2"/>
      <c r="D300" s="2"/>
      <c r="E300" s="19"/>
      <c r="F300" s="2"/>
      <c r="G300" s="2"/>
      <c r="H300" s="2"/>
      <c r="I300" s="2"/>
      <c r="J300" s="2"/>
      <c r="K300" s="2"/>
    </row>
    <row r="301" spans="1:20">
      <c r="A301" s="2"/>
      <c r="B301" s="2"/>
      <c r="C301" s="2"/>
      <c r="D301" s="2"/>
      <c r="E301" s="19"/>
      <c r="F301" s="2"/>
      <c r="G301" s="2"/>
      <c r="H301" s="2"/>
      <c r="I301" s="2"/>
      <c r="J301" s="2"/>
      <c r="K301" s="2"/>
    </row>
    <row r="302" spans="1:20">
      <c r="A302" s="2"/>
      <c r="B302" s="2"/>
      <c r="C302" s="2"/>
      <c r="D302" s="2"/>
      <c r="E302" s="19"/>
      <c r="F302" s="2"/>
      <c r="G302" s="2"/>
      <c r="H302" s="2"/>
      <c r="I302" s="2"/>
      <c r="J302" s="2"/>
      <c r="K302" s="2"/>
    </row>
    <row r="303" spans="1:20">
      <c r="A303" s="2"/>
      <c r="B303" s="2"/>
      <c r="C303" s="2"/>
      <c r="D303" s="2"/>
      <c r="E303" s="19"/>
      <c r="F303" s="2"/>
      <c r="G303" s="2"/>
      <c r="H303" s="2"/>
      <c r="I303" s="2"/>
      <c r="J303" s="2"/>
      <c r="K303" s="2"/>
    </row>
    <row r="304" spans="1:20">
      <c r="A304" s="2"/>
      <c r="B304" s="2"/>
      <c r="C304" s="2"/>
      <c r="D304" s="2"/>
      <c r="E304" s="19"/>
      <c r="F304" s="2"/>
      <c r="G304" s="2"/>
      <c r="H304" s="2"/>
      <c r="I304" s="2"/>
      <c r="J304" s="2"/>
      <c r="K304" s="2"/>
    </row>
    <row r="305" spans="1:11">
      <c r="A305" s="2"/>
      <c r="B305" s="2"/>
      <c r="C305" s="2"/>
      <c r="D305" s="2"/>
      <c r="E305" s="19"/>
      <c r="F305" s="2"/>
      <c r="G305" s="2"/>
      <c r="H305" s="2"/>
      <c r="I305" s="2"/>
      <c r="J305" s="2"/>
      <c r="K305" s="2"/>
    </row>
    <row r="306" spans="1:11">
      <c r="A306" s="2"/>
      <c r="B306" s="2"/>
      <c r="C306" s="2"/>
      <c r="D306" s="2"/>
      <c r="E306" s="19"/>
      <c r="F306" s="2"/>
      <c r="G306" s="2"/>
      <c r="H306" s="2"/>
      <c r="I306" s="2"/>
      <c r="J306" s="2"/>
      <c r="K306" s="2"/>
    </row>
    <row r="307" spans="1:11">
      <c r="A307" s="2"/>
      <c r="B307" s="2"/>
      <c r="C307" s="2"/>
      <c r="D307" s="2"/>
      <c r="E307" s="19"/>
      <c r="F307" s="2"/>
      <c r="G307" s="2"/>
      <c r="H307" s="2"/>
      <c r="I307" s="2"/>
      <c r="J307" s="2"/>
      <c r="K307" s="2"/>
    </row>
    <row r="308" spans="1:11">
      <c r="A308" s="2"/>
      <c r="B308" s="2"/>
      <c r="C308" s="2"/>
      <c r="D308" s="2"/>
      <c r="E308" s="19"/>
      <c r="F308" s="2"/>
      <c r="G308" s="2"/>
      <c r="H308" s="2"/>
      <c r="I308" s="2"/>
      <c r="J308" s="2"/>
      <c r="K308" s="2"/>
    </row>
    <row r="309" spans="1:11">
      <c r="A309" s="2"/>
      <c r="B309" s="2"/>
      <c r="C309" s="2"/>
      <c r="D309" s="2"/>
      <c r="E309" s="19"/>
      <c r="F309" s="2"/>
      <c r="G309" s="2"/>
      <c r="H309" s="2"/>
      <c r="I309" s="2"/>
      <c r="J309" s="2"/>
      <c r="K309" s="2"/>
    </row>
    <row r="310" spans="1:11">
      <c r="A310" s="2"/>
      <c r="B310" s="2"/>
      <c r="C310" s="2"/>
      <c r="D310" s="2"/>
      <c r="E310" s="19"/>
      <c r="F310" s="2"/>
      <c r="G310" s="2"/>
      <c r="H310" s="2"/>
      <c r="I310" s="2"/>
      <c r="J310" s="2"/>
      <c r="K310" s="2"/>
    </row>
    <row r="311" spans="1:11">
      <c r="A311" s="2"/>
      <c r="B311" s="2"/>
      <c r="C311" s="2"/>
      <c r="D311" s="2"/>
      <c r="E311" s="19"/>
      <c r="F311" s="2"/>
      <c r="G311" s="2"/>
      <c r="H311" s="2"/>
      <c r="I311" s="2"/>
      <c r="J311" s="2"/>
      <c r="K311" s="2"/>
    </row>
    <row r="312" spans="1:11">
      <c r="A312" s="2"/>
      <c r="B312" s="2"/>
      <c r="C312" s="2"/>
      <c r="D312" s="2"/>
      <c r="E312" s="19"/>
      <c r="F312" s="2"/>
      <c r="G312" s="2"/>
      <c r="H312" s="2"/>
      <c r="I312" s="2"/>
      <c r="J312" s="2"/>
      <c r="K312" s="2"/>
    </row>
    <row r="313" spans="1:11">
      <c r="A313" s="2"/>
      <c r="B313" s="2"/>
      <c r="C313" s="2"/>
      <c r="D313" s="2"/>
      <c r="E313" s="19"/>
      <c r="F313" s="2"/>
      <c r="G313" s="2"/>
      <c r="H313" s="2"/>
      <c r="I313" s="2"/>
      <c r="J313" s="2"/>
      <c r="K313" s="2"/>
    </row>
    <row r="314" spans="1:11">
      <c r="A314" s="2"/>
      <c r="B314" s="2"/>
      <c r="C314" s="2"/>
      <c r="D314" s="2"/>
      <c r="E314" s="19"/>
      <c r="F314" s="2"/>
      <c r="G314" s="2"/>
      <c r="H314" s="2"/>
      <c r="I314" s="2"/>
      <c r="J314" s="2"/>
      <c r="K314" s="2"/>
    </row>
    <row r="315" spans="1:11">
      <c r="A315" s="2"/>
      <c r="B315" s="2"/>
      <c r="C315" s="2"/>
      <c r="D315" s="2"/>
      <c r="E315" s="19"/>
      <c r="F315" s="2"/>
      <c r="G315" s="2"/>
      <c r="H315" s="2"/>
      <c r="I315" s="2"/>
      <c r="J315" s="2"/>
      <c r="K315" s="2"/>
    </row>
    <row r="316" spans="1:11">
      <c r="A316" s="2"/>
      <c r="B316" s="2"/>
      <c r="C316" s="2"/>
      <c r="D316" s="2"/>
      <c r="E316" s="19"/>
      <c r="F316" s="2"/>
      <c r="G316" s="2"/>
      <c r="H316" s="2"/>
      <c r="I316" s="2"/>
      <c r="J316" s="2"/>
      <c r="K316" s="2"/>
    </row>
    <row r="317" spans="1:11">
      <c r="A317" s="2"/>
      <c r="B317" s="2"/>
      <c r="C317" s="2"/>
      <c r="D317" s="2"/>
      <c r="E317" s="19"/>
      <c r="F317" s="2"/>
      <c r="G317" s="2"/>
      <c r="H317" s="2"/>
      <c r="I317" s="2"/>
      <c r="J317" s="2"/>
      <c r="K317" s="2"/>
    </row>
    <row r="318" spans="1:11">
      <c r="A318" s="2"/>
      <c r="B318" s="2"/>
      <c r="C318" s="2"/>
      <c r="D318" s="2"/>
      <c r="E318" s="19"/>
      <c r="F318" s="2"/>
      <c r="G318" s="2"/>
      <c r="H318" s="2"/>
      <c r="I318" s="2"/>
      <c r="J318" s="2"/>
      <c r="K318" s="2"/>
    </row>
    <row r="319" spans="1:11">
      <c r="A319" s="2"/>
      <c r="B319" s="2"/>
      <c r="C319" s="2"/>
      <c r="D319" s="2"/>
      <c r="E319" s="19"/>
      <c r="F319" s="2"/>
      <c r="G319" s="2"/>
      <c r="H319" s="2"/>
      <c r="I319" s="2"/>
      <c r="J319" s="2"/>
      <c r="K319" s="2"/>
    </row>
    <row r="320" spans="1:11">
      <c r="A320" s="2"/>
      <c r="B320" s="2"/>
      <c r="C320" s="2"/>
      <c r="D320" s="2"/>
      <c r="E320" s="19"/>
      <c r="F320" s="2"/>
      <c r="G320" s="2"/>
      <c r="H320" s="2"/>
      <c r="I320" s="2"/>
      <c r="J320" s="2"/>
      <c r="K320" s="2"/>
    </row>
    <row r="321" spans="1:11">
      <c r="A321" s="2"/>
      <c r="B321" s="2"/>
      <c r="C321" s="2"/>
      <c r="D321" s="2"/>
      <c r="E321" s="19"/>
      <c r="F321" s="2"/>
      <c r="G321" s="2"/>
      <c r="H321" s="2"/>
      <c r="I321" s="2"/>
      <c r="J321" s="2"/>
      <c r="K321" s="2"/>
    </row>
    <row r="322" spans="1:11">
      <c r="A322" s="2"/>
      <c r="B322" s="2"/>
      <c r="C322" s="2"/>
      <c r="D322" s="2"/>
      <c r="E322" s="19"/>
      <c r="F322" s="2"/>
      <c r="G322" s="2"/>
      <c r="H322" s="2"/>
      <c r="I322" s="2"/>
      <c r="J322" s="2"/>
      <c r="K322" s="2"/>
    </row>
    <row r="323" spans="1:11">
      <c r="A323" s="2"/>
      <c r="B323" s="2"/>
      <c r="C323" s="2"/>
      <c r="D323" s="2"/>
      <c r="E323" s="19"/>
      <c r="F323" s="2"/>
      <c r="G323" s="2"/>
      <c r="H323" s="2"/>
      <c r="I323" s="2"/>
      <c r="J323" s="2"/>
      <c r="K323" s="2"/>
    </row>
    <row r="324" spans="1:11">
      <c r="A324" s="2"/>
      <c r="B324" s="2"/>
      <c r="C324" s="2"/>
      <c r="D324" s="2"/>
      <c r="E324" s="19"/>
      <c r="F324" s="2"/>
      <c r="G324" s="2"/>
      <c r="H324" s="2"/>
      <c r="I324" s="2"/>
      <c r="J324" s="2"/>
      <c r="K324" s="2"/>
    </row>
    <row r="325" spans="1:11">
      <c r="A325" s="2"/>
      <c r="B325" s="2"/>
      <c r="C325" s="2"/>
      <c r="D325" s="2"/>
      <c r="E325" s="19"/>
      <c r="F325" s="2"/>
      <c r="G325" s="2"/>
      <c r="H325" s="2"/>
      <c r="I325" s="2"/>
      <c r="J325" s="2"/>
      <c r="K325" s="2"/>
    </row>
    <row r="326" spans="1:11">
      <c r="A326" s="2"/>
      <c r="B326" s="2"/>
      <c r="C326" s="2"/>
      <c r="D326" s="2"/>
      <c r="E326" s="19"/>
      <c r="F326" s="2"/>
      <c r="G326" s="2"/>
      <c r="H326" s="2"/>
      <c r="I326" s="2"/>
      <c r="J326" s="2"/>
      <c r="K326" s="2"/>
    </row>
    <row r="327" spans="1:11">
      <c r="A327" s="2"/>
      <c r="B327" s="2"/>
      <c r="C327" s="2"/>
      <c r="D327" s="2"/>
      <c r="E327" s="19"/>
      <c r="F327" s="2"/>
      <c r="G327" s="2"/>
      <c r="H327" s="2"/>
      <c r="I327" s="2"/>
      <c r="J327" s="2"/>
      <c r="K327" s="2"/>
    </row>
    <row r="328" spans="1:11">
      <c r="A328" s="2"/>
      <c r="B328" s="2"/>
      <c r="C328" s="2"/>
      <c r="D328" s="2"/>
      <c r="E328" s="19"/>
      <c r="F328" s="2"/>
      <c r="G328" s="2"/>
      <c r="H328" s="2"/>
      <c r="I328" s="2"/>
      <c r="J328" s="2"/>
      <c r="K328" s="2"/>
    </row>
    <row r="329" spans="1:11">
      <c r="A329" s="2"/>
      <c r="B329" s="2"/>
      <c r="C329" s="2"/>
      <c r="D329" s="2"/>
      <c r="E329" s="19"/>
      <c r="F329" s="2"/>
      <c r="G329" s="2"/>
      <c r="H329" s="2"/>
      <c r="I329" s="2"/>
      <c r="J329" s="2"/>
      <c r="K329" s="2"/>
    </row>
    <row r="330" spans="1:11">
      <c r="A330" s="2"/>
      <c r="B330" s="2"/>
      <c r="C330" s="2"/>
      <c r="D330" s="2"/>
      <c r="E330" s="19"/>
      <c r="F330" s="2"/>
      <c r="G330" s="2"/>
      <c r="H330" s="2"/>
      <c r="I330" s="2"/>
      <c r="J330" s="2"/>
      <c r="K330" s="2"/>
    </row>
    <row r="331" spans="1:11">
      <c r="A331" s="2"/>
      <c r="B331" s="2"/>
      <c r="C331" s="2"/>
      <c r="D331" s="2"/>
      <c r="E331" s="19"/>
      <c r="F331" s="2"/>
      <c r="G331" s="2"/>
      <c r="H331" s="2"/>
      <c r="I331" s="2"/>
      <c r="J331" s="2"/>
      <c r="K331" s="2"/>
    </row>
    <row r="332" spans="1:11">
      <c r="A332" s="2"/>
      <c r="B332" s="2"/>
      <c r="C332" s="2"/>
      <c r="D332" s="2"/>
      <c r="E332" s="19"/>
      <c r="F332" s="2"/>
      <c r="G332" s="2"/>
      <c r="H332" s="2"/>
      <c r="I332" s="2"/>
      <c r="J332" s="2"/>
      <c r="K332" s="2"/>
    </row>
    <row r="333" spans="1:11">
      <c r="A333" s="2"/>
      <c r="B333" s="2"/>
      <c r="C333" s="2"/>
      <c r="D333" s="2"/>
      <c r="E333" s="19"/>
      <c r="F333" s="2"/>
      <c r="G333" s="2"/>
      <c r="H333" s="2"/>
      <c r="I333" s="2"/>
      <c r="J333" s="2"/>
      <c r="K333" s="2"/>
    </row>
    <row r="334" spans="1:11">
      <c r="A334" s="2"/>
      <c r="B334" s="2"/>
      <c r="C334" s="2"/>
      <c r="D334" s="2"/>
      <c r="E334" s="19"/>
      <c r="F334" s="2"/>
      <c r="G334" s="2"/>
      <c r="H334" s="2"/>
      <c r="I334" s="2"/>
      <c r="J334" s="2"/>
      <c r="K334" s="2"/>
    </row>
    <row r="335" spans="1:11">
      <c r="A335" s="2"/>
      <c r="B335" s="2"/>
      <c r="C335" s="2"/>
      <c r="D335" s="2"/>
      <c r="E335" s="19"/>
      <c r="F335" s="2"/>
      <c r="G335" s="2"/>
      <c r="H335" s="2"/>
      <c r="I335" s="2"/>
      <c r="J335" s="2"/>
      <c r="K335" s="2"/>
    </row>
    <row r="336" spans="1:11">
      <c r="A336" s="2"/>
      <c r="B336" s="2"/>
      <c r="C336" s="2"/>
      <c r="D336" s="2"/>
      <c r="E336" s="19"/>
      <c r="F336" s="2"/>
      <c r="G336" s="2"/>
      <c r="H336" s="2"/>
      <c r="I336" s="2"/>
      <c r="J336" s="2"/>
      <c r="K336" s="2"/>
    </row>
    <row r="337" spans="1:11">
      <c r="A337" s="2"/>
      <c r="B337" s="2"/>
      <c r="C337" s="2"/>
      <c r="D337" s="2"/>
      <c r="E337" s="19"/>
      <c r="F337" s="2"/>
      <c r="G337" s="2"/>
      <c r="H337" s="2"/>
      <c r="I337" s="2"/>
      <c r="J337" s="2"/>
      <c r="K337" s="2"/>
    </row>
    <row r="338" spans="1:11">
      <c r="A338" s="2"/>
      <c r="B338" s="2"/>
      <c r="C338" s="2"/>
      <c r="D338" s="2"/>
      <c r="E338" s="19"/>
      <c r="F338" s="2"/>
      <c r="G338" s="2"/>
      <c r="H338" s="2"/>
      <c r="I338" s="2"/>
      <c r="J338" s="2"/>
      <c r="K338" s="2"/>
    </row>
    <row r="339" spans="1:11">
      <c r="A339" s="2"/>
      <c r="B339" s="2"/>
      <c r="C339" s="2"/>
      <c r="D339" s="2"/>
      <c r="E339" s="19"/>
      <c r="F339" s="2"/>
      <c r="G339" s="2"/>
      <c r="H339" s="2"/>
      <c r="I339" s="2"/>
      <c r="J339" s="2"/>
      <c r="K339" s="2"/>
    </row>
    <row r="340" spans="1:11">
      <c r="A340" s="2"/>
      <c r="B340" s="2"/>
      <c r="C340" s="2"/>
      <c r="D340" s="2"/>
      <c r="E340" s="19"/>
      <c r="F340" s="2"/>
      <c r="G340" s="2"/>
      <c r="H340" s="2"/>
      <c r="I340" s="2"/>
      <c r="J340" s="2"/>
      <c r="K340" s="2"/>
    </row>
    <row r="341" spans="1:11">
      <c r="A341" s="2"/>
      <c r="B341" s="2"/>
      <c r="C341" s="2"/>
      <c r="D341" s="2"/>
      <c r="E341" s="19"/>
      <c r="F341" s="2"/>
      <c r="G341" s="2"/>
      <c r="H341" s="2"/>
      <c r="I341" s="2"/>
      <c r="J341" s="2"/>
      <c r="K341" s="2"/>
    </row>
    <row r="342" spans="1:11">
      <c r="A342" s="2"/>
      <c r="B342" s="2"/>
      <c r="C342" s="2"/>
      <c r="D342" s="2"/>
      <c r="E342" s="19"/>
      <c r="F342" s="2"/>
      <c r="G342" s="2"/>
      <c r="H342" s="2"/>
      <c r="I342" s="2"/>
      <c r="J342" s="2"/>
      <c r="K342" s="2"/>
    </row>
    <row r="343" spans="1:11">
      <c r="A343" s="2"/>
      <c r="B343" s="2"/>
      <c r="C343" s="2"/>
      <c r="D343" s="2"/>
      <c r="E343" s="19"/>
      <c r="F343" s="2"/>
      <c r="G343" s="2"/>
      <c r="H343" s="2"/>
      <c r="I343" s="2"/>
      <c r="J343" s="2"/>
      <c r="K343" s="2"/>
    </row>
    <row r="344" spans="1:11">
      <c r="A344" s="2"/>
      <c r="B344" s="2"/>
      <c r="C344" s="2"/>
      <c r="D344" s="2"/>
      <c r="E344" s="19"/>
      <c r="F344" s="2"/>
      <c r="G344" s="2"/>
      <c r="H344" s="2"/>
      <c r="I344" s="2"/>
      <c r="J344" s="2"/>
      <c r="K344" s="2"/>
    </row>
    <row r="345" spans="1:11">
      <c r="A345" s="2"/>
      <c r="B345" s="2"/>
      <c r="C345" s="2"/>
      <c r="D345" s="2"/>
      <c r="E345" s="19"/>
      <c r="F345" s="2"/>
      <c r="G345" s="2"/>
      <c r="H345" s="2"/>
      <c r="I345" s="2"/>
      <c r="J345" s="2"/>
      <c r="K345" s="2"/>
    </row>
    <row r="346" spans="1:11">
      <c r="A346" s="2"/>
      <c r="B346" s="2"/>
      <c r="C346" s="2"/>
      <c r="D346" s="2"/>
      <c r="E346" s="19"/>
      <c r="F346" s="2"/>
      <c r="G346" s="2"/>
      <c r="H346" s="2"/>
      <c r="I346" s="2"/>
      <c r="J346" s="2"/>
      <c r="K346" s="2"/>
    </row>
    <row r="347" spans="1:11">
      <c r="A347" s="2"/>
      <c r="B347" s="2"/>
      <c r="C347" s="2"/>
      <c r="D347" s="2"/>
      <c r="E347" s="19"/>
      <c r="F347" s="2"/>
      <c r="G347" s="2"/>
      <c r="H347" s="2"/>
      <c r="I347" s="2"/>
      <c r="J347" s="2"/>
      <c r="K347" s="2"/>
    </row>
    <row r="348" spans="1:11">
      <c r="A348" s="2"/>
      <c r="B348" s="2"/>
      <c r="C348" s="2"/>
      <c r="D348" s="2"/>
      <c r="E348" s="19"/>
      <c r="F348" s="2"/>
      <c r="G348" s="2"/>
      <c r="H348" s="2"/>
      <c r="I348" s="2"/>
      <c r="J348" s="2"/>
      <c r="K348" s="2"/>
    </row>
    <row r="349" spans="1:11">
      <c r="A349" s="2"/>
      <c r="B349" s="2"/>
      <c r="C349" s="2"/>
      <c r="D349" s="2"/>
      <c r="E349" s="19"/>
      <c r="F349" s="2"/>
      <c r="G349" s="2"/>
      <c r="H349" s="2"/>
      <c r="I349" s="2"/>
      <c r="J349" s="2"/>
      <c r="K349" s="2"/>
    </row>
    <row r="350" spans="1:11">
      <c r="A350" s="2"/>
      <c r="B350" s="2"/>
      <c r="C350" s="2"/>
      <c r="D350" s="2"/>
      <c r="E350" s="19"/>
      <c r="F350" s="2"/>
      <c r="G350" s="2"/>
      <c r="H350" s="2"/>
      <c r="I350" s="2"/>
      <c r="J350" s="2"/>
      <c r="K350" s="2"/>
    </row>
    <row r="351" spans="1:11">
      <c r="A351" s="2"/>
      <c r="B351" s="2"/>
      <c r="C351" s="2"/>
      <c r="D351" s="2"/>
      <c r="E351" s="19"/>
      <c r="F351" s="2"/>
      <c r="G351" s="2"/>
      <c r="H351" s="2"/>
      <c r="I351" s="2"/>
      <c r="J351" s="2"/>
      <c r="K351" s="2"/>
    </row>
    <row r="352" spans="1:11">
      <c r="A352" s="2"/>
      <c r="B352" s="2"/>
      <c r="C352" s="2"/>
      <c r="D352" s="2"/>
      <c r="E352" s="19"/>
      <c r="F352" s="2"/>
      <c r="G352" s="2"/>
      <c r="H352" s="2"/>
      <c r="I352" s="2"/>
      <c r="J352" s="2"/>
      <c r="K352" s="2"/>
    </row>
    <row r="353" spans="1:11">
      <c r="A353" s="2"/>
      <c r="B353" s="2"/>
      <c r="C353" s="2"/>
      <c r="D353" s="2"/>
      <c r="E353" s="19"/>
      <c r="F353" s="2"/>
      <c r="G353" s="2"/>
      <c r="H353" s="2"/>
      <c r="I353" s="2"/>
      <c r="J353" s="2"/>
      <c r="K353" s="2"/>
    </row>
    <row r="354" spans="1:11">
      <c r="A354" s="2"/>
      <c r="B354" s="2"/>
      <c r="C354" s="2"/>
      <c r="D354" s="2"/>
      <c r="E354" s="19"/>
      <c r="F354" s="2"/>
      <c r="G354" s="2"/>
      <c r="H354" s="2"/>
      <c r="I354" s="2"/>
      <c r="J354" s="2"/>
      <c r="K354" s="2"/>
    </row>
    <row r="355" spans="1:11">
      <c r="A355" s="2"/>
      <c r="B355" s="2"/>
      <c r="C355" s="2"/>
      <c r="D355" s="2"/>
      <c r="E355" s="19"/>
      <c r="F355" s="2"/>
      <c r="G355" s="2"/>
      <c r="H355" s="2"/>
      <c r="I355" s="2"/>
      <c r="J355" s="2"/>
      <c r="K355" s="2"/>
    </row>
    <row r="356" spans="1:11">
      <c r="A356" s="2"/>
      <c r="B356" s="2"/>
      <c r="C356" s="2"/>
      <c r="D356" s="2"/>
      <c r="E356" s="19"/>
      <c r="F356" s="2"/>
      <c r="G356" s="2"/>
      <c r="H356" s="2"/>
      <c r="I356" s="2"/>
      <c r="J356" s="2"/>
      <c r="K356" s="2"/>
    </row>
    <row r="357" spans="1:11">
      <c r="A357" s="2"/>
      <c r="B357" s="2"/>
      <c r="C357" s="2"/>
      <c r="D357" s="2"/>
      <c r="E357" s="19"/>
      <c r="F357" s="2"/>
      <c r="G357" s="2"/>
      <c r="H357" s="2"/>
      <c r="I357" s="2"/>
      <c r="J357" s="2"/>
      <c r="K357" s="2"/>
    </row>
    <row r="358" spans="1:11">
      <c r="A358" s="2"/>
      <c r="B358" s="2"/>
      <c r="C358" s="2"/>
      <c r="D358" s="2"/>
      <c r="E358" s="19"/>
      <c r="F358" s="2"/>
      <c r="G358" s="2"/>
      <c r="H358" s="2"/>
      <c r="I358" s="2"/>
      <c r="J358" s="2"/>
      <c r="K358" s="2"/>
    </row>
    <row r="359" spans="1:11">
      <c r="A359" s="2"/>
      <c r="B359" s="2"/>
      <c r="C359" s="2"/>
      <c r="D359" s="2"/>
      <c r="E359" s="19"/>
      <c r="F359" s="2"/>
      <c r="G359" s="2"/>
      <c r="H359" s="2"/>
      <c r="I359" s="2"/>
      <c r="J359" s="2"/>
      <c r="K359" s="2"/>
    </row>
    <row r="360" spans="1:11">
      <c r="A360" s="2"/>
      <c r="B360" s="2"/>
      <c r="C360" s="2"/>
      <c r="D360" s="2"/>
      <c r="E360" s="19"/>
      <c r="F360" s="2"/>
      <c r="G360" s="2"/>
      <c r="H360" s="2"/>
      <c r="I360" s="2"/>
      <c r="J360" s="2"/>
      <c r="K360" s="2"/>
    </row>
    <row r="361" spans="1:11">
      <c r="A361" s="2"/>
      <c r="B361" s="2"/>
      <c r="C361" s="2"/>
      <c r="D361" s="2"/>
      <c r="E361" s="19"/>
      <c r="F361" s="2"/>
      <c r="G361" s="2"/>
      <c r="H361" s="2"/>
      <c r="I361" s="2"/>
      <c r="J361" s="2"/>
      <c r="K361" s="2"/>
    </row>
    <row r="362" spans="1:11">
      <c r="A362" s="2"/>
      <c r="B362" s="2"/>
      <c r="C362" s="2"/>
      <c r="D362" s="2"/>
      <c r="E362" s="19"/>
      <c r="F362" s="2"/>
      <c r="G362" s="2"/>
      <c r="H362" s="2"/>
      <c r="I362" s="2"/>
      <c r="J362" s="2"/>
      <c r="K362" s="2"/>
    </row>
    <row r="363" spans="1:11">
      <c r="A363" s="2"/>
      <c r="B363" s="2"/>
      <c r="C363" s="2"/>
      <c r="D363" s="2"/>
      <c r="E363" s="19"/>
      <c r="F363" s="2"/>
      <c r="G363" s="2"/>
      <c r="H363" s="2"/>
      <c r="I363" s="2"/>
      <c r="J363" s="2"/>
      <c r="K363" s="2"/>
    </row>
    <row r="364" spans="1:11">
      <c r="A364" s="2"/>
      <c r="B364" s="2"/>
      <c r="C364" s="2"/>
      <c r="D364" s="2"/>
      <c r="E364" s="19"/>
      <c r="F364" s="2"/>
      <c r="G364" s="2"/>
      <c r="H364" s="2"/>
      <c r="I364" s="2"/>
      <c r="J364" s="2"/>
      <c r="K364" s="2"/>
    </row>
    <row r="365" spans="1:11">
      <c r="A365" s="2"/>
      <c r="B365" s="2"/>
      <c r="C365" s="2"/>
      <c r="D365" s="2"/>
      <c r="E365" s="19"/>
      <c r="F365" s="2"/>
      <c r="G365" s="2"/>
      <c r="H365" s="2"/>
      <c r="I365" s="2"/>
      <c r="J365" s="2"/>
      <c r="K365" s="2"/>
    </row>
    <row r="366" spans="1:11">
      <c r="A366" s="2"/>
      <c r="B366" s="2"/>
      <c r="C366" s="2"/>
      <c r="D366" s="2"/>
      <c r="E366" s="19"/>
      <c r="F366" s="2"/>
      <c r="G366" s="2"/>
      <c r="H366" s="2"/>
      <c r="I366" s="2"/>
      <c r="J366" s="2"/>
      <c r="K366" s="2"/>
    </row>
    <row r="367" spans="1:11">
      <c r="A367" s="2"/>
      <c r="B367" s="2"/>
      <c r="C367" s="2"/>
      <c r="D367" s="2"/>
      <c r="E367" s="19"/>
      <c r="F367" s="2"/>
      <c r="G367" s="2"/>
      <c r="H367" s="2"/>
      <c r="I367" s="2"/>
      <c r="J367" s="2"/>
      <c r="K367" s="2"/>
    </row>
    <row r="368" spans="1:11">
      <c r="A368" s="2"/>
      <c r="B368" s="2"/>
      <c r="C368" s="2"/>
      <c r="D368" s="2"/>
      <c r="E368" s="19"/>
      <c r="F368" s="2"/>
      <c r="G368" s="2"/>
      <c r="H368" s="2"/>
      <c r="I368" s="2"/>
      <c r="J368" s="2"/>
      <c r="K368" s="2"/>
    </row>
    <row r="369" spans="1:11">
      <c r="A369" s="2"/>
      <c r="B369" s="2"/>
      <c r="C369" s="2"/>
      <c r="D369" s="2"/>
      <c r="E369" s="19"/>
      <c r="F369" s="2"/>
      <c r="G369" s="2"/>
      <c r="H369" s="2"/>
      <c r="I369" s="2"/>
      <c r="J369" s="2"/>
      <c r="K369" s="2"/>
    </row>
    <row r="370" spans="1:11">
      <c r="A370" s="2"/>
      <c r="B370" s="2"/>
      <c r="C370" s="2"/>
      <c r="D370" s="2"/>
      <c r="E370" s="19"/>
      <c r="F370" s="2"/>
      <c r="G370" s="2"/>
      <c r="H370" s="2"/>
      <c r="I370" s="2"/>
      <c r="J370" s="2"/>
      <c r="K370" s="2"/>
    </row>
    <row r="371" spans="1:11">
      <c r="A371" s="2"/>
      <c r="B371" s="2"/>
      <c r="C371" s="2"/>
      <c r="D371" s="2"/>
      <c r="E371" s="19"/>
      <c r="F371" s="2"/>
      <c r="G371" s="2"/>
      <c r="H371" s="2"/>
      <c r="I371" s="2"/>
      <c r="J371" s="2"/>
      <c r="K371" s="2"/>
    </row>
    <row r="372" spans="1:11">
      <c r="A372" s="2"/>
      <c r="B372" s="2"/>
      <c r="C372" s="2"/>
      <c r="D372" s="2"/>
      <c r="E372" s="19"/>
      <c r="F372" s="2"/>
      <c r="G372" s="2"/>
      <c r="H372" s="2"/>
      <c r="I372" s="2"/>
      <c r="J372" s="2"/>
      <c r="K372" s="2"/>
    </row>
    <row r="373" spans="1:11">
      <c r="A373" s="2"/>
      <c r="B373" s="2"/>
      <c r="C373" s="2"/>
      <c r="D373" s="2"/>
      <c r="E373" s="19"/>
      <c r="F373" s="2"/>
      <c r="G373" s="2"/>
      <c r="H373" s="2"/>
      <c r="I373" s="2"/>
      <c r="J373" s="2"/>
      <c r="K373" s="2"/>
    </row>
    <row r="374" spans="1:11">
      <c r="A374" s="2"/>
      <c r="B374" s="2"/>
      <c r="C374" s="2"/>
      <c r="D374" s="2"/>
      <c r="E374" s="19"/>
      <c r="F374" s="2"/>
      <c r="G374" s="2"/>
      <c r="H374" s="2"/>
      <c r="I374" s="2"/>
      <c r="J374" s="2"/>
      <c r="K374" s="2"/>
    </row>
    <row r="375" spans="1:11">
      <c r="A375" s="2"/>
      <c r="B375" s="2"/>
      <c r="C375" s="2"/>
      <c r="D375" s="2"/>
      <c r="E375" s="19"/>
      <c r="F375" s="2"/>
      <c r="G375" s="2"/>
      <c r="H375" s="2"/>
      <c r="I375" s="2"/>
      <c r="J375" s="2"/>
      <c r="K375" s="2"/>
    </row>
    <row r="376" spans="1:11">
      <c r="A376" s="2"/>
      <c r="B376" s="2"/>
      <c r="C376" s="2"/>
      <c r="D376" s="2"/>
      <c r="E376" s="19"/>
      <c r="F376" s="2"/>
      <c r="G376" s="2"/>
      <c r="H376" s="2"/>
      <c r="I376" s="2"/>
      <c r="J376" s="2"/>
      <c r="K376" s="2"/>
    </row>
    <row r="377" spans="1:11">
      <c r="A377" s="2"/>
      <c r="B377" s="2"/>
      <c r="C377" s="2"/>
      <c r="D377" s="2"/>
      <c r="E377" s="19"/>
      <c r="F377" s="2"/>
      <c r="G377" s="2"/>
      <c r="H377" s="2"/>
      <c r="I377" s="2"/>
      <c r="J377" s="2"/>
      <c r="K377" s="2"/>
    </row>
    <row r="378" spans="1:11">
      <c r="A378" s="2"/>
      <c r="B378" s="2"/>
      <c r="C378" s="2"/>
      <c r="D378" s="2"/>
      <c r="E378" s="19"/>
      <c r="F378" s="2"/>
      <c r="G378" s="2"/>
      <c r="H378" s="2"/>
      <c r="I378" s="2"/>
      <c r="J378" s="2"/>
      <c r="K378" s="2"/>
    </row>
    <row r="379" spans="1:11">
      <c r="A379" s="2"/>
      <c r="B379" s="2"/>
      <c r="C379" s="2"/>
      <c r="D379" s="2"/>
      <c r="E379" s="19"/>
      <c r="F379" s="2"/>
      <c r="G379" s="2"/>
      <c r="H379" s="2"/>
      <c r="I379" s="2"/>
      <c r="J379" s="2"/>
      <c r="K379" s="2"/>
    </row>
    <row r="380" spans="1:11">
      <c r="A380" s="2"/>
      <c r="B380" s="2"/>
      <c r="C380" s="2"/>
      <c r="D380" s="2"/>
      <c r="E380" s="19"/>
      <c r="F380" s="2"/>
      <c r="G380" s="2"/>
      <c r="H380" s="2"/>
      <c r="I380" s="2"/>
      <c r="J380" s="2"/>
      <c r="K380" s="2"/>
    </row>
    <row r="381" spans="1:11">
      <c r="A381" s="2"/>
      <c r="B381" s="2"/>
      <c r="C381" s="2"/>
      <c r="D381" s="2"/>
      <c r="E381" s="19"/>
      <c r="F381" s="2"/>
      <c r="G381" s="2"/>
      <c r="H381" s="2"/>
      <c r="I381" s="2"/>
      <c r="J381" s="2"/>
      <c r="K381" s="2"/>
    </row>
    <row r="382" spans="1:11">
      <c r="A382" s="2"/>
      <c r="B382" s="2"/>
      <c r="C382" s="2"/>
      <c r="D382" s="2"/>
      <c r="E382" s="19"/>
      <c r="F382" s="2"/>
      <c r="G382" s="2"/>
      <c r="H382" s="2"/>
      <c r="I382" s="2"/>
      <c r="J382" s="2"/>
      <c r="K382" s="2"/>
    </row>
    <row r="383" spans="1:11">
      <c r="A383" s="2"/>
      <c r="B383" s="2"/>
      <c r="C383" s="2"/>
      <c r="D383" s="2"/>
      <c r="E383" s="19"/>
      <c r="F383" s="2"/>
      <c r="G383" s="2"/>
      <c r="H383" s="2"/>
      <c r="I383" s="2"/>
      <c r="J383" s="2"/>
      <c r="K383" s="2"/>
    </row>
    <row r="384" spans="1:11">
      <c r="A384" s="2"/>
      <c r="B384" s="2"/>
      <c r="C384" s="2"/>
      <c r="D384" s="2"/>
      <c r="E384" s="19"/>
      <c r="F384" s="2"/>
      <c r="G384" s="2"/>
      <c r="H384" s="2"/>
      <c r="I384" s="2"/>
      <c r="J384" s="2"/>
      <c r="K384" s="2"/>
    </row>
    <row r="385" spans="1:11">
      <c r="A385" s="2"/>
      <c r="B385" s="2"/>
      <c r="C385" s="2"/>
      <c r="D385" s="2"/>
      <c r="E385" s="19"/>
      <c r="F385" s="2"/>
      <c r="G385" s="2"/>
      <c r="H385" s="2"/>
      <c r="I385" s="2"/>
      <c r="J385" s="2"/>
      <c r="K385" s="2"/>
    </row>
    <row r="386" spans="1:11">
      <c r="A386" s="2"/>
      <c r="B386" s="2"/>
      <c r="C386" s="2"/>
      <c r="D386" s="2"/>
      <c r="E386" s="19"/>
      <c r="F386" s="2"/>
      <c r="G386" s="2"/>
      <c r="H386" s="2"/>
      <c r="I386" s="2"/>
      <c r="J386" s="2"/>
      <c r="K386" s="2"/>
    </row>
    <row r="387" spans="1:11">
      <c r="A387" s="2"/>
      <c r="B387" s="2"/>
      <c r="C387" s="2"/>
      <c r="D387" s="2"/>
      <c r="E387" s="19"/>
      <c r="F387" s="2"/>
      <c r="G387" s="2"/>
      <c r="H387" s="2"/>
      <c r="I387" s="2"/>
      <c r="J387" s="2"/>
      <c r="K387" s="2"/>
    </row>
    <row r="388" spans="1:11">
      <c r="A388" s="2"/>
      <c r="B388" s="2"/>
      <c r="C388" s="2"/>
      <c r="D388" s="2"/>
      <c r="E388" s="19"/>
      <c r="F388" s="2"/>
      <c r="G388" s="2"/>
      <c r="H388" s="2"/>
      <c r="I388" s="2"/>
      <c r="J388" s="2"/>
      <c r="K388" s="2"/>
    </row>
    <row r="389" spans="1:11">
      <c r="A389" s="2"/>
      <c r="B389" s="2"/>
      <c r="C389" s="2"/>
      <c r="D389" s="2"/>
      <c r="E389" s="19"/>
      <c r="F389" s="2"/>
      <c r="G389" s="2"/>
      <c r="H389" s="2"/>
      <c r="I389" s="2"/>
      <c r="J389" s="2"/>
      <c r="K389" s="2"/>
    </row>
    <row r="390" spans="1:11">
      <c r="A390" s="2"/>
      <c r="B390" s="2"/>
      <c r="C390" s="2"/>
      <c r="D390" s="2"/>
      <c r="E390" s="19"/>
      <c r="F390" s="2"/>
      <c r="G390" s="2"/>
      <c r="H390" s="2"/>
      <c r="I390" s="2"/>
      <c r="J390" s="2"/>
      <c r="K390" s="2"/>
    </row>
    <row r="391" spans="1:11">
      <c r="A391" s="2"/>
      <c r="B391" s="2"/>
      <c r="C391" s="2"/>
      <c r="D391" s="2"/>
      <c r="E391" s="19"/>
      <c r="F391" s="2"/>
      <c r="G391" s="2"/>
      <c r="H391" s="2"/>
      <c r="I391" s="2"/>
      <c r="J391" s="2"/>
      <c r="K391" s="2"/>
    </row>
    <row r="392" spans="1:11">
      <c r="A392" s="2"/>
      <c r="B392" s="2"/>
      <c r="C392" s="2"/>
      <c r="D392" s="2"/>
      <c r="E392" s="19"/>
      <c r="F392" s="2"/>
      <c r="G392" s="2"/>
      <c r="H392" s="2"/>
      <c r="I392" s="2"/>
      <c r="J392" s="2"/>
      <c r="K392" s="2"/>
    </row>
    <row r="393" spans="1:11">
      <c r="A393" s="2"/>
      <c r="B393" s="2"/>
      <c r="C393" s="2"/>
      <c r="D393" s="2"/>
      <c r="E393" s="19"/>
      <c r="F393" s="2"/>
      <c r="G393" s="2"/>
      <c r="H393" s="2"/>
      <c r="I393" s="2"/>
      <c r="J393" s="2"/>
      <c r="K393" s="2"/>
    </row>
    <row r="394" spans="1:11">
      <c r="A394" s="2"/>
      <c r="B394" s="2"/>
      <c r="C394" s="2"/>
      <c r="D394" s="2"/>
      <c r="E394" s="19"/>
      <c r="F394" s="2"/>
      <c r="G394" s="2"/>
      <c r="H394" s="2"/>
      <c r="I394" s="2"/>
      <c r="J394" s="2"/>
      <c r="K394" s="2"/>
    </row>
    <row r="395" spans="1:11">
      <c r="A395" s="2"/>
      <c r="B395" s="2"/>
      <c r="C395" s="2"/>
      <c r="D395" s="2"/>
      <c r="E395" s="19"/>
      <c r="F395" s="2"/>
      <c r="G395" s="2"/>
      <c r="H395" s="2"/>
      <c r="I395" s="2"/>
      <c r="J395" s="2"/>
      <c r="K395" s="2"/>
    </row>
    <row r="396" spans="1:11">
      <c r="A396" s="2"/>
      <c r="B396" s="2"/>
      <c r="C396" s="2"/>
      <c r="D396" s="2"/>
      <c r="E396" s="19"/>
      <c r="F396" s="2"/>
      <c r="G396" s="2"/>
      <c r="H396" s="2"/>
      <c r="I396" s="2"/>
      <c r="J396" s="2"/>
      <c r="K396" s="2"/>
    </row>
    <row r="397" spans="1:11">
      <c r="A397" s="2"/>
      <c r="B397" s="2"/>
      <c r="C397" s="2"/>
      <c r="D397" s="2"/>
      <c r="E397" s="19"/>
      <c r="F397" s="2"/>
      <c r="G397" s="2"/>
      <c r="H397" s="2"/>
      <c r="I397" s="2"/>
      <c r="J397" s="2"/>
      <c r="K397" s="2"/>
    </row>
    <row r="398" spans="1:11">
      <c r="A398" s="2"/>
      <c r="B398" s="2"/>
      <c r="C398" s="2"/>
      <c r="D398" s="2"/>
      <c r="E398" s="19"/>
      <c r="F398" s="2"/>
      <c r="G398" s="2"/>
      <c r="H398" s="2"/>
      <c r="I398" s="2"/>
      <c r="J398" s="2"/>
      <c r="K398" s="2"/>
    </row>
    <row r="399" spans="1:11">
      <c r="A399" s="2"/>
      <c r="B399" s="2"/>
      <c r="C399" s="2"/>
      <c r="D399" s="2"/>
      <c r="E399" s="19"/>
      <c r="F399" s="2"/>
      <c r="G399" s="2"/>
      <c r="H399" s="2"/>
      <c r="I399" s="2"/>
      <c r="J399" s="2"/>
      <c r="K399" s="2"/>
    </row>
    <row r="400" spans="1:11">
      <c r="A400" s="2"/>
      <c r="B400" s="2"/>
      <c r="C400" s="2"/>
      <c r="D400" s="2"/>
      <c r="E400" s="19"/>
      <c r="F400" s="2"/>
      <c r="G400" s="2"/>
      <c r="H400" s="2"/>
      <c r="I400" s="2"/>
      <c r="J400" s="2"/>
      <c r="K400" s="2"/>
    </row>
    <row r="401" spans="1:11">
      <c r="A401" s="2"/>
      <c r="B401" s="2"/>
      <c r="C401" s="2"/>
      <c r="D401" s="2"/>
      <c r="E401" s="19"/>
      <c r="F401" s="2"/>
      <c r="G401" s="2"/>
      <c r="H401" s="2"/>
      <c r="I401" s="2"/>
      <c r="J401" s="2"/>
      <c r="K401" s="2"/>
    </row>
    <row r="402" spans="1:11">
      <c r="A402" s="2"/>
      <c r="B402" s="2"/>
      <c r="C402" s="2"/>
      <c r="D402" s="2"/>
      <c r="E402" s="19"/>
      <c r="F402" s="2"/>
      <c r="G402" s="2"/>
      <c r="H402" s="2"/>
      <c r="I402" s="2"/>
      <c r="J402" s="2"/>
      <c r="K402" s="2"/>
    </row>
    <row r="403" spans="1:11">
      <c r="A403" s="2"/>
      <c r="B403" s="2"/>
      <c r="C403" s="2"/>
      <c r="D403" s="2"/>
      <c r="E403" s="19"/>
      <c r="F403" s="2"/>
      <c r="G403" s="2"/>
      <c r="H403" s="2"/>
      <c r="I403" s="2"/>
      <c r="J403" s="2"/>
      <c r="K403" s="2"/>
    </row>
    <row r="404" spans="1:11">
      <c r="A404" s="2"/>
      <c r="B404" s="2"/>
      <c r="C404" s="2"/>
      <c r="D404" s="2"/>
      <c r="E404" s="19"/>
      <c r="F404" s="2"/>
      <c r="G404" s="2"/>
      <c r="H404" s="2"/>
      <c r="I404" s="2"/>
      <c r="J404" s="2"/>
      <c r="K404" s="2"/>
    </row>
    <row r="405" spans="1:11">
      <c r="A405" s="2"/>
      <c r="B405" s="2"/>
      <c r="C405" s="2"/>
      <c r="D405" s="2"/>
      <c r="E405" s="19"/>
      <c r="F405" s="2"/>
      <c r="G405" s="2"/>
      <c r="H405" s="2"/>
      <c r="I405" s="2"/>
      <c r="J405" s="2"/>
      <c r="K405" s="2"/>
    </row>
    <row r="406" spans="1:11">
      <c r="A406" s="2"/>
      <c r="B406" s="2"/>
      <c r="C406" s="2"/>
      <c r="D406" s="2"/>
      <c r="E406" s="19"/>
      <c r="F406" s="2"/>
      <c r="G406" s="2"/>
      <c r="H406" s="2"/>
      <c r="I406" s="2"/>
      <c r="J406" s="2"/>
      <c r="K406" s="2"/>
    </row>
    <row r="407" spans="1:11">
      <c r="A407" s="2"/>
      <c r="B407" s="2"/>
      <c r="C407" s="2"/>
      <c r="D407" s="2"/>
      <c r="E407" s="19"/>
      <c r="F407" s="2"/>
      <c r="G407" s="2"/>
      <c r="H407" s="2"/>
      <c r="I407" s="2"/>
      <c r="J407" s="2"/>
      <c r="K407" s="2"/>
    </row>
    <row r="408" spans="1:11">
      <c r="A408" s="2"/>
      <c r="B408" s="2"/>
      <c r="C408" s="2"/>
      <c r="D408" s="2"/>
      <c r="E408" s="19"/>
      <c r="F408" s="2"/>
      <c r="G408" s="2"/>
      <c r="H408" s="2"/>
      <c r="I408" s="2"/>
      <c r="J408" s="2"/>
      <c r="K408" s="2"/>
    </row>
    <row r="409" spans="1:11">
      <c r="A409" s="2"/>
      <c r="B409" s="2"/>
      <c r="C409" s="2"/>
      <c r="D409" s="2"/>
      <c r="E409" s="19"/>
      <c r="F409" s="2"/>
      <c r="G409" s="2"/>
      <c r="H409" s="2"/>
      <c r="I409" s="2"/>
      <c r="J409" s="2"/>
      <c r="K409" s="2"/>
    </row>
    <row r="410" spans="1:11">
      <c r="A410" s="2"/>
      <c r="B410" s="2"/>
      <c r="C410" s="2"/>
      <c r="D410" s="2"/>
      <c r="E410" s="19"/>
      <c r="F410" s="2"/>
      <c r="G410" s="2"/>
      <c r="H410" s="2"/>
      <c r="I410" s="2"/>
      <c r="J410" s="2"/>
      <c r="K410" s="2"/>
    </row>
    <row r="411" spans="1:11">
      <c r="A411" s="2"/>
      <c r="B411" s="2"/>
      <c r="C411" s="2"/>
      <c r="D411" s="2"/>
      <c r="E411" s="19"/>
      <c r="F411" s="2"/>
      <c r="G411" s="2"/>
      <c r="H411" s="2"/>
      <c r="I411" s="2"/>
      <c r="J411" s="2"/>
      <c r="K411" s="2"/>
    </row>
    <row r="412" spans="1:11">
      <c r="A412" s="2"/>
      <c r="B412" s="2"/>
      <c r="C412" s="2"/>
      <c r="D412" s="2"/>
      <c r="E412" s="19"/>
      <c r="F412" s="2"/>
      <c r="G412" s="2"/>
      <c r="H412" s="2"/>
      <c r="I412" s="2"/>
      <c r="J412" s="2"/>
      <c r="K412" s="2"/>
    </row>
    <row r="413" spans="1:11">
      <c r="A413" s="2"/>
      <c r="B413" s="2"/>
      <c r="C413" s="2"/>
      <c r="D413" s="2"/>
      <c r="E413" s="19"/>
      <c r="F413" s="2"/>
      <c r="G413" s="2"/>
      <c r="H413" s="2"/>
      <c r="I413" s="2"/>
      <c r="J413" s="2"/>
      <c r="K413" s="2"/>
    </row>
    <row r="414" spans="1:11">
      <c r="A414" s="2"/>
      <c r="B414" s="2"/>
      <c r="C414" s="2"/>
      <c r="D414" s="2"/>
      <c r="E414" s="19"/>
      <c r="F414" s="2"/>
      <c r="G414" s="2"/>
      <c r="H414" s="2"/>
      <c r="I414" s="2"/>
      <c r="J414" s="2"/>
      <c r="K414" s="2"/>
    </row>
    <row r="415" spans="1:11">
      <c r="A415" s="2"/>
      <c r="B415" s="2"/>
      <c r="C415" s="2"/>
      <c r="D415" s="2"/>
      <c r="E415" s="19"/>
      <c r="F415" s="2"/>
      <c r="G415" s="2"/>
      <c r="H415" s="2"/>
      <c r="I415" s="2"/>
      <c r="J415" s="2"/>
      <c r="K415" s="2"/>
    </row>
    <row r="416" spans="1:11">
      <c r="A416" s="2"/>
      <c r="B416" s="2"/>
      <c r="C416" s="2"/>
      <c r="D416" s="2"/>
      <c r="E416" s="19"/>
      <c r="F416" s="2"/>
      <c r="G416" s="2"/>
      <c r="H416" s="2"/>
      <c r="I416" s="2"/>
      <c r="J416" s="2"/>
      <c r="K416" s="2"/>
    </row>
    <row r="417" spans="1:11">
      <c r="A417" s="2"/>
      <c r="B417" s="2"/>
      <c r="C417" s="2"/>
      <c r="D417" s="2"/>
      <c r="E417" s="19"/>
      <c r="F417" s="2"/>
      <c r="G417" s="2"/>
      <c r="H417" s="2"/>
      <c r="I417" s="2"/>
      <c r="J417" s="2"/>
      <c r="K417" s="2"/>
    </row>
    <row r="418" spans="1:11">
      <c r="A418" s="2"/>
      <c r="B418" s="2"/>
      <c r="C418" s="2"/>
      <c r="D418" s="2"/>
      <c r="E418" s="19"/>
      <c r="F418" s="2"/>
      <c r="G418" s="2"/>
      <c r="H418" s="2"/>
      <c r="I418" s="2"/>
      <c r="J418" s="2"/>
      <c r="K418" s="2"/>
    </row>
    <row r="419" spans="1:11">
      <c r="A419" s="2"/>
      <c r="B419" s="2"/>
      <c r="C419" s="2"/>
      <c r="D419" s="2"/>
      <c r="E419" s="19"/>
      <c r="F419" s="2"/>
      <c r="G419" s="2"/>
      <c r="H419" s="2"/>
      <c r="I419" s="2"/>
      <c r="J419" s="2"/>
      <c r="K419" s="2"/>
    </row>
    <row r="420" spans="1:11">
      <c r="A420" s="2"/>
      <c r="B420" s="2"/>
      <c r="C420" s="2"/>
      <c r="D420" s="2"/>
      <c r="E420" s="19"/>
      <c r="F420" s="2"/>
      <c r="G420" s="2"/>
      <c r="H420" s="2"/>
      <c r="I420" s="2"/>
      <c r="J420" s="2"/>
      <c r="K420" s="2"/>
    </row>
    <row r="421" spans="1:11">
      <c r="A421" s="2"/>
      <c r="B421" s="2"/>
      <c r="C421" s="2"/>
      <c r="D421" s="2"/>
      <c r="E421" s="19"/>
      <c r="F421" s="2"/>
      <c r="G421" s="2"/>
      <c r="H421" s="2"/>
      <c r="I421" s="2"/>
      <c r="J421" s="2"/>
      <c r="K421" s="2"/>
    </row>
    <row r="422" spans="1:11">
      <c r="A422" s="2"/>
      <c r="B422" s="2"/>
      <c r="C422" s="2"/>
      <c r="D422" s="2"/>
      <c r="E422" s="19"/>
      <c r="F422" s="2"/>
      <c r="G422" s="2"/>
      <c r="H422" s="2"/>
      <c r="I422" s="2"/>
      <c r="J422" s="2"/>
      <c r="K422" s="2"/>
    </row>
    <row r="423" spans="1:11">
      <c r="A423" s="2"/>
      <c r="B423" s="2"/>
      <c r="C423" s="2"/>
      <c r="D423" s="2"/>
      <c r="E423" s="19"/>
      <c r="F423" s="2"/>
      <c r="G423" s="2"/>
      <c r="H423" s="2"/>
      <c r="I423" s="2"/>
      <c r="J423" s="2"/>
      <c r="K423" s="2"/>
    </row>
    <row r="424" spans="1:11">
      <c r="A424" s="2"/>
      <c r="B424" s="2"/>
      <c r="C424" s="2"/>
      <c r="D424" s="2"/>
      <c r="E424" s="19"/>
      <c r="F424" s="2"/>
      <c r="G424" s="2"/>
      <c r="H424" s="2"/>
      <c r="I424" s="2"/>
      <c r="J424" s="2"/>
      <c r="K424" s="2"/>
    </row>
    <row r="425" spans="1:11">
      <c r="A425" s="2"/>
      <c r="B425" s="2"/>
      <c r="C425" s="2"/>
      <c r="D425" s="2"/>
      <c r="E425" s="19"/>
      <c r="F425" s="2"/>
      <c r="G425" s="2"/>
      <c r="H425" s="2"/>
      <c r="I425" s="2"/>
      <c r="J425" s="2"/>
      <c r="K425" s="2"/>
    </row>
    <row r="426" spans="1:11">
      <c r="A426" s="2"/>
      <c r="B426" s="2"/>
      <c r="C426" s="2"/>
      <c r="D426" s="2"/>
      <c r="E426" s="19"/>
      <c r="F426" s="2"/>
      <c r="G426" s="2"/>
      <c r="H426" s="2"/>
      <c r="I426" s="2"/>
      <c r="J426" s="2"/>
      <c r="K426" s="2"/>
    </row>
    <row r="427" spans="1:11">
      <c r="A427" s="2"/>
      <c r="B427" s="2"/>
      <c r="C427" s="2"/>
      <c r="D427" s="2"/>
      <c r="E427" s="19"/>
      <c r="F427" s="2"/>
      <c r="G427" s="2"/>
      <c r="H427" s="2"/>
      <c r="I427" s="2"/>
      <c r="J427" s="2"/>
      <c r="K427" s="2"/>
    </row>
    <row r="428" spans="1:11">
      <c r="A428" s="2"/>
      <c r="B428" s="2"/>
      <c r="C428" s="2"/>
      <c r="D428" s="2"/>
      <c r="E428" s="19"/>
      <c r="F428" s="2"/>
      <c r="G428" s="2"/>
      <c r="H428" s="2"/>
      <c r="I428" s="2"/>
      <c r="J428" s="2"/>
      <c r="K428" s="2"/>
    </row>
    <row r="429" spans="1:11">
      <c r="A429" s="2"/>
      <c r="B429" s="2"/>
      <c r="C429" s="2"/>
      <c r="D429" s="2"/>
      <c r="E429" s="19"/>
      <c r="F429" s="2"/>
      <c r="G429" s="2"/>
      <c r="H429" s="2"/>
      <c r="I429" s="2"/>
      <c r="J429" s="2"/>
      <c r="K429" s="2"/>
    </row>
    <row r="430" spans="1:11">
      <c r="A430" s="2"/>
      <c r="B430" s="2"/>
      <c r="C430" s="2"/>
      <c r="D430" s="2"/>
      <c r="E430" s="19"/>
      <c r="F430" s="2"/>
      <c r="G430" s="2"/>
      <c r="H430" s="2"/>
      <c r="I430" s="2"/>
      <c r="J430" s="2"/>
      <c r="K430" s="2"/>
    </row>
    <row r="431" spans="1:11">
      <c r="A431" s="2"/>
      <c r="B431" s="2"/>
      <c r="C431" s="2"/>
      <c r="D431" s="2"/>
      <c r="E431" s="19"/>
      <c r="F431" s="2"/>
      <c r="G431" s="2"/>
      <c r="H431" s="2"/>
      <c r="I431" s="2"/>
      <c r="J431" s="2"/>
      <c r="K431" s="2"/>
    </row>
    <row r="432" spans="1:11">
      <c r="A432" s="2"/>
      <c r="B432" s="2"/>
      <c r="C432" s="2"/>
      <c r="D432" s="2"/>
      <c r="E432" s="19"/>
      <c r="F432" s="2"/>
      <c r="G432" s="2"/>
      <c r="H432" s="2"/>
      <c r="I432" s="2"/>
      <c r="J432" s="2"/>
      <c r="K432" s="2"/>
    </row>
    <row r="433" spans="1:11">
      <c r="A433" s="2"/>
      <c r="B433" s="2"/>
      <c r="C433" s="2"/>
      <c r="D433" s="2"/>
      <c r="E433" s="19"/>
      <c r="F433" s="2"/>
      <c r="G433" s="2"/>
      <c r="H433" s="2"/>
      <c r="I433" s="2"/>
      <c r="J433" s="2"/>
      <c r="K433" s="2"/>
    </row>
    <row r="434" spans="1:11">
      <c r="A434" s="2"/>
      <c r="B434" s="2"/>
      <c r="C434" s="2"/>
      <c r="D434" s="2"/>
      <c r="E434" s="19"/>
      <c r="F434" s="2"/>
      <c r="G434" s="2"/>
      <c r="H434" s="2"/>
      <c r="I434" s="2"/>
      <c r="J434" s="2"/>
      <c r="K434" s="2"/>
    </row>
  </sheetData>
  <autoFilter xmlns:etc="http://www.wps.cn/officeDocument/2017/etCustomData" ref="A3:T299" etc:filterBottomFollowUsedRange="0">
    <filterColumn colId="1">
      <customFilters>
        <customFilter operator="equal" val="滨江荣香副食"/>
      </customFilters>
    </filterColumn>
    <filterColumn colId="2">
      <customFilters>
        <customFilter operator="equal" val="大咖"/>
      </customFilters>
    </filterColumn>
    <extLst/>
  </autoFilter>
  <mergeCells count="3">
    <mergeCell ref="A1:J1"/>
    <mergeCell ref="A2:J2"/>
    <mergeCell ref="A298:C298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200"/>
  <sheetViews>
    <sheetView workbookViewId="0">
      <selection activeCell="A1" sqref="A1:G1"/>
    </sheetView>
  </sheetViews>
  <sheetFormatPr defaultColWidth="14" defaultRowHeight="12"/>
  <cols>
    <col min="1" max="1" width="17" customWidth="1"/>
    <col min="2" max="2" width="13" customWidth="1"/>
    <col min="3" max="3" width="15" customWidth="1"/>
    <col min="4" max="4" width="13" customWidth="1"/>
    <col min="5" max="5" width="15" customWidth="1"/>
    <col min="6" max="6" width="13" customWidth="1"/>
    <col min="7" max="7" width="15" customWidth="1"/>
  </cols>
  <sheetData>
    <row r="1" ht="33" customHeight="1" spans="1:20">
      <c r="A1" s="1" t="s">
        <v>204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24" customHeight="1" spans="1:20">
      <c r="A2" s="3" t="s">
        <v>205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20">
      <c r="A3" s="2"/>
      <c r="B3" s="2"/>
      <c r="C3" s="2"/>
      <c r="D3" s="2"/>
      <c r="E3" s="2"/>
      <c r="F3" s="2"/>
      <c r="G3" s="2"/>
    </row>
    <row r="4" ht="29" customHeight="1" spans="1:20">
      <c r="A4" s="4" t="s">
        <v>206</v>
      </c>
      <c r="B4" s="5" t="s">
        <v>13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>
      <c r="A5" s="2"/>
      <c r="B5" s="2"/>
      <c r="C5" s="2"/>
      <c r="D5" s="2"/>
      <c r="E5" s="2"/>
      <c r="F5" s="2"/>
      <c r="G5" s="2"/>
    </row>
    <row r="6" ht="26" customHeight="1" spans="1:20">
      <c r="A6" s="6" t="s">
        <v>207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15" customHeight="1" spans="1:20">
      <c r="A7" s="7" t="s">
        <v>208</v>
      </c>
      <c r="B7" s="7" t="s">
        <v>209</v>
      </c>
      <c r="C7" s="7" t="s">
        <v>210</v>
      </c>
      <c r="D7" s="7" t="s">
        <v>211</v>
      </c>
      <c r="E7" s="7" t="s">
        <v>212</v>
      </c>
      <c r="F7" s="7" t="s">
        <v>9</v>
      </c>
      <c r="G7" s="7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15" customHeight="1" spans="1:20">
      <c r="A8" s="8">
        <f>IFERROR(VLOOKUP($B$4,总览汇总!$B$5:$H$154,2,FALSE),"")</f>
        <v>39547</v>
      </c>
      <c r="B8" s="8">
        <f>IFERROR(VLOOKUP($B$4,总览汇总!$B$5:$H$154,3,FALSE),"")</f>
        <v>77322</v>
      </c>
      <c r="C8" s="8">
        <f>IFERROR(VLOOKUP($B$4,总览汇总!$B$5:$H$154,4,FALSE),"")</f>
        <v>-37775</v>
      </c>
      <c r="D8" s="8">
        <f>IFERROR(VLOOKUP($B$4,总览汇总!$B$5:$H$154,5,FALSE),"")</f>
        <v>148067</v>
      </c>
      <c r="E8" s="8">
        <f>IFERROR(VLOOKUP($B$4,总览汇总!$B$5:$H$154,6,FALSE),"")</f>
        <v>-70745</v>
      </c>
      <c r="F8" s="9" t="str">
        <f>IFERROR(VLOOKUP($B$4,总览汇总!$B$5:$H$154,7,FALSE),"")</f>
        <v>预存款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>
      <c r="A9" s="2"/>
      <c r="B9" s="2"/>
      <c r="C9" s="2"/>
      <c r="D9" s="2"/>
      <c r="E9" s="2"/>
      <c r="F9" s="2"/>
      <c r="G9" s="2"/>
    </row>
    <row r="10" ht="26" customHeight="1" spans="1:20">
      <c r="A10" s="10" t="s">
        <v>213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15" customHeight="1" spans="1:20">
      <c r="A11" s="11" t="s">
        <v>94</v>
      </c>
      <c r="B11" s="11" t="s">
        <v>214</v>
      </c>
      <c r="C11" s="11" t="s">
        <v>215</v>
      </c>
      <c r="D11" s="11" t="s">
        <v>216</v>
      </c>
      <c r="E11" s="11" t="s">
        <v>209</v>
      </c>
      <c r="F11" s="11" t="s">
        <v>217</v>
      </c>
      <c r="G11" s="11" t="s">
        <v>218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15" customHeight="1" spans="1:20">
      <c r="A12" s="12" t="str">
        <f>IFERROR(INDEX(商品库存!$C$4:$C$297,SMALL(IF(商品库存!$B$4:$B$297=$B$4,ROW(商品库存!$B$4:$B$297)-3,999),1)),"")</f>
        <v/>
      </c>
      <c r="B12" s="12" t="str">
        <f>IF(A12&lt;&gt;"",VLOOKUP(A12,IF(商品库存!$B$4:$B$297=$B$4,商品库存!$C$4:$D$297),2,FALSE),"")</f>
        <v/>
      </c>
      <c r="C12" s="13" t="str">
        <f>IF(A12&lt;&gt;"",VLOOKUP(A12,IF(商品库存!$B$4:$B$297=$B$4,商品库存!$C$4:$F$297),4,FALSE),"")</f>
        <v/>
      </c>
      <c r="D12" s="12" t="str">
        <f>IF(A12&lt;&gt;"",VLOOKUP(A12,IF(商品库存!$B$4:$B$297=$B$4,商品库存!$C$4:$G$297),5,FALSE),"")</f>
        <v/>
      </c>
      <c r="E12" s="13" t="str">
        <f>IF(A12&lt;&gt;"",VLOOKUP(A12,IF(商品库存!$B$4:$B$297=$B$4,商品库存!$C$4:$H$297),6,FALSE),"")</f>
        <v/>
      </c>
      <c r="F12" s="12" t="str">
        <f>IF(A12&lt;&gt;"",VLOOKUP(A12,IF(商品库存!$B$4:$B$297=$B$4,商品库存!$C$4:$I$297),7,FALSE),"")</f>
        <v/>
      </c>
      <c r="G12" s="13" t="str">
        <f>IF(A12&lt;&gt;"",VLOOKUP(A12,IF(商品库存!$B$4:$B$297=$B$4,商品库存!$C$4:$J$297),8,FALSE),"")</f>
        <v/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15" customHeight="1" spans="1:20">
      <c r="A13" s="14" t="str">
        <f>IFERROR(INDEX(商品库存!$C$4:$C$297,SMALL(IF(商品库存!$B$4:$B$297=$B$4,ROW(商品库存!$B$4:$B$297)-3,999),2)),"")</f>
        <v/>
      </c>
      <c r="B13" s="14" t="str">
        <f>IF(A13&lt;&gt;"",VLOOKUP(A13,IF(商品库存!$B$4:$B$297=$B$4,商品库存!$C$4:$D$297),2,FALSE),"")</f>
        <v/>
      </c>
      <c r="C13" s="15" t="str">
        <f>IF(A13&lt;&gt;"",VLOOKUP(A13,IF(商品库存!$B$4:$B$297=$B$4,商品库存!$C$4:$F$297),4,FALSE),"")</f>
        <v/>
      </c>
      <c r="D13" s="14" t="str">
        <f>IF(A13&lt;&gt;"",VLOOKUP(A13,IF(商品库存!$B$4:$B$297=$B$4,商品库存!$C$4:$G$297),5,FALSE),"")</f>
        <v/>
      </c>
      <c r="E13" s="15" t="str">
        <f>IF(A13&lt;&gt;"",VLOOKUP(A13,IF(商品库存!$B$4:$B$297=$B$4,商品库存!$C$4:$H$297),6,FALSE),"")</f>
        <v/>
      </c>
      <c r="F13" s="14" t="str">
        <f>IF(A13&lt;&gt;"",VLOOKUP(A13,IF(商品库存!$B$4:$B$297=$B$4,商品库存!$C$4:$I$297),7,FALSE),"")</f>
        <v/>
      </c>
      <c r="G13" s="15" t="str">
        <f>IF(A13&lt;&gt;"",VLOOKUP(A13,IF(商品库存!$B$4:$B$297=$B$4,商品库存!$C$4:$J$297),8,FALSE),"")</f>
        <v/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15" customHeight="1" spans="1:20">
      <c r="A14" s="12" t="str">
        <f>IFERROR(INDEX(商品库存!$C$4:$C$297,SMALL(IF(商品库存!$B$4:$B$297=$B$4,ROW(商品库存!$B$4:$B$297)-3,999),3)),"")</f>
        <v/>
      </c>
      <c r="B14" s="12" t="str">
        <f>IF(A14&lt;&gt;"",VLOOKUP(A14,IF(商品库存!$B$4:$B$297=$B$4,商品库存!$C$4:$D$297),2,FALSE),"")</f>
        <v/>
      </c>
      <c r="C14" s="13" t="str">
        <f>IF(A14&lt;&gt;"",VLOOKUP(A14,IF(商品库存!$B$4:$B$297=$B$4,商品库存!$C$4:$F$297),4,FALSE),"")</f>
        <v/>
      </c>
      <c r="D14" s="12" t="str">
        <f>IF(A14&lt;&gt;"",VLOOKUP(A14,IF(商品库存!$B$4:$B$297=$B$4,商品库存!$C$4:$G$297),5,FALSE),"")</f>
        <v/>
      </c>
      <c r="E14" s="13" t="str">
        <f>IF(A14&lt;&gt;"",VLOOKUP(A14,IF(商品库存!$B$4:$B$297=$B$4,商品库存!$C$4:$H$297),6,FALSE),"")</f>
        <v/>
      </c>
      <c r="F14" s="12" t="str">
        <f>IF(A14&lt;&gt;"",VLOOKUP(A14,IF(商品库存!$B$4:$B$297=$B$4,商品库存!$C$4:$I$297),7,FALSE),"")</f>
        <v/>
      </c>
      <c r="G14" s="13" t="str">
        <f>IF(A14&lt;&gt;"",VLOOKUP(A14,IF(商品库存!$B$4:$B$297=$B$4,商品库存!$C$4:$J$297),8,FALSE),"")</f>
        <v/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5" customHeight="1" spans="1:20">
      <c r="A15" s="14" t="str">
        <f>IFERROR(INDEX(商品库存!$C$4:$C$297,SMALL(IF(商品库存!$B$4:$B$297=$B$4,ROW(商品库存!$B$4:$B$297)-3,999),4)),"")</f>
        <v/>
      </c>
      <c r="B15" s="14" t="str">
        <f>IF(A15&lt;&gt;"",VLOOKUP(A15,IF(商品库存!$B$4:$B$297=$B$4,商品库存!$C$4:$D$297),2,FALSE),"")</f>
        <v/>
      </c>
      <c r="C15" s="15" t="str">
        <f>IF(A15&lt;&gt;"",VLOOKUP(A15,IF(商品库存!$B$4:$B$297=$B$4,商品库存!$C$4:$F$297),4,FALSE),"")</f>
        <v/>
      </c>
      <c r="D15" s="14" t="str">
        <f>IF(A15&lt;&gt;"",VLOOKUP(A15,IF(商品库存!$B$4:$B$297=$B$4,商品库存!$C$4:$G$297),5,FALSE),"")</f>
        <v/>
      </c>
      <c r="E15" s="15" t="str">
        <f>IF(A15&lt;&gt;"",VLOOKUP(A15,IF(商品库存!$B$4:$B$297=$B$4,商品库存!$C$4:$H$297),6,FALSE),"")</f>
        <v/>
      </c>
      <c r="F15" s="14" t="str">
        <f>IF(A15&lt;&gt;"",VLOOKUP(A15,IF(商品库存!$B$4:$B$297=$B$4,商品库存!$C$4:$I$297),7,FALSE),"")</f>
        <v/>
      </c>
      <c r="G15" s="15" t="str">
        <f>IF(A15&lt;&gt;"",VLOOKUP(A15,IF(商品库存!$B$4:$B$297=$B$4,商品库存!$C$4:$J$297),8,FALSE),"")</f>
        <v/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15" customHeight="1" spans="1:20">
      <c r="A16" s="12" t="str">
        <f>IFERROR(INDEX(商品库存!$C$4:$C$297,SMALL(IF(商品库存!$B$4:$B$297=$B$4,ROW(商品库存!$B$4:$B$297)-3,999),5)),"")</f>
        <v/>
      </c>
      <c r="B16" s="12" t="str">
        <f>IF(A16&lt;&gt;"",VLOOKUP(A16,IF(商品库存!$B$4:$B$297=$B$4,商品库存!$C$4:$D$297),2,FALSE),"")</f>
        <v/>
      </c>
      <c r="C16" s="13" t="str">
        <f>IF(A16&lt;&gt;"",VLOOKUP(A16,IF(商品库存!$B$4:$B$297=$B$4,商品库存!$C$4:$F$297),4,FALSE),"")</f>
        <v/>
      </c>
      <c r="D16" s="12" t="str">
        <f>IF(A16&lt;&gt;"",VLOOKUP(A16,IF(商品库存!$B$4:$B$297=$B$4,商品库存!$C$4:$G$297),5,FALSE),"")</f>
        <v/>
      </c>
      <c r="E16" s="13" t="str">
        <f>IF(A16&lt;&gt;"",VLOOKUP(A16,IF(商品库存!$B$4:$B$297=$B$4,商品库存!$C$4:$H$297),6,FALSE),"")</f>
        <v/>
      </c>
      <c r="F16" s="12" t="str">
        <f>IF(A16&lt;&gt;"",VLOOKUP(A16,IF(商品库存!$B$4:$B$297=$B$4,商品库存!$C$4:$I$297),7,FALSE),"")</f>
        <v/>
      </c>
      <c r="G16" s="13" t="str">
        <f>IF(A16&lt;&gt;"",VLOOKUP(A16,IF(商品库存!$B$4:$B$297=$B$4,商品库存!$C$4:$J$297),8,FALSE),"")</f>
        <v/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15" customHeight="1" spans="1:20">
      <c r="A17" s="14" t="str">
        <f>IFERROR(INDEX(商品库存!$C$4:$C$297,SMALL(IF(商品库存!$B$4:$B$297=$B$4,ROW(商品库存!$B$4:$B$297)-3,999),6)),"")</f>
        <v/>
      </c>
      <c r="B17" s="14" t="str">
        <f>IF(A17&lt;&gt;"",VLOOKUP(A17,IF(商品库存!$B$4:$B$297=$B$4,商品库存!$C$4:$D$297),2,FALSE),"")</f>
        <v/>
      </c>
      <c r="C17" s="15" t="str">
        <f>IF(A17&lt;&gt;"",VLOOKUP(A17,IF(商品库存!$B$4:$B$297=$B$4,商品库存!$C$4:$F$297),4,FALSE),"")</f>
        <v/>
      </c>
      <c r="D17" s="14" t="str">
        <f>IF(A17&lt;&gt;"",VLOOKUP(A17,IF(商品库存!$B$4:$B$297=$B$4,商品库存!$C$4:$G$297),5,FALSE),"")</f>
        <v/>
      </c>
      <c r="E17" s="15" t="str">
        <f>IF(A17&lt;&gt;"",VLOOKUP(A17,IF(商品库存!$B$4:$B$297=$B$4,商品库存!$C$4:$H$297),6,FALSE),"")</f>
        <v/>
      </c>
      <c r="F17" s="14" t="str">
        <f>IF(A17&lt;&gt;"",VLOOKUP(A17,IF(商品库存!$B$4:$B$297=$B$4,商品库存!$C$4:$I$297),7,FALSE),"")</f>
        <v/>
      </c>
      <c r="G17" s="15" t="str">
        <f>IF(A17&lt;&gt;"",VLOOKUP(A17,IF(商品库存!$B$4:$B$297=$B$4,商品库存!$C$4:$J$297),8,FALSE),"")</f>
        <v/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15" customHeight="1" spans="1:20">
      <c r="A18" s="12" t="str">
        <f>IFERROR(INDEX(商品库存!$C$4:$C$297,SMALL(IF(商品库存!$B$4:$B$297=$B$4,ROW(商品库存!$B$4:$B$297)-3,999),7)),"")</f>
        <v/>
      </c>
      <c r="B18" s="12" t="str">
        <f>IF(A18&lt;&gt;"",VLOOKUP(A18,IF(商品库存!$B$4:$B$297=$B$4,商品库存!$C$4:$D$297),2,FALSE),"")</f>
        <v/>
      </c>
      <c r="C18" s="13" t="str">
        <f>IF(A18&lt;&gt;"",VLOOKUP(A18,IF(商品库存!$B$4:$B$297=$B$4,商品库存!$C$4:$F$297),4,FALSE),"")</f>
        <v/>
      </c>
      <c r="D18" s="12" t="str">
        <f>IF(A18&lt;&gt;"",VLOOKUP(A18,IF(商品库存!$B$4:$B$297=$B$4,商品库存!$C$4:$G$297),5,FALSE),"")</f>
        <v/>
      </c>
      <c r="E18" s="13" t="str">
        <f>IF(A18&lt;&gt;"",VLOOKUP(A18,IF(商品库存!$B$4:$B$297=$B$4,商品库存!$C$4:$H$297),6,FALSE),"")</f>
        <v/>
      </c>
      <c r="F18" s="12" t="str">
        <f>IF(A18&lt;&gt;"",VLOOKUP(A18,IF(商品库存!$B$4:$B$297=$B$4,商品库存!$C$4:$I$297),7,FALSE),"")</f>
        <v/>
      </c>
      <c r="G18" s="13" t="str">
        <f>IF(A18&lt;&gt;"",VLOOKUP(A18,IF(商品库存!$B$4:$B$297=$B$4,商品库存!$C$4:$J$297),8,FALSE),"")</f>
        <v/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15" customHeight="1" spans="1:20">
      <c r="A19" s="14" t="str">
        <f>IFERROR(INDEX(商品库存!$C$4:$C$297,SMALL(IF(商品库存!$B$4:$B$297=$B$4,ROW(商品库存!$B$4:$B$297)-3,999),8)),"")</f>
        <v/>
      </c>
      <c r="B19" s="14" t="str">
        <f>IF(A19&lt;&gt;"",VLOOKUP(A19,IF(商品库存!$B$4:$B$297=$B$4,商品库存!$C$4:$D$297),2,FALSE),"")</f>
        <v/>
      </c>
      <c r="C19" s="15" t="str">
        <f>IF(A19&lt;&gt;"",VLOOKUP(A19,IF(商品库存!$B$4:$B$297=$B$4,商品库存!$C$4:$F$297),4,FALSE),"")</f>
        <v/>
      </c>
      <c r="D19" s="14" t="str">
        <f>IF(A19&lt;&gt;"",VLOOKUP(A19,IF(商品库存!$B$4:$B$297=$B$4,商品库存!$C$4:$G$297),5,FALSE),"")</f>
        <v/>
      </c>
      <c r="E19" s="15" t="str">
        <f>IF(A19&lt;&gt;"",VLOOKUP(A19,IF(商品库存!$B$4:$B$297=$B$4,商品库存!$C$4:$H$297),6,FALSE),"")</f>
        <v/>
      </c>
      <c r="F19" s="14" t="str">
        <f>IF(A19&lt;&gt;"",VLOOKUP(A19,IF(商品库存!$B$4:$B$297=$B$4,商品库存!$C$4:$I$297),7,FALSE),"")</f>
        <v/>
      </c>
      <c r="G19" s="15" t="str">
        <f>IF(A19&lt;&gt;"",VLOOKUP(A19,IF(商品库存!$B$4:$B$297=$B$4,商品库存!$C$4:$J$297),8,FALSE),"")</f>
        <v/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15" customHeight="1" spans="1:20">
      <c r="A20" s="12" t="str">
        <f>IFERROR(INDEX(商品库存!$C$4:$C$297,SMALL(IF(商品库存!$B$4:$B$297=$B$4,ROW(商品库存!$B$4:$B$297)-3,999),9)),"")</f>
        <v/>
      </c>
      <c r="B20" s="12" t="str">
        <f>IF(A20&lt;&gt;"",VLOOKUP(A20,IF(商品库存!$B$4:$B$297=$B$4,商品库存!$C$4:$D$297),2,FALSE),"")</f>
        <v/>
      </c>
      <c r="C20" s="13" t="str">
        <f>IF(A20&lt;&gt;"",VLOOKUP(A20,IF(商品库存!$B$4:$B$297=$B$4,商品库存!$C$4:$F$297),4,FALSE),"")</f>
        <v/>
      </c>
      <c r="D20" s="12" t="str">
        <f>IF(A20&lt;&gt;"",VLOOKUP(A20,IF(商品库存!$B$4:$B$297=$B$4,商品库存!$C$4:$G$297),5,FALSE),"")</f>
        <v/>
      </c>
      <c r="E20" s="13" t="str">
        <f>IF(A20&lt;&gt;"",VLOOKUP(A20,IF(商品库存!$B$4:$B$297=$B$4,商品库存!$C$4:$H$297),6,FALSE),"")</f>
        <v/>
      </c>
      <c r="F20" s="12" t="str">
        <f>IF(A20&lt;&gt;"",VLOOKUP(A20,IF(商品库存!$B$4:$B$297=$B$4,商品库存!$C$4:$I$297),7,FALSE),"")</f>
        <v/>
      </c>
      <c r="G20" s="13" t="str">
        <f>IF(A20&lt;&gt;"",VLOOKUP(A20,IF(商品库存!$B$4:$B$297=$B$4,商品库存!$C$4:$J$297),8,FALSE),"")</f>
        <v/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15" customHeight="1" spans="1:20">
      <c r="A21" s="14" t="str">
        <f>IFERROR(INDEX(商品库存!$C$4:$C$297,SMALL(IF(商品库存!$B$4:$B$297=$B$4,ROW(商品库存!$B$4:$B$297)-3,999),10)),"")</f>
        <v/>
      </c>
      <c r="B21" s="14" t="str">
        <f>IF(A21&lt;&gt;"",VLOOKUP(A21,IF(商品库存!$B$4:$B$297=$B$4,商品库存!$C$4:$D$297),2,FALSE),"")</f>
        <v/>
      </c>
      <c r="C21" s="15" t="str">
        <f>IF(A21&lt;&gt;"",VLOOKUP(A21,IF(商品库存!$B$4:$B$297=$B$4,商品库存!$C$4:$F$297),4,FALSE),"")</f>
        <v/>
      </c>
      <c r="D21" s="14" t="str">
        <f>IF(A21&lt;&gt;"",VLOOKUP(A21,IF(商品库存!$B$4:$B$297=$B$4,商品库存!$C$4:$G$297),5,FALSE),"")</f>
        <v/>
      </c>
      <c r="E21" s="15" t="str">
        <f>IF(A21&lt;&gt;"",VLOOKUP(A21,IF(商品库存!$B$4:$B$297=$B$4,商品库存!$C$4:$H$297),6,FALSE),"")</f>
        <v/>
      </c>
      <c r="F21" s="14" t="str">
        <f>IF(A21&lt;&gt;"",VLOOKUP(A21,IF(商品库存!$B$4:$B$297=$B$4,商品库存!$C$4:$I$297),7,FALSE),"")</f>
        <v/>
      </c>
      <c r="G21" s="15" t="str">
        <f>IF(A21&lt;&gt;"",VLOOKUP(A21,IF(商品库存!$B$4:$B$297=$B$4,商品库存!$C$4:$J$297),8,FALSE),"")</f>
        <v/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15" customHeight="1" spans="1:20">
      <c r="A22" s="12" t="str">
        <f>IFERROR(INDEX(商品库存!$C$4:$C$297,SMALL(IF(商品库存!$B$4:$B$297=$B$4,ROW(商品库存!$B$4:$B$297)-3,999),11)),"")</f>
        <v/>
      </c>
      <c r="B22" s="12" t="str">
        <f>IF(A22&lt;&gt;"",VLOOKUP(A22,IF(商品库存!$B$4:$B$297=$B$4,商品库存!$C$4:$D$297),2,FALSE),"")</f>
        <v/>
      </c>
      <c r="C22" s="13" t="str">
        <f>IF(A22&lt;&gt;"",VLOOKUP(A22,IF(商品库存!$B$4:$B$297=$B$4,商品库存!$C$4:$F$297),4,FALSE),"")</f>
        <v/>
      </c>
      <c r="D22" s="12" t="str">
        <f>IF(A22&lt;&gt;"",VLOOKUP(A22,IF(商品库存!$B$4:$B$297=$B$4,商品库存!$C$4:$G$297),5,FALSE),"")</f>
        <v/>
      </c>
      <c r="E22" s="13" t="str">
        <f>IF(A22&lt;&gt;"",VLOOKUP(A22,IF(商品库存!$B$4:$B$297=$B$4,商品库存!$C$4:$H$297),6,FALSE),"")</f>
        <v/>
      </c>
      <c r="F22" s="12" t="str">
        <f>IF(A22&lt;&gt;"",VLOOKUP(A22,IF(商品库存!$B$4:$B$297=$B$4,商品库存!$C$4:$I$297),7,FALSE),"")</f>
        <v/>
      </c>
      <c r="G22" s="13" t="str">
        <f>IF(A22&lt;&gt;"",VLOOKUP(A22,IF(商品库存!$B$4:$B$297=$B$4,商品库存!$C$4:$J$297),8,FALSE),"")</f>
        <v/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15" customHeight="1" spans="1:20">
      <c r="A23" s="14" t="str">
        <f>IFERROR(INDEX(商品库存!$C$4:$C$297,SMALL(IF(商品库存!$B$4:$B$297=$B$4,ROW(商品库存!$B$4:$B$297)-3,999),12)),"")</f>
        <v/>
      </c>
      <c r="B23" s="14" t="str">
        <f>IF(A23&lt;&gt;"",VLOOKUP(A23,IF(商品库存!$B$4:$B$297=$B$4,商品库存!$C$4:$D$297),2,FALSE),"")</f>
        <v/>
      </c>
      <c r="C23" s="15" t="str">
        <f>IF(A23&lt;&gt;"",VLOOKUP(A23,IF(商品库存!$B$4:$B$297=$B$4,商品库存!$C$4:$F$297),4,FALSE),"")</f>
        <v/>
      </c>
      <c r="D23" s="14" t="str">
        <f>IF(A23&lt;&gt;"",VLOOKUP(A23,IF(商品库存!$B$4:$B$297=$B$4,商品库存!$C$4:$G$297),5,FALSE),"")</f>
        <v/>
      </c>
      <c r="E23" s="15" t="str">
        <f>IF(A23&lt;&gt;"",VLOOKUP(A23,IF(商品库存!$B$4:$B$297=$B$4,商品库存!$C$4:$H$297),6,FALSE),"")</f>
        <v/>
      </c>
      <c r="F23" s="14" t="str">
        <f>IF(A23&lt;&gt;"",VLOOKUP(A23,IF(商品库存!$B$4:$B$297=$B$4,商品库存!$C$4:$I$297),7,FALSE),"")</f>
        <v/>
      </c>
      <c r="G23" s="15" t="str">
        <f>IF(A23&lt;&gt;"",VLOOKUP(A23,IF(商品库存!$B$4:$B$297=$B$4,商品库存!$C$4:$J$297),8,FALSE),"")</f>
        <v/>
      </c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15" customHeight="1" spans="1:20">
      <c r="A24" s="12" t="str">
        <f>IFERROR(INDEX(商品库存!$C$4:$C$297,SMALL(IF(商品库存!$B$4:$B$297=$B$4,ROW(商品库存!$B$4:$B$297)-3,999),13)),"")</f>
        <v/>
      </c>
      <c r="B24" s="12" t="str">
        <f>IF(A24&lt;&gt;"",VLOOKUP(A24,IF(商品库存!$B$4:$B$297=$B$4,商品库存!$C$4:$D$297),2,FALSE),"")</f>
        <v/>
      </c>
      <c r="C24" s="13" t="str">
        <f>IF(A24&lt;&gt;"",VLOOKUP(A24,IF(商品库存!$B$4:$B$297=$B$4,商品库存!$C$4:$F$297),4,FALSE),"")</f>
        <v/>
      </c>
      <c r="D24" s="12" t="str">
        <f>IF(A24&lt;&gt;"",VLOOKUP(A24,IF(商品库存!$B$4:$B$297=$B$4,商品库存!$C$4:$G$297),5,FALSE),"")</f>
        <v/>
      </c>
      <c r="E24" s="13" t="str">
        <f>IF(A24&lt;&gt;"",VLOOKUP(A24,IF(商品库存!$B$4:$B$297=$B$4,商品库存!$C$4:$H$297),6,FALSE),"")</f>
        <v/>
      </c>
      <c r="F24" s="12" t="str">
        <f>IF(A24&lt;&gt;"",VLOOKUP(A24,IF(商品库存!$B$4:$B$297=$B$4,商品库存!$C$4:$I$297),7,FALSE),"")</f>
        <v/>
      </c>
      <c r="G24" s="13" t="str">
        <f>IF(A24&lt;&gt;"",VLOOKUP(A24,IF(商品库存!$B$4:$B$297=$B$4,商品库存!$C$4:$J$297),8,FALSE),"")</f>
        <v/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15" customHeight="1" spans="1:20">
      <c r="A25" s="14" t="str">
        <f>IFERROR(INDEX(商品库存!$C$4:$C$297,SMALL(IF(商品库存!$B$4:$B$297=$B$4,ROW(商品库存!$B$4:$B$297)-3,999),14)),"")</f>
        <v/>
      </c>
      <c r="B25" s="14" t="str">
        <f>IF(A25&lt;&gt;"",VLOOKUP(A25,IF(商品库存!$B$4:$B$297=$B$4,商品库存!$C$4:$D$297),2,FALSE),"")</f>
        <v/>
      </c>
      <c r="C25" s="15" t="str">
        <f>IF(A25&lt;&gt;"",VLOOKUP(A25,IF(商品库存!$B$4:$B$297=$B$4,商品库存!$C$4:$F$297),4,FALSE),"")</f>
        <v/>
      </c>
      <c r="D25" s="14" t="str">
        <f>IF(A25&lt;&gt;"",VLOOKUP(A25,IF(商品库存!$B$4:$B$297=$B$4,商品库存!$C$4:$G$297),5,FALSE),"")</f>
        <v/>
      </c>
      <c r="E25" s="15" t="str">
        <f>IF(A25&lt;&gt;"",VLOOKUP(A25,IF(商品库存!$B$4:$B$297=$B$4,商品库存!$C$4:$H$297),6,FALSE),"")</f>
        <v/>
      </c>
      <c r="F25" s="14" t="str">
        <f>IF(A25&lt;&gt;"",VLOOKUP(A25,IF(商品库存!$B$4:$B$297=$B$4,商品库存!$C$4:$I$297),7,FALSE),"")</f>
        <v/>
      </c>
      <c r="G25" s="15" t="str">
        <f>IF(A25&lt;&gt;"",VLOOKUP(A25,IF(商品库存!$B$4:$B$297=$B$4,商品库存!$C$4:$J$297),8,FALSE),"")</f>
        <v/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15" customHeight="1" spans="1:20">
      <c r="A26" s="12" t="str">
        <f>IFERROR(INDEX(商品库存!$C$4:$C$297,SMALL(IF(商品库存!$B$4:$B$297=$B$4,ROW(商品库存!$B$4:$B$297)-3,999),15)),"")</f>
        <v/>
      </c>
      <c r="B26" s="12" t="str">
        <f>IF(A26&lt;&gt;"",VLOOKUP(A26,IF(商品库存!$B$4:$B$297=$B$4,商品库存!$C$4:$D$297),2,FALSE),"")</f>
        <v/>
      </c>
      <c r="C26" s="13" t="str">
        <f>IF(A26&lt;&gt;"",VLOOKUP(A26,IF(商品库存!$B$4:$B$297=$B$4,商品库存!$C$4:$F$297),4,FALSE),"")</f>
        <v/>
      </c>
      <c r="D26" s="12" t="str">
        <f>IF(A26&lt;&gt;"",VLOOKUP(A26,IF(商品库存!$B$4:$B$297=$B$4,商品库存!$C$4:$G$297),5,FALSE),"")</f>
        <v/>
      </c>
      <c r="E26" s="13" t="str">
        <f>IF(A26&lt;&gt;"",VLOOKUP(A26,IF(商品库存!$B$4:$B$297=$B$4,商品库存!$C$4:$H$297),6,FALSE),"")</f>
        <v/>
      </c>
      <c r="F26" s="12" t="str">
        <f>IF(A26&lt;&gt;"",VLOOKUP(A26,IF(商品库存!$B$4:$B$297=$B$4,商品库存!$C$4:$I$297),7,FALSE),"")</f>
        <v/>
      </c>
      <c r="G26" s="13" t="str">
        <f>IF(A26&lt;&gt;"",VLOOKUP(A26,IF(商品库存!$B$4:$B$297=$B$4,商品库存!$C$4:$J$297),8,FALSE),"")</f>
        <v/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>
      <c r="A27" s="2"/>
      <c r="B27" s="2"/>
      <c r="C27" s="2"/>
      <c r="D27" s="2"/>
      <c r="E27" s="2"/>
      <c r="F27" s="2"/>
      <c r="G27" s="2"/>
    </row>
    <row r="28" spans="1:20">
      <c r="A28" s="2"/>
      <c r="B28" s="2"/>
      <c r="C28" s="2"/>
      <c r="D28" s="2"/>
      <c r="E28" s="2"/>
      <c r="F28" s="2"/>
      <c r="G28" s="2"/>
    </row>
    <row r="29" spans="1:20">
      <c r="A29" s="2"/>
      <c r="B29" s="2"/>
      <c r="C29" s="2"/>
      <c r="D29" s="2"/>
      <c r="E29" s="2"/>
      <c r="F29" s="2"/>
      <c r="G29" s="2"/>
    </row>
    <row r="30" spans="1:20">
      <c r="A30" s="2"/>
      <c r="B30" s="2"/>
      <c r="C30" s="2"/>
      <c r="D30" s="2"/>
      <c r="E30" s="2"/>
      <c r="F30" s="2"/>
      <c r="G30" s="2"/>
    </row>
    <row r="31" spans="1:20">
      <c r="A31" s="2"/>
      <c r="B31" s="2"/>
      <c r="C31" s="2"/>
      <c r="D31" s="2"/>
      <c r="E31" s="2"/>
      <c r="F31" s="2"/>
      <c r="G31" s="2"/>
    </row>
    <row r="32" spans="1:20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2"/>
      <c r="D36" s="2"/>
      <c r="E36" s="2"/>
      <c r="F36" s="2"/>
      <c r="G36" s="2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3" spans="1:7">
      <c r="A43" s="2"/>
      <c r="B43" s="2"/>
      <c r="C43" s="2"/>
      <c r="D43" s="2"/>
      <c r="E43" s="2"/>
      <c r="F43" s="2"/>
      <c r="G43" s="2"/>
    </row>
    <row r="44" spans="1:7">
      <c r="A44" s="2"/>
      <c r="B44" s="2"/>
      <c r="C44" s="2"/>
      <c r="D44" s="2"/>
      <c r="E44" s="2"/>
      <c r="F44" s="2"/>
      <c r="G44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2"/>
      <c r="D72" s="2"/>
      <c r="E72" s="2"/>
      <c r="F72" s="2"/>
      <c r="G72" s="2"/>
    </row>
    <row r="73" spans="1:7">
      <c r="A73" s="2"/>
      <c r="B73" s="2"/>
      <c r="C73" s="2"/>
      <c r="D73" s="2"/>
      <c r="E73" s="2"/>
      <c r="F73" s="2"/>
      <c r="G73" s="2"/>
    </row>
    <row r="74" spans="1:7">
      <c r="A74" s="2"/>
      <c r="B74" s="2"/>
      <c r="C74" s="2"/>
      <c r="D74" s="2"/>
      <c r="E74" s="2"/>
      <c r="F74" s="2"/>
      <c r="G74" s="2"/>
    </row>
    <row r="75" spans="1:7">
      <c r="A75" s="2"/>
      <c r="B75" s="2"/>
      <c r="C75" s="2"/>
      <c r="D75" s="2"/>
      <c r="E75" s="2"/>
      <c r="F75" s="2"/>
      <c r="G75" s="2"/>
    </row>
    <row r="76" spans="1:7">
      <c r="A76" s="2"/>
      <c r="B76" s="2"/>
      <c r="C76" s="2"/>
      <c r="D76" s="2"/>
      <c r="E76" s="2"/>
      <c r="F76" s="2"/>
      <c r="G76" s="2"/>
    </row>
    <row r="77" spans="1:7">
      <c r="A77" s="2"/>
      <c r="B77" s="2"/>
      <c r="C77" s="2"/>
      <c r="D77" s="2"/>
      <c r="E77" s="2"/>
      <c r="F77" s="2"/>
      <c r="G77" s="2"/>
    </row>
    <row r="78" spans="1:7">
      <c r="A78" s="2"/>
      <c r="B78" s="2"/>
      <c r="C78" s="2"/>
      <c r="D78" s="2"/>
      <c r="E78" s="2"/>
      <c r="F78" s="2"/>
      <c r="G78" s="2"/>
    </row>
    <row r="79" spans="1:7">
      <c r="A79" s="2"/>
      <c r="B79" s="2"/>
      <c r="C79" s="2"/>
      <c r="D79" s="2"/>
      <c r="E79" s="2"/>
      <c r="F79" s="2"/>
      <c r="G79" s="2"/>
    </row>
    <row r="80" spans="1:7">
      <c r="A80" s="2"/>
      <c r="B80" s="2"/>
      <c r="C80" s="2"/>
      <c r="D80" s="2"/>
      <c r="E80" s="2"/>
      <c r="F80" s="2"/>
      <c r="G80" s="2"/>
    </row>
    <row r="81" spans="1:7">
      <c r="A81" s="2"/>
      <c r="B81" s="2"/>
      <c r="C81" s="2"/>
      <c r="D81" s="2"/>
      <c r="E81" s="2"/>
      <c r="F81" s="2"/>
      <c r="G81" s="2"/>
    </row>
    <row r="82" spans="1:7">
      <c r="A82" s="2"/>
      <c r="B82" s="2"/>
      <c r="C82" s="2"/>
      <c r="D82" s="2"/>
      <c r="E82" s="2"/>
      <c r="F82" s="2"/>
      <c r="G82" s="2"/>
    </row>
    <row r="83" spans="1:7">
      <c r="A83" s="2"/>
      <c r="B83" s="2"/>
      <c r="C83" s="2"/>
      <c r="D83" s="2"/>
      <c r="E83" s="2"/>
      <c r="F83" s="2"/>
      <c r="G83" s="2"/>
    </row>
    <row r="84" spans="1:7">
      <c r="A84" s="2"/>
      <c r="B84" s="2"/>
      <c r="C84" s="2"/>
      <c r="D84" s="2"/>
      <c r="E84" s="2"/>
      <c r="F84" s="2"/>
      <c r="G84" s="2"/>
    </row>
    <row r="85" spans="1:7">
      <c r="A85" s="2"/>
      <c r="B85" s="2"/>
      <c r="C85" s="2"/>
      <c r="D85" s="2"/>
      <c r="E85" s="2"/>
      <c r="F85" s="2"/>
      <c r="G85" s="2"/>
    </row>
    <row r="86" spans="1:7">
      <c r="A86" s="2"/>
      <c r="B86" s="2"/>
      <c r="C86" s="2"/>
      <c r="D86" s="2"/>
      <c r="E86" s="2"/>
      <c r="F86" s="2"/>
      <c r="G86" s="2"/>
    </row>
    <row r="87" spans="1:7">
      <c r="A87" s="2"/>
      <c r="B87" s="2"/>
      <c r="C87" s="2"/>
      <c r="D87" s="2"/>
      <c r="E87" s="2"/>
      <c r="F87" s="2"/>
      <c r="G87" s="2"/>
    </row>
    <row r="88" spans="1:7">
      <c r="A88" s="2"/>
      <c r="B88" s="2"/>
      <c r="C88" s="2"/>
      <c r="D88" s="2"/>
      <c r="E88" s="2"/>
      <c r="F88" s="2"/>
      <c r="G88" s="2"/>
    </row>
    <row r="89" spans="1:7">
      <c r="A89" s="2"/>
      <c r="B89" s="2"/>
      <c r="C89" s="2"/>
      <c r="D89" s="2"/>
      <c r="E89" s="2"/>
      <c r="F89" s="2"/>
      <c r="G89" s="2"/>
    </row>
    <row r="90" spans="1:7">
      <c r="A90" s="2"/>
      <c r="B90" s="2"/>
      <c r="C90" s="2"/>
      <c r="D90" s="2"/>
      <c r="E90" s="2"/>
      <c r="F90" s="2"/>
      <c r="G90" s="2"/>
    </row>
    <row r="91" spans="1:7">
      <c r="A91" s="2"/>
      <c r="B91" s="2"/>
      <c r="C91" s="2"/>
      <c r="D91" s="2"/>
      <c r="E91" s="2"/>
      <c r="F91" s="2"/>
      <c r="G91" s="2"/>
    </row>
    <row r="92" spans="1:7">
      <c r="A92" s="2"/>
      <c r="B92" s="2"/>
      <c r="C92" s="2"/>
      <c r="D92" s="2"/>
      <c r="E92" s="2"/>
      <c r="F92" s="2"/>
      <c r="G92" s="2"/>
    </row>
    <row r="93" spans="1:7">
      <c r="A93" s="2"/>
      <c r="B93" s="2"/>
      <c r="C93" s="2"/>
      <c r="D93" s="2"/>
      <c r="E93" s="2"/>
      <c r="F93" s="2"/>
      <c r="G93" s="2"/>
    </row>
    <row r="94" spans="1:7">
      <c r="A94" s="2"/>
      <c r="B94" s="2"/>
      <c r="C94" s="2"/>
      <c r="D94" s="2"/>
      <c r="E94" s="2"/>
      <c r="F94" s="2"/>
      <c r="G94" s="2"/>
    </row>
    <row r="95" spans="1:7">
      <c r="A95" s="2"/>
      <c r="B95" s="2"/>
      <c r="C95" s="2"/>
      <c r="D95" s="2"/>
      <c r="E95" s="2"/>
      <c r="F95" s="2"/>
      <c r="G95" s="2"/>
    </row>
    <row r="96" spans="1:7">
      <c r="A96" s="2"/>
      <c r="B96" s="2"/>
      <c r="C96" s="2"/>
      <c r="D96" s="2"/>
      <c r="E96" s="2"/>
      <c r="F96" s="2"/>
      <c r="G96" s="2"/>
    </row>
    <row r="97" spans="1:7">
      <c r="A97" s="2"/>
      <c r="B97" s="2"/>
      <c r="C97" s="2"/>
      <c r="D97" s="2"/>
      <c r="E97" s="2"/>
      <c r="F97" s="2"/>
      <c r="G97" s="2"/>
    </row>
    <row r="98" spans="1:7">
      <c r="A98" s="2"/>
      <c r="B98" s="2"/>
      <c r="C98" s="2"/>
      <c r="D98" s="2"/>
      <c r="E98" s="2"/>
      <c r="F98" s="2"/>
      <c r="G98" s="2"/>
    </row>
    <row r="99" spans="1:7">
      <c r="A99" s="2"/>
      <c r="B99" s="2"/>
      <c r="C99" s="2"/>
      <c r="D99" s="2"/>
      <c r="E99" s="2"/>
      <c r="F99" s="2"/>
      <c r="G99" s="2"/>
    </row>
    <row r="100" spans="1:7">
      <c r="A100" s="2"/>
      <c r="B100" s="2"/>
      <c r="C100" s="2"/>
      <c r="D100" s="2"/>
      <c r="E100" s="2"/>
      <c r="F100" s="2"/>
      <c r="G100" s="2"/>
    </row>
    <row r="101" spans="1:7">
      <c r="A101" s="2"/>
      <c r="B101" s="2"/>
      <c r="C101" s="2"/>
      <c r="D101" s="2"/>
      <c r="E101" s="2"/>
      <c r="F101" s="2"/>
      <c r="G101" s="2"/>
    </row>
    <row r="102" spans="1:7">
      <c r="A102" s="2"/>
      <c r="B102" s="2"/>
      <c r="C102" s="2"/>
      <c r="D102" s="2"/>
      <c r="E102" s="2"/>
      <c r="F102" s="2"/>
      <c r="G102" s="2"/>
    </row>
    <row r="103" spans="1:7">
      <c r="A103" s="2"/>
      <c r="B103" s="2"/>
      <c r="C103" s="2"/>
      <c r="D103" s="2"/>
      <c r="E103" s="2"/>
      <c r="F103" s="2"/>
      <c r="G103" s="2"/>
    </row>
    <row r="104" spans="1:7">
      <c r="A104" s="2"/>
      <c r="B104" s="2"/>
      <c r="C104" s="2"/>
      <c r="D104" s="2"/>
      <c r="E104" s="2"/>
      <c r="F104" s="2"/>
      <c r="G104" s="2"/>
    </row>
    <row r="105" spans="1:7">
      <c r="A105" s="2"/>
      <c r="B105" s="2"/>
      <c r="C105" s="2"/>
      <c r="D105" s="2"/>
      <c r="E105" s="2"/>
      <c r="F105" s="2"/>
      <c r="G105" s="2"/>
    </row>
    <row r="106" spans="1:7">
      <c r="A106" s="2"/>
      <c r="B106" s="2"/>
      <c r="C106" s="2"/>
      <c r="D106" s="2"/>
      <c r="E106" s="2"/>
      <c r="F106" s="2"/>
      <c r="G106" s="2"/>
    </row>
    <row r="107" spans="1:7">
      <c r="A107" s="2"/>
      <c r="B107" s="2"/>
      <c r="C107" s="2"/>
      <c r="D107" s="2"/>
      <c r="E107" s="2"/>
      <c r="F107" s="2"/>
      <c r="G107" s="2"/>
    </row>
    <row r="108" spans="1:7">
      <c r="A108" s="2"/>
      <c r="B108" s="2"/>
      <c r="C108" s="2"/>
      <c r="D108" s="2"/>
      <c r="E108" s="2"/>
      <c r="F108" s="2"/>
      <c r="G108" s="2"/>
    </row>
    <row r="109" spans="1:7">
      <c r="A109" s="2"/>
      <c r="B109" s="2"/>
      <c r="C109" s="2"/>
      <c r="D109" s="2"/>
      <c r="E109" s="2"/>
      <c r="F109" s="2"/>
      <c r="G109" s="2"/>
    </row>
    <row r="110" spans="1:7">
      <c r="A110" s="2"/>
      <c r="B110" s="2"/>
      <c r="C110" s="2"/>
      <c r="D110" s="2"/>
      <c r="E110" s="2"/>
      <c r="F110" s="2"/>
      <c r="G110" s="2"/>
    </row>
    <row r="111" spans="1:7">
      <c r="A111" s="2"/>
      <c r="B111" s="2"/>
      <c r="C111" s="2"/>
      <c r="D111" s="2"/>
      <c r="E111" s="2"/>
      <c r="F111" s="2"/>
      <c r="G111" s="2"/>
    </row>
    <row r="112" spans="1:7">
      <c r="A112" s="2"/>
      <c r="B112" s="2"/>
      <c r="C112" s="2"/>
      <c r="D112" s="2"/>
      <c r="E112" s="2"/>
      <c r="F112" s="2"/>
      <c r="G112" s="2"/>
    </row>
    <row r="113" spans="1:7">
      <c r="A113" s="2"/>
      <c r="B113" s="2"/>
      <c r="C113" s="2"/>
      <c r="D113" s="2"/>
      <c r="E113" s="2"/>
      <c r="F113" s="2"/>
      <c r="G113" s="2"/>
    </row>
    <row r="114" spans="1:7">
      <c r="A114" s="2"/>
      <c r="B114" s="2"/>
      <c r="C114" s="2"/>
      <c r="D114" s="2"/>
      <c r="E114" s="2"/>
      <c r="F114" s="2"/>
      <c r="G114" s="2"/>
    </row>
    <row r="115" spans="1:7">
      <c r="A115" s="2"/>
      <c r="B115" s="2"/>
      <c r="C115" s="2"/>
      <c r="D115" s="2"/>
      <c r="E115" s="2"/>
      <c r="F115" s="2"/>
      <c r="G115" s="2"/>
    </row>
    <row r="116" spans="1:7">
      <c r="A116" s="2"/>
      <c r="B116" s="2"/>
      <c r="C116" s="2"/>
      <c r="D116" s="2"/>
      <c r="E116" s="2"/>
      <c r="F116" s="2"/>
      <c r="G116" s="2"/>
    </row>
    <row r="117" spans="1:7">
      <c r="A117" s="2"/>
      <c r="B117" s="2"/>
      <c r="C117" s="2"/>
      <c r="D117" s="2"/>
      <c r="E117" s="2"/>
      <c r="F117" s="2"/>
      <c r="G117" s="2"/>
    </row>
    <row r="118" spans="1:7">
      <c r="A118" s="2"/>
      <c r="B118" s="2"/>
      <c r="C118" s="2"/>
      <c r="D118" s="2"/>
      <c r="E118" s="2"/>
      <c r="F118" s="2"/>
      <c r="G118" s="2"/>
    </row>
    <row r="119" spans="1:7">
      <c r="A119" s="2"/>
      <c r="B119" s="2"/>
      <c r="C119" s="2"/>
      <c r="D119" s="2"/>
      <c r="E119" s="2"/>
      <c r="F119" s="2"/>
      <c r="G119" s="2"/>
    </row>
    <row r="120" spans="1:7">
      <c r="A120" s="2"/>
      <c r="B120" s="2"/>
      <c r="C120" s="2"/>
      <c r="D120" s="2"/>
      <c r="E120" s="2"/>
      <c r="F120" s="2"/>
      <c r="G120" s="2"/>
    </row>
    <row r="121" spans="1:7">
      <c r="A121" s="2"/>
      <c r="B121" s="2"/>
      <c r="C121" s="2"/>
      <c r="D121" s="2"/>
      <c r="E121" s="2"/>
      <c r="F121" s="2"/>
      <c r="G121" s="2"/>
    </row>
    <row r="122" spans="1:7">
      <c r="A122" s="2"/>
      <c r="B122" s="2"/>
      <c r="C122" s="2"/>
      <c r="D122" s="2"/>
      <c r="E122" s="2"/>
      <c r="F122" s="2"/>
      <c r="G122" s="2"/>
    </row>
    <row r="123" spans="1:7">
      <c r="A123" s="2"/>
      <c r="B123" s="2"/>
      <c r="C123" s="2"/>
      <c r="D123" s="2"/>
      <c r="E123" s="2"/>
      <c r="F123" s="2"/>
      <c r="G123" s="2"/>
    </row>
    <row r="124" spans="1:7">
      <c r="A124" s="2"/>
      <c r="B124" s="2"/>
      <c r="C124" s="2"/>
      <c r="D124" s="2"/>
      <c r="E124" s="2"/>
      <c r="F124" s="2"/>
      <c r="G124" s="2"/>
    </row>
    <row r="125" spans="1:7">
      <c r="A125" s="2"/>
      <c r="B125" s="2"/>
      <c r="C125" s="2"/>
      <c r="D125" s="2"/>
      <c r="E125" s="2"/>
      <c r="F125" s="2"/>
      <c r="G125" s="2"/>
    </row>
    <row r="126" spans="1:7">
      <c r="A126" s="2"/>
      <c r="B126" s="2"/>
      <c r="C126" s="2"/>
      <c r="D126" s="2"/>
      <c r="E126" s="2"/>
      <c r="F126" s="2"/>
      <c r="G126" s="2"/>
    </row>
    <row r="127" spans="1:7">
      <c r="A127" s="2"/>
      <c r="B127" s="2"/>
      <c r="C127" s="2"/>
      <c r="D127" s="2"/>
      <c r="E127" s="2"/>
      <c r="F127" s="2"/>
      <c r="G127" s="2"/>
    </row>
    <row r="128" spans="1:7">
      <c r="A128" s="2"/>
      <c r="B128" s="2"/>
      <c r="C128" s="2"/>
      <c r="D128" s="2"/>
      <c r="E128" s="2"/>
      <c r="F128" s="2"/>
      <c r="G128" s="2"/>
    </row>
    <row r="129" spans="1:7">
      <c r="A129" s="2"/>
      <c r="B129" s="2"/>
      <c r="C129" s="2"/>
      <c r="D129" s="2"/>
      <c r="E129" s="2"/>
      <c r="F129" s="2"/>
      <c r="G129" s="2"/>
    </row>
    <row r="130" spans="1:7">
      <c r="A130" s="2"/>
      <c r="B130" s="2"/>
      <c r="C130" s="2"/>
      <c r="D130" s="2"/>
      <c r="E130" s="2"/>
      <c r="F130" s="2"/>
      <c r="G130" s="2"/>
    </row>
    <row r="131" spans="1:7">
      <c r="A131" s="2"/>
      <c r="B131" s="2"/>
      <c r="C131" s="2"/>
      <c r="D131" s="2"/>
      <c r="E131" s="2"/>
      <c r="F131" s="2"/>
      <c r="G131" s="2"/>
    </row>
    <row r="132" spans="1:7">
      <c r="A132" s="2"/>
      <c r="B132" s="2"/>
      <c r="C132" s="2"/>
      <c r="D132" s="2"/>
      <c r="E132" s="2"/>
      <c r="F132" s="2"/>
      <c r="G132" s="2"/>
    </row>
    <row r="133" spans="1:7">
      <c r="A133" s="2"/>
      <c r="B133" s="2"/>
      <c r="C133" s="2"/>
      <c r="D133" s="2"/>
      <c r="E133" s="2"/>
      <c r="F133" s="2"/>
      <c r="G133" s="2"/>
    </row>
    <row r="134" spans="1:7">
      <c r="A134" s="2"/>
      <c r="B134" s="2"/>
      <c r="C134" s="2"/>
      <c r="D134" s="2"/>
      <c r="E134" s="2"/>
      <c r="F134" s="2"/>
      <c r="G134" s="2"/>
    </row>
    <row r="135" spans="1:7">
      <c r="A135" s="2"/>
      <c r="B135" s="2"/>
      <c r="C135" s="2"/>
      <c r="D135" s="2"/>
      <c r="E135" s="2"/>
      <c r="F135" s="2"/>
      <c r="G135" s="2"/>
    </row>
    <row r="136" spans="1:7">
      <c r="A136" s="2"/>
      <c r="B136" s="2"/>
      <c r="C136" s="2"/>
      <c r="D136" s="2"/>
      <c r="E136" s="2"/>
      <c r="F136" s="2"/>
      <c r="G136" s="2"/>
    </row>
    <row r="137" spans="1:7">
      <c r="A137" s="2"/>
      <c r="B137" s="2"/>
      <c r="C137" s="2"/>
      <c r="D137" s="2"/>
      <c r="E137" s="2"/>
      <c r="F137" s="2"/>
      <c r="G137" s="2"/>
    </row>
    <row r="138" spans="1:7">
      <c r="A138" s="2"/>
      <c r="B138" s="2"/>
      <c r="C138" s="2"/>
      <c r="D138" s="2"/>
      <c r="E138" s="2"/>
      <c r="F138" s="2"/>
      <c r="G138" s="2"/>
    </row>
    <row r="139" spans="1:7">
      <c r="A139" s="2"/>
      <c r="B139" s="2"/>
      <c r="C139" s="2"/>
      <c r="D139" s="2"/>
      <c r="E139" s="2"/>
      <c r="F139" s="2"/>
      <c r="G139" s="2"/>
    </row>
    <row r="140" spans="1:7">
      <c r="A140" s="2"/>
      <c r="B140" s="2"/>
      <c r="C140" s="2"/>
      <c r="D140" s="2"/>
      <c r="E140" s="2"/>
      <c r="F140" s="2"/>
      <c r="G140" s="2"/>
    </row>
    <row r="141" spans="1:7">
      <c r="A141" s="2"/>
      <c r="B141" s="2"/>
      <c r="C141" s="2"/>
      <c r="D141" s="2"/>
      <c r="E141" s="2"/>
      <c r="F141" s="2"/>
      <c r="G141" s="2"/>
    </row>
    <row r="142" spans="1:7">
      <c r="A142" s="2"/>
      <c r="B142" s="2"/>
      <c r="C142" s="2"/>
      <c r="D142" s="2"/>
      <c r="E142" s="2"/>
      <c r="F142" s="2"/>
      <c r="G142" s="2"/>
    </row>
    <row r="143" spans="1:7">
      <c r="A143" s="2"/>
      <c r="B143" s="2"/>
      <c r="C143" s="2"/>
      <c r="D143" s="2"/>
      <c r="E143" s="2"/>
      <c r="F143" s="2"/>
      <c r="G143" s="2"/>
    </row>
    <row r="144" spans="1:7">
      <c r="A144" s="2"/>
      <c r="B144" s="2"/>
      <c r="C144" s="2"/>
      <c r="D144" s="2"/>
      <c r="E144" s="2"/>
      <c r="F144" s="2"/>
      <c r="G144" s="2"/>
    </row>
    <row r="145" spans="1:7">
      <c r="A145" s="2"/>
      <c r="B145" s="2"/>
      <c r="C145" s="2"/>
      <c r="D145" s="2"/>
      <c r="E145" s="2"/>
      <c r="F145" s="2"/>
      <c r="G145" s="2"/>
    </row>
    <row r="146" spans="1:7">
      <c r="A146" s="2"/>
      <c r="B146" s="2"/>
      <c r="C146" s="2"/>
      <c r="D146" s="2"/>
      <c r="E146" s="2"/>
      <c r="F146" s="2"/>
      <c r="G146" s="2"/>
    </row>
    <row r="147" spans="1:7">
      <c r="A147" s="2"/>
      <c r="B147" s="2"/>
      <c r="C147" s="2"/>
      <c r="D147" s="2"/>
      <c r="E147" s="2"/>
      <c r="F147" s="2"/>
      <c r="G147" s="2"/>
    </row>
    <row r="148" spans="1:7">
      <c r="A148" s="2"/>
      <c r="B148" s="2"/>
      <c r="C148" s="2"/>
      <c r="D148" s="2"/>
      <c r="E148" s="2"/>
      <c r="F148" s="2"/>
      <c r="G148" s="2"/>
    </row>
    <row r="149" spans="1:7">
      <c r="A149" s="2"/>
      <c r="B149" s="2"/>
      <c r="C149" s="2"/>
      <c r="D149" s="2"/>
      <c r="E149" s="2"/>
      <c r="F149" s="2"/>
      <c r="G149" s="2"/>
    </row>
    <row r="150" spans="1:7">
      <c r="A150" s="2"/>
      <c r="B150" s="2"/>
      <c r="C150" s="2"/>
      <c r="D150" s="2"/>
      <c r="E150" s="2"/>
      <c r="F150" s="2"/>
      <c r="G150" s="2"/>
    </row>
    <row r="151" spans="1:7">
      <c r="A151" s="2"/>
      <c r="B151" s="2"/>
      <c r="C151" s="2"/>
      <c r="D151" s="2"/>
      <c r="E151" s="2"/>
      <c r="F151" s="2"/>
      <c r="G151" s="2"/>
    </row>
    <row r="152" spans="1:7">
      <c r="A152" s="2"/>
      <c r="B152" s="2"/>
      <c r="C152" s="2"/>
      <c r="D152" s="2"/>
      <c r="E152" s="2"/>
      <c r="F152" s="2"/>
      <c r="G152" s="2"/>
    </row>
    <row r="153" spans="1:7">
      <c r="A153" s="2"/>
      <c r="B153" s="2"/>
      <c r="C153" s="2"/>
      <c r="D153" s="2"/>
      <c r="E153" s="2"/>
      <c r="F153" s="2"/>
      <c r="G153" s="2"/>
    </row>
    <row r="154" spans="1:7">
      <c r="A154" s="2"/>
      <c r="B154" s="2"/>
      <c r="C154" s="2"/>
      <c r="D154" s="2"/>
      <c r="E154" s="2"/>
      <c r="F154" s="2"/>
      <c r="G154" s="2"/>
    </row>
    <row r="155" spans="1:7">
      <c r="A155" s="2"/>
      <c r="B155" s="2"/>
      <c r="C155" s="2"/>
      <c r="D155" s="2"/>
      <c r="E155" s="2"/>
      <c r="F155" s="2"/>
      <c r="G155" s="2"/>
    </row>
    <row r="156" spans="1:7">
      <c r="A156" s="2"/>
      <c r="B156" s="2"/>
      <c r="C156" s="2"/>
      <c r="D156" s="2"/>
      <c r="E156" s="2"/>
      <c r="F156" s="2"/>
      <c r="G156" s="2"/>
    </row>
    <row r="157" spans="1:7">
      <c r="A157" s="2"/>
      <c r="B157" s="2"/>
      <c r="C157" s="2"/>
      <c r="D157" s="2"/>
      <c r="E157" s="2"/>
      <c r="F157" s="2"/>
      <c r="G157" s="2"/>
    </row>
    <row r="158" spans="1:7">
      <c r="A158" s="2"/>
      <c r="B158" s="2"/>
      <c r="C158" s="2"/>
      <c r="D158" s="2"/>
      <c r="E158" s="2"/>
      <c r="F158" s="2"/>
      <c r="G158" s="2"/>
    </row>
    <row r="159" spans="1:7">
      <c r="A159" s="2"/>
      <c r="B159" s="2"/>
      <c r="C159" s="2"/>
      <c r="D159" s="2"/>
      <c r="E159" s="2"/>
      <c r="F159" s="2"/>
      <c r="G159" s="2"/>
    </row>
    <row r="160" spans="1:7">
      <c r="A160" s="2"/>
      <c r="B160" s="2"/>
      <c r="C160" s="2"/>
      <c r="D160" s="2"/>
      <c r="E160" s="2"/>
      <c r="F160" s="2"/>
      <c r="G160" s="2"/>
    </row>
    <row r="161" spans="1:7">
      <c r="A161" s="2"/>
      <c r="B161" s="2"/>
      <c r="C161" s="2"/>
      <c r="D161" s="2"/>
      <c r="E161" s="2"/>
      <c r="F161" s="2"/>
      <c r="G161" s="2"/>
    </row>
    <row r="162" spans="1:7">
      <c r="A162" s="2"/>
      <c r="B162" s="2"/>
      <c r="C162" s="2"/>
      <c r="D162" s="2"/>
      <c r="E162" s="2"/>
      <c r="F162" s="2"/>
      <c r="G162" s="2"/>
    </row>
    <row r="163" spans="1:7">
      <c r="A163" s="2"/>
      <c r="B163" s="2"/>
      <c r="C163" s="2"/>
      <c r="D163" s="2"/>
      <c r="E163" s="2"/>
      <c r="F163" s="2"/>
      <c r="G163" s="2"/>
    </row>
    <row r="164" spans="1:7">
      <c r="A164" s="2"/>
      <c r="B164" s="2"/>
      <c r="C164" s="2"/>
      <c r="D164" s="2"/>
      <c r="E164" s="2"/>
      <c r="F164" s="2"/>
      <c r="G164" s="2"/>
    </row>
    <row r="165" spans="1:7">
      <c r="A165" s="2"/>
      <c r="B165" s="2"/>
      <c r="C165" s="2"/>
      <c r="D165" s="2"/>
      <c r="E165" s="2"/>
      <c r="F165" s="2"/>
      <c r="G165" s="2"/>
    </row>
    <row r="166" spans="1:7">
      <c r="A166" s="2"/>
      <c r="B166" s="2"/>
      <c r="C166" s="2"/>
      <c r="D166" s="2"/>
      <c r="E166" s="2"/>
      <c r="F166" s="2"/>
      <c r="G166" s="2"/>
    </row>
    <row r="167" spans="1:7">
      <c r="A167" s="2"/>
      <c r="B167" s="2"/>
      <c r="C167" s="2"/>
      <c r="D167" s="2"/>
      <c r="E167" s="2"/>
      <c r="F167" s="2"/>
      <c r="G167" s="2"/>
    </row>
    <row r="168" spans="1:7">
      <c r="A168" s="2"/>
      <c r="B168" s="2"/>
      <c r="C168" s="2"/>
      <c r="D168" s="2"/>
      <c r="E168" s="2"/>
      <c r="F168" s="2"/>
      <c r="G168" s="2"/>
    </row>
    <row r="169" spans="1:7">
      <c r="A169" s="2"/>
      <c r="B169" s="2"/>
      <c r="C169" s="2"/>
      <c r="D169" s="2"/>
      <c r="E169" s="2"/>
      <c r="F169" s="2"/>
      <c r="G169" s="2"/>
    </row>
    <row r="170" spans="1:7">
      <c r="A170" s="2"/>
      <c r="B170" s="2"/>
      <c r="C170" s="2"/>
      <c r="D170" s="2"/>
      <c r="E170" s="2"/>
      <c r="F170" s="2"/>
      <c r="G170" s="2"/>
    </row>
    <row r="171" spans="1:7">
      <c r="A171" s="2"/>
      <c r="B171" s="2"/>
      <c r="C171" s="2"/>
      <c r="D171" s="2"/>
      <c r="E171" s="2"/>
      <c r="F171" s="2"/>
      <c r="G171" s="2"/>
    </row>
    <row r="172" spans="1:7">
      <c r="A172" s="2"/>
      <c r="B172" s="2"/>
      <c r="C172" s="2"/>
      <c r="D172" s="2"/>
      <c r="E172" s="2"/>
      <c r="F172" s="2"/>
      <c r="G172" s="2"/>
    </row>
    <row r="173" spans="1:7">
      <c r="A173" s="2"/>
      <c r="B173" s="2"/>
      <c r="C173" s="2"/>
      <c r="D173" s="2"/>
      <c r="E173" s="2"/>
      <c r="F173" s="2"/>
      <c r="G173" s="2"/>
    </row>
    <row r="174" spans="1:7">
      <c r="A174" s="2"/>
      <c r="B174" s="2"/>
      <c r="C174" s="2"/>
      <c r="D174" s="2"/>
      <c r="E174" s="2"/>
      <c r="F174" s="2"/>
      <c r="G174" s="2"/>
    </row>
    <row r="175" spans="1:7">
      <c r="A175" s="2"/>
      <c r="B175" s="2"/>
      <c r="C175" s="2"/>
      <c r="D175" s="2"/>
      <c r="E175" s="2"/>
      <c r="F175" s="2"/>
      <c r="G175" s="2"/>
    </row>
    <row r="176" spans="1:7">
      <c r="A176" s="2"/>
      <c r="B176" s="2"/>
      <c r="C176" s="2"/>
      <c r="D176" s="2"/>
      <c r="E176" s="2"/>
      <c r="F176" s="2"/>
      <c r="G176" s="2"/>
    </row>
    <row r="177" spans="1:7">
      <c r="A177" s="2"/>
      <c r="B177" s="2"/>
      <c r="C177" s="2"/>
      <c r="D177" s="2"/>
      <c r="E177" s="2"/>
      <c r="F177" s="2"/>
      <c r="G177" s="2"/>
    </row>
    <row r="178" spans="1:7">
      <c r="A178" s="2"/>
      <c r="B178" s="2"/>
      <c r="C178" s="2"/>
      <c r="D178" s="2"/>
      <c r="E178" s="2"/>
      <c r="F178" s="2"/>
      <c r="G178" s="2"/>
    </row>
    <row r="179" spans="1:7">
      <c r="A179" s="2"/>
      <c r="B179" s="2"/>
      <c r="C179" s="2"/>
      <c r="D179" s="2"/>
      <c r="E179" s="2"/>
      <c r="F179" s="2"/>
      <c r="G179" s="2"/>
    </row>
    <row r="180" spans="1:7">
      <c r="A180" s="2"/>
      <c r="B180" s="2"/>
      <c r="C180" s="2"/>
      <c r="D180" s="2"/>
      <c r="E180" s="2"/>
      <c r="F180" s="2"/>
      <c r="G180" s="2"/>
    </row>
    <row r="181" spans="1:7">
      <c r="A181" s="2"/>
      <c r="B181" s="2"/>
      <c r="C181" s="2"/>
      <c r="D181" s="2"/>
      <c r="E181" s="2"/>
      <c r="F181" s="2"/>
      <c r="G181" s="2"/>
    </row>
    <row r="182" spans="1:7">
      <c r="A182" s="2"/>
      <c r="B182" s="2"/>
      <c r="C182" s="2"/>
      <c r="D182" s="2"/>
      <c r="E182" s="2"/>
      <c r="F182" s="2"/>
      <c r="G182" s="2"/>
    </row>
    <row r="183" spans="1:7">
      <c r="A183" s="2"/>
      <c r="B183" s="2"/>
      <c r="C183" s="2"/>
      <c r="D183" s="2"/>
      <c r="E183" s="2"/>
      <c r="F183" s="2"/>
      <c r="G183" s="2"/>
    </row>
    <row r="184" spans="1:7">
      <c r="A184" s="2"/>
      <c r="B184" s="2"/>
      <c r="C184" s="2"/>
      <c r="D184" s="2"/>
      <c r="E184" s="2"/>
      <c r="F184" s="2"/>
      <c r="G184" s="2"/>
    </row>
    <row r="185" spans="1:7">
      <c r="A185" s="2"/>
      <c r="B185" s="2"/>
      <c r="C185" s="2"/>
      <c r="D185" s="2"/>
      <c r="E185" s="2"/>
      <c r="F185" s="2"/>
      <c r="G185" s="2"/>
    </row>
    <row r="186" spans="1:7">
      <c r="A186" s="2"/>
      <c r="B186" s="2"/>
      <c r="C186" s="2"/>
      <c r="D186" s="2"/>
      <c r="E186" s="2"/>
      <c r="F186" s="2"/>
      <c r="G186" s="2"/>
    </row>
    <row r="187" spans="1:7">
      <c r="A187" s="2"/>
      <c r="B187" s="2"/>
      <c r="C187" s="2"/>
      <c r="D187" s="2"/>
      <c r="E187" s="2"/>
      <c r="F187" s="2"/>
      <c r="G187" s="2"/>
    </row>
    <row r="188" spans="1:7">
      <c r="A188" s="2"/>
      <c r="B188" s="2"/>
      <c r="C188" s="2"/>
      <c r="D188" s="2"/>
      <c r="E188" s="2"/>
      <c r="F188" s="2"/>
      <c r="G188" s="2"/>
    </row>
    <row r="189" spans="1:7">
      <c r="A189" s="2"/>
      <c r="B189" s="2"/>
      <c r="C189" s="2"/>
      <c r="D189" s="2"/>
      <c r="E189" s="2"/>
      <c r="F189" s="2"/>
      <c r="G189" s="2"/>
    </row>
    <row r="190" spans="1:7">
      <c r="A190" s="2"/>
      <c r="B190" s="2"/>
      <c r="C190" s="2"/>
      <c r="D190" s="2"/>
      <c r="E190" s="2"/>
      <c r="F190" s="2"/>
      <c r="G190" s="2"/>
    </row>
    <row r="191" spans="1:7">
      <c r="A191" s="2"/>
      <c r="B191" s="2"/>
      <c r="C191" s="2"/>
      <c r="D191" s="2"/>
      <c r="E191" s="2"/>
      <c r="F191" s="2"/>
      <c r="G191" s="2"/>
    </row>
    <row r="192" spans="1:7">
      <c r="A192" s="2"/>
      <c r="B192" s="2"/>
      <c r="C192" s="2"/>
      <c r="D192" s="2"/>
      <c r="E192" s="2"/>
      <c r="F192" s="2"/>
      <c r="G192" s="2"/>
    </row>
    <row r="193" spans="1:7">
      <c r="A193" s="2"/>
      <c r="B193" s="2"/>
      <c r="C193" s="2"/>
      <c r="D193" s="2"/>
      <c r="E193" s="2"/>
      <c r="F193" s="2"/>
      <c r="G193" s="2"/>
    </row>
    <row r="194" spans="1:7">
      <c r="A194" s="2"/>
      <c r="B194" s="2"/>
      <c r="C194" s="2"/>
      <c r="D194" s="2"/>
      <c r="E194" s="2"/>
      <c r="F194" s="2"/>
      <c r="G194" s="2"/>
    </row>
    <row r="195" spans="1:7">
      <c r="A195" s="2"/>
      <c r="B195" s="2"/>
      <c r="C195" s="2"/>
      <c r="D195" s="2"/>
      <c r="E195" s="2"/>
      <c r="F195" s="2"/>
      <c r="G195" s="2"/>
    </row>
    <row r="196" spans="1:7">
      <c r="A196" s="2"/>
      <c r="B196" s="2"/>
      <c r="C196" s="2"/>
      <c r="D196" s="2"/>
      <c r="E196" s="2"/>
      <c r="F196" s="2"/>
      <c r="G196" s="2"/>
    </row>
    <row r="197" spans="1:7">
      <c r="A197" s="2"/>
      <c r="B197" s="2"/>
      <c r="C197" s="2"/>
      <c r="D197" s="2"/>
      <c r="E197" s="2"/>
      <c r="F197" s="2"/>
      <c r="G197" s="2"/>
    </row>
    <row r="198" spans="1:7">
      <c r="A198" s="2"/>
      <c r="B198" s="2"/>
      <c r="C198" s="2"/>
      <c r="D198" s="2"/>
      <c r="E198" s="2"/>
      <c r="F198" s="2"/>
      <c r="G198" s="2"/>
    </row>
    <row r="199" spans="1:7">
      <c r="A199" s="2"/>
      <c r="B199" s="2"/>
      <c r="C199" s="2"/>
      <c r="D199" s="2"/>
      <c r="E199" s="2"/>
      <c r="F199" s="2"/>
      <c r="G199" s="2"/>
    </row>
    <row r="200" spans="1:7">
      <c r="A200" s="2"/>
      <c r="B200" s="2"/>
      <c r="C200" s="2"/>
      <c r="D200" s="2"/>
      <c r="E200" s="2"/>
      <c r="F200" s="2"/>
      <c r="G200" s="2"/>
    </row>
  </sheetData>
  <mergeCells count="5">
    <mergeCell ref="A1:G1"/>
    <mergeCell ref="A2:G2"/>
    <mergeCell ref="B4:D4"/>
    <mergeCell ref="A6:G6"/>
    <mergeCell ref="A10:G1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"/>
  <sheetViews>
    <sheetView workbookViewId="0">
      <selection activeCell="A1" sqref="A1"/>
    </sheetView>
  </sheetViews>
  <sheetFormatPr defaultColWidth="9.14285714285714" defaultRowHeight="12" outlineLevelRow="1"/>
  <sheetData>
    <row r="1" spans="1:1">
      <c r="A1">
        <f>4200+1000+620+760+325+21+55</f>
        <v>6981</v>
      </c>
    </row>
    <row r="2" spans="1:1">
      <c r="A2" t="s">
        <v>179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总览汇总</vt:lpstr>
      <vt:lpstr>出库明细</vt:lpstr>
      <vt:lpstr>收付款明细</vt:lpstr>
      <vt:lpstr>存条明细</vt:lpstr>
      <vt:lpstr>商品库存</vt:lpstr>
      <vt:lpstr>客户查询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孙彤</cp:lastModifiedBy>
  <dcterms:created xsi:type="dcterms:W3CDTF">2026-06-26T07:39:00Z</dcterms:created>
  <dcterms:modified xsi:type="dcterms:W3CDTF">2026-09-24T08:46:35Z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{"Label":"1","ContentProducer":"001191110102MACQD9K64010000","ProduceID":"7655605433638128613","ReservedCode1":"","ContentPropagator":"","PropagateID":"","ReservedCode2":""}</vt:lpwstr>
  </property>
  <property fmtid="{D5CDD505-2E9C-101B-9397-08002B2CF9AE}" pid="3" name="ICV">
    <vt:lpwstr>5BFBA0C88949438594123D58CBEF77E6_13</vt:lpwstr>
  </property>
  <property fmtid="{D5CDD505-2E9C-101B-9397-08002B2CF9AE}" pid="4" name="KSOProductBuildVer">
    <vt:lpwstr>2052-12.1.0.29161</vt:lpwstr>
  </property>
  <property fmtid="{D5CDD505-2E9C-101B-9397-08002B2CF9AE}" pid="5" name="CalculationRule">
    <vt:i4>0</vt:i4>
  </property>
</Properties>
</file>