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\Desktop\"/>
    </mc:Choice>
  </mc:AlternateContent>
  <bookViews>
    <workbookView windowWidth="27945" windowHeight="12255"/>
  </bookViews>
  <sheets>
    <sheet name="查询" sheetId="1" r:id="rId1"/>
    <sheet name="培训学校" sheetId="3" r:id="rId2"/>
    <sheet name="为农服务中心" sheetId="4" r:id="rId3"/>
    <sheet name="粮食烘干" sheetId="5" r:id="rId4"/>
    <sheet name="粮食购销" sheetId="6" r:id="rId5"/>
    <sheet name="供销社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<sst xmlns="http://schemas.openxmlformats.org/spreadsheetml/2006/main" count="63" uniqueCount="32">
  <si>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查询</t>
  </si>
  <si>
    <t>起始日期</t>
  </si>
  <si>
    <t>截止日期</t>
  </si>
  <si>
    <t>所属经营类别</t>
  </si>
  <si>
    <t>粮食购进</t>
  </si>
  <si>
    <t>粮食销售</t>
  </si>
  <si>
    <t>粮食存量</t>
  </si>
  <si>
    <t>收入</t>
  </si>
  <si>
    <t>支出</t>
  </si>
  <si>
    <t>结余</t>
  </si>
  <si>
    <t>固定资产</t>
  </si>
  <si>
    <t>应收</t>
  </si>
  <si>
    <t>应付</t>
  </si>
  <si>
    <t>经手人</t>
  </si>
  <si>
    <t>日期</t>
  </si>
  <si>
    <t>摘要</t>
  </si>
  <si>
    <t>客户名称</t>
  </si>
  <si>
    <t>烘干重量KG</t>
  </si>
  <si>
    <t>烘干单价</t>
  </si>
  <si>
    <t>粮食烘干</t>
  </si>
  <si>
    <t>杨庆火</t>
  </si>
  <si>
    <t>燃气充值</t>
  </si>
  <si>
    <t>电费充值</t>
  </si>
  <si>
    <t>购进数量KG</t>
  </si>
  <si>
    <t>购进单价</t>
  </si>
  <si>
    <t>销售数量</t>
  </si>
  <si>
    <t>销售单价</t>
  </si>
  <si>
    <t>储备库</t>
  </si>
  <si>
    <t>人工工资</t>
  </si>
  <si>
    <t>购买编织袋</t>
  </si>
  <si>
    <t>稻壳销售</t>
  </si>
  <si>
    <t>碎米销售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</si>
</sst>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"/>
  <sheetViews>
    <sheetView tabSelected="1" workbookViewId="0">
      <selection activeCell="C29" sqref="C29"/>
    </sheetView>
  </sheetViews>
  <sheetFormatPr defaultColWidth="9" defaultRowHeight="13.5" outlineLevelRow="1"/>
  <cols>
    <col min="2" max="3" width="9" style="1"/>
    <col min="4" max="4" width="13.375" style="1" customWidth="1"/>
    <col min="5" max="7" width="12.375" style="1" customWidth="1"/>
    <col min="8" max="14" width="9" style="1"/>
  </cols>
  <sheetData>
    <row r="2" spans="1:1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workbookViewId="0">
      <selection activeCell="J28" sqref="J28"/>
    </sheetView>
  </sheetViews>
  <sheetFormatPr defaultColWidth="9" defaultRowHeight="13.5" outlineLevelRow="1" outlineLevelCol="5"/>
  <cols>
    <col min="1" max="6" width="11.375" customWidth="1"/>
  </cols>
  <sheetData>
    <row r="2" spans="1:6">
      <c r="A2" s="1" t="s">
        <v>14</v>
      </c>
      <c r="B2" s="1" t="s">
        <v>15</v>
      </c>
      <c r="C2" s="1" t="s">
        <v>7</v>
      </c>
      <c r="D2" s="1" t="s">
        <v>8</v>
      </c>
      <c r="E2" s="1" t="s">
        <v>9</v>
      </c>
      <c r="F2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workbookViewId="0">
      <selection activeCell="J10" sqref="J10"/>
    </sheetView>
  </sheetViews>
  <sheetFormatPr defaultColWidth="9" defaultRowHeight="13.5" outlineLevelRow="1" outlineLevelCol="5"/>
  <cols>
    <col min="1" max="6" width="13" customWidth="1"/>
  </cols>
  <sheetData>
    <row r="2" spans="1:6">
      <c r="A2" s="1" t="s">
        <v>14</v>
      </c>
      <c r="B2" s="1" t="s">
        <v>15</v>
      </c>
      <c r="C2" s="1" t="s">
        <v>7</v>
      </c>
      <c r="D2" s="1" t="s">
        <v>8</v>
      </c>
      <c r="E2" s="1" t="s">
        <v>9</v>
      </c>
      <c r="F2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"/>
  <sheetViews>
    <sheetView workbookViewId="0">
      <selection activeCell="J9" sqref="J9"/>
    </sheetView>
  </sheetViews>
  <sheetFormatPr defaultColWidth="9" defaultRowHeight="13.5" outlineLevelRow="4"/>
  <cols>
    <col min="1" max="9" width="9.75" style="1" customWidth="1"/>
  </cols>
  <sheetData>
    <row r="2" spans="1: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7</v>
      </c>
      <c r="G2" s="1" t="s">
        <v>8</v>
      </c>
      <c r="H2" s="1" t="s">
        <v>9</v>
      </c>
      <c r="I2" s="1" t="s">
        <v>13</v>
      </c>
    </row>
    <row r="3" spans="1:9">
      <c r="B3" s="1" t="s">
        <v>19</v>
      </c>
      <c r="C3" s="1" t="s">
        <v>20</v>
      </c>
      <c r="D3" s="1">
        <v>2000</v>
      </c>
      <c r="E3" s="1">
        <v>200</v>
      </c>
      <c r="F3" s="1">
        <f>D3*E3</f>
        <v>400000</v>
      </c>
    </row>
    <row r="4" spans="1:9">
      <c r="B4" s="1" t="s">
        <v>21</v>
      </c>
      <c r="G4" s="1">
        <v>50000</v>
      </c>
    </row>
    <row r="5" spans="1:9">
      <c r="B5" s="1" t="s">
        <v>22</v>
      </c>
      <c r="G5" s="1">
        <v>3000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8"/>
  <sheetViews>
    <sheetView workbookViewId="0">
      <selection activeCell="O14" sqref="O14"/>
    </sheetView>
  </sheetViews>
  <sheetFormatPr defaultColWidth="9" defaultRowHeight="13.5" outlineLevelRow="7"/>
  <cols>
    <col min="2" max="2" width="12" customWidth="1"/>
    <col min="3" max="3" width="11" customWidth="1"/>
    <col min="4" max="5" width="12.375" style="1" customWidth="1"/>
    <col min="6" max="8" width="12.375" customWidth="1"/>
    <col min="9" max="9" width="9.5" customWidth="1"/>
    <col min="10" max="10" width="9.75" customWidth="1"/>
  </cols>
  <sheetData>
    <row r="2" spans="1:12">
      <c r="A2" s="1" t="s">
        <v>14</v>
      </c>
      <c r="B2" s="1" t="s">
        <v>15</v>
      </c>
      <c r="C2" s="1" t="s">
        <v>16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13</v>
      </c>
    </row>
    <row r="3" spans="1:12">
      <c r="C3" t="s">
        <v>20</v>
      </c>
      <c r="D3" s="1">
        <v>2000</v>
      </c>
      <c r="E3" s="1">
        <v>2.46</v>
      </c>
      <c r="J3">
        <f>D3*E3</f>
        <v>4920</v>
      </c>
    </row>
    <row r="4" spans="1:12">
      <c r="C4" t="s">
        <v>27</v>
      </c>
      <c r="F4">
        <v>2000</v>
      </c>
      <c r="G4">
        <v>2.5</v>
      </c>
      <c r="H4">
        <f>D3-F4</f>
        <v>0</v>
      </c>
      <c r="I4">
        <f>F4*G4</f>
        <v>5000</v>
      </c>
    </row>
    <row r="5" spans="1:12">
      <c r="B5" t="s">
        <v>28</v>
      </c>
      <c r="J5">
        <v>500</v>
      </c>
    </row>
    <row r="6" spans="1:12">
      <c r="B6" t="s">
        <v>29</v>
      </c>
      <c r="J6">
        <v>600</v>
      </c>
    </row>
    <row r="7" spans="1:12">
      <c r="B7" t="s">
        <v>30</v>
      </c>
      <c r="I7">
        <v>600</v>
      </c>
    </row>
    <row r="8" spans="1:12">
      <c r="B8" t="s">
        <v>31</v>
      </c>
      <c r="I8">
        <v>600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workbookViewId="0">
      <selection activeCell="K12" sqref="K12"/>
    </sheetView>
  </sheetViews>
  <sheetFormatPr defaultColWidth="9" defaultRowHeight="13.5" outlineLevelRow="1" outlineLevelCol="5"/>
  <cols>
    <col min="1" max="6" width="15.875" customWidth="1"/>
  </cols>
  <sheetData>
    <row r="2" spans="1:6">
      <c r="A2" s="1" t="s">
        <v>14</v>
      </c>
      <c r="B2" s="1" t="s">
        <v>15</v>
      </c>
      <c r="C2" s="1" t="s">
        <v>7</v>
      </c>
      <c r="D2" s="1" t="s">
        <v>8</v>
      </c>
      <c r="E2" s="1" t="s">
        <v>9</v>
      </c>
      <c r="F2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查询</vt:lpstr>
      <vt:lpstr>培训学校</vt:lpstr>
      <vt:lpstr>为农服务中心</vt:lpstr>
      <vt:lpstr>粮食烘干</vt:lpstr>
      <vt:lpstr>粮食购销</vt:lpstr>
      <vt:lpstr>供销社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黄胜</cp:lastModifiedBy>
  <dcterms:created xsi:type="dcterms:W3CDTF">2023-05-12T11:15:00Z</dcterms:created>
  <dcterms:modified xsi:type="dcterms:W3CDTF">2026-10-09T03:36:28Z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56878B94C87946ED800DFC1BDD9174A8_12</vt:lpwstr>
  </property>
  <property fmtid="{D5CDD505-2E9C-101B-9397-08002B2CF9AE}" pid="4" name="CalculationRule">
    <vt:i4>0</vt:i4>
  </property>
</Properties>
</file>